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akshmanan\Downloads\DA projects\"/>
    </mc:Choice>
  </mc:AlternateContent>
  <xr:revisionPtr revIDLastSave="0" documentId="13_ncr:1_{AC86B17C-17C7-4674-8C6A-399468922317}" xr6:coauthVersionLast="47" xr6:coauthVersionMax="47" xr10:uidLastSave="{00000000-0000-0000-0000-000000000000}"/>
  <bookViews>
    <workbookView xWindow="-108" yWindow="-108" windowWidth="23256" windowHeight="12456" activeTab="1" xr2:uid="{FFAB0725-CB7C-4447-8248-FFB19976BC4F}"/>
  </bookViews>
  <sheets>
    <sheet name="raw data" sheetId="1" r:id="rId1"/>
    <sheet name="process_data" sheetId="2" r:id="rId2"/>
  </sheets>
  <calcPr calcId="191029"/>
</workbook>
</file>

<file path=xl/calcChain.xml><?xml version="1.0" encoding="utf-8"?>
<calcChain xmlns="http://schemas.openxmlformats.org/spreadsheetml/2006/main">
  <c r="AH2" i="2" l="1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98" i="2"/>
  <c r="AH1599" i="2"/>
  <c r="AH1600" i="2"/>
  <c r="AH1601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H1900" i="2"/>
  <c r="AH1901" i="2"/>
  <c r="AH1902" i="2"/>
  <c r="AH1903" i="2"/>
  <c r="AH1904" i="2"/>
  <c r="AH1905" i="2"/>
  <c r="AH1906" i="2"/>
  <c r="AH1907" i="2"/>
  <c r="AH1908" i="2"/>
  <c r="AH1909" i="2"/>
  <c r="AH1910" i="2"/>
  <c r="AH1911" i="2"/>
  <c r="AH1912" i="2"/>
  <c r="AH1913" i="2"/>
  <c r="AH1914" i="2"/>
  <c r="AH1915" i="2"/>
  <c r="AH1916" i="2"/>
  <c r="AH1917" i="2"/>
  <c r="AH1918" i="2"/>
  <c r="AH1919" i="2"/>
  <c r="AH1920" i="2"/>
  <c r="AH1921" i="2"/>
  <c r="AH1922" i="2"/>
  <c r="AH1923" i="2"/>
  <c r="AH1924" i="2"/>
  <c r="AH1925" i="2"/>
  <c r="AH1926" i="2"/>
  <c r="AH1927" i="2"/>
  <c r="AH1928" i="2"/>
  <c r="AH1929" i="2"/>
  <c r="AH1930" i="2"/>
  <c r="AH1931" i="2"/>
  <c r="AH1932" i="2"/>
  <c r="AH1933" i="2"/>
  <c r="AH1934" i="2"/>
  <c r="AH1935" i="2"/>
  <c r="AH1936" i="2"/>
  <c r="AH1937" i="2"/>
  <c r="AH1938" i="2"/>
  <c r="AH1939" i="2"/>
  <c r="AH1940" i="2"/>
  <c r="AH1941" i="2"/>
  <c r="AH1942" i="2"/>
  <c r="AH1943" i="2"/>
  <c r="AH1944" i="2"/>
  <c r="AH1945" i="2"/>
  <c r="AH1946" i="2"/>
  <c r="AH1947" i="2"/>
  <c r="AH1948" i="2"/>
  <c r="AH1949" i="2"/>
  <c r="AH1950" i="2"/>
  <c r="AH1951" i="2"/>
  <c r="AH1952" i="2"/>
  <c r="AH1953" i="2"/>
  <c r="AH1954" i="2"/>
  <c r="AH1955" i="2"/>
  <c r="AH1956" i="2"/>
  <c r="AH1957" i="2"/>
  <c r="AH1958" i="2"/>
  <c r="AH1959" i="2"/>
  <c r="AH1960" i="2"/>
  <c r="AH1961" i="2"/>
  <c r="AH1962" i="2"/>
  <c r="AH1963" i="2"/>
  <c r="AH1964" i="2"/>
  <c r="AH1965" i="2"/>
  <c r="AH1966" i="2"/>
  <c r="AH1967" i="2"/>
  <c r="AH1968" i="2"/>
  <c r="AH1969" i="2"/>
  <c r="AH1970" i="2"/>
  <c r="AH1971" i="2"/>
  <c r="AH1972" i="2"/>
  <c r="AH1973" i="2"/>
  <c r="AH1974" i="2"/>
  <c r="AH1975" i="2"/>
  <c r="AH1976" i="2"/>
  <c r="AH1977" i="2"/>
  <c r="AH1978" i="2"/>
  <c r="AH1979" i="2"/>
  <c r="AH1980" i="2"/>
  <c r="AH1981" i="2"/>
  <c r="AH1982" i="2"/>
  <c r="AH1983" i="2"/>
  <c r="AH1984" i="2"/>
  <c r="AH1985" i="2"/>
  <c r="AH1986" i="2"/>
  <c r="AH1987" i="2"/>
  <c r="AH1988" i="2"/>
  <c r="AH1989" i="2"/>
  <c r="AH1990" i="2"/>
  <c r="AH1991" i="2"/>
  <c r="AH1992" i="2"/>
  <c r="AH1993" i="2"/>
  <c r="AH1994" i="2"/>
  <c r="AH1995" i="2"/>
  <c r="AH1996" i="2"/>
  <c r="AH1997" i="2"/>
  <c r="AH1998" i="2"/>
  <c r="AH1999" i="2"/>
  <c r="AH2000" i="2"/>
  <c r="AH200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1212" i="2"/>
  <c r="AF1213" i="2"/>
  <c r="AF1214" i="2"/>
  <c r="AF1215" i="2"/>
  <c r="AF1216" i="2"/>
  <c r="AF1217" i="2"/>
  <c r="AF1218" i="2"/>
  <c r="AF1219" i="2"/>
  <c r="AF1220" i="2"/>
  <c r="AF1221" i="2"/>
  <c r="AF1222" i="2"/>
  <c r="AF1223" i="2"/>
  <c r="AF1224" i="2"/>
  <c r="AF1225" i="2"/>
  <c r="AF1226" i="2"/>
  <c r="AF1227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260" i="2"/>
  <c r="AF1261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288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01" i="2"/>
  <c r="AF1302" i="2"/>
  <c r="AF1303" i="2"/>
  <c r="AF1304" i="2"/>
  <c r="AF1305" i="2"/>
  <c r="AF1306" i="2"/>
  <c r="AF1307" i="2"/>
  <c r="AF1308" i="2"/>
  <c r="AF1309" i="2"/>
  <c r="AF1310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28" i="2"/>
  <c r="AF1329" i="2"/>
  <c r="AF1330" i="2"/>
  <c r="AF1331" i="2"/>
  <c r="AF1332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1344" i="2"/>
  <c r="AF1345" i="2"/>
  <c r="AF1346" i="2"/>
  <c r="AF1347" i="2"/>
  <c r="AF1348" i="2"/>
  <c r="AF1349" i="2"/>
  <c r="AF1350" i="2"/>
  <c r="AF1351" i="2"/>
  <c r="AF1352" i="2"/>
  <c r="AF1353" i="2"/>
  <c r="AF1354" i="2"/>
  <c r="AF1355" i="2"/>
  <c r="AF1356" i="2"/>
  <c r="AF1357" i="2"/>
  <c r="AF1358" i="2"/>
  <c r="AF1359" i="2"/>
  <c r="AF1360" i="2"/>
  <c r="AF1361" i="2"/>
  <c r="AF1362" i="2"/>
  <c r="AF1363" i="2"/>
  <c r="AF1364" i="2"/>
  <c r="AF1365" i="2"/>
  <c r="AF1366" i="2"/>
  <c r="AF1367" i="2"/>
  <c r="AF1368" i="2"/>
  <c r="AF1369" i="2"/>
  <c r="AF1370" i="2"/>
  <c r="AF1371" i="2"/>
  <c r="AF1372" i="2"/>
  <c r="AF1373" i="2"/>
  <c r="AF1374" i="2"/>
  <c r="AF1375" i="2"/>
  <c r="AF1376" i="2"/>
  <c r="AF1377" i="2"/>
  <c r="AF1378" i="2"/>
  <c r="AF1379" i="2"/>
  <c r="AF1380" i="2"/>
  <c r="AF1381" i="2"/>
  <c r="AF1382" i="2"/>
  <c r="AF1383" i="2"/>
  <c r="AF1384" i="2"/>
  <c r="AF1385" i="2"/>
  <c r="AF1386" i="2"/>
  <c r="AF1387" i="2"/>
  <c r="AF1388" i="2"/>
  <c r="AF1389" i="2"/>
  <c r="AF1390" i="2"/>
  <c r="AF1391" i="2"/>
  <c r="AF1392" i="2"/>
  <c r="AF1393" i="2"/>
  <c r="AF1394" i="2"/>
  <c r="AF1395" i="2"/>
  <c r="AF1396" i="2"/>
  <c r="AF1397" i="2"/>
  <c r="AF1398" i="2"/>
  <c r="AF1399" i="2"/>
  <c r="AF1400" i="2"/>
  <c r="AF1401" i="2"/>
  <c r="AF1402" i="2"/>
  <c r="AF1403" i="2"/>
  <c r="AF1404" i="2"/>
  <c r="AF1405" i="2"/>
  <c r="AF1406" i="2"/>
  <c r="AF1407" i="2"/>
  <c r="AF1408" i="2"/>
  <c r="AF1409" i="2"/>
  <c r="AF1410" i="2"/>
  <c r="AF1411" i="2"/>
  <c r="AF1412" i="2"/>
  <c r="AF1413" i="2"/>
  <c r="AF1414" i="2"/>
  <c r="AF1415" i="2"/>
  <c r="AF1416" i="2"/>
  <c r="AF1417" i="2"/>
  <c r="AF1418" i="2"/>
  <c r="AF1419" i="2"/>
  <c r="AF1420" i="2"/>
  <c r="AF1421" i="2"/>
  <c r="AF1422" i="2"/>
  <c r="AF1423" i="2"/>
  <c r="AF1424" i="2"/>
  <c r="AF1425" i="2"/>
  <c r="AF1426" i="2"/>
  <c r="AF1427" i="2"/>
  <c r="AF1428" i="2"/>
  <c r="AF1429" i="2"/>
  <c r="AF1430" i="2"/>
  <c r="AF1431" i="2"/>
  <c r="AF1432" i="2"/>
  <c r="AF1433" i="2"/>
  <c r="AF1434" i="2"/>
  <c r="AF1435" i="2"/>
  <c r="AF1436" i="2"/>
  <c r="AF1437" i="2"/>
  <c r="AF1438" i="2"/>
  <c r="AF1439" i="2"/>
  <c r="AF1440" i="2"/>
  <c r="AF1441" i="2"/>
  <c r="AF1442" i="2"/>
  <c r="AF1443" i="2"/>
  <c r="AF1444" i="2"/>
  <c r="AF1445" i="2"/>
  <c r="AF1446" i="2"/>
  <c r="AF1447" i="2"/>
  <c r="AF1448" i="2"/>
  <c r="AF1449" i="2"/>
  <c r="AF1450" i="2"/>
  <c r="AF1451" i="2"/>
  <c r="AF1452" i="2"/>
  <c r="AF1453" i="2"/>
  <c r="AF1454" i="2"/>
  <c r="AF1455" i="2"/>
  <c r="AF1456" i="2"/>
  <c r="AF1457" i="2"/>
  <c r="AF1458" i="2"/>
  <c r="AF1459" i="2"/>
  <c r="AF1460" i="2"/>
  <c r="AF1461" i="2"/>
  <c r="AF1462" i="2"/>
  <c r="AF1463" i="2"/>
  <c r="AF1464" i="2"/>
  <c r="AF1465" i="2"/>
  <c r="AF1466" i="2"/>
  <c r="AF1467" i="2"/>
  <c r="AF1468" i="2"/>
  <c r="AF1469" i="2"/>
  <c r="AF1470" i="2"/>
  <c r="AF1471" i="2"/>
  <c r="AF1472" i="2"/>
  <c r="AF1473" i="2"/>
  <c r="AF1474" i="2"/>
  <c r="AF1475" i="2"/>
  <c r="AF1476" i="2"/>
  <c r="AF1477" i="2"/>
  <c r="AF1478" i="2"/>
  <c r="AF1479" i="2"/>
  <c r="AF1480" i="2"/>
  <c r="AF1481" i="2"/>
  <c r="AF1482" i="2"/>
  <c r="AF1483" i="2"/>
  <c r="AF1484" i="2"/>
  <c r="AF1485" i="2"/>
  <c r="AF1486" i="2"/>
  <c r="AF1487" i="2"/>
  <c r="AF1488" i="2"/>
  <c r="AF1489" i="2"/>
  <c r="AF1490" i="2"/>
  <c r="AF1491" i="2"/>
  <c r="AF1492" i="2"/>
  <c r="AF1493" i="2"/>
  <c r="AF1494" i="2"/>
  <c r="AF1495" i="2"/>
  <c r="AF1496" i="2"/>
  <c r="AF1497" i="2"/>
  <c r="AF1498" i="2"/>
  <c r="AF1499" i="2"/>
  <c r="AF1500" i="2"/>
  <c r="AF1501" i="2"/>
  <c r="AF1502" i="2"/>
  <c r="AF1503" i="2"/>
  <c r="AF1504" i="2"/>
  <c r="AF1505" i="2"/>
  <c r="AF1506" i="2"/>
  <c r="AF1507" i="2"/>
  <c r="AF1508" i="2"/>
  <c r="AF1509" i="2"/>
  <c r="AF1510" i="2"/>
  <c r="AF1511" i="2"/>
  <c r="AF1512" i="2"/>
  <c r="AF1513" i="2"/>
  <c r="AF1514" i="2"/>
  <c r="AF1515" i="2"/>
  <c r="AF1516" i="2"/>
  <c r="AF1517" i="2"/>
  <c r="AF1518" i="2"/>
  <c r="AF1519" i="2"/>
  <c r="AF1520" i="2"/>
  <c r="AF1521" i="2"/>
  <c r="AF1522" i="2"/>
  <c r="AF1523" i="2"/>
  <c r="AF1524" i="2"/>
  <c r="AF1525" i="2"/>
  <c r="AF1526" i="2"/>
  <c r="AF1527" i="2"/>
  <c r="AF1528" i="2"/>
  <c r="AF1529" i="2"/>
  <c r="AF1530" i="2"/>
  <c r="AF1531" i="2"/>
  <c r="AF1532" i="2"/>
  <c r="AF1533" i="2"/>
  <c r="AF1534" i="2"/>
  <c r="AF1535" i="2"/>
  <c r="AF1536" i="2"/>
  <c r="AF1537" i="2"/>
  <c r="AF1538" i="2"/>
  <c r="AF1539" i="2"/>
  <c r="AF1540" i="2"/>
  <c r="AF1541" i="2"/>
  <c r="AF1542" i="2"/>
  <c r="AF1543" i="2"/>
  <c r="AF1544" i="2"/>
  <c r="AF1545" i="2"/>
  <c r="AF1546" i="2"/>
  <c r="AF1547" i="2"/>
  <c r="AF1548" i="2"/>
  <c r="AF1549" i="2"/>
  <c r="AF1550" i="2"/>
  <c r="AF1551" i="2"/>
  <c r="AF1552" i="2"/>
  <c r="AF1553" i="2"/>
  <c r="AF1554" i="2"/>
  <c r="AF1555" i="2"/>
  <c r="AF1556" i="2"/>
  <c r="AF1557" i="2"/>
  <c r="AF1558" i="2"/>
  <c r="AF1559" i="2"/>
  <c r="AF1560" i="2"/>
  <c r="AF1561" i="2"/>
  <c r="AF1562" i="2"/>
  <c r="AF1563" i="2"/>
  <c r="AF1564" i="2"/>
  <c r="AF1565" i="2"/>
  <c r="AF1566" i="2"/>
  <c r="AF1567" i="2"/>
  <c r="AF1568" i="2"/>
  <c r="AF1569" i="2"/>
  <c r="AF1570" i="2"/>
  <c r="AF1571" i="2"/>
  <c r="AF1572" i="2"/>
  <c r="AF1573" i="2"/>
  <c r="AF1574" i="2"/>
  <c r="AF1575" i="2"/>
  <c r="AF1576" i="2"/>
  <c r="AF1577" i="2"/>
  <c r="AF1578" i="2"/>
  <c r="AF1579" i="2"/>
  <c r="AF1580" i="2"/>
  <c r="AF1581" i="2"/>
  <c r="AF1582" i="2"/>
  <c r="AF1583" i="2"/>
  <c r="AF1584" i="2"/>
  <c r="AF1585" i="2"/>
  <c r="AF1586" i="2"/>
  <c r="AF1587" i="2"/>
  <c r="AF1588" i="2"/>
  <c r="AF1589" i="2"/>
  <c r="AF1590" i="2"/>
  <c r="AF1591" i="2"/>
  <c r="AF1592" i="2"/>
  <c r="AF1593" i="2"/>
  <c r="AF1594" i="2"/>
  <c r="AF1595" i="2"/>
  <c r="AF1596" i="2"/>
  <c r="AF1597" i="2"/>
  <c r="AF1598" i="2"/>
  <c r="AF1599" i="2"/>
  <c r="AF1600" i="2"/>
  <c r="AF1601" i="2"/>
  <c r="AF1602" i="2"/>
  <c r="AF1603" i="2"/>
  <c r="AF1604" i="2"/>
  <c r="AF1605" i="2"/>
  <c r="AF1606" i="2"/>
  <c r="AF1607" i="2"/>
  <c r="AF1608" i="2"/>
  <c r="AF1609" i="2"/>
  <c r="AF1610" i="2"/>
  <c r="AF1611" i="2"/>
  <c r="AF1612" i="2"/>
  <c r="AF1613" i="2"/>
  <c r="AF1614" i="2"/>
  <c r="AF1615" i="2"/>
  <c r="AF1616" i="2"/>
  <c r="AF1617" i="2"/>
  <c r="AF1618" i="2"/>
  <c r="AF1619" i="2"/>
  <c r="AF1620" i="2"/>
  <c r="AF1621" i="2"/>
  <c r="AF1622" i="2"/>
  <c r="AF1623" i="2"/>
  <c r="AF1624" i="2"/>
  <c r="AF1625" i="2"/>
  <c r="AF1626" i="2"/>
  <c r="AF1627" i="2"/>
  <c r="AF1628" i="2"/>
  <c r="AF1629" i="2"/>
  <c r="AF1630" i="2"/>
  <c r="AF1631" i="2"/>
  <c r="AF1632" i="2"/>
  <c r="AF1633" i="2"/>
  <c r="AF1634" i="2"/>
  <c r="AF1635" i="2"/>
  <c r="AF1636" i="2"/>
  <c r="AF1637" i="2"/>
  <c r="AF1638" i="2"/>
  <c r="AF1639" i="2"/>
  <c r="AF1640" i="2"/>
  <c r="AF1641" i="2"/>
  <c r="AF1642" i="2"/>
  <c r="AF1643" i="2"/>
  <c r="AF1644" i="2"/>
  <c r="AF1645" i="2"/>
  <c r="AF1646" i="2"/>
  <c r="AF1647" i="2"/>
  <c r="AF1648" i="2"/>
  <c r="AF1649" i="2"/>
  <c r="AF1650" i="2"/>
  <c r="AF1651" i="2"/>
  <c r="AF1652" i="2"/>
  <c r="AF1653" i="2"/>
  <c r="AF1654" i="2"/>
  <c r="AF1655" i="2"/>
  <c r="AF1656" i="2"/>
  <c r="AF1657" i="2"/>
  <c r="AF1658" i="2"/>
  <c r="AF1659" i="2"/>
  <c r="AF1660" i="2"/>
  <c r="AF1661" i="2"/>
  <c r="AF1662" i="2"/>
  <c r="AF1663" i="2"/>
  <c r="AF1664" i="2"/>
  <c r="AF1665" i="2"/>
  <c r="AF1666" i="2"/>
  <c r="AF1667" i="2"/>
  <c r="AF1668" i="2"/>
  <c r="AF1669" i="2"/>
  <c r="AF1670" i="2"/>
  <c r="AF1671" i="2"/>
  <c r="AF1672" i="2"/>
  <c r="AF1673" i="2"/>
  <c r="AF1674" i="2"/>
  <c r="AF1675" i="2"/>
  <c r="AF1676" i="2"/>
  <c r="AF1677" i="2"/>
  <c r="AF1678" i="2"/>
  <c r="AF1679" i="2"/>
  <c r="AF1680" i="2"/>
  <c r="AF1681" i="2"/>
  <c r="AF1682" i="2"/>
  <c r="AF1683" i="2"/>
  <c r="AF1684" i="2"/>
  <c r="AF1685" i="2"/>
  <c r="AF1686" i="2"/>
  <c r="AF1687" i="2"/>
  <c r="AF1688" i="2"/>
  <c r="AF1689" i="2"/>
  <c r="AF1690" i="2"/>
  <c r="AF1691" i="2"/>
  <c r="AF1692" i="2"/>
  <c r="AF1693" i="2"/>
  <c r="AF1694" i="2"/>
  <c r="AF1695" i="2"/>
  <c r="AF1696" i="2"/>
  <c r="AF1697" i="2"/>
  <c r="AF1698" i="2"/>
  <c r="AF1699" i="2"/>
  <c r="AF1700" i="2"/>
  <c r="AF1701" i="2"/>
  <c r="AF1702" i="2"/>
  <c r="AF1703" i="2"/>
  <c r="AF1704" i="2"/>
  <c r="AF1705" i="2"/>
  <c r="AF1706" i="2"/>
  <c r="AF1707" i="2"/>
  <c r="AF1708" i="2"/>
  <c r="AF1709" i="2"/>
  <c r="AF1710" i="2"/>
  <c r="AF1711" i="2"/>
  <c r="AF1712" i="2"/>
  <c r="AF1713" i="2"/>
  <c r="AF1714" i="2"/>
  <c r="AF1715" i="2"/>
  <c r="AF1716" i="2"/>
  <c r="AF1717" i="2"/>
  <c r="AF1718" i="2"/>
  <c r="AF1719" i="2"/>
  <c r="AF1720" i="2"/>
  <c r="AF1721" i="2"/>
  <c r="AF1722" i="2"/>
  <c r="AF1723" i="2"/>
  <c r="AF1724" i="2"/>
  <c r="AF1725" i="2"/>
  <c r="AF1726" i="2"/>
  <c r="AF1727" i="2"/>
  <c r="AF1728" i="2"/>
  <c r="AF1729" i="2"/>
  <c r="AF1730" i="2"/>
  <c r="AF1731" i="2"/>
  <c r="AF1732" i="2"/>
  <c r="AF1733" i="2"/>
  <c r="AF1734" i="2"/>
  <c r="AF1735" i="2"/>
  <c r="AF1736" i="2"/>
  <c r="AF1737" i="2"/>
  <c r="AF1738" i="2"/>
  <c r="AF1739" i="2"/>
  <c r="AF1740" i="2"/>
  <c r="AF1741" i="2"/>
  <c r="AF1742" i="2"/>
  <c r="AF1743" i="2"/>
  <c r="AF1744" i="2"/>
  <c r="AF1745" i="2"/>
  <c r="AF1746" i="2"/>
  <c r="AF1747" i="2"/>
  <c r="AF1748" i="2"/>
  <c r="AF1749" i="2"/>
  <c r="AF1750" i="2"/>
  <c r="AF1751" i="2"/>
  <c r="AF1752" i="2"/>
  <c r="AF1753" i="2"/>
  <c r="AF1754" i="2"/>
  <c r="AF1755" i="2"/>
  <c r="AF1756" i="2"/>
  <c r="AF1757" i="2"/>
  <c r="AF1758" i="2"/>
  <c r="AF1759" i="2"/>
  <c r="AF1760" i="2"/>
  <c r="AF1761" i="2"/>
  <c r="AF1762" i="2"/>
  <c r="AF1763" i="2"/>
  <c r="AF1764" i="2"/>
  <c r="AF1765" i="2"/>
  <c r="AF1766" i="2"/>
  <c r="AF1767" i="2"/>
  <c r="AF1768" i="2"/>
  <c r="AF1769" i="2"/>
  <c r="AF1770" i="2"/>
  <c r="AF1771" i="2"/>
  <c r="AF1772" i="2"/>
  <c r="AF1773" i="2"/>
  <c r="AF1774" i="2"/>
  <c r="AF1775" i="2"/>
  <c r="AF1776" i="2"/>
  <c r="AF1777" i="2"/>
  <c r="AF1778" i="2"/>
  <c r="AF1779" i="2"/>
  <c r="AF1780" i="2"/>
  <c r="AF1781" i="2"/>
  <c r="AF1782" i="2"/>
  <c r="AF1783" i="2"/>
  <c r="AF1784" i="2"/>
  <c r="AF1785" i="2"/>
  <c r="AF1786" i="2"/>
  <c r="AF1787" i="2"/>
  <c r="AF1788" i="2"/>
  <c r="AF1789" i="2"/>
  <c r="AF1790" i="2"/>
  <c r="AF1791" i="2"/>
  <c r="AF1792" i="2"/>
  <c r="AF1793" i="2"/>
  <c r="AF1794" i="2"/>
  <c r="AF1795" i="2"/>
  <c r="AF1796" i="2"/>
  <c r="AF1797" i="2"/>
  <c r="AF1798" i="2"/>
  <c r="AF1799" i="2"/>
  <c r="AF1800" i="2"/>
  <c r="AF1801" i="2"/>
  <c r="AF1802" i="2"/>
  <c r="AF1803" i="2"/>
  <c r="AF1804" i="2"/>
  <c r="AF1805" i="2"/>
  <c r="AF1806" i="2"/>
  <c r="AF1807" i="2"/>
  <c r="AF1808" i="2"/>
  <c r="AF1809" i="2"/>
  <c r="AF1810" i="2"/>
  <c r="AF1811" i="2"/>
  <c r="AF1812" i="2"/>
  <c r="AF1813" i="2"/>
  <c r="AF1814" i="2"/>
  <c r="AF1815" i="2"/>
  <c r="AF1816" i="2"/>
  <c r="AF1817" i="2"/>
  <c r="AF1818" i="2"/>
  <c r="AF1819" i="2"/>
  <c r="AF1820" i="2"/>
  <c r="AF1821" i="2"/>
  <c r="AF1822" i="2"/>
  <c r="AF1823" i="2"/>
  <c r="AF1824" i="2"/>
  <c r="AF1825" i="2"/>
  <c r="AF1826" i="2"/>
  <c r="AF1827" i="2"/>
  <c r="AF1828" i="2"/>
  <c r="AF1829" i="2"/>
  <c r="AF1830" i="2"/>
  <c r="AF1831" i="2"/>
  <c r="AF1832" i="2"/>
  <c r="AF1833" i="2"/>
  <c r="AF1834" i="2"/>
  <c r="AF1835" i="2"/>
  <c r="AF1836" i="2"/>
  <c r="AF1837" i="2"/>
  <c r="AF1838" i="2"/>
  <c r="AF1839" i="2"/>
  <c r="AF1840" i="2"/>
  <c r="AF1841" i="2"/>
  <c r="AF1842" i="2"/>
  <c r="AF1843" i="2"/>
  <c r="AF1844" i="2"/>
  <c r="AF1845" i="2"/>
  <c r="AF1846" i="2"/>
  <c r="AF1847" i="2"/>
  <c r="AF1848" i="2"/>
  <c r="AF1849" i="2"/>
  <c r="AF1850" i="2"/>
  <c r="AF1851" i="2"/>
  <c r="AF1852" i="2"/>
  <c r="AF1853" i="2"/>
  <c r="AF1854" i="2"/>
  <c r="AF1855" i="2"/>
  <c r="AF1856" i="2"/>
  <c r="AF1857" i="2"/>
  <c r="AF1858" i="2"/>
  <c r="AF1859" i="2"/>
  <c r="AF1860" i="2"/>
  <c r="AF1861" i="2"/>
  <c r="AF1862" i="2"/>
  <c r="AF1863" i="2"/>
  <c r="AF1864" i="2"/>
  <c r="AF1865" i="2"/>
  <c r="AF1866" i="2"/>
  <c r="AF1867" i="2"/>
  <c r="AF1868" i="2"/>
  <c r="AF1869" i="2"/>
  <c r="AF1870" i="2"/>
  <c r="AF1871" i="2"/>
  <c r="AF1872" i="2"/>
  <c r="AF1873" i="2"/>
  <c r="AF1874" i="2"/>
  <c r="AF1875" i="2"/>
  <c r="AF1876" i="2"/>
  <c r="AF1877" i="2"/>
  <c r="AF1878" i="2"/>
  <c r="AF1879" i="2"/>
  <c r="AF1880" i="2"/>
  <c r="AF1881" i="2"/>
  <c r="AF1882" i="2"/>
  <c r="AF1883" i="2"/>
  <c r="AF1884" i="2"/>
  <c r="AF1885" i="2"/>
  <c r="AF1886" i="2"/>
  <c r="AF1887" i="2"/>
  <c r="AF1888" i="2"/>
  <c r="AF1889" i="2"/>
  <c r="AF1890" i="2"/>
  <c r="AF1891" i="2"/>
  <c r="AF1892" i="2"/>
  <c r="AF1893" i="2"/>
  <c r="AF1894" i="2"/>
  <c r="AF1895" i="2"/>
  <c r="AF1896" i="2"/>
  <c r="AF1897" i="2"/>
  <c r="AF1898" i="2"/>
  <c r="AF1899" i="2"/>
  <c r="AF1900" i="2"/>
  <c r="AF1901" i="2"/>
  <c r="AF1902" i="2"/>
  <c r="AF1903" i="2"/>
  <c r="AF1904" i="2"/>
  <c r="AF1905" i="2"/>
  <c r="AF1906" i="2"/>
  <c r="AF1907" i="2"/>
  <c r="AF1908" i="2"/>
  <c r="AF1909" i="2"/>
  <c r="AF1910" i="2"/>
  <c r="AF1911" i="2"/>
  <c r="AF1912" i="2"/>
  <c r="AF1913" i="2"/>
  <c r="AF1914" i="2"/>
  <c r="AF1915" i="2"/>
  <c r="AF1916" i="2"/>
  <c r="AF1917" i="2"/>
  <c r="AF1918" i="2"/>
  <c r="AF1919" i="2"/>
  <c r="AF1920" i="2"/>
  <c r="AF1921" i="2"/>
  <c r="AF1922" i="2"/>
  <c r="AF1923" i="2"/>
  <c r="AF1924" i="2"/>
  <c r="AF1925" i="2"/>
  <c r="AF1926" i="2"/>
  <c r="AF1927" i="2"/>
  <c r="AF1928" i="2"/>
  <c r="AF1929" i="2"/>
  <c r="AF1930" i="2"/>
  <c r="AF1931" i="2"/>
  <c r="AF1932" i="2"/>
  <c r="AF1933" i="2"/>
  <c r="AF1934" i="2"/>
  <c r="AF1935" i="2"/>
  <c r="AF1936" i="2"/>
  <c r="AF1937" i="2"/>
  <c r="AF1938" i="2"/>
  <c r="AF1939" i="2"/>
  <c r="AF1940" i="2"/>
  <c r="AF1941" i="2"/>
  <c r="AF1942" i="2"/>
  <c r="AF1943" i="2"/>
  <c r="AF1944" i="2"/>
  <c r="AF1945" i="2"/>
  <c r="AF1946" i="2"/>
  <c r="AF1947" i="2"/>
  <c r="AF1948" i="2"/>
  <c r="AF1949" i="2"/>
  <c r="AF1950" i="2"/>
  <c r="AF1951" i="2"/>
  <c r="AF1952" i="2"/>
  <c r="AF1953" i="2"/>
  <c r="AF1954" i="2"/>
  <c r="AF1955" i="2"/>
  <c r="AF1956" i="2"/>
  <c r="AF1957" i="2"/>
  <c r="AF1958" i="2"/>
  <c r="AF1959" i="2"/>
  <c r="AF1960" i="2"/>
  <c r="AF1961" i="2"/>
  <c r="AF1962" i="2"/>
  <c r="AF1963" i="2"/>
  <c r="AF1964" i="2"/>
  <c r="AF1965" i="2"/>
  <c r="AF1966" i="2"/>
  <c r="AF1967" i="2"/>
  <c r="AF1968" i="2"/>
  <c r="AF1969" i="2"/>
  <c r="AF1970" i="2"/>
  <c r="AF1971" i="2"/>
  <c r="AF1972" i="2"/>
  <c r="AF1973" i="2"/>
  <c r="AF1974" i="2"/>
  <c r="AF1975" i="2"/>
  <c r="AF1976" i="2"/>
  <c r="AF1977" i="2"/>
  <c r="AF1978" i="2"/>
  <c r="AF1979" i="2"/>
  <c r="AF1980" i="2"/>
  <c r="AF1981" i="2"/>
  <c r="AF1982" i="2"/>
  <c r="AF1983" i="2"/>
  <c r="AF1984" i="2"/>
  <c r="AF1985" i="2"/>
  <c r="AF1986" i="2"/>
  <c r="AF1987" i="2"/>
  <c r="AF1988" i="2"/>
  <c r="AF1989" i="2"/>
  <c r="AF1990" i="2"/>
  <c r="AF1991" i="2"/>
  <c r="AF1992" i="2"/>
  <c r="AF1993" i="2"/>
  <c r="AF1994" i="2"/>
  <c r="AF1995" i="2"/>
  <c r="AF1996" i="2"/>
  <c r="AF1997" i="2"/>
  <c r="AF1998" i="2"/>
  <c r="AF1999" i="2"/>
  <c r="AF2000" i="2"/>
  <c r="AF200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E1506" i="2"/>
  <c r="AE1507" i="2"/>
  <c r="AE1508" i="2"/>
  <c r="AE1509" i="2"/>
  <c r="AE1510" i="2"/>
  <c r="AE1511" i="2"/>
  <c r="AE1512" i="2"/>
  <c r="AE1513" i="2"/>
  <c r="AE1514" i="2"/>
  <c r="AE1515" i="2"/>
  <c r="AE1516" i="2"/>
  <c r="AE1517" i="2"/>
  <c r="AE1518" i="2"/>
  <c r="AE1519" i="2"/>
  <c r="AE1520" i="2"/>
  <c r="AE1521" i="2"/>
  <c r="AE1522" i="2"/>
  <c r="AE1523" i="2"/>
  <c r="AE1524" i="2"/>
  <c r="AE1525" i="2"/>
  <c r="AE1526" i="2"/>
  <c r="AE1527" i="2"/>
  <c r="AE1528" i="2"/>
  <c r="AE1529" i="2"/>
  <c r="AE1530" i="2"/>
  <c r="AE1531" i="2"/>
  <c r="AE1532" i="2"/>
  <c r="AE1533" i="2"/>
  <c r="AE1534" i="2"/>
  <c r="AE1535" i="2"/>
  <c r="AE1536" i="2"/>
  <c r="AE1537" i="2"/>
  <c r="AE1538" i="2"/>
  <c r="AE1539" i="2"/>
  <c r="AE1540" i="2"/>
  <c r="AE1541" i="2"/>
  <c r="AE1542" i="2"/>
  <c r="AE1543" i="2"/>
  <c r="AE1544" i="2"/>
  <c r="AE1545" i="2"/>
  <c r="AE1546" i="2"/>
  <c r="AE1547" i="2"/>
  <c r="AE1548" i="2"/>
  <c r="AE1549" i="2"/>
  <c r="AE1550" i="2"/>
  <c r="AE1551" i="2"/>
  <c r="AE1552" i="2"/>
  <c r="AE1553" i="2"/>
  <c r="AE1554" i="2"/>
  <c r="AE1555" i="2"/>
  <c r="AE1556" i="2"/>
  <c r="AE1557" i="2"/>
  <c r="AE1558" i="2"/>
  <c r="AE1559" i="2"/>
  <c r="AE1560" i="2"/>
  <c r="AE1561" i="2"/>
  <c r="AE1562" i="2"/>
  <c r="AE1563" i="2"/>
  <c r="AE1564" i="2"/>
  <c r="AE1565" i="2"/>
  <c r="AE1566" i="2"/>
  <c r="AE1567" i="2"/>
  <c r="AE1568" i="2"/>
  <c r="AE1569" i="2"/>
  <c r="AE1570" i="2"/>
  <c r="AE1571" i="2"/>
  <c r="AE1572" i="2"/>
  <c r="AE1573" i="2"/>
  <c r="AE1574" i="2"/>
  <c r="AE1575" i="2"/>
  <c r="AE1576" i="2"/>
  <c r="AE1577" i="2"/>
  <c r="AE1578" i="2"/>
  <c r="AE1579" i="2"/>
  <c r="AE1580" i="2"/>
  <c r="AE1581" i="2"/>
  <c r="AE1582" i="2"/>
  <c r="AE1583" i="2"/>
  <c r="AE1584" i="2"/>
  <c r="AE1585" i="2"/>
  <c r="AE1586" i="2"/>
  <c r="AE1587" i="2"/>
  <c r="AE1588" i="2"/>
  <c r="AE1589" i="2"/>
  <c r="AE1590" i="2"/>
  <c r="AE1591" i="2"/>
  <c r="AE1592" i="2"/>
  <c r="AE1593" i="2"/>
  <c r="AE1594" i="2"/>
  <c r="AE1595" i="2"/>
  <c r="AE1596" i="2"/>
  <c r="AE1597" i="2"/>
  <c r="AE1598" i="2"/>
  <c r="AE1599" i="2"/>
  <c r="AE1600" i="2"/>
  <c r="AE1601" i="2"/>
  <c r="AE1602" i="2"/>
  <c r="AE1603" i="2"/>
  <c r="AE1604" i="2"/>
  <c r="AE1605" i="2"/>
  <c r="AE1606" i="2"/>
  <c r="AE1607" i="2"/>
  <c r="AE1608" i="2"/>
  <c r="AE1609" i="2"/>
  <c r="AE1610" i="2"/>
  <c r="AE1611" i="2"/>
  <c r="AE1612" i="2"/>
  <c r="AE1613" i="2"/>
  <c r="AE1614" i="2"/>
  <c r="AE1615" i="2"/>
  <c r="AE1616" i="2"/>
  <c r="AE1617" i="2"/>
  <c r="AE1618" i="2"/>
  <c r="AE1619" i="2"/>
  <c r="AE1620" i="2"/>
  <c r="AE1621" i="2"/>
  <c r="AE1622" i="2"/>
  <c r="AE1623" i="2"/>
  <c r="AE1624" i="2"/>
  <c r="AE1625" i="2"/>
  <c r="AE1626" i="2"/>
  <c r="AE1627" i="2"/>
  <c r="AE1628" i="2"/>
  <c r="AE1629" i="2"/>
  <c r="AE1630" i="2"/>
  <c r="AE1631" i="2"/>
  <c r="AE1632" i="2"/>
  <c r="AE1633" i="2"/>
  <c r="AE1634" i="2"/>
  <c r="AE1635" i="2"/>
  <c r="AE1636" i="2"/>
  <c r="AE1637" i="2"/>
  <c r="AE1638" i="2"/>
  <c r="AE1639" i="2"/>
  <c r="AE1640" i="2"/>
  <c r="AE1641" i="2"/>
  <c r="AE1642" i="2"/>
  <c r="AE1643" i="2"/>
  <c r="AE1644" i="2"/>
  <c r="AE1645" i="2"/>
  <c r="AE1646" i="2"/>
  <c r="AE1647" i="2"/>
  <c r="AE1648" i="2"/>
  <c r="AE1649" i="2"/>
  <c r="AE1650" i="2"/>
  <c r="AE1651" i="2"/>
  <c r="AE1652" i="2"/>
  <c r="AE1653" i="2"/>
  <c r="AE1654" i="2"/>
  <c r="AE1655" i="2"/>
  <c r="AE1656" i="2"/>
  <c r="AE1657" i="2"/>
  <c r="AE1658" i="2"/>
  <c r="AE1659" i="2"/>
  <c r="AE1660" i="2"/>
  <c r="AE1661" i="2"/>
  <c r="AE1662" i="2"/>
  <c r="AE1663" i="2"/>
  <c r="AE1664" i="2"/>
  <c r="AE1665" i="2"/>
  <c r="AE1666" i="2"/>
  <c r="AE1667" i="2"/>
  <c r="AE1668" i="2"/>
  <c r="AE1669" i="2"/>
  <c r="AE1670" i="2"/>
  <c r="AE1671" i="2"/>
  <c r="AE1672" i="2"/>
  <c r="AE1673" i="2"/>
  <c r="AE1674" i="2"/>
  <c r="AE1675" i="2"/>
  <c r="AE1676" i="2"/>
  <c r="AE1677" i="2"/>
  <c r="AE1678" i="2"/>
  <c r="AE1679" i="2"/>
  <c r="AE1680" i="2"/>
  <c r="AE1681" i="2"/>
  <c r="AE1682" i="2"/>
  <c r="AE1683" i="2"/>
  <c r="AE1684" i="2"/>
  <c r="AE1685" i="2"/>
  <c r="AE1686" i="2"/>
  <c r="AE1687" i="2"/>
  <c r="AE1688" i="2"/>
  <c r="AE1689" i="2"/>
  <c r="AE1690" i="2"/>
  <c r="AE1691" i="2"/>
  <c r="AE1692" i="2"/>
  <c r="AE1693" i="2"/>
  <c r="AE1694" i="2"/>
  <c r="AE1695" i="2"/>
  <c r="AE1696" i="2"/>
  <c r="AE1697" i="2"/>
  <c r="AE1698" i="2"/>
  <c r="AE1699" i="2"/>
  <c r="AE1700" i="2"/>
  <c r="AE1701" i="2"/>
  <c r="AE1702" i="2"/>
  <c r="AE1703" i="2"/>
  <c r="AE1704" i="2"/>
  <c r="AE1705" i="2"/>
  <c r="AE1706" i="2"/>
  <c r="AE1707" i="2"/>
  <c r="AE1708" i="2"/>
  <c r="AE1709" i="2"/>
  <c r="AE1710" i="2"/>
  <c r="AE1711" i="2"/>
  <c r="AE1712" i="2"/>
  <c r="AE1713" i="2"/>
  <c r="AE1714" i="2"/>
  <c r="AE1715" i="2"/>
  <c r="AE1716" i="2"/>
  <c r="AE1717" i="2"/>
  <c r="AE1718" i="2"/>
  <c r="AE1719" i="2"/>
  <c r="AE1720" i="2"/>
  <c r="AE1721" i="2"/>
  <c r="AE1722" i="2"/>
  <c r="AE1723" i="2"/>
  <c r="AE1724" i="2"/>
  <c r="AE1725" i="2"/>
  <c r="AE1726" i="2"/>
  <c r="AE1727" i="2"/>
  <c r="AE1728" i="2"/>
  <c r="AE1729" i="2"/>
  <c r="AE1730" i="2"/>
  <c r="AE1731" i="2"/>
  <c r="AE1732" i="2"/>
  <c r="AE1733" i="2"/>
  <c r="AE1734" i="2"/>
  <c r="AE1735" i="2"/>
  <c r="AE1736" i="2"/>
  <c r="AE1737" i="2"/>
  <c r="AE1738" i="2"/>
  <c r="AE1739" i="2"/>
  <c r="AE1740" i="2"/>
  <c r="AE1741" i="2"/>
  <c r="AE1742" i="2"/>
  <c r="AE1743" i="2"/>
  <c r="AE1744" i="2"/>
  <c r="AE1745" i="2"/>
  <c r="AE1746" i="2"/>
  <c r="AE1747" i="2"/>
  <c r="AE1748" i="2"/>
  <c r="AE1749" i="2"/>
  <c r="AE1750" i="2"/>
  <c r="AE1751" i="2"/>
  <c r="AE1752" i="2"/>
  <c r="AE1753" i="2"/>
  <c r="AE1754" i="2"/>
  <c r="AE1755" i="2"/>
  <c r="AE1756" i="2"/>
  <c r="AE1757" i="2"/>
  <c r="AE1758" i="2"/>
  <c r="AE1759" i="2"/>
  <c r="AE1760" i="2"/>
  <c r="AE1761" i="2"/>
  <c r="AE1762" i="2"/>
  <c r="AE1763" i="2"/>
  <c r="AE1764" i="2"/>
  <c r="AE1765" i="2"/>
  <c r="AE1766" i="2"/>
  <c r="AE1767" i="2"/>
  <c r="AE1768" i="2"/>
  <c r="AE1769" i="2"/>
  <c r="AE1770" i="2"/>
  <c r="AE1771" i="2"/>
  <c r="AE1772" i="2"/>
  <c r="AE1773" i="2"/>
  <c r="AE1774" i="2"/>
  <c r="AE1775" i="2"/>
  <c r="AE1776" i="2"/>
  <c r="AE1777" i="2"/>
  <c r="AE1778" i="2"/>
  <c r="AE1779" i="2"/>
  <c r="AE1780" i="2"/>
  <c r="AE1781" i="2"/>
  <c r="AE1782" i="2"/>
  <c r="AE1783" i="2"/>
  <c r="AE1784" i="2"/>
  <c r="AE1785" i="2"/>
  <c r="AE1786" i="2"/>
  <c r="AE1787" i="2"/>
  <c r="AE1788" i="2"/>
  <c r="AE1789" i="2"/>
  <c r="AE1790" i="2"/>
  <c r="AE1791" i="2"/>
  <c r="AE1792" i="2"/>
  <c r="AE1793" i="2"/>
  <c r="AE1794" i="2"/>
  <c r="AE1795" i="2"/>
  <c r="AE1796" i="2"/>
  <c r="AE1797" i="2"/>
  <c r="AE1798" i="2"/>
  <c r="AE1799" i="2"/>
  <c r="AE1800" i="2"/>
  <c r="AE1801" i="2"/>
  <c r="AE1802" i="2"/>
  <c r="AE1803" i="2"/>
  <c r="AE1804" i="2"/>
  <c r="AE1805" i="2"/>
  <c r="AE1806" i="2"/>
  <c r="AE1807" i="2"/>
  <c r="AE1808" i="2"/>
  <c r="AE1809" i="2"/>
  <c r="AE1810" i="2"/>
  <c r="AE1811" i="2"/>
  <c r="AE1812" i="2"/>
  <c r="AE1813" i="2"/>
  <c r="AE1814" i="2"/>
  <c r="AE1815" i="2"/>
  <c r="AE1816" i="2"/>
  <c r="AE1817" i="2"/>
  <c r="AE1818" i="2"/>
  <c r="AE1819" i="2"/>
  <c r="AE1820" i="2"/>
  <c r="AE1821" i="2"/>
  <c r="AE1822" i="2"/>
  <c r="AE1823" i="2"/>
  <c r="AE1824" i="2"/>
  <c r="AE1825" i="2"/>
  <c r="AE1826" i="2"/>
  <c r="AE1827" i="2"/>
  <c r="AE1828" i="2"/>
  <c r="AE1829" i="2"/>
  <c r="AE1830" i="2"/>
  <c r="AE1831" i="2"/>
  <c r="AE1832" i="2"/>
  <c r="AE1833" i="2"/>
  <c r="AE1834" i="2"/>
  <c r="AE1835" i="2"/>
  <c r="AE1836" i="2"/>
  <c r="AE1837" i="2"/>
  <c r="AE1838" i="2"/>
  <c r="AE1839" i="2"/>
  <c r="AE1840" i="2"/>
  <c r="AE1841" i="2"/>
  <c r="AE1842" i="2"/>
  <c r="AE1843" i="2"/>
  <c r="AE1844" i="2"/>
  <c r="AE1845" i="2"/>
  <c r="AE1846" i="2"/>
  <c r="AE1847" i="2"/>
  <c r="AE1848" i="2"/>
  <c r="AE1849" i="2"/>
  <c r="AE1850" i="2"/>
  <c r="AE1851" i="2"/>
  <c r="AE1852" i="2"/>
  <c r="AE1853" i="2"/>
  <c r="AE1854" i="2"/>
  <c r="AE1855" i="2"/>
  <c r="AE1856" i="2"/>
  <c r="AE1857" i="2"/>
  <c r="AE1858" i="2"/>
  <c r="AE1859" i="2"/>
  <c r="AE1860" i="2"/>
  <c r="AE1861" i="2"/>
  <c r="AE1862" i="2"/>
  <c r="AE1863" i="2"/>
  <c r="AE1864" i="2"/>
  <c r="AE1865" i="2"/>
  <c r="AE1866" i="2"/>
  <c r="AE1867" i="2"/>
  <c r="AE1868" i="2"/>
  <c r="AE1869" i="2"/>
  <c r="AE1870" i="2"/>
  <c r="AE1871" i="2"/>
  <c r="AE1872" i="2"/>
  <c r="AE1873" i="2"/>
  <c r="AE1874" i="2"/>
  <c r="AE1875" i="2"/>
  <c r="AE1876" i="2"/>
  <c r="AE1877" i="2"/>
  <c r="AE1878" i="2"/>
  <c r="AE1879" i="2"/>
  <c r="AE1880" i="2"/>
  <c r="AE1881" i="2"/>
  <c r="AE1882" i="2"/>
  <c r="AE1883" i="2"/>
  <c r="AE1884" i="2"/>
  <c r="AE1885" i="2"/>
  <c r="AE1886" i="2"/>
  <c r="AE1887" i="2"/>
  <c r="AE1888" i="2"/>
  <c r="AE1889" i="2"/>
  <c r="AE1890" i="2"/>
  <c r="AE1891" i="2"/>
  <c r="AE1892" i="2"/>
  <c r="AE1893" i="2"/>
  <c r="AE1894" i="2"/>
  <c r="AE1895" i="2"/>
  <c r="AE1896" i="2"/>
  <c r="AE1897" i="2"/>
  <c r="AE1898" i="2"/>
  <c r="AE1899" i="2"/>
  <c r="AE1900" i="2"/>
  <c r="AE1901" i="2"/>
  <c r="AE1902" i="2"/>
  <c r="AE1903" i="2"/>
  <c r="AE1904" i="2"/>
  <c r="AE1905" i="2"/>
  <c r="AE1906" i="2"/>
  <c r="AE1907" i="2"/>
  <c r="AE1908" i="2"/>
  <c r="AE1909" i="2"/>
  <c r="AE1910" i="2"/>
  <c r="AE1911" i="2"/>
  <c r="AE1912" i="2"/>
  <c r="AE1913" i="2"/>
  <c r="AE1914" i="2"/>
  <c r="AE1915" i="2"/>
  <c r="AE1916" i="2"/>
  <c r="AE1917" i="2"/>
  <c r="AE1918" i="2"/>
  <c r="AE1919" i="2"/>
  <c r="AE1920" i="2"/>
  <c r="AE1921" i="2"/>
  <c r="AE1922" i="2"/>
  <c r="AE1923" i="2"/>
  <c r="AE1924" i="2"/>
  <c r="AE1925" i="2"/>
  <c r="AE1926" i="2"/>
  <c r="AE1927" i="2"/>
  <c r="AE1928" i="2"/>
  <c r="AE1929" i="2"/>
  <c r="AE1930" i="2"/>
  <c r="AE1931" i="2"/>
  <c r="AE1932" i="2"/>
  <c r="AE1933" i="2"/>
  <c r="AE1934" i="2"/>
  <c r="AE1935" i="2"/>
  <c r="AE1936" i="2"/>
  <c r="AE1937" i="2"/>
  <c r="AE1938" i="2"/>
  <c r="AE1939" i="2"/>
  <c r="AE1940" i="2"/>
  <c r="AE1941" i="2"/>
  <c r="AE1942" i="2"/>
  <c r="AE1943" i="2"/>
  <c r="AE1944" i="2"/>
  <c r="AE1945" i="2"/>
  <c r="AE1946" i="2"/>
  <c r="AE1947" i="2"/>
  <c r="AE1948" i="2"/>
  <c r="AE1949" i="2"/>
  <c r="AE1950" i="2"/>
  <c r="AE1951" i="2"/>
  <c r="AE1952" i="2"/>
  <c r="AE1953" i="2"/>
  <c r="AE1954" i="2"/>
  <c r="AE1955" i="2"/>
  <c r="AE1956" i="2"/>
  <c r="AE1957" i="2"/>
  <c r="AE1958" i="2"/>
  <c r="AE1959" i="2"/>
  <c r="AE1960" i="2"/>
  <c r="AE1961" i="2"/>
  <c r="AE1962" i="2"/>
  <c r="AE1963" i="2"/>
  <c r="AE1964" i="2"/>
  <c r="AE1965" i="2"/>
  <c r="AE1966" i="2"/>
  <c r="AE1967" i="2"/>
  <c r="AE1968" i="2"/>
  <c r="AE1969" i="2"/>
  <c r="AE1970" i="2"/>
  <c r="AE1971" i="2"/>
  <c r="AE1972" i="2"/>
  <c r="AE1973" i="2"/>
  <c r="AE1974" i="2"/>
  <c r="AE1975" i="2"/>
  <c r="AE1976" i="2"/>
  <c r="AE1977" i="2"/>
  <c r="AE1978" i="2"/>
  <c r="AE1979" i="2"/>
  <c r="AE1980" i="2"/>
  <c r="AE1981" i="2"/>
  <c r="AE1982" i="2"/>
  <c r="AE1983" i="2"/>
  <c r="AE1984" i="2"/>
  <c r="AE1985" i="2"/>
  <c r="AE1986" i="2"/>
  <c r="AE1987" i="2"/>
  <c r="AE1988" i="2"/>
  <c r="AE1989" i="2"/>
  <c r="AE1990" i="2"/>
  <c r="AE1991" i="2"/>
  <c r="AE1992" i="2"/>
  <c r="AE1993" i="2"/>
  <c r="AE1994" i="2"/>
  <c r="AE1995" i="2"/>
  <c r="AE1996" i="2"/>
  <c r="AE1997" i="2"/>
  <c r="AE1998" i="2"/>
  <c r="AE1999" i="2"/>
  <c r="AE2000" i="2"/>
  <c r="AE2001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AC1839" i="2"/>
  <c r="AC1840" i="2"/>
  <c r="AC1841" i="2"/>
  <c r="AC1842" i="2"/>
  <c r="AC1843" i="2"/>
  <c r="AC1844" i="2"/>
  <c r="AC1845" i="2"/>
  <c r="AC1846" i="2"/>
  <c r="AC1847" i="2"/>
  <c r="AC1848" i="2"/>
  <c r="AC1849" i="2"/>
  <c r="AC1850" i="2"/>
  <c r="AC1851" i="2"/>
  <c r="AC1852" i="2"/>
  <c r="AC1853" i="2"/>
  <c r="AC1854" i="2"/>
  <c r="AC1855" i="2"/>
  <c r="AC1856" i="2"/>
  <c r="AC1857" i="2"/>
  <c r="AC1858" i="2"/>
  <c r="AC1859" i="2"/>
  <c r="AC1860" i="2"/>
  <c r="AC1861" i="2"/>
  <c r="AC1862" i="2"/>
  <c r="AC1863" i="2"/>
  <c r="AC1864" i="2"/>
  <c r="AC1865" i="2"/>
  <c r="AC1866" i="2"/>
  <c r="AC1867" i="2"/>
  <c r="AC1868" i="2"/>
  <c r="AC1869" i="2"/>
  <c r="AC1870" i="2"/>
  <c r="AC1871" i="2"/>
  <c r="AC1872" i="2"/>
  <c r="AC1873" i="2"/>
  <c r="AC1874" i="2"/>
  <c r="AC1875" i="2"/>
  <c r="AC1876" i="2"/>
  <c r="AC1877" i="2"/>
  <c r="AC1878" i="2"/>
  <c r="AC1879" i="2"/>
  <c r="AC1880" i="2"/>
  <c r="AC1881" i="2"/>
  <c r="AC1882" i="2"/>
  <c r="AC1883" i="2"/>
  <c r="AC1884" i="2"/>
  <c r="AC1885" i="2"/>
  <c r="AC1886" i="2"/>
  <c r="AC1887" i="2"/>
  <c r="AC1888" i="2"/>
  <c r="AC1889" i="2"/>
  <c r="AC1890" i="2"/>
  <c r="AC1891" i="2"/>
  <c r="AC1892" i="2"/>
  <c r="AC1893" i="2"/>
  <c r="AC1894" i="2"/>
  <c r="AC1895" i="2"/>
  <c r="AC1896" i="2"/>
  <c r="AC1897" i="2"/>
  <c r="AC1898" i="2"/>
  <c r="AC1899" i="2"/>
  <c r="AC1900" i="2"/>
  <c r="AC1901" i="2"/>
  <c r="AC1902" i="2"/>
  <c r="AC1903" i="2"/>
  <c r="AC1904" i="2"/>
  <c r="AC1905" i="2"/>
  <c r="AC1906" i="2"/>
  <c r="AC1907" i="2"/>
  <c r="AC1908" i="2"/>
  <c r="AC1909" i="2"/>
  <c r="AC1910" i="2"/>
  <c r="AC1911" i="2"/>
  <c r="AC1912" i="2"/>
  <c r="AC1913" i="2"/>
  <c r="AC1914" i="2"/>
  <c r="AC1915" i="2"/>
  <c r="AC1916" i="2"/>
  <c r="AC1917" i="2"/>
  <c r="AC1918" i="2"/>
  <c r="AC1919" i="2"/>
  <c r="AC1920" i="2"/>
  <c r="AC1921" i="2"/>
  <c r="AC1922" i="2"/>
  <c r="AC1923" i="2"/>
  <c r="AC1924" i="2"/>
  <c r="AC1925" i="2"/>
  <c r="AC1926" i="2"/>
  <c r="AC1927" i="2"/>
  <c r="AC1928" i="2"/>
  <c r="AC1929" i="2"/>
  <c r="AC1930" i="2"/>
  <c r="AC1931" i="2"/>
  <c r="AC1932" i="2"/>
  <c r="AC1933" i="2"/>
  <c r="AC1934" i="2"/>
  <c r="AC1935" i="2"/>
  <c r="AC1936" i="2"/>
  <c r="AC1937" i="2"/>
  <c r="AC1938" i="2"/>
  <c r="AC1939" i="2"/>
  <c r="AC1940" i="2"/>
  <c r="AC1941" i="2"/>
  <c r="AC1942" i="2"/>
  <c r="AC1943" i="2"/>
  <c r="AC1944" i="2"/>
  <c r="AC1945" i="2"/>
  <c r="AC1946" i="2"/>
  <c r="AC1947" i="2"/>
  <c r="AC1948" i="2"/>
  <c r="AC1949" i="2"/>
  <c r="AC1950" i="2"/>
  <c r="AC1951" i="2"/>
  <c r="AC1952" i="2"/>
  <c r="AC1953" i="2"/>
  <c r="AC1954" i="2"/>
  <c r="AC1955" i="2"/>
  <c r="AC1956" i="2"/>
  <c r="AC1957" i="2"/>
  <c r="AC1958" i="2"/>
  <c r="AC1959" i="2"/>
  <c r="AC1960" i="2"/>
  <c r="AC1961" i="2"/>
  <c r="AC1962" i="2"/>
  <c r="AC1963" i="2"/>
  <c r="AC1964" i="2"/>
  <c r="AC1965" i="2"/>
  <c r="AC1966" i="2"/>
  <c r="AC1967" i="2"/>
  <c r="AC1968" i="2"/>
  <c r="AC1969" i="2"/>
  <c r="AC1970" i="2"/>
  <c r="AC1971" i="2"/>
  <c r="AC1972" i="2"/>
  <c r="AC1973" i="2"/>
  <c r="AC1974" i="2"/>
  <c r="AC1975" i="2"/>
  <c r="AC1976" i="2"/>
  <c r="AC1977" i="2"/>
  <c r="AC1978" i="2"/>
  <c r="AC1979" i="2"/>
  <c r="AC1980" i="2"/>
  <c r="AC1981" i="2"/>
  <c r="AC1982" i="2"/>
  <c r="AC1983" i="2"/>
  <c r="AC1984" i="2"/>
  <c r="AC1985" i="2"/>
  <c r="AC1986" i="2"/>
  <c r="AC1987" i="2"/>
  <c r="AC1988" i="2"/>
  <c r="AC1989" i="2"/>
  <c r="AC1990" i="2"/>
  <c r="AC1991" i="2"/>
  <c r="AC1992" i="2"/>
  <c r="AC1993" i="2"/>
  <c r="AC1994" i="2"/>
  <c r="AC1995" i="2"/>
  <c r="AC1996" i="2"/>
  <c r="AC1997" i="2"/>
  <c r="AC1998" i="2"/>
  <c r="AC1999" i="2"/>
  <c r="AC2000" i="2"/>
  <c r="AC2001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</calcChain>
</file>

<file path=xl/sharedStrings.xml><?xml version="1.0" encoding="utf-8"?>
<sst xmlns="http://schemas.openxmlformats.org/spreadsheetml/2006/main" count="28040" uniqueCount="150">
  <si>
    <t>brand</t>
  </si>
  <si>
    <t>model</t>
  </si>
  <si>
    <t>year</t>
  </si>
  <si>
    <t>variant</t>
  </si>
  <si>
    <t>price_usd</t>
  </si>
  <si>
    <t>battery_capacity_kwh</t>
  </si>
  <si>
    <t>range_miles</t>
  </si>
  <si>
    <t>charging_speed_kw</t>
  </si>
  <si>
    <t>acceleration_0_60_mph</t>
  </si>
  <si>
    <t>top_speed_mph</t>
  </si>
  <si>
    <t>horsepower</t>
  </si>
  <si>
    <t>torque_nm</t>
  </si>
  <si>
    <t>drive_type</t>
  </si>
  <si>
    <t>seating_capacity</t>
  </si>
  <si>
    <t>body_type</t>
  </si>
  <si>
    <t>cargo_volume_cubic_ft</t>
  </si>
  <si>
    <t>weight_kg</t>
  </si>
  <si>
    <t>safety_rating</t>
  </si>
  <si>
    <t>autopilot_level</t>
  </si>
  <si>
    <t>country_of_origin</t>
  </si>
  <si>
    <t>market_segment</t>
  </si>
  <si>
    <t>annual_sales_units</t>
  </si>
  <si>
    <t>customer_rating</t>
  </si>
  <si>
    <t>warranty_years</t>
  </si>
  <si>
    <t>Volkswagen</t>
  </si>
  <si>
    <t>ID. Buzz</t>
  </si>
  <si>
    <t>Performance</t>
  </si>
  <si>
    <t>AWD</t>
  </si>
  <si>
    <t>Truck</t>
  </si>
  <si>
    <t>Germany</t>
  </si>
  <si>
    <t>Luxury</t>
  </si>
  <si>
    <t>Toyota</t>
  </si>
  <si>
    <t>bZ Compact SUV</t>
  </si>
  <si>
    <t>Premium</t>
  </si>
  <si>
    <t>FWD</t>
  </si>
  <si>
    <t>SUV</t>
  </si>
  <si>
    <t>Japan</t>
  </si>
  <si>
    <t>Mid-range</t>
  </si>
  <si>
    <t>GM/Chevrolet</t>
  </si>
  <si>
    <t>Bolt EV</t>
  </si>
  <si>
    <t>Van</t>
  </si>
  <si>
    <t>US</t>
  </si>
  <si>
    <t>Kia</t>
  </si>
  <si>
    <t>Sportage EV</t>
  </si>
  <si>
    <t>Long Range</t>
  </si>
  <si>
    <t>South Korea</t>
  </si>
  <si>
    <t>Tesla</t>
  </si>
  <si>
    <t>Model 3</t>
  </si>
  <si>
    <t>RWD</t>
  </si>
  <si>
    <t>Model Y</t>
  </si>
  <si>
    <t>Hatchback</t>
  </si>
  <si>
    <t>Coupe</t>
  </si>
  <si>
    <t>Mercedes</t>
  </si>
  <si>
    <t>EQS</t>
  </si>
  <si>
    <t>Niro EV</t>
  </si>
  <si>
    <t>Blazer EV</t>
  </si>
  <si>
    <t>Base</t>
  </si>
  <si>
    <t>Model S</t>
  </si>
  <si>
    <t>Sedan</t>
  </si>
  <si>
    <t>Fisker</t>
  </si>
  <si>
    <t>Ronin</t>
  </si>
  <si>
    <t>Standard</t>
  </si>
  <si>
    <t>EQG</t>
  </si>
  <si>
    <t>BYD</t>
  </si>
  <si>
    <t>Seagull</t>
  </si>
  <si>
    <t>China</t>
  </si>
  <si>
    <t>Budget</t>
  </si>
  <si>
    <t>Atto 3</t>
  </si>
  <si>
    <t>Hyundai</t>
  </si>
  <si>
    <t>Kona Electric</t>
  </si>
  <si>
    <t>ID.4</t>
  </si>
  <si>
    <t>Picanto EV</t>
  </si>
  <si>
    <t>Cybertruck</t>
  </si>
  <si>
    <t>Yuan Plus</t>
  </si>
  <si>
    <t>ID.5</t>
  </si>
  <si>
    <t>ID. Aero</t>
  </si>
  <si>
    <t>Ford</t>
  </si>
  <si>
    <t>Mustang Mach-E</t>
  </si>
  <si>
    <t>Model X</t>
  </si>
  <si>
    <t>Ioniq 6</t>
  </si>
  <si>
    <t>EV9</t>
  </si>
  <si>
    <t>E-Transit</t>
  </si>
  <si>
    <t>Leaf 50X</t>
  </si>
  <si>
    <t>BMW</t>
  </si>
  <si>
    <t>i7</t>
  </si>
  <si>
    <t>ID.3</t>
  </si>
  <si>
    <t>Audi</t>
  </si>
  <si>
    <t>e-tron GT</t>
  </si>
  <si>
    <t>Max</t>
  </si>
  <si>
    <t>i3</t>
  </si>
  <si>
    <t>Ioniq</t>
  </si>
  <si>
    <t>F-150 Lightning</t>
  </si>
  <si>
    <t>NIO</t>
  </si>
  <si>
    <t>ET6</t>
  </si>
  <si>
    <t>Rivian</t>
  </si>
  <si>
    <t>R3</t>
  </si>
  <si>
    <t>Dolphin</t>
  </si>
  <si>
    <t>EQC</t>
  </si>
  <si>
    <t>Explorer EV</t>
  </si>
  <si>
    <t>Porsche</t>
  </si>
  <si>
    <t>Macan Electric</t>
  </si>
  <si>
    <t>Bolt EUV</t>
  </si>
  <si>
    <t>Equinox EV</t>
  </si>
  <si>
    <t>GLE EV</t>
  </si>
  <si>
    <t>iX</t>
  </si>
  <si>
    <t>Q6 e-tron</t>
  </si>
  <si>
    <t>Ioniq 5</t>
  </si>
  <si>
    <t>Qin</t>
  </si>
  <si>
    <t>e-tron</t>
  </si>
  <si>
    <t>i30</t>
  </si>
  <si>
    <t>EL8</t>
  </si>
  <si>
    <t>Ocean</t>
  </si>
  <si>
    <t>bZ4X</t>
  </si>
  <si>
    <t>Taycan</t>
  </si>
  <si>
    <t>i5</t>
  </si>
  <si>
    <t>EV6</t>
  </si>
  <si>
    <t>i4</t>
  </si>
  <si>
    <t>Q4 e-tron</t>
  </si>
  <si>
    <t>Silverado EV</t>
  </si>
  <si>
    <t>EL6</t>
  </si>
  <si>
    <t>R2</t>
  </si>
  <si>
    <t>Volvo</t>
  </si>
  <si>
    <t>XC90 Recharge</t>
  </si>
  <si>
    <t>Sweden</t>
  </si>
  <si>
    <t>Lucid</t>
  </si>
  <si>
    <t>Air</t>
  </si>
  <si>
    <t>EQE</t>
  </si>
  <si>
    <t>EC6</t>
  </si>
  <si>
    <t>R1S</t>
  </si>
  <si>
    <t>Honda</t>
  </si>
  <si>
    <t>e:Ny1</t>
  </si>
  <si>
    <t>Xiaomi</t>
  </si>
  <si>
    <t>SU7</t>
  </si>
  <si>
    <t>R1T</t>
  </si>
  <si>
    <t>Polestar</t>
  </si>
  <si>
    <t>C40 Recharge</t>
  </si>
  <si>
    <t>ET5</t>
  </si>
  <si>
    <t>XC40 Recharge</t>
  </si>
  <si>
    <t>e</t>
  </si>
  <si>
    <t>Gravity</t>
  </si>
  <si>
    <t>Miles_per_kWh</t>
  </si>
  <si>
    <t>Performance_Score</t>
  </si>
  <si>
    <t>Customer_value_index</t>
  </si>
  <si>
    <t>Cost_per_mile</t>
  </si>
  <si>
    <t>EV_Price_Category</t>
  </si>
  <si>
    <t>Range_Category</t>
  </si>
  <si>
    <t>Charging_Speed_Category</t>
  </si>
  <si>
    <t>Performance_Category</t>
  </si>
  <si>
    <t>Customer_Satisfaction</t>
  </si>
  <si>
    <t>Techonoloy_Category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</si>
</sst>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[$$-409]#,##0.00_ ;\-[$$-409]#,##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$-409]#,##0.00"/>
    </dxf>
    <dxf>
      <numFmt numFmtId="166" formatCode="[$$-409]#,##0.00_ ;\-[$$-409]#,##0.00\ "/>
    </dxf>
    <dxf>
      <numFmt numFmtId="2" formatCode="0.00"/>
    </dxf>
    <dxf>
      <numFmt numFmtId="165" formatCode="[$$-409]#,##0"/>
    </dxf>
    <dxf>
      <numFmt numFmtId="165" formatCode="[$$-4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41B2D7-D4AE-444C-82B0-95B9CE69D77C}" name="EV_Data" displayName="EV_Data" ref="A1:X2001" totalsRowShown="0">
  <autoFilter ref="A1:X2001" xr:uid="{AD41B2D7-D4AE-444C-82B0-95B9CE69D77C}"/>
  <tableColumns count="24">
    <tableColumn id="1" xr3:uid="{34DD005F-5723-4D32-87E9-5E11D9CA6E76}" name="brand"/>
    <tableColumn id="2" xr3:uid="{DA0007C0-3000-40B6-B48B-78F6C9370094}" name="model"/>
    <tableColumn id="3" xr3:uid="{9B2F43F2-14A9-4AE5-9BC9-447A45894B6A}" name="year"/>
    <tableColumn id="4" xr3:uid="{2EAEF7D3-65B9-4480-AF95-13A7CAA7B4A8}" name="variant"/>
    <tableColumn id="5" xr3:uid="{6AEEAE2A-FAF5-4E49-A3CA-085E9227E66A}" name="price_usd"/>
    <tableColumn id="6" xr3:uid="{3289DC26-F5A7-40E3-9A79-EBBD9135E388}" name="battery_capacity_kwh"/>
    <tableColumn id="7" xr3:uid="{CDE2835A-B929-41E3-8BE9-63FB0DB24020}" name="range_miles"/>
    <tableColumn id="8" xr3:uid="{F644EA2F-8C3D-4861-9FD5-0CC13C0034D9}" name="charging_speed_kw"/>
    <tableColumn id="9" xr3:uid="{29FAD1D0-092E-4993-9F0D-E928E5CC403A}" name="acceleration_0_60_mph"/>
    <tableColumn id="10" xr3:uid="{ED69DC72-52C1-4842-BFCD-E7413090339F}" name="top_speed_mph"/>
    <tableColumn id="11" xr3:uid="{FAAE4B3E-2487-482B-B19D-47E91A1E1E7B}" name="horsepower"/>
    <tableColumn id="12" xr3:uid="{08EE2161-0F62-49B4-A369-B96036B74233}" name="torque_nm"/>
    <tableColumn id="13" xr3:uid="{3B81AF22-B58F-46A8-8E9C-4F1A682B2386}" name="drive_type"/>
    <tableColumn id="14" xr3:uid="{F5165A83-331E-4C8A-8238-B1F73B4991B9}" name="seating_capacity"/>
    <tableColumn id="15" xr3:uid="{B7B3E016-7109-4782-B562-73A96DC655F8}" name="body_type"/>
    <tableColumn id="16" xr3:uid="{6014C8FA-890C-4F83-A79E-B7D7C55EC6FA}" name="cargo_volume_cubic_ft"/>
    <tableColumn id="17" xr3:uid="{1B5E4FA0-9247-4CBD-A80C-2B768CEC6A56}" name="weight_kg"/>
    <tableColumn id="18" xr3:uid="{85FF1811-8916-4230-A310-381950B876D7}" name="safety_rating"/>
    <tableColumn id="19" xr3:uid="{A2CFEA29-A004-4381-97C4-D18518D5A91D}" name="autopilot_level"/>
    <tableColumn id="20" xr3:uid="{45A2A040-DEA9-48F0-8CDA-74F523CA790B}" name="country_of_origin"/>
    <tableColumn id="21" xr3:uid="{99BBA078-77A7-448B-A8FA-D064480A6FFF}" name="market_segment"/>
    <tableColumn id="22" xr3:uid="{7B96CE6F-EED6-4640-AA05-270FF4E34677}" name="annual_sales_units"/>
    <tableColumn id="23" xr3:uid="{DFC8201F-20B8-48A2-987B-7A3029A48506}" name="customer_rating"/>
    <tableColumn id="24" xr3:uid="{91718A4B-7E56-48BE-8AF8-E132D2CDF7FB}" name="warranty_yea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67E190-3100-4D33-AD7C-947777846AD8}" name="EV_Data4" displayName="EV_Data4" ref="A1:AH2001" totalsRowShown="0">
  <autoFilter ref="A1:AH2001" xr:uid="{6B67E190-3100-4D33-AD7C-947777846AD8}"/>
  <tableColumns count="34">
    <tableColumn id="1" xr3:uid="{959EF794-1A06-4372-99C5-44EC11D7401C}" name="brand"/>
    <tableColumn id="2" xr3:uid="{7B8C2F41-7146-4277-AC01-94117C7F2527}" name="model"/>
    <tableColumn id="3" xr3:uid="{9BF037C9-3897-4136-AD46-81629D68A762}" name="year"/>
    <tableColumn id="4" xr3:uid="{2C1E71A5-762D-42E9-B8B5-FF67AE591510}" name="variant"/>
    <tableColumn id="5" xr3:uid="{7FB9992E-01FE-435A-A4D0-97152C23A3A8}" name="price_usd" dataDxfId="11"/>
    <tableColumn id="6" xr3:uid="{53D81919-84A0-4FAF-A8AC-912FDB3077D1}" name="battery_capacity_kwh"/>
    <tableColumn id="7" xr3:uid="{1C44C133-9F40-475E-912A-9A31A03D2090}" name="range_miles"/>
    <tableColumn id="8" xr3:uid="{94CDE5FA-46CA-47DF-AE58-412074C71F62}" name="charging_speed_kw"/>
    <tableColumn id="9" xr3:uid="{529CE4BB-5DF2-403C-B172-BAC667A131E5}" name="acceleration_0_60_mph"/>
    <tableColumn id="10" xr3:uid="{BF0FBBCC-DF17-492E-87DA-1AAE1262D3F3}" name="top_speed_mph"/>
    <tableColumn id="11" xr3:uid="{CD1FA9D3-46F8-4E06-9323-4B610FB85083}" name="horsepower"/>
    <tableColumn id="12" xr3:uid="{8BE99F4D-F76C-433D-9D33-9433407C8D5E}" name="torque_nm"/>
    <tableColumn id="13" xr3:uid="{8E0375E3-92D3-4F1C-9369-ED64728AAE28}" name="drive_type"/>
    <tableColumn id="14" xr3:uid="{9DFCA3EB-E3FC-49D8-8017-81E6AD7F9DA6}" name="seating_capacity"/>
    <tableColumn id="15" xr3:uid="{9914BDBE-C8E1-461A-A6FE-CF13CA70A9BE}" name="body_type"/>
    <tableColumn id="16" xr3:uid="{7C001CFD-F1E2-41FD-9545-5F1E12F51543}" name="cargo_volume_cubic_ft"/>
    <tableColumn id="17" xr3:uid="{EB628DDB-11EF-4F65-9871-62DEAD12D06E}" name="weight_kg"/>
    <tableColumn id="18" xr3:uid="{4B2A6115-7C18-4505-B628-A09E3515CF16}" name="safety_rating"/>
    <tableColumn id="19" xr3:uid="{2F4B92DF-0D0C-4DAB-9A9E-5E8F36B8FBD2}" name="autopilot_level"/>
    <tableColumn id="20" xr3:uid="{172EA646-B5CA-4EF3-B263-4BF006FDD218}" name="country_of_origin"/>
    <tableColumn id="21" xr3:uid="{5A6C8A74-51BF-4DFC-847D-91DFFDD92EDA}" name="market_segment"/>
    <tableColumn id="22" xr3:uid="{81E4F2D5-2BEF-4BF6-9396-5D73479FEE11}" name="annual_sales_units" dataDxfId="10"/>
    <tableColumn id="23" xr3:uid="{8EAD1D97-2A63-446E-9ECB-3CCE39AF7B91}" name="customer_rating"/>
    <tableColumn id="24" xr3:uid="{7493D4EE-5616-474C-B2A2-C9C8D9C97F63}" name="warranty_years"/>
    <tableColumn id="25" xr3:uid="{AB8DE7C3-EA40-40E0-A34F-64440BF621FE}" name="Miles_per_kWh" dataDxfId="9">
      <calculatedColumnFormula>EV_Data4[[#This Row],[range_miles]]/EV_Data4[[#This Row],[battery_capacity_kwh]]</calculatedColumnFormula>
    </tableColumn>
    <tableColumn id="26" xr3:uid="{D0179992-39ED-442E-9300-B048A41B8437}" name="Cost_per_mile" dataDxfId="8">
      <calculatedColumnFormula>EV_Data4[[#This Row],[price_usd]]/EV_Data4[[#This Row],[range_miles]]</calculatedColumnFormula>
    </tableColumn>
    <tableColumn id="27" xr3:uid="{345D669C-1CD6-4BB8-997C-AAE87BD89817}" name="Customer_value_index" dataDxfId="7">
      <calculatedColumnFormula>(EV_Data4[[#This Row],[customer_rating]]*EV_Data4[[#This Row],[safety_rating]]*1000)/EV_Data4[[#This Row],[price_usd]]</calculatedColumnFormula>
    </tableColumn>
    <tableColumn id="28" xr3:uid="{CB592BBD-7ACB-4AD2-B346-6C83B3691206}" name="Performance_Score" dataDxfId="6">
      <calculatedColumnFormula>EV_Data4[[#This Row],[horsepower]]+EV_Data4[[#This Row],[torque_nm]]/EV_Data4[[#This Row],[acceleration_0_60_mph]]</calculatedColumnFormula>
    </tableColumn>
    <tableColumn id="29" xr3:uid="{81461669-B368-4B99-93FF-B08528DD64CB}" name="EV_Price_Category" dataDxfId="5">
      <calculatedColumnFormula>IF(EV_Data4[[#This Row],[price_usd]]&gt;=80000,"Luxury",IF(EV_Data4[[#This Row],[price_usd]]&gt;=40000,"Mid-Range","Budget"))</calculatedColumnFormula>
    </tableColumn>
    <tableColumn id="30" xr3:uid="{E7863A55-10A6-4EDE-9660-5E5BDAACEF71}" name="Range_Category" dataDxfId="4">
      <calculatedColumnFormula>IF(EV_Data4[[#This Row],[range_miles]]&gt;=350,"Long-Range",IF(EV_Data4[[#This Row],[range_miles]]&gt;=250,"Medium-Range","Short-Range"))</calculatedColumnFormula>
    </tableColumn>
    <tableColumn id="31" xr3:uid="{A92ED67B-3D07-468B-9581-AA0748A00749}" name="Charging_Speed_Category" dataDxfId="3">
      <calculatedColumnFormula>IF(EV_Data4[[#This Row],[charging_speed_kw]]&gt;=250,"Ultra-Fast",IF(EV_Data4[[#This Row],[charging_speed_kw]]&gt;=150,"Fast-Charging","Standard-Charging"))</calculatedColumnFormula>
    </tableColumn>
    <tableColumn id="32" xr3:uid="{2BB8321F-0011-43C1-967D-E2E4E65CD225}" name="Performance_Category" dataDxfId="2">
      <calculatedColumnFormula>IF(EV_Data4[[#This Row],[acceleration_0_60_mph]]&lt;=3,"SportsPerformance",IF(EV_Data4[[#This Row],[acceleration_0_60_mph]]&lt;=5,"HighPerformance","Standard"))</calculatedColumnFormula>
    </tableColumn>
    <tableColumn id="33" xr3:uid="{6D32E894-C033-439B-9C8B-27511C146EAD}" name="Customer_Satisfaction" dataDxfId="1">
      <calculatedColumnFormula>IF(EV_Data4[[#This Row],[customer_rating]]&gt;=4.5,"Excellent",IF(EV_Data4[[#This Row],[customer_rating]]&gt;=3.5,"Good","Average"))</calculatedColumnFormula>
    </tableColumn>
    <tableColumn id="34" xr3:uid="{F5F623F4-9A6C-489E-88E7-B891F5AA4161}" name="Techonoloy_Category" dataDxfId="0">
      <calculatedColumnFormula>IF(EV_Data4[[#This Row],[autopilot_level]]=3,"Fully Autonomus EV",IF(EV_Data4[[#This Row],[autopilot_level]]=2,"Advanced Driver Assist EV",IF(EV_Data4[[#This Row],[autopilot_level]]=1,"basic Assist EV","No Autopilot")))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05AB-9245-4454-BD37-86CA66A10B5B}">
  <dimension ref="A1:X2001"/>
  <sheetViews>
    <sheetView topLeftCell="L1" workbookViewId="0">
      <selection sqref="A1:X2001"/>
    </sheetView>
  </sheetViews>
  <sheetFormatPr defaultRowHeight="14.4" x14ac:dyDescent="0.3"/>
  <cols>
    <col min="5" max="5" width="11" customWidth="1"/>
    <col min="6" max="6" width="21.5546875" customWidth="1"/>
    <col min="7" max="7" width="13" customWidth="1"/>
    <col min="8" max="8" width="19.5546875" customWidth="1"/>
    <col min="9" max="9" width="23" customWidth="1"/>
    <col min="10" max="10" width="16.6640625" customWidth="1"/>
    <col min="11" max="11" width="12.88671875" customWidth="1"/>
    <col min="12" max="12" width="12.33203125" customWidth="1"/>
    <col min="13" max="13" width="11.88671875" customWidth="1"/>
    <col min="14" max="14" width="16.88671875" customWidth="1"/>
    <col min="15" max="15" width="12" customWidth="1"/>
    <col min="16" max="16" width="22.6640625" customWidth="1"/>
    <col min="17" max="17" width="11.5546875" customWidth="1"/>
    <col min="18" max="18" width="13.88671875" customWidth="1"/>
    <col min="19" max="19" width="15.44140625" customWidth="1"/>
    <col min="20" max="20" width="18" customWidth="1"/>
    <col min="21" max="21" width="17.109375" customWidth="1"/>
    <col min="22" max="22" width="18.77734375" customWidth="1"/>
    <col min="23" max="23" width="16.6640625" customWidth="1"/>
    <col min="24" max="24" width="15.8867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2023</v>
      </c>
      <c r="D2" t="s">
        <v>26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27</v>
      </c>
      <c r="N2">
        <v>7</v>
      </c>
      <c r="O2" t="s">
        <v>28</v>
      </c>
      <c r="P2">
        <v>54.2</v>
      </c>
      <c r="Q2">
        <v>2015</v>
      </c>
      <c r="R2">
        <v>4</v>
      </c>
      <c r="S2">
        <v>2</v>
      </c>
      <c r="T2" t="s">
        <v>29</v>
      </c>
      <c r="U2" t="s">
        <v>30</v>
      </c>
      <c r="V2">
        <v>202182</v>
      </c>
      <c r="W2">
        <v>4</v>
      </c>
      <c r="X2">
        <v>4</v>
      </c>
    </row>
    <row r="3" spans="1:24" x14ac:dyDescent="0.3">
      <c r="A3" t="s">
        <v>31</v>
      </c>
      <c r="B3" t="s">
        <v>32</v>
      </c>
      <c r="C3">
        <v>2022</v>
      </c>
      <c r="D3" t="s">
        <v>33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34</v>
      </c>
      <c r="N3">
        <v>5</v>
      </c>
      <c r="O3" t="s">
        <v>35</v>
      </c>
      <c r="P3">
        <v>69</v>
      </c>
      <c r="Q3">
        <v>1709</v>
      </c>
      <c r="R3">
        <v>4</v>
      </c>
      <c r="S3">
        <v>0</v>
      </c>
      <c r="T3" t="s">
        <v>36</v>
      </c>
      <c r="U3" t="s">
        <v>37</v>
      </c>
      <c r="V3">
        <v>7146</v>
      </c>
      <c r="W3">
        <v>3.56</v>
      </c>
      <c r="X3">
        <v>3</v>
      </c>
    </row>
    <row r="4" spans="1:24" x14ac:dyDescent="0.3">
      <c r="A4" t="s">
        <v>38</v>
      </c>
      <c r="B4" t="s">
        <v>39</v>
      </c>
      <c r="C4">
        <v>2024</v>
      </c>
      <c r="D4" t="s">
        <v>33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27</v>
      </c>
      <c r="N4">
        <v>5</v>
      </c>
      <c r="O4" t="s">
        <v>40</v>
      </c>
      <c r="P4">
        <v>77</v>
      </c>
      <c r="Q4">
        <v>1533</v>
      </c>
      <c r="R4">
        <v>4</v>
      </c>
      <c r="S4">
        <v>1</v>
      </c>
      <c r="T4" t="s">
        <v>41</v>
      </c>
      <c r="U4" t="s">
        <v>37</v>
      </c>
      <c r="V4">
        <v>16590</v>
      </c>
      <c r="W4">
        <v>3.7</v>
      </c>
      <c r="X4">
        <v>3</v>
      </c>
    </row>
    <row r="5" spans="1:24" x14ac:dyDescent="0.3">
      <c r="A5" t="s">
        <v>42</v>
      </c>
      <c r="B5" t="s">
        <v>43</v>
      </c>
      <c r="C5">
        <v>2024</v>
      </c>
      <c r="D5" t="s">
        <v>44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27</v>
      </c>
      <c r="N5">
        <v>7</v>
      </c>
      <c r="O5" t="s">
        <v>35</v>
      </c>
      <c r="P5">
        <v>65.8</v>
      </c>
      <c r="Q5">
        <v>1935</v>
      </c>
      <c r="R5">
        <v>4</v>
      </c>
      <c r="S5">
        <v>2</v>
      </c>
      <c r="T5" t="s">
        <v>45</v>
      </c>
      <c r="U5" t="s">
        <v>37</v>
      </c>
      <c r="V5">
        <v>127201</v>
      </c>
      <c r="W5">
        <v>3.81</v>
      </c>
      <c r="X5">
        <v>3</v>
      </c>
    </row>
    <row r="6" spans="1:24" x14ac:dyDescent="0.3">
      <c r="A6" t="s">
        <v>46</v>
      </c>
      <c r="B6" t="s">
        <v>47</v>
      </c>
      <c r="C6">
        <v>2022</v>
      </c>
      <c r="D6" t="s">
        <v>44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48</v>
      </c>
      <c r="N6">
        <v>5</v>
      </c>
      <c r="O6" t="s">
        <v>35</v>
      </c>
      <c r="P6">
        <v>38.299999999999997</v>
      </c>
      <c r="Q6">
        <v>2229</v>
      </c>
      <c r="R6">
        <v>4</v>
      </c>
      <c r="S6">
        <v>2</v>
      </c>
      <c r="T6" t="s">
        <v>41</v>
      </c>
      <c r="U6" t="s">
        <v>30</v>
      </c>
      <c r="V6">
        <v>196401</v>
      </c>
      <c r="W6">
        <v>3.83</v>
      </c>
      <c r="X6">
        <v>4</v>
      </c>
    </row>
    <row r="7" spans="1:24" x14ac:dyDescent="0.3">
      <c r="A7" t="s">
        <v>46</v>
      </c>
      <c r="B7" t="s">
        <v>49</v>
      </c>
      <c r="C7">
        <v>2023</v>
      </c>
      <c r="D7" t="s">
        <v>26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27</v>
      </c>
      <c r="N7">
        <v>5</v>
      </c>
      <c r="O7" t="s">
        <v>50</v>
      </c>
      <c r="P7">
        <v>35.5</v>
      </c>
      <c r="Q7">
        <v>1751</v>
      </c>
      <c r="R7">
        <v>5</v>
      </c>
      <c r="S7">
        <v>3</v>
      </c>
      <c r="T7" t="s">
        <v>41</v>
      </c>
      <c r="U7" t="s">
        <v>30</v>
      </c>
      <c r="V7">
        <v>411764</v>
      </c>
      <c r="W7">
        <v>3.67</v>
      </c>
      <c r="X7">
        <v>5</v>
      </c>
    </row>
    <row r="8" spans="1:24" x14ac:dyDescent="0.3">
      <c r="A8" t="s">
        <v>46</v>
      </c>
      <c r="B8" t="s">
        <v>47</v>
      </c>
      <c r="C8">
        <v>2024</v>
      </c>
      <c r="D8" t="s">
        <v>33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48</v>
      </c>
      <c r="N8">
        <v>5</v>
      </c>
      <c r="O8" t="s">
        <v>51</v>
      </c>
      <c r="P8">
        <v>39.299999999999997</v>
      </c>
      <c r="Q8">
        <v>1500</v>
      </c>
      <c r="R8">
        <v>5</v>
      </c>
      <c r="S8">
        <v>2</v>
      </c>
      <c r="T8" t="s">
        <v>41</v>
      </c>
      <c r="U8" t="s">
        <v>30</v>
      </c>
      <c r="V8">
        <v>213937</v>
      </c>
      <c r="W8">
        <v>3.54</v>
      </c>
      <c r="X8">
        <v>6</v>
      </c>
    </row>
    <row r="9" spans="1:24" x14ac:dyDescent="0.3">
      <c r="A9" t="s">
        <v>52</v>
      </c>
      <c r="B9" t="s">
        <v>53</v>
      </c>
      <c r="C9">
        <v>2025</v>
      </c>
      <c r="D9" t="s">
        <v>26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48</v>
      </c>
      <c r="N9">
        <v>7</v>
      </c>
      <c r="O9" t="s">
        <v>35</v>
      </c>
      <c r="P9">
        <v>61.2</v>
      </c>
      <c r="Q9">
        <v>2219</v>
      </c>
      <c r="R9">
        <v>4</v>
      </c>
      <c r="S9">
        <v>2</v>
      </c>
      <c r="T9" t="s">
        <v>29</v>
      </c>
      <c r="U9" t="s">
        <v>30</v>
      </c>
      <c r="V9">
        <v>48277</v>
      </c>
      <c r="W9">
        <v>4.1100000000000003</v>
      </c>
      <c r="X9">
        <v>8</v>
      </c>
    </row>
    <row r="10" spans="1:24" x14ac:dyDescent="0.3">
      <c r="A10" t="s">
        <v>42</v>
      </c>
      <c r="B10" t="s">
        <v>54</v>
      </c>
      <c r="C10">
        <v>2021</v>
      </c>
      <c r="D10" t="s">
        <v>33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27</v>
      </c>
      <c r="N10">
        <v>7</v>
      </c>
      <c r="O10" t="s">
        <v>50</v>
      </c>
      <c r="P10">
        <v>36.700000000000003</v>
      </c>
      <c r="Q10">
        <v>1511</v>
      </c>
      <c r="R10">
        <v>3</v>
      </c>
      <c r="S10">
        <v>1</v>
      </c>
      <c r="T10" t="s">
        <v>45</v>
      </c>
      <c r="U10" t="s">
        <v>33</v>
      </c>
      <c r="V10">
        <v>90830</v>
      </c>
      <c r="W10">
        <v>3.11</v>
      </c>
      <c r="X10">
        <v>4</v>
      </c>
    </row>
    <row r="11" spans="1:24" x14ac:dyDescent="0.3">
      <c r="A11" t="s">
        <v>38</v>
      </c>
      <c r="B11" t="s">
        <v>55</v>
      </c>
      <c r="C11">
        <v>2025</v>
      </c>
      <c r="D11" t="s">
        <v>56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34</v>
      </c>
      <c r="N11">
        <v>7</v>
      </c>
      <c r="O11" t="s">
        <v>40</v>
      </c>
      <c r="P11">
        <v>67.599999999999994</v>
      </c>
      <c r="Q11">
        <v>1520</v>
      </c>
      <c r="R11">
        <v>5</v>
      </c>
      <c r="S11">
        <v>2</v>
      </c>
      <c r="T11" t="s">
        <v>41</v>
      </c>
      <c r="U11" t="s">
        <v>37</v>
      </c>
      <c r="V11">
        <v>8761</v>
      </c>
      <c r="W11">
        <v>3.46</v>
      </c>
      <c r="X11">
        <v>5</v>
      </c>
    </row>
    <row r="12" spans="1:24" x14ac:dyDescent="0.3">
      <c r="A12" t="s">
        <v>46</v>
      </c>
      <c r="B12" t="s">
        <v>57</v>
      </c>
      <c r="C12">
        <v>2026</v>
      </c>
      <c r="D12" t="s">
        <v>44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27</v>
      </c>
      <c r="N12">
        <v>5</v>
      </c>
      <c r="O12" t="s">
        <v>58</v>
      </c>
      <c r="P12">
        <v>26.7</v>
      </c>
      <c r="Q12">
        <v>1720</v>
      </c>
      <c r="R12">
        <v>4</v>
      </c>
      <c r="S12">
        <v>2</v>
      </c>
      <c r="T12" t="s">
        <v>41</v>
      </c>
      <c r="U12" t="s">
        <v>30</v>
      </c>
      <c r="V12">
        <v>211478</v>
      </c>
      <c r="W12">
        <v>3.78</v>
      </c>
      <c r="X12">
        <v>4</v>
      </c>
    </row>
    <row r="13" spans="1:24" x14ac:dyDescent="0.3">
      <c r="A13" t="s">
        <v>59</v>
      </c>
      <c r="B13" t="s">
        <v>60</v>
      </c>
      <c r="C13">
        <v>2025</v>
      </c>
      <c r="D13" t="s">
        <v>61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27</v>
      </c>
      <c r="N13">
        <v>7</v>
      </c>
      <c r="O13" t="s">
        <v>28</v>
      </c>
      <c r="P13">
        <v>64.7</v>
      </c>
      <c r="Q13">
        <v>2536</v>
      </c>
      <c r="R13">
        <v>3</v>
      </c>
      <c r="S13">
        <v>2</v>
      </c>
      <c r="T13" t="s">
        <v>41</v>
      </c>
      <c r="U13" t="s">
        <v>33</v>
      </c>
      <c r="V13">
        <v>2408</v>
      </c>
      <c r="W13">
        <v>3.67</v>
      </c>
      <c r="X13">
        <v>5</v>
      </c>
    </row>
    <row r="14" spans="1:24" x14ac:dyDescent="0.3">
      <c r="A14" t="s">
        <v>52</v>
      </c>
      <c r="B14" t="s">
        <v>62</v>
      </c>
      <c r="C14">
        <v>2025</v>
      </c>
      <c r="D14" t="s">
        <v>26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48</v>
      </c>
      <c r="N14">
        <v>7</v>
      </c>
      <c r="O14" t="s">
        <v>50</v>
      </c>
      <c r="P14">
        <v>17.600000000000001</v>
      </c>
      <c r="Q14">
        <v>1562</v>
      </c>
      <c r="R14">
        <v>5</v>
      </c>
      <c r="S14">
        <v>2</v>
      </c>
      <c r="T14" t="s">
        <v>29</v>
      </c>
      <c r="U14" t="s">
        <v>30</v>
      </c>
      <c r="V14">
        <v>56039</v>
      </c>
      <c r="W14">
        <v>3.59</v>
      </c>
      <c r="X14">
        <v>7</v>
      </c>
    </row>
    <row r="15" spans="1:24" x14ac:dyDescent="0.3">
      <c r="A15" t="s">
        <v>63</v>
      </c>
      <c r="B15" t="s">
        <v>64</v>
      </c>
      <c r="C15">
        <v>2023</v>
      </c>
      <c r="D15" t="s">
        <v>56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34</v>
      </c>
      <c r="N15">
        <v>5</v>
      </c>
      <c r="O15" t="s">
        <v>51</v>
      </c>
      <c r="P15">
        <v>26.9</v>
      </c>
      <c r="Q15">
        <v>1744</v>
      </c>
      <c r="R15">
        <v>5</v>
      </c>
      <c r="S15">
        <v>0</v>
      </c>
      <c r="T15" t="s">
        <v>65</v>
      </c>
      <c r="U15" t="s">
        <v>66</v>
      </c>
      <c r="V15">
        <v>224997</v>
      </c>
      <c r="W15">
        <v>3.58</v>
      </c>
      <c r="X15">
        <v>5</v>
      </c>
    </row>
    <row r="16" spans="1:24" x14ac:dyDescent="0.3">
      <c r="A16" t="s">
        <v>46</v>
      </c>
      <c r="B16" t="s">
        <v>47</v>
      </c>
      <c r="C16">
        <v>2024</v>
      </c>
      <c r="D16" t="s">
        <v>33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34</v>
      </c>
      <c r="N16">
        <v>7</v>
      </c>
      <c r="O16" t="s">
        <v>58</v>
      </c>
      <c r="P16">
        <v>15.7</v>
      </c>
      <c r="Q16">
        <v>1556</v>
      </c>
      <c r="R16">
        <v>4</v>
      </c>
      <c r="S16">
        <v>3</v>
      </c>
      <c r="T16" t="s">
        <v>41</v>
      </c>
      <c r="U16" t="s">
        <v>33</v>
      </c>
      <c r="V16">
        <v>124780</v>
      </c>
      <c r="W16">
        <v>3.56</v>
      </c>
      <c r="X16">
        <v>5</v>
      </c>
    </row>
    <row r="17" spans="1:24" x14ac:dyDescent="0.3">
      <c r="A17" t="s">
        <v>46</v>
      </c>
      <c r="B17" t="s">
        <v>57</v>
      </c>
      <c r="C17">
        <v>2024</v>
      </c>
      <c r="D17" t="s">
        <v>33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48</v>
      </c>
      <c r="N17">
        <v>5</v>
      </c>
      <c r="O17" t="s">
        <v>40</v>
      </c>
      <c r="P17">
        <v>76</v>
      </c>
      <c r="Q17">
        <v>1500</v>
      </c>
      <c r="R17">
        <v>5</v>
      </c>
      <c r="S17">
        <v>2</v>
      </c>
      <c r="T17" t="s">
        <v>41</v>
      </c>
      <c r="U17" t="s">
        <v>30</v>
      </c>
      <c r="V17">
        <v>235048</v>
      </c>
      <c r="W17">
        <v>3.81</v>
      </c>
      <c r="X17">
        <v>5</v>
      </c>
    </row>
    <row r="18" spans="1:24" x14ac:dyDescent="0.3">
      <c r="A18" t="s">
        <v>63</v>
      </c>
      <c r="B18" t="s">
        <v>67</v>
      </c>
      <c r="C18">
        <v>2024</v>
      </c>
      <c r="D18" t="s">
        <v>61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48</v>
      </c>
      <c r="N18">
        <v>7</v>
      </c>
      <c r="O18" t="s">
        <v>28</v>
      </c>
      <c r="P18">
        <v>72.2</v>
      </c>
      <c r="Q18">
        <v>2756</v>
      </c>
      <c r="R18">
        <v>5</v>
      </c>
      <c r="S18">
        <v>1</v>
      </c>
      <c r="T18" t="s">
        <v>65</v>
      </c>
      <c r="U18" t="s">
        <v>37</v>
      </c>
      <c r="V18">
        <v>204232</v>
      </c>
      <c r="W18">
        <v>3.52</v>
      </c>
      <c r="X18">
        <v>4</v>
      </c>
    </row>
    <row r="19" spans="1:24" x14ac:dyDescent="0.3">
      <c r="A19" t="s">
        <v>68</v>
      </c>
      <c r="B19" t="s">
        <v>69</v>
      </c>
      <c r="C19">
        <v>2024</v>
      </c>
      <c r="D19" t="s">
        <v>33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48</v>
      </c>
      <c r="N19">
        <v>5</v>
      </c>
      <c r="O19" t="s">
        <v>51</v>
      </c>
      <c r="P19">
        <v>21.9</v>
      </c>
      <c r="Q19">
        <v>1750</v>
      </c>
      <c r="R19">
        <v>4</v>
      </c>
      <c r="S19">
        <v>1</v>
      </c>
      <c r="T19" t="s">
        <v>45</v>
      </c>
      <c r="U19" t="s">
        <v>37</v>
      </c>
      <c r="V19">
        <v>132242</v>
      </c>
      <c r="W19">
        <v>3.43</v>
      </c>
      <c r="X19">
        <v>5</v>
      </c>
    </row>
    <row r="20" spans="1:24" x14ac:dyDescent="0.3">
      <c r="A20" t="s">
        <v>24</v>
      </c>
      <c r="B20" t="s">
        <v>70</v>
      </c>
      <c r="C20">
        <v>2024</v>
      </c>
      <c r="D20" t="s">
        <v>44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27</v>
      </c>
      <c r="N20">
        <v>7</v>
      </c>
      <c r="O20" t="s">
        <v>58</v>
      </c>
      <c r="P20">
        <v>38.700000000000003</v>
      </c>
      <c r="Q20">
        <v>1634</v>
      </c>
      <c r="R20">
        <v>4</v>
      </c>
      <c r="S20">
        <v>0</v>
      </c>
      <c r="T20" t="s">
        <v>29</v>
      </c>
      <c r="U20" t="s">
        <v>33</v>
      </c>
      <c r="V20">
        <v>238587</v>
      </c>
      <c r="W20">
        <v>3.37</v>
      </c>
      <c r="X20">
        <v>4</v>
      </c>
    </row>
    <row r="21" spans="1:24" x14ac:dyDescent="0.3">
      <c r="A21" t="s">
        <v>63</v>
      </c>
      <c r="B21" t="s">
        <v>67</v>
      </c>
      <c r="C21">
        <v>2024</v>
      </c>
      <c r="D21" t="s">
        <v>33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27</v>
      </c>
      <c r="N21">
        <v>5</v>
      </c>
      <c r="O21" t="s">
        <v>40</v>
      </c>
      <c r="P21">
        <v>60.6</v>
      </c>
      <c r="Q21">
        <v>1500</v>
      </c>
      <c r="R21">
        <v>3</v>
      </c>
      <c r="S21">
        <v>1</v>
      </c>
      <c r="T21" t="s">
        <v>65</v>
      </c>
      <c r="U21" t="s">
        <v>33</v>
      </c>
      <c r="V21">
        <v>168778</v>
      </c>
      <c r="W21">
        <v>3.53</v>
      </c>
      <c r="X21">
        <v>3</v>
      </c>
    </row>
    <row r="22" spans="1:24" x14ac:dyDescent="0.3">
      <c r="A22" t="s">
        <v>42</v>
      </c>
      <c r="B22" t="s">
        <v>71</v>
      </c>
      <c r="C22">
        <v>2025</v>
      </c>
      <c r="D22" t="s">
        <v>33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27</v>
      </c>
      <c r="N22">
        <v>5</v>
      </c>
      <c r="O22" t="s">
        <v>51</v>
      </c>
      <c r="P22">
        <v>26.9</v>
      </c>
      <c r="Q22">
        <v>1500</v>
      </c>
      <c r="R22">
        <v>4</v>
      </c>
      <c r="S22">
        <v>1</v>
      </c>
      <c r="T22" t="s">
        <v>45</v>
      </c>
      <c r="U22" t="s">
        <v>30</v>
      </c>
      <c r="V22">
        <v>85618</v>
      </c>
      <c r="W22">
        <v>3.33</v>
      </c>
      <c r="X22">
        <v>5</v>
      </c>
    </row>
    <row r="23" spans="1:24" x14ac:dyDescent="0.3">
      <c r="A23" t="s">
        <v>46</v>
      </c>
      <c r="B23" t="s">
        <v>72</v>
      </c>
      <c r="C23">
        <v>2023</v>
      </c>
      <c r="D23" t="s">
        <v>56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27</v>
      </c>
      <c r="N23">
        <v>7</v>
      </c>
      <c r="O23" t="s">
        <v>28</v>
      </c>
      <c r="P23">
        <v>72</v>
      </c>
      <c r="Q23">
        <v>2290</v>
      </c>
      <c r="R23">
        <v>5</v>
      </c>
      <c r="S23">
        <v>2</v>
      </c>
      <c r="T23" t="s">
        <v>41</v>
      </c>
      <c r="U23" t="s">
        <v>33</v>
      </c>
      <c r="V23">
        <v>209622</v>
      </c>
      <c r="W23">
        <v>3.6</v>
      </c>
      <c r="X23">
        <v>4</v>
      </c>
    </row>
    <row r="24" spans="1:24" x14ac:dyDescent="0.3">
      <c r="A24" t="s">
        <v>63</v>
      </c>
      <c r="B24" t="s">
        <v>73</v>
      </c>
      <c r="C24">
        <v>2024</v>
      </c>
      <c r="D24" t="s">
        <v>26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48</v>
      </c>
      <c r="N24">
        <v>5</v>
      </c>
      <c r="O24" t="s">
        <v>35</v>
      </c>
      <c r="P24">
        <v>68</v>
      </c>
      <c r="Q24">
        <v>1978</v>
      </c>
      <c r="R24">
        <v>5</v>
      </c>
      <c r="S24">
        <v>0</v>
      </c>
      <c r="T24" t="s">
        <v>65</v>
      </c>
      <c r="U24" t="s">
        <v>30</v>
      </c>
      <c r="V24">
        <v>229532</v>
      </c>
      <c r="W24">
        <v>3.41</v>
      </c>
      <c r="X24">
        <v>4</v>
      </c>
    </row>
    <row r="25" spans="1:24" x14ac:dyDescent="0.3">
      <c r="A25" t="s">
        <v>24</v>
      </c>
      <c r="B25" t="s">
        <v>74</v>
      </c>
      <c r="C25">
        <v>2024</v>
      </c>
      <c r="D25" t="s">
        <v>44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48</v>
      </c>
      <c r="N25">
        <v>5</v>
      </c>
      <c r="O25" t="s">
        <v>51</v>
      </c>
      <c r="P25">
        <v>26.9</v>
      </c>
      <c r="Q25">
        <v>1500</v>
      </c>
      <c r="R25">
        <v>4</v>
      </c>
      <c r="S25">
        <v>0</v>
      </c>
      <c r="T25" t="s">
        <v>29</v>
      </c>
      <c r="U25" t="s">
        <v>37</v>
      </c>
      <c r="V25">
        <v>203079</v>
      </c>
      <c r="W25">
        <v>3.64</v>
      </c>
      <c r="X25">
        <v>5</v>
      </c>
    </row>
    <row r="26" spans="1:24" x14ac:dyDescent="0.3">
      <c r="A26" t="s">
        <v>24</v>
      </c>
      <c r="B26" t="s">
        <v>75</v>
      </c>
      <c r="C26">
        <v>2026</v>
      </c>
      <c r="D26" t="s">
        <v>61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27</v>
      </c>
      <c r="N26">
        <v>5</v>
      </c>
      <c r="O26" t="s">
        <v>58</v>
      </c>
      <c r="P26">
        <v>34.799999999999997</v>
      </c>
      <c r="Q26">
        <v>1781</v>
      </c>
      <c r="R26">
        <v>3</v>
      </c>
      <c r="S26">
        <v>0</v>
      </c>
      <c r="T26" t="s">
        <v>29</v>
      </c>
      <c r="U26" t="s">
        <v>37</v>
      </c>
      <c r="V26">
        <v>293709</v>
      </c>
      <c r="W26">
        <v>3.28</v>
      </c>
      <c r="X26">
        <v>5</v>
      </c>
    </row>
    <row r="27" spans="1:24" x14ac:dyDescent="0.3">
      <c r="A27" t="s">
        <v>76</v>
      </c>
      <c r="B27" t="s">
        <v>77</v>
      </c>
      <c r="C27">
        <v>2025</v>
      </c>
      <c r="D27" t="s">
        <v>26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34</v>
      </c>
      <c r="N27">
        <v>7</v>
      </c>
      <c r="O27" t="s">
        <v>51</v>
      </c>
      <c r="P27">
        <v>38.9</v>
      </c>
      <c r="Q27">
        <v>1500</v>
      </c>
      <c r="R27">
        <v>3</v>
      </c>
      <c r="S27">
        <v>1</v>
      </c>
      <c r="T27" t="s">
        <v>41</v>
      </c>
      <c r="U27" t="s">
        <v>33</v>
      </c>
      <c r="V27">
        <v>67670</v>
      </c>
      <c r="W27">
        <v>3.6</v>
      </c>
      <c r="X27">
        <v>4</v>
      </c>
    </row>
    <row r="28" spans="1:24" x14ac:dyDescent="0.3">
      <c r="A28" t="s">
        <v>46</v>
      </c>
      <c r="B28" t="s">
        <v>78</v>
      </c>
      <c r="C28">
        <v>2023</v>
      </c>
      <c r="D28" t="s">
        <v>61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34</v>
      </c>
      <c r="N28">
        <v>5</v>
      </c>
      <c r="O28" t="s">
        <v>58</v>
      </c>
      <c r="P28">
        <v>28.7</v>
      </c>
      <c r="Q28">
        <v>1539</v>
      </c>
      <c r="R28">
        <v>5</v>
      </c>
      <c r="S28">
        <v>2</v>
      </c>
      <c r="T28" t="s">
        <v>41</v>
      </c>
      <c r="U28" t="s">
        <v>33</v>
      </c>
      <c r="V28">
        <v>207968</v>
      </c>
      <c r="W28">
        <v>3.36</v>
      </c>
      <c r="X28">
        <v>6</v>
      </c>
    </row>
    <row r="29" spans="1:24" x14ac:dyDescent="0.3">
      <c r="A29" t="s">
        <v>68</v>
      </c>
      <c r="B29" t="s">
        <v>79</v>
      </c>
      <c r="C29">
        <v>2025</v>
      </c>
      <c r="D29" t="s">
        <v>26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48</v>
      </c>
      <c r="N29">
        <v>7</v>
      </c>
      <c r="O29" t="s">
        <v>50</v>
      </c>
      <c r="P29">
        <v>27.4</v>
      </c>
      <c r="Q29">
        <v>1500</v>
      </c>
      <c r="R29">
        <v>5</v>
      </c>
      <c r="S29">
        <v>0</v>
      </c>
      <c r="T29" t="s">
        <v>45</v>
      </c>
      <c r="U29" t="s">
        <v>33</v>
      </c>
      <c r="V29">
        <v>124864</v>
      </c>
      <c r="W29">
        <v>3.57</v>
      </c>
      <c r="X29">
        <v>4</v>
      </c>
    </row>
    <row r="30" spans="1:24" x14ac:dyDescent="0.3">
      <c r="A30" t="s">
        <v>42</v>
      </c>
      <c r="B30" t="s">
        <v>80</v>
      </c>
      <c r="C30">
        <v>2024</v>
      </c>
      <c r="D30" t="s">
        <v>61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48</v>
      </c>
      <c r="N30">
        <v>5</v>
      </c>
      <c r="O30" t="s">
        <v>35</v>
      </c>
      <c r="P30">
        <v>66.8</v>
      </c>
      <c r="Q30">
        <v>1980</v>
      </c>
      <c r="R30">
        <v>4</v>
      </c>
      <c r="S30">
        <v>2</v>
      </c>
      <c r="T30" t="s">
        <v>45</v>
      </c>
      <c r="U30" t="s">
        <v>33</v>
      </c>
      <c r="V30">
        <v>117514</v>
      </c>
      <c r="W30">
        <v>3.53</v>
      </c>
      <c r="X30">
        <v>3</v>
      </c>
    </row>
    <row r="31" spans="1:24" x14ac:dyDescent="0.3">
      <c r="A31" t="s">
        <v>46</v>
      </c>
      <c r="B31" t="s">
        <v>49</v>
      </c>
      <c r="C31">
        <v>2025</v>
      </c>
      <c r="D31" t="s">
        <v>26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27</v>
      </c>
      <c r="N31">
        <v>5</v>
      </c>
      <c r="O31" t="s">
        <v>28</v>
      </c>
      <c r="P31">
        <v>69</v>
      </c>
      <c r="Q31">
        <v>2015</v>
      </c>
      <c r="R31">
        <v>5</v>
      </c>
      <c r="S31">
        <v>2</v>
      </c>
      <c r="T31" t="s">
        <v>41</v>
      </c>
      <c r="U31" t="s">
        <v>30</v>
      </c>
      <c r="V31">
        <v>411097</v>
      </c>
      <c r="W31">
        <v>4.12</v>
      </c>
      <c r="X31">
        <v>5</v>
      </c>
    </row>
    <row r="32" spans="1:24" x14ac:dyDescent="0.3">
      <c r="A32" t="s">
        <v>42</v>
      </c>
      <c r="B32" t="s">
        <v>54</v>
      </c>
      <c r="C32">
        <v>2024</v>
      </c>
      <c r="D32" t="s">
        <v>26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48</v>
      </c>
      <c r="N32">
        <v>7</v>
      </c>
      <c r="O32" t="s">
        <v>51</v>
      </c>
      <c r="P32">
        <v>15.9</v>
      </c>
      <c r="Q32">
        <v>1701</v>
      </c>
      <c r="R32">
        <v>4</v>
      </c>
      <c r="S32">
        <v>1</v>
      </c>
      <c r="T32" t="s">
        <v>45</v>
      </c>
      <c r="U32" t="s">
        <v>30</v>
      </c>
      <c r="V32">
        <v>147459</v>
      </c>
      <c r="W32">
        <v>3.43</v>
      </c>
      <c r="X32">
        <v>3</v>
      </c>
    </row>
    <row r="33" spans="1:24" x14ac:dyDescent="0.3">
      <c r="A33" t="s">
        <v>46</v>
      </c>
      <c r="B33" t="s">
        <v>78</v>
      </c>
      <c r="C33">
        <v>2025</v>
      </c>
      <c r="D33" t="s">
        <v>56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27</v>
      </c>
      <c r="N33">
        <v>5</v>
      </c>
      <c r="O33" t="s">
        <v>35</v>
      </c>
      <c r="P33">
        <v>35.700000000000003</v>
      </c>
      <c r="Q33">
        <v>1959</v>
      </c>
      <c r="R33">
        <v>4</v>
      </c>
      <c r="S33">
        <v>2</v>
      </c>
      <c r="T33" t="s">
        <v>41</v>
      </c>
      <c r="U33" t="s">
        <v>30</v>
      </c>
      <c r="V33">
        <v>179640</v>
      </c>
      <c r="W33">
        <v>3.42</v>
      </c>
      <c r="X33">
        <v>5</v>
      </c>
    </row>
    <row r="34" spans="1:24" x14ac:dyDescent="0.3">
      <c r="A34" t="s">
        <v>46</v>
      </c>
      <c r="B34" t="s">
        <v>72</v>
      </c>
      <c r="C34">
        <v>2024</v>
      </c>
      <c r="D34" t="s">
        <v>26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27</v>
      </c>
      <c r="N34">
        <v>5</v>
      </c>
      <c r="O34" t="s">
        <v>28</v>
      </c>
      <c r="P34">
        <v>55.5</v>
      </c>
      <c r="Q34">
        <v>2122</v>
      </c>
      <c r="R34">
        <v>4</v>
      </c>
      <c r="S34">
        <v>3</v>
      </c>
      <c r="T34" t="s">
        <v>41</v>
      </c>
      <c r="U34" t="s">
        <v>37</v>
      </c>
      <c r="V34">
        <v>133489</v>
      </c>
      <c r="W34">
        <v>3.82</v>
      </c>
      <c r="X34">
        <v>5</v>
      </c>
    </row>
    <row r="35" spans="1:24" x14ac:dyDescent="0.3">
      <c r="A35" t="s">
        <v>31</v>
      </c>
      <c r="B35" t="s">
        <v>32</v>
      </c>
      <c r="C35">
        <v>2020</v>
      </c>
      <c r="D35" t="s">
        <v>44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27</v>
      </c>
      <c r="N35">
        <v>5</v>
      </c>
      <c r="O35" t="s">
        <v>35</v>
      </c>
      <c r="P35">
        <v>66.5</v>
      </c>
      <c r="Q35">
        <v>2056</v>
      </c>
      <c r="R35">
        <v>5</v>
      </c>
      <c r="S35">
        <v>0</v>
      </c>
      <c r="T35" t="s">
        <v>36</v>
      </c>
      <c r="U35" t="s">
        <v>33</v>
      </c>
      <c r="V35">
        <v>2261</v>
      </c>
      <c r="W35">
        <v>3.72</v>
      </c>
      <c r="X35">
        <v>4</v>
      </c>
    </row>
    <row r="36" spans="1:24" x14ac:dyDescent="0.3">
      <c r="A36" t="s">
        <v>59</v>
      </c>
      <c r="B36" t="s">
        <v>60</v>
      </c>
      <c r="C36">
        <v>2026</v>
      </c>
      <c r="D36" t="s">
        <v>56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34</v>
      </c>
      <c r="N36">
        <v>7</v>
      </c>
      <c r="O36" t="s">
        <v>58</v>
      </c>
      <c r="P36">
        <v>34.5</v>
      </c>
      <c r="Q36">
        <v>1500</v>
      </c>
      <c r="R36">
        <v>5</v>
      </c>
      <c r="S36">
        <v>1</v>
      </c>
      <c r="T36" t="s">
        <v>41</v>
      </c>
      <c r="U36" t="s">
        <v>37</v>
      </c>
      <c r="V36">
        <v>11950</v>
      </c>
      <c r="W36">
        <v>3.48</v>
      </c>
      <c r="X36">
        <v>4</v>
      </c>
    </row>
    <row r="37" spans="1:24" x14ac:dyDescent="0.3">
      <c r="A37" t="s">
        <v>76</v>
      </c>
      <c r="B37" t="s">
        <v>81</v>
      </c>
      <c r="C37">
        <v>2025</v>
      </c>
      <c r="D37" t="s">
        <v>26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27</v>
      </c>
      <c r="N37">
        <v>5</v>
      </c>
      <c r="O37" t="s">
        <v>58</v>
      </c>
      <c r="P37">
        <v>38.9</v>
      </c>
      <c r="Q37">
        <v>1500</v>
      </c>
      <c r="R37">
        <v>5</v>
      </c>
      <c r="S37">
        <v>1</v>
      </c>
      <c r="T37" t="s">
        <v>41</v>
      </c>
      <c r="U37" t="s">
        <v>33</v>
      </c>
      <c r="V37">
        <v>24574</v>
      </c>
      <c r="W37">
        <v>3.79</v>
      </c>
      <c r="X37">
        <v>3</v>
      </c>
    </row>
    <row r="38" spans="1:24" x14ac:dyDescent="0.3">
      <c r="A38" t="s">
        <v>63</v>
      </c>
      <c r="B38" t="s">
        <v>82</v>
      </c>
      <c r="C38">
        <v>2025</v>
      </c>
      <c r="D38" t="s">
        <v>61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48</v>
      </c>
      <c r="N38">
        <v>5</v>
      </c>
      <c r="O38" t="s">
        <v>50</v>
      </c>
      <c r="P38">
        <v>31.5</v>
      </c>
      <c r="Q38">
        <v>1643</v>
      </c>
      <c r="R38">
        <v>4</v>
      </c>
      <c r="S38">
        <v>0</v>
      </c>
      <c r="T38" t="s">
        <v>65</v>
      </c>
      <c r="U38" t="s">
        <v>66</v>
      </c>
      <c r="V38">
        <v>242953</v>
      </c>
      <c r="W38">
        <v>3.29</v>
      </c>
      <c r="X38">
        <v>4</v>
      </c>
    </row>
    <row r="39" spans="1:24" x14ac:dyDescent="0.3">
      <c r="A39" t="s">
        <v>46</v>
      </c>
      <c r="B39" t="s">
        <v>78</v>
      </c>
      <c r="C39">
        <v>2023</v>
      </c>
      <c r="D39" t="s">
        <v>56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48</v>
      </c>
      <c r="N39">
        <v>5</v>
      </c>
      <c r="O39" t="s">
        <v>40</v>
      </c>
      <c r="P39">
        <v>72.8</v>
      </c>
      <c r="Q39">
        <v>1500</v>
      </c>
      <c r="R39">
        <v>5</v>
      </c>
      <c r="S39">
        <v>3</v>
      </c>
      <c r="T39" t="s">
        <v>41</v>
      </c>
      <c r="U39" t="s">
        <v>30</v>
      </c>
      <c r="V39">
        <v>174834</v>
      </c>
      <c r="W39">
        <v>3.59</v>
      </c>
      <c r="X39">
        <v>4</v>
      </c>
    </row>
    <row r="40" spans="1:24" x14ac:dyDescent="0.3">
      <c r="A40" t="s">
        <v>83</v>
      </c>
      <c r="B40" t="s">
        <v>84</v>
      </c>
      <c r="C40">
        <v>2025</v>
      </c>
      <c r="D40" t="s">
        <v>26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27</v>
      </c>
      <c r="N40">
        <v>5</v>
      </c>
      <c r="O40" t="s">
        <v>28</v>
      </c>
      <c r="P40">
        <v>76.8</v>
      </c>
      <c r="Q40">
        <v>2499</v>
      </c>
      <c r="R40">
        <v>5</v>
      </c>
      <c r="S40">
        <v>1</v>
      </c>
      <c r="T40" t="s">
        <v>29</v>
      </c>
      <c r="U40" t="s">
        <v>30</v>
      </c>
      <c r="V40">
        <v>58126</v>
      </c>
      <c r="W40">
        <v>3.6</v>
      </c>
      <c r="X40">
        <v>5</v>
      </c>
    </row>
    <row r="41" spans="1:24" x14ac:dyDescent="0.3">
      <c r="A41" t="s">
        <v>24</v>
      </c>
      <c r="B41" t="s">
        <v>85</v>
      </c>
      <c r="C41">
        <v>2021</v>
      </c>
      <c r="D41" t="s">
        <v>44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48</v>
      </c>
      <c r="N41">
        <v>5</v>
      </c>
      <c r="O41" t="s">
        <v>51</v>
      </c>
      <c r="P41">
        <v>20.6</v>
      </c>
      <c r="Q41">
        <v>1853</v>
      </c>
      <c r="R41">
        <v>5</v>
      </c>
      <c r="S41">
        <v>0</v>
      </c>
      <c r="T41" t="s">
        <v>29</v>
      </c>
      <c r="U41" t="s">
        <v>37</v>
      </c>
      <c r="V41">
        <v>232633</v>
      </c>
      <c r="W41">
        <v>3.55</v>
      </c>
      <c r="X41">
        <v>5</v>
      </c>
    </row>
    <row r="42" spans="1:24" x14ac:dyDescent="0.3">
      <c r="A42" t="s">
        <v>46</v>
      </c>
      <c r="B42" t="s">
        <v>72</v>
      </c>
      <c r="C42">
        <v>2024</v>
      </c>
      <c r="D42" t="s">
        <v>61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34</v>
      </c>
      <c r="N42">
        <v>7</v>
      </c>
      <c r="O42" t="s">
        <v>28</v>
      </c>
      <c r="P42">
        <v>56.2</v>
      </c>
      <c r="Q42">
        <v>2502</v>
      </c>
      <c r="R42">
        <v>4</v>
      </c>
      <c r="S42">
        <v>3</v>
      </c>
      <c r="T42" t="s">
        <v>41</v>
      </c>
      <c r="U42" t="s">
        <v>30</v>
      </c>
      <c r="V42">
        <v>225373</v>
      </c>
      <c r="W42">
        <v>3.75</v>
      </c>
      <c r="X42">
        <v>5</v>
      </c>
    </row>
    <row r="43" spans="1:24" x14ac:dyDescent="0.3">
      <c r="A43" t="s">
        <v>68</v>
      </c>
      <c r="B43" t="s">
        <v>79</v>
      </c>
      <c r="C43">
        <v>2025</v>
      </c>
      <c r="D43" t="s">
        <v>61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34</v>
      </c>
      <c r="N43">
        <v>5</v>
      </c>
      <c r="O43" t="s">
        <v>50</v>
      </c>
      <c r="P43">
        <v>28.1</v>
      </c>
      <c r="Q43">
        <v>1500</v>
      </c>
      <c r="R43">
        <v>4</v>
      </c>
      <c r="S43">
        <v>0</v>
      </c>
      <c r="T43" t="s">
        <v>45</v>
      </c>
      <c r="U43" t="s">
        <v>33</v>
      </c>
      <c r="V43">
        <v>50147</v>
      </c>
      <c r="W43">
        <v>3.21</v>
      </c>
      <c r="X43">
        <v>4</v>
      </c>
    </row>
    <row r="44" spans="1:24" x14ac:dyDescent="0.3">
      <c r="A44" t="s">
        <v>46</v>
      </c>
      <c r="B44" t="s">
        <v>78</v>
      </c>
      <c r="C44">
        <v>2024</v>
      </c>
      <c r="D44" t="s">
        <v>44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27</v>
      </c>
      <c r="N44">
        <v>5</v>
      </c>
      <c r="O44" t="s">
        <v>28</v>
      </c>
      <c r="P44">
        <v>80</v>
      </c>
      <c r="Q44">
        <v>2225</v>
      </c>
      <c r="R44">
        <v>5</v>
      </c>
      <c r="S44">
        <v>2</v>
      </c>
      <c r="T44" t="s">
        <v>41</v>
      </c>
      <c r="U44" t="s">
        <v>30</v>
      </c>
      <c r="V44">
        <v>122440</v>
      </c>
      <c r="W44">
        <v>3.96</v>
      </c>
      <c r="X44">
        <v>5</v>
      </c>
    </row>
    <row r="45" spans="1:24" x14ac:dyDescent="0.3">
      <c r="A45" t="s">
        <v>86</v>
      </c>
      <c r="B45" t="s">
        <v>87</v>
      </c>
      <c r="C45">
        <v>2025</v>
      </c>
      <c r="D45" t="s">
        <v>61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34</v>
      </c>
      <c r="N45">
        <v>5</v>
      </c>
      <c r="O45" t="s">
        <v>51</v>
      </c>
      <c r="P45">
        <v>17.600000000000001</v>
      </c>
      <c r="Q45">
        <v>1899</v>
      </c>
      <c r="R45">
        <v>4</v>
      </c>
      <c r="S45">
        <v>2</v>
      </c>
      <c r="T45" t="s">
        <v>29</v>
      </c>
      <c r="U45" t="s">
        <v>37</v>
      </c>
      <c r="V45">
        <v>69650</v>
      </c>
      <c r="W45">
        <v>3.68</v>
      </c>
      <c r="X45">
        <v>7</v>
      </c>
    </row>
    <row r="46" spans="1:24" x14ac:dyDescent="0.3">
      <c r="A46" t="s">
        <v>63</v>
      </c>
      <c r="B46" t="s">
        <v>88</v>
      </c>
      <c r="C46">
        <v>2024</v>
      </c>
      <c r="D46" t="s">
        <v>56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34</v>
      </c>
      <c r="N46">
        <v>5</v>
      </c>
      <c r="O46" t="s">
        <v>58</v>
      </c>
      <c r="P46">
        <v>32.5</v>
      </c>
      <c r="Q46">
        <v>1669</v>
      </c>
      <c r="R46">
        <v>5</v>
      </c>
      <c r="S46">
        <v>0</v>
      </c>
      <c r="T46" t="s">
        <v>65</v>
      </c>
      <c r="U46" t="s">
        <v>66</v>
      </c>
      <c r="V46">
        <v>157077</v>
      </c>
      <c r="W46">
        <v>3.46</v>
      </c>
      <c r="X46">
        <v>3</v>
      </c>
    </row>
    <row r="47" spans="1:24" x14ac:dyDescent="0.3">
      <c r="A47" t="s">
        <v>83</v>
      </c>
      <c r="B47" t="s">
        <v>89</v>
      </c>
      <c r="C47">
        <v>2024</v>
      </c>
      <c r="D47" t="s">
        <v>44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48</v>
      </c>
      <c r="N47">
        <v>5</v>
      </c>
      <c r="O47" t="s">
        <v>28</v>
      </c>
      <c r="P47">
        <v>62.9</v>
      </c>
      <c r="Q47">
        <v>2464</v>
      </c>
      <c r="R47">
        <v>4</v>
      </c>
      <c r="S47">
        <v>2</v>
      </c>
      <c r="T47" t="s">
        <v>29</v>
      </c>
      <c r="U47" t="s">
        <v>30</v>
      </c>
      <c r="V47">
        <v>62864</v>
      </c>
      <c r="W47">
        <v>3.27</v>
      </c>
      <c r="X47">
        <v>8</v>
      </c>
    </row>
    <row r="48" spans="1:24" x14ac:dyDescent="0.3">
      <c r="A48" t="s">
        <v>63</v>
      </c>
      <c r="B48" t="s">
        <v>67</v>
      </c>
      <c r="C48">
        <v>2025</v>
      </c>
      <c r="D48" t="s">
        <v>56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34</v>
      </c>
      <c r="N48">
        <v>7</v>
      </c>
      <c r="O48" t="s">
        <v>28</v>
      </c>
      <c r="P48">
        <v>68.8</v>
      </c>
      <c r="Q48">
        <v>2367</v>
      </c>
      <c r="R48">
        <v>4</v>
      </c>
      <c r="S48">
        <v>0</v>
      </c>
      <c r="T48" t="s">
        <v>65</v>
      </c>
      <c r="U48" t="s">
        <v>66</v>
      </c>
      <c r="V48">
        <v>158602</v>
      </c>
      <c r="W48">
        <v>3.26</v>
      </c>
      <c r="X48">
        <v>3</v>
      </c>
    </row>
    <row r="49" spans="1:24" x14ac:dyDescent="0.3">
      <c r="A49" t="s">
        <v>68</v>
      </c>
      <c r="B49" t="s">
        <v>90</v>
      </c>
      <c r="C49">
        <v>2025</v>
      </c>
      <c r="D49" t="s">
        <v>56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27</v>
      </c>
      <c r="N49">
        <v>5</v>
      </c>
      <c r="O49" t="s">
        <v>50</v>
      </c>
      <c r="P49">
        <v>39.6</v>
      </c>
      <c r="Q49">
        <v>1705</v>
      </c>
      <c r="R49">
        <v>4</v>
      </c>
      <c r="S49">
        <v>1</v>
      </c>
      <c r="T49" t="s">
        <v>45</v>
      </c>
      <c r="U49" t="s">
        <v>37</v>
      </c>
      <c r="V49">
        <v>128526</v>
      </c>
      <c r="W49">
        <v>3.61</v>
      </c>
      <c r="X49">
        <v>4</v>
      </c>
    </row>
    <row r="50" spans="1:24" x14ac:dyDescent="0.3">
      <c r="A50" t="s">
        <v>42</v>
      </c>
      <c r="B50" t="s">
        <v>43</v>
      </c>
      <c r="C50">
        <v>2023</v>
      </c>
      <c r="D50" t="s">
        <v>61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34</v>
      </c>
      <c r="N50">
        <v>5</v>
      </c>
      <c r="O50" t="s">
        <v>35</v>
      </c>
      <c r="P50">
        <v>55.4</v>
      </c>
      <c r="Q50">
        <v>2017</v>
      </c>
      <c r="R50">
        <v>3</v>
      </c>
      <c r="S50">
        <v>1</v>
      </c>
      <c r="T50" t="s">
        <v>45</v>
      </c>
      <c r="U50" t="s">
        <v>33</v>
      </c>
      <c r="V50">
        <v>101678</v>
      </c>
      <c r="W50">
        <v>3.34</v>
      </c>
      <c r="X50">
        <v>4</v>
      </c>
    </row>
    <row r="51" spans="1:24" x14ac:dyDescent="0.3">
      <c r="A51" t="s">
        <v>46</v>
      </c>
      <c r="B51" t="s">
        <v>49</v>
      </c>
      <c r="C51">
        <v>2023</v>
      </c>
      <c r="D51" t="s">
        <v>61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34</v>
      </c>
      <c r="N51">
        <v>5</v>
      </c>
      <c r="O51" t="s">
        <v>35</v>
      </c>
      <c r="P51">
        <v>44.4</v>
      </c>
      <c r="Q51">
        <v>2146</v>
      </c>
      <c r="R51">
        <v>5</v>
      </c>
      <c r="S51">
        <v>2</v>
      </c>
      <c r="T51" t="s">
        <v>41</v>
      </c>
      <c r="U51" t="s">
        <v>33</v>
      </c>
      <c r="V51">
        <v>431290</v>
      </c>
      <c r="W51">
        <v>3.33</v>
      </c>
      <c r="X51">
        <v>4</v>
      </c>
    </row>
    <row r="52" spans="1:24" x14ac:dyDescent="0.3">
      <c r="A52" t="s">
        <v>59</v>
      </c>
      <c r="B52" t="s">
        <v>60</v>
      </c>
      <c r="C52">
        <v>2020</v>
      </c>
      <c r="D52" t="s">
        <v>26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27</v>
      </c>
      <c r="N52">
        <v>5</v>
      </c>
      <c r="O52" t="s">
        <v>50</v>
      </c>
      <c r="P52">
        <v>38.4</v>
      </c>
      <c r="Q52">
        <v>1705</v>
      </c>
      <c r="R52">
        <v>4</v>
      </c>
      <c r="S52">
        <v>1</v>
      </c>
      <c r="T52" t="s">
        <v>41</v>
      </c>
      <c r="U52" t="s">
        <v>30</v>
      </c>
      <c r="V52">
        <v>18708</v>
      </c>
      <c r="W52">
        <v>3.53</v>
      </c>
      <c r="X52">
        <v>4</v>
      </c>
    </row>
    <row r="53" spans="1:24" x14ac:dyDescent="0.3">
      <c r="A53" t="s">
        <v>76</v>
      </c>
      <c r="B53" t="s">
        <v>91</v>
      </c>
      <c r="C53">
        <v>2026</v>
      </c>
      <c r="D53" t="s">
        <v>56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34</v>
      </c>
      <c r="N53">
        <v>2</v>
      </c>
      <c r="O53" t="s">
        <v>28</v>
      </c>
      <c r="P53">
        <v>50.3</v>
      </c>
      <c r="Q53">
        <v>2850</v>
      </c>
      <c r="R53">
        <v>5</v>
      </c>
      <c r="S53">
        <v>0</v>
      </c>
      <c r="T53" t="s">
        <v>41</v>
      </c>
      <c r="U53" t="s">
        <v>37</v>
      </c>
      <c r="V53">
        <v>62843</v>
      </c>
      <c r="W53">
        <v>3.72</v>
      </c>
      <c r="X53">
        <v>3</v>
      </c>
    </row>
    <row r="54" spans="1:24" x14ac:dyDescent="0.3">
      <c r="A54" t="s">
        <v>92</v>
      </c>
      <c r="B54" t="s">
        <v>93</v>
      </c>
      <c r="C54">
        <v>2025</v>
      </c>
      <c r="D54" t="s">
        <v>26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48</v>
      </c>
      <c r="N54">
        <v>7</v>
      </c>
      <c r="O54" t="s">
        <v>35</v>
      </c>
      <c r="P54">
        <v>48</v>
      </c>
      <c r="Q54">
        <v>2138</v>
      </c>
      <c r="R54">
        <v>4</v>
      </c>
      <c r="S54">
        <v>0</v>
      </c>
      <c r="T54" t="s">
        <v>65</v>
      </c>
      <c r="U54" t="s">
        <v>37</v>
      </c>
      <c r="V54">
        <v>8857</v>
      </c>
      <c r="W54">
        <v>3.49</v>
      </c>
      <c r="X54">
        <v>4</v>
      </c>
    </row>
    <row r="55" spans="1:24" x14ac:dyDescent="0.3">
      <c r="A55" t="s">
        <v>86</v>
      </c>
      <c r="B55" t="s">
        <v>87</v>
      </c>
      <c r="C55">
        <v>2025</v>
      </c>
      <c r="D55" t="s">
        <v>56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48</v>
      </c>
      <c r="N55">
        <v>7</v>
      </c>
      <c r="O55" t="s">
        <v>51</v>
      </c>
      <c r="P55">
        <v>31.7</v>
      </c>
      <c r="Q55">
        <v>1565</v>
      </c>
      <c r="R55">
        <v>5</v>
      </c>
      <c r="S55">
        <v>1</v>
      </c>
      <c r="T55" t="s">
        <v>29</v>
      </c>
      <c r="U55" t="s">
        <v>37</v>
      </c>
      <c r="V55">
        <v>62327</v>
      </c>
      <c r="W55">
        <v>3.85</v>
      </c>
      <c r="X55">
        <v>6</v>
      </c>
    </row>
    <row r="56" spans="1:24" x14ac:dyDescent="0.3">
      <c r="A56" t="s">
        <v>42</v>
      </c>
      <c r="B56" t="s">
        <v>43</v>
      </c>
      <c r="C56">
        <v>2024</v>
      </c>
      <c r="D56" t="s">
        <v>44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27</v>
      </c>
      <c r="N56">
        <v>5</v>
      </c>
      <c r="O56" t="s">
        <v>35</v>
      </c>
      <c r="P56">
        <v>67.400000000000006</v>
      </c>
      <c r="Q56">
        <v>2045</v>
      </c>
      <c r="R56">
        <v>4</v>
      </c>
      <c r="S56">
        <v>1</v>
      </c>
      <c r="T56" t="s">
        <v>45</v>
      </c>
      <c r="U56" t="s">
        <v>33</v>
      </c>
      <c r="V56">
        <v>76023</v>
      </c>
      <c r="W56">
        <v>3.44</v>
      </c>
      <c r="X56">
        <v>3</v>
      </c>
    </row>
    <row r="57" spans="1:24" x14ac:dyDescent="0.3">
      <c r="A57" t="s">
        <v>94</v>
      </c>
      <c r="B57" t="s">
        <v>95</v>
      </c>
      <c r="C57">
        <v>2024</v>
      </c>
      <c r="D57" t="s">
        <v>56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27</v>
      </c>
      <c r="N57">
        <v>5</v>
      </c>
      <c r="O57" t="s">
        <v>58</v>
      </c>
      <c r="P57">
        <v>23.9</v>
      </c>
      <c r="Q57">
        <v>1757</v>
      </c>
      <c r="R57">
        <v>5</v>
      </c>
      <c r="S57">
        <v>0</v>
      </c>
      <c r="T57" t="s">
        <v>41</v>
      </c>
      <c r="U57" t="s">
        <v>33</v>
      </c>
      <c r="V57">
        <v>27456</v>
      </c>
      <c r="W57">
        <v>3.39</v>
      </c>
      <c r="X57">
        <v>6</v>
      </c>
    </row>
    <row r="58" spans="1:24" x14ac:dyDescent="0.3">
      <c r="A58" t="s">
        <v>46</v>
      </c>
      <c r="B58" t="s">
        <v>78</v>
      </c>
      <c r="C58">
        <v>2025</v>
      </c>
      <c r="D58" t="s">
        <v>56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48</v>
      </c>
      <c r="N58">
        <v>7</v>
      </c>
      <c r="O58" t="s">
        <v>28</v>
      </c>
      <c r="P58">
        <v>62.4</v>
      </c>
      <c r="Q58">
        <v>2036</v>
      </c>
      <c r="R58">
        <v>5</v>
      </c>
      <c r="S58">
        <v>2</v>
      </c>
      <c r="T58" t="s">
        <v>41</v>
      </c>
      <c r="U58" t="s">
        <v>33</v>
      </c>
      <c r="V58">
        <v>173406</v>
      </c>
      <c r="W58">
        <v>3.75</v>
      </c>
      <c r="X58">
        <v>5</v>
      </c>
    </row>
    <row r="59" spans="1:24" x14ac:dyDescent="0.3">
      <c r="A59" t="s">
        <v>46</v>
      </c>
      <c r="B59" t="s">
        <v>72</v>
      </c>
      <c r="C59">
        <v>2025</v>
      </c>
      <c r="D59" t="s">
        <v>26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27</v>
      </c>
      <c r="N59">
        <v>5</v>
      </c>
      <c r="O59" t="s">
        <v>28</v>
      </c>
      <c r="P59">
        <v>61.7</v>
      </c>
      <c r="Q59">
        <v>2353</v>
      </c>
      <c r="R59">
        <v>5</v>
      </c>
      <c r="S59">
        <v>2</v>
      </c>
      <c r="T59" t="s">
        <v>41</v>
      </c>
      <c r="U59" t="s">
        <v>30</v>
      </c>
      <c r="V59">
        <v>183531</v>
      </c>
      <c r="W59">
        <v>3.7</v>
      </c>
      <c r="X59">
        <v>5</v>
      </c>
    </row>
    <row r="60" spans="1:24" x14ac:dyDescent="0.3">
      <c r="A60" t="s">
        <v>46</v>
      </c>
      <c r="B60" t="s">
        <v>47</v>
      </c>
      <c r="C60">
        <v>2025</v>
      </c>
      <c r="D60" t="s">
        <v>61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48</v>
      </c>
      <c r="N60">
        <v>5</v>
      </c>
      <c r="O60" t="s">
        <v>35</v>
      </c>
      <c r="P60">
        <v>52.9</v>
      </c>
      <c r="Q60">
        <v>2053</v>
      </c>
      <c r="R60">
        <v>5</v>
      </c>
      <c r="S60">
        <v>3</v>
      </c>
      <c r="T60" t="s">
        <v>41</v>
      </c>
      <c r="U60" t="s">
        <v>33</v>
      </c>
      <c r="V60">
        <v>242716</v>
      </c>
      <c r="W60">
        <v>3.7</v>
      </c>
      <c r="X60">
        <v>5</v>
      </c>
    </row>
    <row r="61" spans="1:24" x14ac:dyDescent="0.3">
      <c r="A61" t="s">
        <v>63</v>
      </c>
      <c r="B61" t="s">
        <v>82</v>
      </c>
      <c r="C61">
        <v>2025</v>
      </c>
      <c r="D61" t="s">
        <v>56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48</v>
      </c>
      <c r="N61">
        <v>5</v>
      </c>
      <c r="O61" t="s">
        <v>40</v>
      </c>
      <c r="P61">
        <v>76.900000000000006</v>
      </c>
      <c r="Q61">
        <v>1500</v>
      </c>
      <c r="R61">
        <v>5</v>
      </c>
      <c r="S61">
        <v>0</v>
      </c>
      <c r="T61" t="s">
        <v>65</v>
      </c>
      <c r="U61" t="s">
        <v>37</v>
      </c>
      <c r="V61">
        <v>127516</v>
      </c>
      <c r="W61">
        <v>3.31</v>
      </c>
      <c r="X61">
        <v>5</v>
      </c>
    </row>
    <row r="62" spans="1:24" x14ac:dyDescent="0.3">
      <c r="A62" t="s">
        <v>24</v>
      </c>
      <c r="B62" t="s">
        <v>75</v>
      </c>
      <c r="C62">
        <v>2024</v>
      </c>
      <c r="D62" t="s">
        <v>44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27</v>
      </c>
      <c r="N62">
        <v>5</v>
      </c>
      <c r="O62" t="s">
        <v>51</v>
      </c>
      <c r="P62">
        <v>39.700000000000003</v>
      </c>
      <c r="Q62">
        <v>1590</v>
      </c>
      <c r="R62">
        <v>3</v>
      </c>
      <c r="S62">
        <v>1</v>
      </c>
      <c r="T62" t="s">
        <v>29</v>
      </c>
      <c r="U62" t="s">
        <v>37</v>
      </c>
      <c r="V62">
        <v>260840</v>
      </c>
      <c r="W62">
        <v>3.53</v>
      </c>
      <c r="X62">
        <v>4</v>
      </c>
    </row>
    <row r="63" spans="1:24" x14ac:dyDescent="0.3">
      <c r="A63" t="s">
        <v>63</v>
      </c>
      <c r="B63" t="s">
        <v>96</v>
      </c>
      <c r="C63">
        <v>2024</v>
      </c>
      <c r="D63" t="s">
        <v>26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27</v>
      </c>
      <c r="N63">
        <v>5</v>
      </c>
      <c r="O63" t="s">
        <v>58</v>
      </c>
      <c r="P63">
        <v>29.5</v>
      </c>
      <c r="Q63">
        <v>1815</v>
      </c>
      <c r="R63">
        <v>5</v>
      </c>
      <c r="S63">
        <v>0</v>
      </c>
      <c r="T63" t="s">
        <v>65</v>
      </c>
      <c r="U63" t="s">
        <v>66</v>
      </c>
      <c r="V63">
        <v>201621</v>
      </c>
      <c r="W63">
        <v>3.28</v>
      </c>
      <c r="X63">
        <v>4</v>
      </c>
    </row>
    <row r="64" spans="1:24" x14ac:dyDescent="0.3">
      <c r="A64" t="s">
        <v>52</v>
      </c>
      <c r="B64" t="s">
        <v>97</v>
      </c>
      <c r="C64">
        <v>2025</v>
      </c>
      <c r="D64" t="s">
        <v>26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48</v>
      </c>
      <c r="N64">
        <v>7</v>
      </c>
      <c r="O64" t="s">
        <v>51</v>
      </c>
      <c r="P64">
        <v>28.5</v>
      </c>
      <c r="Q64">
        <v>1500</v>
      </c>
      <c r="R64">
        <v>4</v>
      </c>
      <c r="S64">
        <v>2</v>
      </c>
      <c r="T64" t="s">
        <v>29</v>
      </c>
      <c r="U64" t="s">
        <v>30</v>
      </c>
      <c r="V64">
        <v>43172</v>
      </c>
      <c r="W64">
        <v>4</v>
      </c>
      <c r="X64">
        <v>7</v>
      </c>
    </row>
    <row r="65" spans="1:24" x14ac:dyDescent="0.3">
      <c r="A65" t="s">
        <v>24</v>
      </c>
      <c r="B65" t="s">
        <v>70</v>
      </c>
      <c r="C65">
        <v>2023</v>
      </c>
      <c r="D65" t="s">
        <v>44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34</v>
      </c>
      <c r="N65">
        <v>7</v>
      </c>
      <c r="O65" t="s">
        <v>58</v>
      </c>
      <c r="P65">
        <v>21.8</v>
      </c>
      <c r="Q65">
        <v>1500</v>
      </c>
      <c r="R65">
        <v>5</v>
      </c>
      <c r="S65">
        <v>1</v>
      </c>
      <c r="T65" t="s">
        <v>29</v>
      </c>
      <c r="U65" t="s">
        <v>33</v>
      </c>
      <c r="V65">
        <v>232451</v>
      </c>
      <c r="W65">
        <v>3.95</v>
      </c>
      <c r="X65">
        <v>3</v>
      </c>
    </row>
    <row r="66" spans="1:24" x14ac:dyDescent="0.3">
      <c r="A66" t="s">
        <v>63</v>
      </c>
      <c r="B66" t="s">
        <v>96</v>
      </c>
      <c r="C66">
        <v>2024</v>
      </c>
      <c r="D66" t="s">
        <v>33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27</v>
      </c>
      <c r="N66">
        <v>5</v>
      </c>
      <c r="O66" t="s">
        <v>51</v>
      </c>
      <c r="P66">
        <v>21.5</v>
      </c>
      <c r="Q66">
        <v>1652</v>
      </c>
      <c r="R66">
        <v>3</v>
      </c>
      <c r="S66">
        <v>1</v>
      </c>
      <c r="T66" t="s">
        <v>65</v>
      </c>
      <c r="U66" t="s">
        <v>33</v>
      </c>
      <c r="V66">
        <v>148454</v>
      </c>
      <c r="W66">
        <v>3.28</v>
      </c>
      <c r="X66">
        <v>5</v>
      </c>
    </row>
    <row r="67" spans="1:24" x14ac:dyDescent="0.3">
      <c r="A67" t="s">
        <v>42</v>
      </c>
      <c r="B67" t="s">
        <v>54</v>
      </c>
      <c r="C67">
        <v>2024</v>
      </c>
      <c r="D67" t="s">
        <v>33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27</v>
      </c>
      <c r="N67">
        <v>5</v>
      </c>
      <c r="O67" t="s">
        <v>51</v>
      </c>
      <c r="P67">
        <v>23</v>
      </c>
      <c r="Q67">
        <v>1556</v>
      </c>
      <c r="R67">
        <v>3</v>
      </c>
      <c r="S67">
        <v>0</v>
      </c>
      <c r="T67" t="s">
        <v>45</v>
      </c>
      <c r="U67" t="s">
        <v>33</v>
      </c>
      <c r="V67">
        <v>81219</v>
      </c>
      <c r="W67">
        <v>3.63</v>
      </c>
      <c r="X67">
        <v>3</v>
      </c>
    </row>
    <row r="68" spans="1:24" x14ac:dyDescent="0.3">
      <c r="A68" t="s">
        <v>46</v>
      </c>
      <c r="B68" t="s">
        <v>49</v>
      </c>
      <c r="C68">
        <v>2025</v>
      </c>
      <c r="D68" t="s">
        <v>26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48</v>
      </c>
      <c r="N68">
        <v>7</v>
      </c>
      <c r="O68" t="s">
        <v>28</v>
      </c>
      <c r="P68">
        <v>70.3</v>
      </c>
      <c r="Q68">
        <v>2547</v>
      </c>
      <c r="R68">
        <v>5</v>
      </c>
      <c r="S68">
        <v>3</v>
      </c>
      <c r="T68" t="s">
        <v>41</v>
      </c>
      <c r="U68" t="s">
        <v>37</v>
      </c>
      <c r="V68">
        <v>437912</v>
      </c>
      <c r="W68">
        <v>4.03</v>
      </c>
      <c r="X68">
        <v>5</v>
      </c>
    </row>
    <row r="69" spans="1:24" x14ac:dyDescent="0.3">
      <c r="A69" t="s">
        <v>76</v>
      </c>
      <c r="B69" t="s">
        <v>98</v>
      </c>
      <c r="C69">
        <v>2024</v>
      </c>
      <c r="D69" t="s">
        <v>44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48</v>
      </c>
      <c r="N69">
        <v>5</v>
      </c>
      <c r="O69" t="s">
        <v>40</v>
      </c>
      <c r="P69">
        <v>67.5</v>
      </c>
      <c r="Q69">
        <v>1894</v>
      </c>
      <c r="R69">
        <v>5</v>
      </c>
      <c r="S69">
        <v>1</v>
      </c>
      <c r="T69" t="s">
        <v>41</v>
      </c>
      <c r="U69" t="s">
        <v>33</v>
      </c>
      <c r="V69">
        <v>36517</v>
      </c>
      <c r="W69">
        <v>3.69</v>
      </c>
      <c r="X69">
        <v>3</v>
      </c>
    </row>
    <row r="70" spans="1:24" x14ac:dyDescent="0.3">
      <c r="A70" t="s">
        <v>46</v>
      </c>
      <c r="B70" t="s">
        <v>78</v>
      </c>
      <c r="C70">
        <v>2024</v>
      </c>
      <c r="D70" t="s">
        <v>26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48</v>
      </c>
      <c r="N70">
        <v>7</v>
      </c>
      <c r="O70" t="s">
        <v>50</v>
      </c>
      <c r="P70">
        <v>27.2</v>
      </c>
      <c r="Q70">
        <v>1500</v>
      </c>
      <c r="R70">
        <v>5</v>
      </c>
      <c r="S70">
        <v>2</v>
      </c>
      <c r="T70" t="s">
        <v>41</v>
      </c>
      <c r="U70" t="s">
        <v>37</v>
      </c>
      <c r="V70">
        <v>238196</v>
      </c>
      <c r="W70">
        <v>4</v>
      </c>
      <c r="X70">
        <v>5</v>
      </c>
    </row>
    <row r="71" spans="1:24" x14ac:dyDescent="0.3">
      <c r="A71" t="s">
        <v>99</v>
      </c>
      <c r="B71" t="s">
        <v>100</v>
      </c>
      <c r="C71">
        <v>2022</v>
      </c>
      <c r="D71" t="s">
        <v>44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27</v>
      </c>
      <c r="N71">
        <v>7</v>
      </c>
      <c r="O71" t="s">
        <v>28</v>
      </c>
      <c r="P71">
        <v>72.099999999999994</v>
      </c>
      <c r="Q71">
        <v>2679</v>
      </c>
      <c r="R71">
        <v>5</v>
      </c>
      <c r="S71">
        <v>0</v>
      </c>
      <c r="T71" t="s">
        <v>29</v>
      </c>
      <c r="U71" t="s">
        <v>30</v>
      </c>
      <c r="V71">
        <v>26972</v>
      </c>
      <c r="W71">
        <v>3.68</v>
      </c>
      <c r="X71">
        <v>7</v>
      </c>
    </row>
    <row r="72" spans="1:24" x14ac:dyDescent="0.3">
      <c r="A72" t="s">
        <v>76</v>
      </c>
      <c r="B72" t="s">
        <v>81</v>
      </c>
      <c r="C72">
        <v>2025</v>
      </c>
      <c r="D72" t="s">
        <v>33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27</v>
      </c>
      <c r="N72">
        <v>5</v>
      </c>
      <c r="O72" t="s">
        <v>50</v>
      </c>
      <c r="P72">
        <v>16.399999999999999</v>
      </c>
      <c r="Q72">
        <v>1785</v>
      </c>
      <c r="R72">
        <v>5</v>
      </c>
      <c r="S72">
        <v>0</v>
      </c>
      <c r="T72" t="s">
        <v>41</v>
      </c>
      <c r="U72" t="s">
        <v>37</v>
      </c>
      <c r="V72">
        <v>26865</v>
      </c>
      <c r="W72">
        <v>3</v>
      </c>
      <c r="X72">
        <v>3</v>
      </c>
    </row>
    <row r="73" spans="1:24" x14ac:dyDescent="0.3">
      <c r="A73" t="s">
        <v>46</v>
      </c>
      <c r="B73" t="s">
        <v>57</v>
      </c>
      <c r="C73">
        <v>2024</v>
      </c>
      <c r="D73" t="s">
        <v>33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27</v>
      </c>
      <c r="N73">
        <v>5</v>
      </c>
      <c r="O73" t="s">
        <v>40</v>
      </c>
      <c r="P73">
        <v>69.7</v>
      </c>
      <c r="Q73">
        <v>1686</v>
      </c>
      <c r="R73">
        <v>5</v>
      </c>
      <c r="S73">
        <v>2</v>
      </c>
      <c r="T73" t="s">
        <v>41</v>
      </c>
      <c r="U73" t="s">
        <v>33</v>
      </c>
      <c r="V73">
        <v>187104</v>
      </c>
      <c r="W73">
        <v>3.23</v>
      </c>
      <c r="X73">
        <v>5</v>
      </c>
    </row>
    <row r="74" spans="1:24" x14ac:dyDescent="0.3">
      <c r="A74" t="s">
        <v>46</v>
      </c>
      <c r="B74" t="s">
        <v>57</v>
      </c>
      <c r="C74">
        <v>2020</v>
      </c>
      <c r="D74" t="s">
        <v>26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48</v>
      </c>
      <c r="N74">
        <v>5</v>
      </c>
      <c r="O74" t="s">
        <v>28</v>
      </c>
      <c r="P74">
        <v>79.8</v>
      </c>
      <c r="Q74">
        <v>2284</v>
      </c>
      <c r="R74">
        <v>3</v>
      </c>
      <c r="S74">
        <v>2</v>
      </c>
      <c r="T74" t="s">
        <v>41</v>
      </c>
      <c r="U74" t="s">
        <v>30</v>
      </c>
      <c r="V74">
        <v>184383</v>
      </c>
      <c r="W74">
        <v>3.8</v>
      </c>
      <c r="X74">
        <v>5</v>
      </c>
    </row>
    <row r="75" spans="1:24" x14ac:dyDescent="0.3">
      <c r="A75" t="s">
        <v>76</v>
      </c>
      <c r="B75" t="s">
        <v>98</v>
      </c>
      <c r="C75">
        <v>2024</v>
      </c>
      <c r="D75" t="s">
        <v>44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27</v>
      </c>
      <c r="N75">
        <v>7</v>
      </c>
      <c r="O75" t="s">
        <v>28</v>
      </c>
      <c r="P75">
        <v>72.900000000000006</v>
      </c>
      <c r="Q75">
        <v>2451</v>
      </c>
      <c r="R75">
        <v>5</v>
      </c>
      <c r="S75">
        <v>0</v>
      </c>
      <c r="T75" t="s">
        <v>41</v>
      </c>
      <c r="U75" t="s">
        <v>33</v>
      </c>
      <c r="V75">
        <v>54063</v>
      </c>
      <c r="W75">
        <v>3.64</v>
      </c>
      <c r="X75">
        <v>4</v>
      </c>
    </row>
    <row r="76" spans="1:24" x14ac:dyDescent="0.3">
      <c r="A76" t="s">
        <v>38</v>
      </c>
      <c r="B76" t="s">
        <v>101</v>
      </c>
      <c r="C76">
        <v>2025</v>
      </c>
      <c r="D76" t="s">
        <v>26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27</v>
      </c>
      <c r="N76">
        <v>5</v>
      </c>
      <c r="O76" t="s">
        <v>40</v>
      </c>
      <c r="P76">
        <v>72.099999999999994</v>
      </c>
      <c r="Q76">
        <v>1834</v>
      </c>
      <c r="R76">
        <v>4</v>
      </c>
      <c r="S76">
        <v>1</v>
      </c>
      <c r="T76" t="s">
        <v>41</v>
      </c>
      <c r="U76" t="s">
        <v>30</v>
      </c>
      <c r="V76">
        <v>7957</v>
      </c>
      <c r="W76">
        <v>4.16</v>
      </c>
      <c r="X76">
        <v>5</v>
      </c>
    </row>
    <row r="77" spans="1:24" x14ac:dyDescent="0.3">
      <c r="A77" t="s">
        <v>38</v>
      </c>
      <c r="B77" t="s">
        <v>102</v>
      </c>
      <c r="C77">
        <v>2024</v>
      </c>
      <c r="D77" t="s">
        <v>44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27</v>
      </c>
      <c r="N77">
        <v>5</v>
      </c>
      <c r="O77" t="s">
        <v>35</v>
      </c>
      <c r="P77">
        <v>65.5</v>
      </c>
      <c r="Q77">
        <v>2096</v>
      </c>
      <c r="R77">
        <v>5</v>
      </c>
      <c r="S77">
        <v>0</v>
      </c>
      <c r="T77" t="s">
        <v>41</v>
      </c>
      <c r="U77" t="s">
        <v>33</v>
      </c>
      <c r="V77">
        <v>14020</v>
      </c>
      <c r="W77">
        <v>3.97</v>
      </c>
      <c r="X77">
        <v>4</v>
      </c>
    </row>
    <row r="78" spans="1:24" x14ac:dyDescent="0.3">
      <c r="A78" t="s">
        <v>76</v>
      </c>
      <c r="B78" t="s">
        <v>77</v>
      </c>
      <c r="C78">
        <v>2024</v>
      </c>
      <c r="D78" t="s">
        <v>61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48</v>
      </c>
      <c r="N78">
        <v>5</v>
      </c>
      <c r="O78" t="s">
        <v>40</v>
      </c>
      <c r="P78">
        <v>80</v>
      </c>
      <c r="Q78">
        <v>1521</v>
      </c>
      <c r="R78">
        <v>5</v>
      </c>
      <c r="S78">
        <v>0</v>
      </c>
      <c r="T78" t="s">
        <v>41</v>
      </c>
      <c r="U78" t="s">
        <v>33</v>
      </c>
      <c r="V78">
        <v>21827</v>
      </c>
      <c r="W78">
        <v>3.81</v>
      </c>
      <c r="X78">
        <v>3</v>
      </c>
    </row>
    <row r="79" spans="1:24" x14ac:dyDescent="0.3">
      <c r="A79" t="s">
        <v>46</v>
      </c>
      <c r="B79" t="s">
        <v>47</v>
      </c>
      <c r="C79">
        <v>2024</v>
      </c>
      <c r="D79" t="s">
        <v>26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27</v>
      </c>
      <c r="N79">
        <v>5</v>
      </c>
      <c r="O79" t="s">
        <v>51</v>
      </c>
      <c r="P79">
        <v>17.8</v>
      </c>
      <c r="Q79">
        <v>1500</v>
      </c>
      <c r="R79">
        <v>4</v>
      </c>
      <c r="S79">
        <v>2</v>
      </c>
      <c r="T79" t="s">
        <v>41</v>
      </c>
      <c r="U79" t="s">
        <v>30</v>
      </c>
      <c r="V79">
        <v>220216</v>
      </c>
      <c r="W79">
        <v>4.07</v>
      </c>
      <c r="X79">
        <v>5</v>
      </c>
    </row>
    <row r="80" spans="1:24" x14ac:dyDescent="0.3">
      <c r="A80" t="s">
        <v>24</v>
      </c>
      <c r="B80" t="s">
        <v>85</v>
      </c>
      <c r="C80">
        <v>2025</v>
      </c>
      <c r="D80" t="s">
        <v>56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34</v>
      </c>
      <c r="N80">
        <v>5</v>
      </c>
      <c r="O80" t="s">
        <v>58</v>
      </c>
      <c r="P80">
        <v>20.9</v>
      </c>
      <c r="Q80">
        <v>1571</v>
      </c>
      <c r="R80">
        <v>5</v>
      </c>
      <c r="S80">
        <v>1</v>
      </c>
      <c r="T80" t="s">
        <v>29</v>
      </c>
      <c r="U80" t="s">
        <v>37</v>
      </c>
      <c r="V80">
        <v>293320</v>
      </c>
      <c r="W80">
        <v>3.41</v>
      </c>
      <c r="X80">
        <v>3</v>
      </c>
    </row>
    <row r="81" spans="1:24" x14ac:dyDescent="0.3">
      <c r="A81" t="s">
        <v>46</v>
      </c>
      <c r="B81" t="s">
        <v>47</v>
      </c>
      <c r="C81">
        <v>2025</v>
      </c>
      <c r="D81" t="s">
        <v>26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48</v>
      </c>
      <c r="N81">
        <v>7</v>
      </c>
      <c r="O81" t="s">
        <v>35</v>
      </c>
      <c r="P81">
        <v>44.7</v>
      </c>
      <c r="Q81">
        <v>1923</v>
      </c>
      <c r="R81">
        <v>5</v>
      </c>
      <c r="S81">
        <v>2</v>
      </c>
      <c r="T81" t="s">
        <v>41</v>
      </c>
      <c r="U81" t="s">
        <v>30</v>
      </c>
      <c r="V81">
        <v>248754</v>
      </c>
      <c r="W81">
        <v>4.09</v>
      </c>
      <c r="X81">
        <v>5</v>
      </c>
    </row>
    <row r="82" spans="1:24" x14ac:dyDescent="0.3">
      <c r="A82" t="s">
        <v>52</v>
      </c>
      <c r="B82" t="s">
        <v>103</v>
      </c>
      <c r="C82">
        <v>2023</v>
      </c>
      <c r="D82" t="s">
        <v>61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34</v>
      </c>
      <c r="N82">
        <v>7</v>
      </c>
      <c r="O82" t="s">
        <v>35</v>
      </c>
      <c r="P82">
        <v>57.7</v>
      </c>
      <c r="Q82">
        <v>1857</v>
      </c>
      <c r="R82">
        <v>4</v>
      </c>
      <c r="S82">
        <v>1</v>
      </c>
      <c r="T82" t="s">
        <v>29</v>
      </c>
      <c r="U82" t="s">
        <v>30</v>
      </c>
      <c r="V82">
        <v>76491</v>
      </c>
      <c r="W82">
        <v>3.42</v>
      </c>
      <c r="X82">
        <v>7</v>
      </c>
    </row>
    <row r="83" spans="1:24" x14ac:dyDescent="0.3">
      <c r="A83" t="s">
        <v>83</v>
      </c>
      <c r="B83" t="s">
        <v>104</v>
      </c>
      <c r="C83">
        <v>2023</v>
      </c>
      <c r="D83" t="s">
        <v>33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27</v>
      </c>
      <c r="N83">
        <v>7</v>
      </c>
      <c r="O83" t="s">
        <v>28</v>
      </c>
      <c r="P83">
        <v>60.3</v>
      </c>
      <c r="Q83">
        <v>2745</v>
      </c>
      <c r="R83">
        <v>4</v>
      </c>
      <c r="S83">
        <v>2</v>
      </c>
      <c r="T83" t="s">
        <v>29</v>
      </c>
      <c r="U83" t="s">
        <v>33</v>
      </c>
      <c r="V83">
        <v>51887</v>
      </c>
      <c r="W83">
        <v>3.42</v>
      </c>
      <c r="X83">
        <v>6</v>
      </c>
    </row>
    <row r="84" spans="1:24" x14ac:dyDescent="0.3">
      <c r="A84" t="s">
        <v>63</v>
      </c>
      <c r="B84" t="s">
        <v>88</v>
      </c>
      <c r="C84">
        <v>2026</v>
      </c>
      <c r="D84" t="s">
        <v>26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48</v>
      </c>
      <c r="N84">
        <v>5</v>
      </c>
      <c r="O84" t="s">
        <v>28</v>
      </c>
      <c r="P84">
        <v>62.3</v>
      </c>
      <c r="Q84">
        <v>2633</v>
      </c>
      <c r="R84">
        <v>3</v>
      </c>
      <c r="S84">
        <v>0</v>
      </c>
      <c r="T84" t="s">
        <v>65</v>
      </c>
      <c r="U84" t="s">
        <v>30</v>
      </c>
      <c r="V84">
        <v>216998</v>
      </c>
      <c r="W84">
        <v>3.69</v>
      </c>
      <c r="X84">
        <v>3</v>
      </c>
    </row>
    <row r="85" spans="1:24" x14ac:dyDescent="0.3">
      <c r="A85" t="s">
        <v>46</v>
      </c>
      <c r="B85" t="s">
        <v>72</v>
      </c>
      <c r="C85">
        <v>2024</v>
      </c>
      <c r="D85" t="s">
        <v>44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27</v>
      </c>
      <c r="N85">
        <v>5</v>
      </c>
      <c r="O85" t="s">
        <v>28</v>
      </c>
      <c r="P85">
        <v>67</v>
      </c>
      <c r="Q85">
        <v>2567</v>
      </c>
      <c r="R85">
        <v>5</v>
      </c>
      <c r="S85">
        <v>3</v>
      </c>
      <c r="T85" t="s">
        <v>41</v>
      </c>
      <c r="U85" t="s">
        <v>30</v>
      </c>
      <c r="V85">
        <v>138950</v>
      </c>
      <c r="W85">
        <v>3.85</v>
      </c>
      <c r="X85">
        <v>6</v>
      </c>
    </row>
    <row r="86" spans="1:24" x14ac:dyDescent="0.3">
      <c r="A86" t="s">
        <v>63</v>
      </c>
      <c r="B86" t="s">
        <v>73</v>
      </c>
      <c r="C86">
        <v>2023</v>
      </c>
      <c r="D86" t="s">
        <v>61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34</v>
      </c>
      <c r="N86">
        <v>7</v>
      </c>
      <c r="O86" t="s">
        <v>58</v>
      </c>
      <c r="P86">
        <v>16.899999999999999</v>
      </c>
      <c r="Q86">
        <v>1621</v>
      </c>
      <c r="R86">
        <v>4</v>
      </c>
      <c r="S86">
        <v>0</v>
      </c>
      <c r="T86" t="s">
        <v>65</v>
      </c>
      <c r="U86" t="s">
        <v>66</v>
      </c>
      <c r="V86">
        <v>183596</v>
      </c>
      <c r="W86">
        <v>3.23</v>
      </c>
      <c r="X86">
        <v>3</v>
      </c>
    </row>
    <row r="87" spans="1:24" x14ac:dyDescent="0.3">
      <c r="A87" t="s">
        <v>63</v>
      </c>
      <c r="B87" t="s">
        <v>82</v>
      </c>
      <c r="C87">
        <v>2024</v>
      </c>
      <c r="D87" t="s">
        <v>33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48</v>
      </c>
      <c r="N87">
        <v>5</v>
      </c>
      <c r="O87" t="s">
        <v>40</v>
      </c>
      <c r="P87">
        <v>61.5</v>
      </c>
      <c r="Q87">
        <v>1876</v>
      </c>
      <c r="R87">
        <v>5</v>
      </c>
      <c r="S87">
        <v>0</v>
      </c>
      <c r="T87" t="s">
        <v>65</v>
      </c>
      <c r="U87" t="s">
        <v>30</v>
      </c>
      <c r="V87">
        <v>137465</v>
      </c>
      <c r="W87">
        <v>3.1</v>
      </c>
      <c r="X87">
        <v>4</v>
      </c>
    </row>
    <row r="88" spans="1:24" x14ac:dyDescent="0.3">
      <c r="A88" t="s">
        <v>38</v>
      </c>
      <c r="B88" t="s">
        <v>101</v>
      </c>
      <c r="C88">
        <v>2026</v>
      </c>
      <c r="D88" t="s">
        <v>56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34</v>
      </c>
      <c r="N88">
        <v>5</v>
      </c>
      <c r="O88" t="s">
        <v>28</v>
      </c>
      <c r="P88">
        <v>62.1</v>
      </c>
      <c r="Q88">
        <v>2581</v>
      </c>
      <c r="R88">
        <v>5</v>
      </c>
      <c r="S88">
        <v>0</v>
      </c>
      <c r="T88" t="s">
        <v>41</v>
      </c>
      <c r="U88" t="s">
        <v>37</v>
      </c>
      <c r="V88">
        <v>8032</v>
      </c>
      <c r="W88">
        <v>3.56</v>
      </c>
      <c r="X88">
        <v>3</v>
      </c>
    </row>
    <row r="89" spans="1:24" x14ac:dyDescent="0.3">
      <c r="A89" t="s">
        <v>83</v>
      </c>
      <c r="B89" t="s">
        <v>89</v>
      </c>
      <c r="C89">
        <v>2024</v>
      </c>
      <c r="D89" t="s">
        <v>61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48</v>
      </c>
      <c r="N89">
        <v>5</v>
      </c>
      <c r="O89" t="s">
        <v>28</v>
      </c>
      <c r="P89">
        <v>57.9</v>
      </c>
      <c r="Q89">
        <v>2679</v>
      </c>
      <c r="R89">
        <v>3</v>
      </c>
      <c r="S89">
        <v>1</v>
      </c>
      <c r="T89" t="s">
        <v>29</v>
      </c>
      <c r="U89" t="s">
        <v>33</v>
      </c>
      <c r="V89">
        <v>42777</v>
      </c>
      <c r="W89">
        <v>3.19</v>
      </c>
      <c r="X89">
        <v>6</v>
      </c>
    </row>
    <row r="90" spans="1:24" x14ac:dyDescent="0.3">
      <c r="A90" t="s">
        <v>86</v>
      </c>
      <c r="B90" t="s">
        <v>105</v>
      </c>
      <c r="C90">
        <v>2024</v>
      </c>
      <c r="D90" t="s">
        <v>61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34</v>
      </c>
      <c r="N90">
        <v>5</v>
      </c>
      <c r="O90" t="s">
        <v>35</v>
      </c>
      <c r="P90">
        <v>53</v>
      </c>
      <c r="Q90">
        <v>2121</v>
      </c>
      <c r="R90">
        <v>4</v>
      </c>
      <c r="S90">
        <v>1</v>
      </c>
      <c r="T90" t="s">
        <v>29</v>
      </c>
      <c r="U90" t="s">
        <v>33</v>
      </c>
      <c r="V90">
        <v>36319</v>
      </c>
      <c r="W90">
        <v>3</v>
      </c>
      <c r="X90">
        <v>5</v>
      </c>
    </row>
    <row r="91" spans="1:24" x14ac:dyDescent="0.3">
      <c r="A91" t="s">
        <v>68</v>
      </c>
      <c r="B91" t="s">
        <v>106</v>
      </c>
      <c r="C91">
        <v>2025</v>
      </c>
      <c r="D91" t="s">
        <v>26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27</v>
      </c>
      <c r="N91">
        <v>7</v>
      </c>
      <c r="O91" t="s">
        <v>58</v>
      </c>
      <c r="P91">
        <v>30.1</v>
      </c>
      <c r="Q91">
        <v>1792</v>
      </c>
      <c r="R91">
        <v>4</v>
      </c>
      <c r="S91">
        <v>2</v>
      </c>
      <c r="T91" t="s">
        <v>45</v>
      </c>
      <c r="U91" t="s">
        <v>37</v>
      </c>
      <c r="V91">
        <v>68118</v>
      </c>
      <c r="W91">
        <v>3.73</v>
      </c>
      <c r="X91">
        <v>4</v>
      </c>
    </row>
    <row r="92" spans="1:24" x14ac:dyDescent="0.3">
      <c r="A92" t="s">
        <v>46</v>
      </c>
      <c r="B92" t="s">
        <v>72</v>
      </c>
      <c r="C92">
        <v>2024</v>
      </c>
      <c r="D92" t="s">
        <v>56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27</v>
      </c>
      <c r="N92">
        <v>7</v>
      </c>
      <c r="O92" t="s">
        <v>28</v>
      </c>
      <c r="P92">
        <v>68.099999999999994</v>
      </c>
      <c r="Q92">
        <v>2403</v>
      </c>
      <c r="R92">
        <v>3</v>
      </c>
      <c r="S92">
        <v>3</v>
      </c>
      <c r="T92" t="s">
        <v>41</v>
      </c>
      <c r="U92" t="s">
        <v>37</v>
      </c>
      <c r="V92">
        <v>246203</v>
      </c>
      <c r="W92">
        <v>3.51</v>
      </c>
      <c r="X92">
        <v>4</v>
      </c>
    </row>
    <row r="93" spans="1:24" x14ac:dyDescent="0.3">
      <c r="A93" t="s">
        <v>38</v>
      </c>
      <c r="B93" t="s">
        <v>101</v>
      </c>
      <c r="C93">
        <v>2026</v>
      </c>
      <c r="D93" t="s">
        <v>61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34</v>
      </c>
      <c r="N93">
        <v>5</v>
      </c>
      <c r="O93" t="s">
        <v>50</v>
      </c>
      <c r="P93">
        <v>39.299999999999997</v>
      </c>
      <c r="Q93">
        <v>1500</v>
      </c>
      <c r="R93">
        <v>5</v>
      </c>
      <c r="S93">
        <v>0</v>
      </c>
      <c r="T93" t="s">
        <v>41</v>
      </c>
      <c r="U93" t="s">
        <v>33</v>
      </c>
      <c r="V93">
        <v>27175</v>
      </c>
      <c r="W93">
        <v>3.31</v>
      </c>
      <c r="X93">
        <v>4</v>
      </c>
    </row>
    <row r="94" spans="1:24" x14ac:dyDescent="0.3">
      <c r="A94" t="s">
        <v>38</v>
      </c>
      <c r="B94" t="s">
        <v>55</v>
      </c>
      <c r="C94">
        <v>2024</v>
      </c>
      <c r="D94" t="s">
        <v>44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48</v>
      </c>
      <c r="N94">
        <v>5</v>
      </c>
      <c r="O94" t="s">
        <v>40</v>
      </c>
      <c r="P94">
        <v>75</v>
      </c>
      <c r="Q94">
        <v>1598</v>
      </c>
      <c r="R94">
        <v>4</v>
      </c>
      <c r="S94">
        <v>0</v>
      </c>
      <c r="T94" t="s">
        <v>41</v>
      </c>
      <c r="U94" t="s">
        <v>33</v>
      </c>
      <c r="V94">
        <v>12139</v>
      </c>
      <c r="W94">
        <v>3.5</v>
      </c>
      <c r="X94">
        <v>4</v>
      </c>
    </row>
    <row r="95" spans="1:24" x14ac:dyDescent="0.3">
      <c r="A95" t="s">
        <v>42</v>
      </c>
      <c r="B95" t="s">
        <v>54</v>
      </c>
      <c r="C95">
        <v>2023</v>
      </c>
      <c r="D95" t="s">
        <v>33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27</v>
      </c>
      <c r="N95">
        <v>5</v>
      </c>
      <c r="O95" t="s">
        <v>51</v>
      </c>
      <c r="P95">
        <v>23.4</v>
      </c>
      <c r="Q95">
        <v>1506</v>
      </c>
      <c r="R95">
        <v>5</v>
      </c>
      <c r="S95">
        <v>0</v>
      </c>
      <c r="T95" t="s">
        <v>45</v>
      </c>
      <c r="U95" t="s">
        <v>33</v>
      </c>
      <c r="V95">
        <v>83731</v>
      </c>
      <c r="W95">
        <v>3.6</v>
      </c>
      <c r="X95">
        <v>4</v>
      </c>
    </row>
    <row r="96" spans="1:24" x14ac:dyDescent="0.3">
      <c r="A96" t="s">
        <v>76</v>
      </c>
      <c r="B96" t="s">
        <v>77</v>
      </c>
      <c r="C96">
        <v>2023</v>
      </c>
      <c r="D96" t="s">
        <v>44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34</v>
      </c>
      <c r="N96">
        <v>5</v>
      </c>
      <c r="O96" t="s">
        <v>50</v>
      </c>
      <c r="P96">
        <v>21.8</v>
      </c>
      <c r="Q96">
        <v>1734</v>
      </c>
      <c r="R96">
        <v>5</v>
      </c>
      <c r="S96">
        <v>0</v>
      </c>
      <c r="T96" t="s">
        <v>41</v>
      </c>
      <c r="U96" t="s">
        <v>33</v>
      </c>
      <c r="V96">
        <v>48060</v>
      </c>
      <c r="W96">
        <v>4.04</v>
      </c>
      <c r="X96">
        <v>4</v>
      </c>
    </row>
    <row r="97" spans="1:24" x14ac:dyDescent="0.3">
      <c r="A97" t="s">
        <v>68</v>
      </c>
      <c r="B97" t="s">
        <v>90</v>
      </c>
      <c r="C97">
        <v>2024</v>
      </c>
      <c r="D97" t="s">
        <v>61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48</v>
      </c>
      <c r="N97">
        <v>5</v>
      </c>
      <c r="O97" t="s">
        <v>35</v>
      </c>
      <c r="P97">
        <v>43.9</v>
      </c>
      <c r="Q97">
        <v>1844</v>
      </c>
      <c r="R97">
        <v>4</v>
      </c>
      <c r="S97">
        <v>1</v>
      </c>
      <c r="T97" t="s">
        <v>45</v>
      </c>
      <c r="U97" t="s">
        <v>37</v>
      </c>
      <c r="V97">
        <v>128091</v>
      </c>
      <c r="W97">
        <v>3</v>
      </c>
      <c r="X97">
        <v>4</v>
      </c>
    </row>
    <row r="98" spans="1:24" x14ac:dyDescent="0.3">
      <c r="A98" t="s">
        <v>68</v>
      </c>
      <c r="B98" t="s">
        <v>79</v>
      </c>
      <c r="C98">
        <v>2025</v>
      </c>
      <c r="D98" t="s">
        <v>26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48</v>
      </c>
      <c r="N98">
        <v>5</v>
      </c>
      <c r="O98" t="s">
        <v>58</v>
      </c>
      <c r="P98">
        <v>36.200000000000003</v>
      </c>
      <c r="Q98">
        <v>1557</v>
      </c>
      <c r="R98">
        <v>5</v>
      </c>
      <c r="S98">
        <v>0</v>
      </c>
      <c r="T98" t="s">
        <v>45</v>
      </c>
      <c r="U98" t="s">
        <v>37</v>
      </c>
      <c r="V98">
        <v>96533</v>
      </c>
      <c r="W98">
        <v>3.3</v>
      </c>
      <c r="X98">
        <v>3</v>
      </c>
    </row>
    <row r="99" spans="1:24" x14ac:dyDescent="0.3">
      <c r="A99" t="s">
        <v>24</v>
      </c>
      <c r="B99" t="s">
        <v>70</v>
      </c>
      <c r="C99">
        <v>2023</v>
      </c>
      <c r="D99" t="s">
        <v>26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48</v>
      </c>
      <c r="N99">
        <v>5</v>
      </c>
      <c r="O99" t="s">
        <v>50</v>
      </c>
      <c r="P99">
        <v>29.1</v>
      </c>
      <c r="Q99">
        <v>1500</v>
      </c>
      <c r="R99">
        <v>3</v>
      </c>
      <c r="S99">
        <v>1</v>
      </c>
      <c r="T99" t="s">
        <v>29</v>
      </c>
      <c r="U99" t="s">
        <v>33</v>
      </c>
      <c r="V99">
        <v>234095</v>
      </c>
      <c r="W99">
        <v>3.86</v>
      </c>
      <c r="X99">
        <v>5</v>
      </c>
    </row>
    <row r="100" spans="1:24" x14ac:dyDescent="0.3">
      <c r="A100" t="s">
        <v>46</v>
      </c>
      <c r="B100" t="s">
        <v>78</v>
      </c>
      <c r="C100">
        <v>2023</v>
      </c>
      <c r="D100" t="s">
        <v>26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48</v>
      </c>
      <c r="N100">
        <v>5</v>
      </c>
      <c r="O100" t="s">
        <v>51</v>
      </c>
      <c r="P100">
        <v>31.5</v>
      </c>
      <c r="Q100">
        <v>1782</v>
      </c>
      <c r="R100">
        <v>3</v>
      </c>
      <c r="S100">
        <v>3</v>
      </c>
      <c r="T100" t="s">
        <v>41</v>
      </c>
      <c r="U100" t="s">
        <v>30</v>
      </c>
      <c r="V100">
        <v>148529</v>
      </c>
      <c r="W100">
        <v>4.29</v>
      </c>
      <c r="X100">
        <v>5</v>
      </c>
    </row>
    <row r="101" spans="1:24" x14ac:dyDescent="0.3">
      <c r="A101" t="s">
        <v>46</v>
      </c>
      <c r="B101" t="s">
        <v>72</v>
      </c>
      <c r="C101">
        <v>2024</v>
      </c>
      <c r="D101" t="s">
        <v>26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48</v>
      </c>
      <c r="N101">
        <v>5</v>
      </c>
      <c r="O101" t="s">
        <v>28</v>
      </c>
      <c r="P101">
        <v>59.7</v>
      </c>
      <c r="Q101">
        <v>2270</v>
      </c>
      <c r="R101">
        <v>3</v>
      </c>
      <c r="S101">
        <v>3</v>
      </c>
      <c r="T101" t="s">
        <v>41</v>
      </c>
      <c r="U101" t="s">
        <v>30</v>
      </c>
      <c r="V101">
        <v>234160</v>
      </c>
      <c r="W101">
        <v>3.91</v>
      </c>
      <c r="X101">
        <v>6</v>
      </c>
    </row>
    <row r="102" spans="1:24" x14ac:dyDescent="0.3">
      <c r="A102" t="s">
        <v>46</v>
      </c>
      <c r="B102" t="s">
        <v>72</v>
      </c>
      <c r="C102">
        <v>2024</v>
      </c>
      <c r="D102" t="s">
        <v>56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27</v>
      </c>
      <c r="N102">
        <v>7</v>
      </c>
      <c r="O102" t="s">
        <v>28</v>
      </c>
      <c r="P102">
        <v>63.9</v>
      </c>
      <c r="Q102">
        <v>2448</v>
      </c>
      <c r="R102">
        <v>4</v>
      </c>
      <c r="S102">
        <v>2</v>
      </c>
      <c r="T102" t="s">
        <v>41</v>
      </c>
      <c r="U102" t="s">
        <v>37</v>
      </c>
      <c r="V102">
        <v>228933</v>
      </c>
      <c r="W102">
        <v>3.44</v>
      </c>
      <c r="X102">
        <v>5</v>
      </c>
    </row>
    <row r="103" spans="1:24" x14ac:dyDescent="0.3">
      <c r="A103" t="s">
        <v>83</v>
      </c>
      <c r="B103" t="s">
        <v>104</v>
      </c>
      <c r="C103">
        <v>2024</v>
      </c>
      <c r="D103" t="s">
        <v>26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48</v>
      </c>
      <c r="N103">
        <v>5</v>
      </c>
      <c r="O103" t="s">
        <v>50</v>
      </c>
      <c r="P103">
        <v>34.200000000000003</v>
      </c>
      <c r="Q103">
        <v>1588</v>
      </c>
      <c r="R103">
        <v>5</v>
      </c>
      <c r="S103">
        <v>1</v>
      </c>
      <c r="T103" t="s">
        <v>29</v>
      </c>
      <c r="U103" t="s">
        <v>33</v>
      </c>
      <c r="V103">
        <v>33561</v>
      </c>
      <c r="W103">
        <v>3.47</v>
      </c>
      <c r="X103">
        <v>7</v>
      </c>
    </row>
    <row r="104" spans="1:24" x14ac:dyDescent="0.3">
      <c r="A104" t="s">
        <v>63</v>
      </c>
      <c r="B104" t="s">
        <v>107</v>
      </c>
      <c r="C104">
        <v>2022</v>
      </c>
      <c r="D104" t="s">
        <v>61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27</v>
      </c>
      <c r="N104">
        <v>5</v>
      </c>
      <c r="O104" t="s">
        <v>28</v>
      </c>
      <c r="P104">
        <v>51.2</v>
      </c>
      <c r="Q104">
        <v>2894</v>
      </c>
      <c r="R104">
        <v>4</v>
      </c>
      <c r="S104">
        <v>0</v>
      </c>
      <c r="T104" t="s">
        <v>65</v>
      </c>
      <c r="U104" t="s">
        <v>37</v>
      </c>
      <c r="V104">
        <v>192045</v>
      </c>
      <c r="W104">
        <v>3.31</v>
      </c>
      <c r="X104">
        <v>5</v>
      </c>
    </row>
    <row r="105" spans="1:24" x14ac:dyDescent="0.3">
      <c r="A105" t="s">
        <v>68</v>
      </c>
      <c r="B105" t="s">
        <v>69</v>
      </c>
      <c r="C105">
        <v>2022</v>
      </c>
      <c r="D105" t="s">
        <v>44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48</v>
      </c>
      <c r="N105">
        <v>7</v>
      </c>
      <c r="O105" t="s">
        <v>51</v>
      </c>
      <c r="P105">
        <v>32.6</v>
      </c>
      <c r="Q105">
        <v>1784</v>
      </c>
      <c r="R105">
        <v>4</v>
      </c>
      <c r="S105">
        <v>1</v>
      </c>
      <c r="T105" t="s">
        <v>45</v>
      </c>
      <c r="U105" t="s">
        <v>33</v>
      </c>
      <c r="V105">
        <v>95418</v>
      </c>
      <c r="W105">
        <v>3.69</v>
      </c>
      <c r="X105">
        <v>4</v>
      </c>
    </row>
    <row r="106" spans="1:24" x14ac:dyDescent="0.3">
      <c r="A106" t="s">
        <v>86</v>
      </c>
      <c r="B106" t="s">
        <v>108</v>
      </c>
      <c r="C106">
        <v>2025</v>
      </c>
      <c r="D106" t="s">
        <v>33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48</v>
      </c>
      <c r="N106">
        <v>7</v>
      </c>
      <c r="O106" t="s">
        <v>40</v>
      </c>
      <c r="P106">
        <v>67.099999999999994</v>
      </c>
      <c r="Q106">
        <v>1500</v>
      </c>
      <c r="R106">
        <v>5</v>
      </c>
      <c r="S106">
        <v>1</v>
      </c>
      <c r="T106" t="s">
        <v>29</v>
      </c>
      <c r="U106" t="s">
        <v>33</v>
      </c>
      <c r="V106">
        <v>43236</v>
      </c>
      <c r="W106">
        <v>3.38</v>
      </c>
      <c r="X106">
        <v>7</v>
      </c>
    </row>
    <row r="107" spans="1:24" x14ac:dyDescent="0.3">
      <c r="A107" t="s">
        <v>63</v>
      </c>
      <c r="B107" t="s">
        <v>82</v>
      </c>
      <c r="C107">
        <v>2025</v>
      </c>
      <c r="D107" t="s">
        <v>56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34</v>
      </c>
      <c r="N107">
        <v>5</v>
      </c>
      <c r="O107" t="s">
        <v>58</v>
      </c>
      <c r="P107">
        <v>30.5</v>
      </c>
      <c r="Q107">
        <v>1500</v>
      </c>
      <c r="R107">
        <v>3</v>
      </c>
      <c r="S107">
        <v>0</v>
      </c>
      <c r="T107" t="s">
        <v>65</v>
      </c>
      <c r="U107" t="s">
        <v>33</v>
      </c>
      <c r="V107">
        <v>114789</v>
      </c>
      <c r="W107">
        <v>3.65</v>
      </c>
      <c r="X107">
        <v>3</v>
      </c>
    </row>
    <row r="108" spans="1:24" x14ac:dyDescent="0.3">
      <c r="A108" t="s">
        <v>24</v>
      </c>
      <c r="B108" t="s">
        <v>85</v>
      </c>
      <c r="C108">
        <v>2024</v>
      </c>
      <c r="D108" t="s">
        <v>26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34</v>
      </c>
      <c r="N108">
        <v>5</v>
      </c>
      <c r="O108" t="s">
        <v>40</v>
      </c>
      <c r="P108">
        <v>75.099999999999994</v>
      </c>
      <c r="Q108">
        <v>1780</v>
      </c>
      <c r="R108">
        <v>3</v>
      </c>
      <c r="S108">
        <v>0</v>
      </c>
      <c r="T108" t="s">
        <v>29</v>
      </c>
      <c r="U108" t="s">
        <v>37</v>
      </c>
      <c r="V108">
        <v>263009</v>
      </c>
      <c r="W108">
        <v>3.76</v>
      </c>
      <c r="X108">
        <v>5</v>
      </c>
    </row>
    <row r="109" spans="1:24" x14ac:dyDescent="0.3">
      <c r="A109" t="s">
        <v>38</v>
      </c>
      <c r="B109" t="s">
        <v>101</v>
      </c>
      <c r="C109">
        <v>2024</v>
      </c>
      <c r="D109" t="s">
        <v>33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48</v>
      </c>
      <c r="N109">
        <v>7</v>
      </c>
      <c r="O109" t="s">
        <v>28</v>
      </c>
      <c r="P109">
        <v>60.3</v>
      </c>
      <c r="Q109">
        <v>2572</v>
      </c>
      <c r="R109">
        <v>4</v>
      </c>
      <c r="S109">
        <v>1</v>
      </c>
      <c r="T109" t="s">
        <v>41</v>
      </c>
      <c r="U109" t="s">
        <v>37</v>
      </c>
      <c r="V109">
        <v>1211</v>
      </c>
      <c r="W109">
        <v>3.34</v>
      </c>
      <c r="X109">
        <v>3</v>
      </c>
    </row>
    <row r="110" spans="1:24" x14ac:dyDescent="0.3">
      <c r="A110" t="s">
        <v>63</v>
      </c>
      <c r="B110" t="s">
        <v>107</v>
      </c>
      <c r="C110">
        <v>2025</v>
      </c>
      <c r="D110" t="s">
        <v>44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27</v>
      </c>
      <c r="N110">
        <v>7</v>
      </c>
      <c r="O110" t="s">
        <v>35</v>
      </c>
      <c r="P110">
        <v>62.5</v>
      </c>
      <c r="Q110">
        <v>1726</v>
      </c>
      <c r="R110">
        <v>5</v>
      </c>
      <c r="S110">
        <v>1</v>
      </c>
      <c r="T110" t="s">
        <v>65</v>
      </c>
      <c r="U110" t="s">
        <v>37</v>
      </c>
      <c r="V110">
        <v>190763</v>
      </c>
      <c r="W110">
        <v>4</v>
      </c>
      <c r="X110">
        <v>3</v>
      </c>
    </row>
    <row r="111" spans="1:24" x14ac:dyDescent="0.3">
      <c r="A111" t="s">
        <v>46</v>
      </c>
      <c r="B111" t="s">
        <v>47</v>
      </c>
      <c r="C111">
        <v>2025</v>
      </c>
      <c r="D111" t="s">
        <v>33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27</v>
      </c>
      <c r="N111">
        <v>5</v>
      </c>
      <c r="O111" t="s">
        <v>35</v>
      </c>
      <c r="P111">
        <v>42.1</v>
      </c>
      <c r="Q111">
        <v>1903</v>
      </c>
      <c r="R111">
        <v>4</v>
      </c>
      <c r="S111">
        <v>2</v>
      </c>
      <c r="T111" t="s">
        <v>41</v>
      </c>
      <c r="U111" t="s">
        <v>30</v>
      </c>
      <c r="V111">
        <v>172494</v>
      </c>
      <c r="W111">
        <v>3.77</v>
      </c>
      <c r="X111">
        <v>5</v>
      </c>
    </row>
    <row r="112" spans="1:24" x14ac:dyDescent="0.3">
      <c r="A112" t="s">
        <v>63</v>
      </c>
      <c r="B112" t="s">
        <v>88</v>
      </c>
      <c r="C112">
        <v>2023</v>
      </c>
      <c r="D112" t="s">
        <v>26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48</v>
      </c>
      <c r="N112">
        <v>7</v>
      </c>
      <c r="O112" t="s">
        <v>35</v>
      </c>
      <c r="P112">
        <v>41.5</v>
      </c>
      <c r="Q112">
        <v>2379</v>
      </c>
      <c r="R112">
        <v>3</v>
      </c>
      <c r="S112">
        <v>2</v>
      </c>
      <c r="T112" t="s">
        <v>65</v>
      </c>
      <c r="U112" t="s">
        <v>66</v>
      </c>
      <c r="V112">
        <v>226324</v>
      </c>
      <c r="W112">
        <v>3.6</v>
      </c>
      <c r="X112">
        <v>3</v>
      </c>
    </row>
    <row r="113" spans="1:24" x14ac:dyDescent="0.3">
      <c r="A113" t="s">
        <v>46</v>
      </c>
      <c r="B113" t="s">
        <v>47</v>
      </c>
      <c r="C113">
        <v>2026</v>
      </c>
      <c r="D113" t="s">
        <v>56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27</v>
      </c>
      <c r="N113">
        <v>5</v>
      </c>
      <c r="O113" t="s">
        <v>40</v>
      </c>
      <c r="P113">
        <v>65.7</v>
      </c>
      <c r="Q113">
        <v>1500</v>
      </c>
      <c r="R113">
        <v>3</v>
      </c>
      <c r="S113">
        <v>2</v>
      </c>
      <c r="T113" t="s">
        <v>41</v>
      </c>
      <c r="U113" t="s">
        <v>37</v>
      </c>
      <c r="V113">
        <v>214895</v>
      </c>
      <c r="W113">
        <v>3.58</v>
      </c>
      <c r="X113">
        <v>5</v>
      </c>
    </row>
    <row r="114" spans="1:24" x14ac:dyDescent="0.3">
      <c r="A114" t="s">
        <v>94</v>
      </c>
      <c r="B114" t="s">
        <v>95</v>
      </c>
      <c r="C114">
        <v>2021</v>
      </c>
      <c r="D114" t="s">
        <v>56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34</v>
      </c>
      <c r="N114">
        <v>5</v>
      </c>
      <c r="O114" t="s">
        <v>50</v>
      </c>
      <c r="P114">
        <v>16.8</v>
      </c>
      <c r="Q114">
        <v>1500</v>
      </c>
      <c r="R114">
        <v>5</v>
      </c>
      <c r="S114">
        <v>2</v>
      </c>
      <c r="T114" t="s">
        <v>41</v>
      </c>
      <c r="U114" t="s">
        <v>37</v>
      </c>
      <c r="V114">
        <v>7599</v>
      </c>
      <c r="W114">
        <v>3.41</v>
      </c>
      <c r="X114">
        <v>6</v>
      </c>
    </row>
    <row r="115" spans="1:24" x14ac:dyDescent="0.3">
      <c r="A115" t="s">
        <v>76</v>
      </c>
      <c r="B115" t="s">
        <v>91</v>
      </c>
      <c r="C115">
        <v>2025</v>
      </c>
      <c r="D115" t="s">
        <v>56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34</v>
      </c>
      <c r="N115">
        <v>4</v>
      </c>
      <c r="O115" t="s">
        <v>28</v>
      </c>
      <c r="P115">
        <v>74.099999999999994</v>
      </c>
      <c r="Q115">
        <v>2341</v>
      </c>
      <c r="R115">
        <v>4</v>
      </c>
      <c r="S115">
        <v>1</v>
      </c>
      <c r="T115" t="s">
        <v>41</v>
      </c>
      <c r="U115" t="s">
        <v>37</v>
      </c>
      <c r="V115">
        <v>44164</v>
      </c>
      <c r="W115">
        <v>3.54</v>
      </c>
      <c r="X115">
        <v>4</v>
      </c>
    </row>
    <row r="116" spans="1:24" x14ac:dyDescent="0.3">
      <c r="A116" t="s">
        <v>83</v>
      </c>
      <c r="B116" t="s">
        <v>89</v>
      </c>
      <c r="C116">
        <v>2025</v>
      </c>
      <c r="D116" t="s">
        <v>26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27</v>
      </c>
      <c r="N116">
        <v>7</v>
      </c>
      <c r="O116" t="s">
        <v>28</v>
      </c>
      <c r="P116">
        <v>62.6</v>
      </c>
      <c r="Q116">
        <v>2729</v>
      </c>
      <c r="R116">
        <v>5</v>
      </c>
      <c r="S116">
        <v>1</v>
      </c>
      <c r="T116" t="s">
        <v>29</v>
      </c>
      <c r="U116" t="s">
        <v>30</v>
      </c>
      <c r="V116">
        <v>48304</v>
      </c>
      <c r="W116">
        <v>3.22</v>
      </c>
      <c r="X116">
        <v>7</v>
      </c>
    </row>
    <row r="117" spans="1:24" x14ac:dyDescent="0.3">
      <c r="A117" t="s">
        <v>52</v>
      </c>
      <c r="B117" t="s">
        <v>62</v>
      </c>
      <c r="C117">
        <v>2023</v>
      </c>
      <c r="D117" t="s">
        <v>44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27</v>
      </c>
      <c r="N117">
        <v>5</v>
      </c>
      <c r="O117" t="s">
        <v>51</v>
      </c>
      <c r="P117">
        <v>27.2</v>
      </c>
      <c r="Q117">
        <v>1540</v>
      </c>
      <c r="R117">
        <v>4</v>
      </c>
      <c r="S117">
        <v>1</v>
      </c>
      <c r="T117" t="s">
        <v>29</v>
      </c>
      <c r="U117" t="s">
        <v>30</v>
      </c>
      <c r="V117">
        <v>50822</v>
      </c>
      <c r="W117">
        <v>3.77</v>
      </c>
      <c r="X117">
        <v>6</v>
      </c>
    </row>
    <row r="118" spans="1:24" x14ac:dyDescent="0.3">
      <c r="A118" t="s">
        <v>76</v>
      </c>
      <c r="B118" t="s">
        <v>91</v>
      </c>
      <c r="C118">
        <v>2024</v>
      </c>
      <c r="D118" t="s">
        <v>44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34</v>
      </c>
      <c r="N118">
        <v>2</v>
      </c>
      <c r="O118" t="s">
        <v>28</v>
      </c>
      <c r="P118">
        <v>60.8</v>
      </c>
      <c r="Q118">
        <v>2427</v>
      </c>
      <c r="R118">
        <v>5</v>
      </c>
      <c r="S118">
        <v>0</v>
      </c>
      <c r="T118" t="s">
        <v>41</v>
      </c>
      <c r="U118" t="s">
        <v>37</v>
      </c>
      <c r="V118">
        <v>49671</v>
      </c>
      <c r="W118">
        <v>3.66</v>
      </c>
      <c r="X118">
        <v>3</v>
      </c>
    </row>
    <row r="119" spans="1:24" x14ac:dyDescent="0.3">
      <c r="A119" t="s">
        <v>46</v>
      </c>
      <c r="B119" t="s">
        <v>49</v>
      </c>
      <c r="C119">
        <v>2026</v>
      </c>
      <c r="D119" t="s">
        <v>61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48</v>
      </c>
      <c r="N119">
        <v>5</v>
      </c>
      <c r="O119" t="s">
        <v>58</v>
      </c>
      <c r="P119">
        <v>28.9</v>
      </c>
      <c r="Q119">
        <v>1500</v>
      </c>
      <c r="R119">
        <v>5</v>
      </c>
      <c r="S119">
        <v>2</v>
      </c>
      <c r="T119" t="s">
        <v>41</v>
      </c>
      <c r="U119" t="s">
        <v>33</v>
      </c>
      <c r="V119">
        <v>408778</v>
      </c>
      <c r="W119">
        <v>4.03</v>
      </c>
      <c r="X119">
        <v>4</v>
      </c>
    </row>
    <row r="120" spans="1:24" x14ac:dyDescent="0.3">
      <c r="A120" t="s">
        <v>86</v>
      </c>
      <c r="B120" t="s">
        <v>108</v>
      </c>
      <c r="C120">
        <v>2025</v>
      </c>
      <c r="D120" t="s">
        <v>61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34</v>
      </c>
      <c r="N120">
        <v>7</v>
      </c>
      <c r="O120" t="s">
        <v>35</v>
      </c>
      <c r="P120">
        <v>63.6</v>
      </c>
      <c r="Q120">
        <v>1928</v>
      </c>
      <c r="R120">
        <v>5</v>
      </c>
      <c r="S120">
        <v>1</v>
      </c>
      <c r="T120" t="s">
        <v>29</v>
      </c>
      <c r="U120" t="s">
        <v>33</v>
      </c>
      <c r="V120">
        <v>23427</v>
      </c>
      <c r="W120">
        <v>3.35</v>
      </c>
      <c r="X120">
        <v>5</v>
      </c>
    </row>
    <row r="121" spans="1:24" x14ac:dyDescent="0.3">
      <c r="A121" t="s">
        <v>42</v>
      </c>
      <c r="B121" t="s">
        <v>54</v>
      </c>
      <c r="C121">
        <v>2023</v>
      </c>
      <c r="D121" t="s">
        <v>33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48</v>
      </c>
      <c r="N121">
        <v>7</v>
      </c>
      <c r="O121" t="s">
        <v>51</v>
      </c>
      <c r="P121">
        <v>38.4</v>
      </c>
      <c r="Q121">
        <v>1751</v>
      </c>
      <c r="R121">
        <v>5</v>
      </c>
      <c r="S121">
        <v>1</v>
      </c>
      <c r="T121" t="s">
        <v>45</v>
      </c>
      <c r="U121" t="s">
        <v>37</v>
      </c>
      <c r="V121">
        <v>146563</v>
      </c>
      <c r="W121">
        <v>3.09</v>
      </c>
      <c r="X121">
        <v>4</v>
      </c>
    </row>
    <row r="122" spans="1:24" x14ac:dyDescent="0.3">
      <c r="A122" t="s">
        <v>76</v>
      </c>
      <c r="B122" t="s">
        <v>77</v>
      </c>
      <c r="C122">
        <v>2023</v>
      </c>
      <c r="D122" t="s">
        <v>56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27</v>
      </c>
      <c r="N122">
        <v>5</v>
      </c>
      <c r="O122" t="s">
        <v>28</v>
      </c>
      <c r="P122">
        <v>65.7</v>
      </c>
      <c r="Q122">
        <v>2597</v>
      </c>
      <c r="R122">
        <v>4</v>
      </c>
      <c r="S122">
        <v>1</v>
      </c>
      <c r="T122" t="s">
        <v>41</v>
      </c>
      <c r="U122" t="s">
        <v>37</v>
      </c>
      <c r="V122">
        <v>28589</v>
      </c>
      <c r="W122">
        <v>3.5</v>
      </c>
      <c r="X122">
        <v>4</v>
      </c>
    </row>
    <row r="123" spans="1:24" x14ac:dyDescent="0.3">
      <c r="A123" t="s">
        <v>86</v>
      </c>
      <c r="B123" t="s">
        <v>105</v>
      </c>
      <c r="C123">
        <v>2024</v>
      </c>
      <c r="D123" t="s">
        <v>44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48</v>
      </c>
      <c r="N123">
        <v>7</v>
      </c>
      <c r="O123" t="s">
        <v>35</v>
      </c>
      <c r="P123">
        <v>61.8</v>
      </c>
      <c r="Q123">
        <v>2080</v>
      </c>
      <c r="R123">
        <v>5</v>
      </c>
      <c r="S123">
        <v>2</v>
      </c>
      <c r="T123" t="s">
        <v>29</v>
      </c>
      <c r="U123" t="s">
        <v>30</v>
      </c>
      <c r="V123">
        <v>39897</v>
      </c>
      <c r="W123">
        <v>3.7</v>
      </c>
      <c r="X123">
        <v>7</v>
      </c>
    </row>
    <row r="124" spans="1:24" x14ac:dyDescent="0.3">
      <c r="A124" t="s">
        <v>63</v>
      </c>
      <c r="B124" t="s">
        <v>67</v>
      </c>
      <c r="C124">
        <v>2024</v>
      </c>
      <c r="D124" t="s">
        <v>44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48</v>
      </c>
      <c r="N124">
        <v>7</v>
      </c>
      <c r="O124" t="s">
        <v>51</v>
      </c>
      <c r="P124">
        <v>33.5</v>
      </c>
      <c r="Q124">
        <v>1500</v>
      </c>
      <c r="R124">
        <v>5</v>
      </c>
      <c r="S124">
        <v>0</v>
      </c>
      <c r="T124" t="s">
        <v>65</v>
      </c>
      <c r="U124" t="s">
        <v>37</v>
      </c>
      <c r="V124">
        <v>108045</v>
      </c>
      <c r="W124">
        <v>3.61</v>
      </c>
      <c r="X124">
        <v>4</v>
      </c>
    </row>
    <row r="125" spans="1:24" x14ac:dyDescent="0.3">
      <c r="A125" t="s">
        <v>46</v>
      </c>
      <c r="B125" t="s">
        <v>57</v>
      </c>
      <c r="C125">
        <v>2023</v>
      </c>
      <c r="D125" t="s">
        <v>26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48</v>
      </c>
      <c r="N125">
        <v>7</v>
      </c>
      <c r="O125" t="s">
        <v>28</v>
      </c>
      <c r="P125">
        <v>71.3</v>
      </c>
      <c r="Q125">
        <v>2744</v>
      </c>
      <c r="R125">
        <v>4</v>
      </c>
      <c r="S125">
        <v>3</v>
      </c>
      <c r="T125" t="s">
        <v>41</v>
      </c>
      <c r="U125" t="s">
        <v>33</v>
      </c>
      <c r="V125">
        <v>208805</v>
      </c>
      <c r="W125">
        <v>4.34</v>
      </c>
      <c r="X125">
        <v>4</v>
      </c>
    </row>
    <row r="126" spans="1:24" x14ac:dyDescent="0.3">
      <c r="A126" t="s">
        <v>63</v>
      </c>
      <c r="B126" t="s">
        <v>107</v>
      </c>
      <c r="C126">
        <v>2024</v>
      </c>
      <c r="D126" t="s">
        <v>61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48</v>
      </c>
      <c r="N126">
        <v>5</v>
      </c>
      <c r="O126" t="s">
        <v>40</v>
      </c>
      <c r="P126">
        <v>78.2</v>
      </c>
      <c r="Q126">
        <v>1628</v>
      </c>
      <c r="R126">
        <v>4</v>
      </c>
      <c r="S126">
        <v>0</v>
      </c>
      <c r="T126" t="s">
        <v>65</v>
      </c>
      <c r="U126" t="s">
        <v>66</v>
      </c>
      <c r="V126">
        <v>169389</v>
      </c>
      <c r="W126">
        <v>3.37</v>
      </c>
      <c r="X126">
        <v>3</v>
      </c>
    </row>
    <row r="127" spans="1:24" x14ac:dyDescent="0.3">
      <c r="A127" t="s">
        <v>24</v>
      </c>
      <c r="B127" t="s">
        <v>75</v>
      </c>
      <c r="C127">
        <v>2024</v>
      </c>
      <c r="D127" t="s">
        <v>44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48</v>
      </c>
      <c r="N127">
        <v>7</v>
      </c>
      <c r="O127" t="s">
        <v>58</v>
      </c>
      <c r="P127">
        <v>18.399999999999999</v>
      </c>
      <c r="Q127">
        <v>1630</v>
      </c>
      <c r="R127">
        <v>5</v>
      </c>
      <c r="S127">
        <v>0</v>
      </c>
      <c r="T127" t="s">
        <v>29</v>
      </c>
      <c r="U127" t="s">
        <v>37</v>
      </c>
      <c r="V127">
        <v>284565</v>
      </c>
      <c r="W127">
        <v>3.65</v>
      </c>
      <c r="X127">
        <v>3</v>
      </c>
    </row>
    <row r="128" spans="1:24" x14ac:dyDescent="0.3">
      <c r="A128" t="s">
        <v>76</v>
      </c>
      <c r="B128" t="s">
        <v>98</v>
      </c>
      <c r="C128">
        <v>2024</v>
      </c>
      <c r="D128" t="s">
        <v>56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48</v>
      </c>
      <c r="N128">
        <v>7</v>
      </c>
      <c r="O128" t="s">
        <v>58</v>
      </c>
      <c r="P128">
        <v>32.6</v>
      </c>
      <c r="Q128">
        <v>1500</v>
      </c>
      <c r="R128">
        <v>3</v>
      </c>
      <c r="S128">
        <v>1</v>
      </c>
      <c r="T128" t="s">
        <v>41</v>
      </c>
      <c r="U128" t="s">
        <v>37</v>
      </c>
      <c r="V128">
        <v>62660</v>
      </c>
      <c r="W128">
        <v>3.28</v>
      </c>
      <c r="X128">
        <v>3</v>
      </c>
    </row>
    <row r="129" spans="1:24" x14ac:dyDescent="0.3">
      <c r="A129" t="s">
        <v>52</v>
      </c>
      <c r="B129" t="s">
        <v>103</v>
      </c>
      <c r="C129">
        <v>2026</v>
      </c>
      <c r="D129" t="s">
        <v>61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34</v>
      </c>
      <c r="N129">
        <v>7</v>
      </c>
      <c r="O129" t="s">
        <v>40</v>
      </c>
      <c r="P129">
        <v>60.2</v>
      </c>
      <c r="Q129">
        <v>1568</v>
      </c>
      <c r="R129">
        <v>5</v>
      </c>
      <c r="S129">
        <v>1</v>
      </c>
      <c r="T129" t="s">
        <v>29</v>
      </c>
      <c r="U129" t="s">
        <v>33</v>
      </c>
      <c r="V129">
        <v>79213</v>
      </c>
      <c r="W129">
        <v>3.77</v>
      </c>
      <c r="X129">
        <v>7</v>
      </c>
    </row>
    <row r="130" spans="1:24" x14ac:dyDescent="0.3">
      <c r="A130" t="s">
        <v>46</v>
      </c>
      <c r="B130" t="s">
        <v>49</v>
      </c>
      <c r="C130">
        <v>2024</v>
      </c>
      <c r="D130" t="s">
        <v>56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34</v>
      </c>
      <c r="N130">
        <v>7</v>
      </c>
      <c r="O130" t="s">
        <v>40</v>
      </c>
      <c r="P130">
        <v>79.8</v>
      </c>
      <c r="Q130">
        <v>1500</v>
      </c>
      <c r="R130">
        <v>4</v>
      </c>
      <c r="S130">
        <v>2</v>
      </c>
      <c r="T130" t="s">
        <v>41</v>
      </c>
      <c r="U130" t="s">
        <v>30</v>
      </c>
      <c r="V130">
        <v>422392</v>
      </c>
      <c r="W130">
        <v>3.52</v>
      </c>
      <c r="X130">
        <v>5</v>
      </c>
    </row>
    <row r="131" spans="1:24" x14ac:dyDescent="0.3">
      <c r="A131" t="s">
        <v>68</v>
      </c>
      <c r="B131" t="s">
        <v>109</v>
      </c>
      <c r="C131">
        <v>2025</v>
      </c>
      <c r="D131" t="s">
        <v>26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48</v>
      </c>
      <c r="N131">
        <v>7</v>
      </c>
      <c r="O131" t="s">
        <v>28</v>
      </c>
      <c r="P131">
        <v>59.8</v>
      </c>
      <c r="Q131">
        <v>2842</v>
      </c>
      <c r="R131">
        <v>4</v>
      </c>
      <c r="S131">
        <v>0</v>
      </c>
      <c r="T131" t="s">
        <v>45</v>
      </c>
      <c r="U131" t="s">
        <v>33</v>
      </c>
      <c r="V131">
        <v>98285</v>
      </c>
      <c r="W131">
        <v>3.82</v>
      </c>
      <c r="X131">
        <v>3</v>
      </c>
    </row>
    <row r="132" spans="1:24" x14ac:dyDescent="0.3">
      <c r="A132" t="s">
        <v>24</v>
      </c>
      <c r="B132" t="s">
        <v>25</v>
      </c>
      <c r="C132">
        <v>2025</v>
      </c>
      <c r="D132" t="s">
        <v>61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34</v>
      </c>
      <c r="N132">
        <v>7</v>
      </c>
      <c r="O132" t="s">
        <v>35</v>
      </c>
      <c r="P132">
        <v>45.9</v>
      </c>
      <c r="Q132">
        <v>2260</v>
      </c>
      <c r="R132">
        <v>5</v>
      </c>
      <c r="S132">
        <v>1</v>
      </c>
      <c r="T132" t="s">
        <v>29</v>
      </c>
      <c r="U132" t="s">
        <v>37</v>
      </c>
      <c r="V132">
        <v>215577</v>
      </c>
      <c r="W132">
        <v>3.2</v>
      </c>
      <c r="X132">
        <v>4</v>
      </c>
    </row>
    <row r="133" spans="1:24" x14ac:dyDescent="0.3">
      <c r="A133" t="s">
        <v>63</v>
      </c>
      <c r="B133" t="s">
        <v>82</v>
      </c>
      <c r="C133">
        <v>2025</v>
      </c>
      <c r="D133" t="s">
        <v>33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27</v>
      </c>
      <c r="N133">
        <v>7</v>
      </c>
      <c r="O133" t="s">
        <v>35</v>
      </c>
      <c r="P133">
        <v>61.7</v>
      </c>
      <c r="Q133">
        <v>2237</v>
      </c>
      <c r="R133">
        <v>4</v>
      </c>
      <c r="S133">
        <v>1</v>
      </c>
      <c r="T133" t="s">
        <v>65</v>
      </c>
      <c r="U133" t="s">
        <v>37</v>
      </c>
      <c r="V133">
        <v>128802</v>
      </c>
      <c r="W133">
        <v>3.46</v>
      </c>
      <c r="X133">
        <v>3</v>
      </c>
    </row>
    <row r="134" spans="1:24" x14ac:dyDescent="0.3">
      <c r="A134" t="s">
        <v>46</v>
      </c>
      <c r="B134" t="s">
        <v>47</v>
      </c>
      <c r="C134">
        <v>2024</v>
      </c>
      <c r="D134" t="s">
        <v>44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34</v>
      </c>
      <c r="N134">
        <v>5</v>
      </c>
      <c r="O134" t="s">
        <v>58</v>
      </c>
      <c r="P134">
        <v>19.899999999999999</v>
      </c>
      <c r="Q134">
        <v>1500</v>
      </c>
      <c r="R134">
        <v>5</v>
      </c>
      <c r="S134">
        <v>2</v>
      </c>
      <c r="T134" t="s">
        <v>41</v>
      </c>
      <c r="U134" t="s">
        <v>30</v>
      </c>
      <c r="V134">
        <v>204411</v>
      </c>
      <c r="W134">
        <v>3.95</v>
      </c>
      <c r="X134">
        <v>5</v>
      </c>
    </row>
    <row r="135" spans="1:24" x14ac:dyDescent="0.3">
      <c r="A135" t="s">
        <v>63</v>
      </c>
      <c r="B135" t="s">
        <v>67</v>
      </c>
      <c r="C135">
        <v>2025</v>
      </c>
      <c r="D135" t="s">
        <v>44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34</v>
      </c>
      <c r="N135">
        <v>5</v>
      </c>
      <c r="O135" t="s">
        <v>40</v>
      </c>
      <c r="P135">
        <v>64</v>
      </c>
      <c r="Q135">
        <v>1500</v>
      </c>
      <c r="R135">
        <v>5</v>
      </c>
      <c r="S135">
        <v>0</v>
      </c>
      <c r="T135" t="s">
        <v>65</v>
      </c>
      <c r="U135" t="s">
        <v>33</v>
      </c>
      <c r="V135">
        <v>227338</v>
      </c>
      <c r="W135">
        <v>3.64</v>
      </c>
      <c r="X135">
        <v>4</v>
      </c>
    </row>
    <row r="136" spans="1:24" x14ac:dyDescent="0.3">
      <c r="A136" t="s">
        <v>92</v>
      </c>
      <c r="B136" t="s">
        <v>110</v>
      </c>
      <c r="C136">
        <v>2022</v>
      </c>
      <c r="D136" t="s">
        <v>56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27</v>
      </c>
      <c r="N136">
        <v>7</v>
      </c>
      <c r="O136" t="s">
        <v>35</v>
      </c>
      <c r="P136">
        <v>40.799999999999997</v>
      </c>
      <c r="Q136">
        <v>1956</v>
      </c>
      <c r="R136">
        <v>4</v>
      </c>
      <c r="S136">
        <v>1</v>
      </c>
      <c r="T136" t="s">
        <v>65</v>
      </c>
      <c r="U136" t="s">
        <v>37</v>
      </c>
      <c r="V136">
        <v>10495</v>
      </c>
      <c r="W136">
        <v>3.38</v>
      </c>
      <c r="X136">
        <v>5</v>
      </c>
    </row>
    <row r="137" spans="1:24" x14ac:dyDescent="0.3">
      <c r="A137" t="s">
        <v>63</v>
      </c>
      <c r="B137" t="s">
        <v>96</v>
      </c>
      <c r="C137">
        <v>2025</v>
      </c>
      <c r="D137" t="s">
        <v>44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27</v>
      </c>
      <c r="N137">
        <v>7</v>
      </c>
      <c r="O137" t="s">
        <v>51</v>
      </c>
      <c r="P137">
        <v>19.8</v>
      </c>
      <c r="Q137">
        <v>1616</v>
      </c>
      <c r="R137">
        <v>4</v>
      </c>
      <c r="S137">
        <v>0</v>
      </c>
      <c r="T137" t="s">
        <v>65</v>
      </c>
      <c r="U137" t="s">
        <v>66</v>
      </c>
      <c r="V137">
        <v>146828</v>
      </c>
      <c r="W137">
        <v>3.67</v>
      </c>
      <c r="X137">
        <v>4</v>
      </c>
    </row>
    <row r="138" spans="1:24" x14ac:dyDescent="0.3">
      <c r="A138" t="s">
        <v>68</v>
      </c>
      <c r="B138" t="s">
        <v>106</v>
      </c>
      <c r="C138">
        <v>2025</v>
      </c>
      <c r="D138" t="s">
        <v>44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27</v>
      </c>
      <c r="N138">
        <v>5</v>
      </c>
      <c r="O138" t="s">
        <v>35</v>
      </c>
      <c r="P138">
        <v>55.4</v>
      </c>
      <c r="Q138">
        <v>2407</v>
      </c>
      <c r="R138">
        <v>4</v>
      </c>
      <c r="S138">
        <v>1</v>
      </c>
      <c r="T138" t="s">
        <v>45</v>
      </c>
      <c r="U138" t="s">
        <v>33</v>
      </c>
      <c r="V138">
        <v>71912</v>
      </c>
      <c r="W138">
        <v>3.59</v>
      </c>
      <c r="X138">
        <v>3</v>
      </c>
    </row>
    <row r="139" spans="1:24" x14ac:dyDescent="0.3">
      <c r="A139" t="s">
        <v>38</v>
      </c>
      <c r="B139" t="s">
        <v>39</v>
      </c>
      <c r="C139">
        <v>2025</v>
      </c>
      <c r="D139" t="s">
        <v>33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48</v>
      </c>
      <c r="N139">
        <v>7</v>
      </c>
      <c r="O139" t="s">
        <v>51</v>
      </c>
      <c r="P139">
        <v>20.100000000000001</v>
      </c>
      <c r="Q139">
        <v>1744</v>
      </c>
      <c r="R139">
        <v>5</v>
      </c>
      <c r="S139">
        <v>0</v>
      </c>
      <c r="T139" t="s">
        <v>41</v>
      </c>
      <c r="U139" t="s">
        <v>37</v>
      </c>
      <c r="V139">
        <v>21979</v>
      </c>
      <c r="W139">
        <v>3.27</v>
      </c>
      <c r="X139">
        <v>4</v>
      </c>
    </row>
    <row r="140" spans="1:24" x14ac:dyDescent="0.3">
      <c r="A140" t="s">
        <v>24</v>
      </c>
      <c r="B140" t="s">
        <v>25</v>
      </c>
      <c r="C140">
        <v>2025</v>
      </c>
      <c r="D140" t="s">
        <v>26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27</v>
      </c>
      <c r="N140">
        <v>5</v>
      </c>
      <c r="O140" t="s">
        <v>28</v>
      </c>
      <c r="P140">
        <v>60.2</v>
      </c>
      <c r="Q140">
        <v>2608</v>
      </c>
      <c r="R140">
        <v>4</v>
      </c>
      <c r="S140">
        <v>0</v>
      </c>
      <c r="T140" t="s">
        <v>29</v>
      </c>
      <c r="U140" t="s">
        <v>33</v>
      </c>
      <c r="V140">
        <v>216549</v>
      </c>
      <c r="W140">
        <v>3.66</v>
      </c>
      <c r="X140">
        <v>4</v>
      </c>
    </row>
    <row r="141" spans="1:24" x14ac:dyDescent="0.3">
      <c r="A141" t="s">
        <v>59</v>
      </c>
      <c r="B141" t="s">
        <v>111</v>
      </c>
      <c r="C141">
        <v>2022</v>
      </c>
      <c r="D141" t="s">
        <v>44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48</v>
      </c>
      <c r="N141">
        <v>7</v>
      </c>
      <c r="O141" t="s">
        <v>50</v>
      </c>
      <c r="P141">
        <v>19.8</v>
      </c>
      <c r="Q141">
        <v>1611</v>
      </c>
      <c r="R141">
        <v>5</v>
      </c>
      <c r="S141">
        <v>0</v>
      </c>
      <c r="T141" t="s">
        <v>41</v>
      </c>
      <c r="U141" t="s">
        <v>37</v>
      </c>
      <c r="V141">
        <v>23860</v>
      </c>
      <c r="W141">
        <v>3.43</v>
      </c>
      <c r="X141">
        <v>5</v>
      </c>
    </row>
    <row r="142" spans="1:24" x14ac:dyDescent="0.3">
      <c r="A142" t="s">
        <v>31</v>
      </c>
      <c r="B142" t="s">
        <v>112</v>
      </c>
      <c r="C142">
        <v>2025</v>
      </c>
      <c r="D142" t="s">
        <v>26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27</v>
      </c>
      <c r="N142">
        <v>5</v>
      </c>
      <c r="O142" t="s">
        <v>28</v>
      </c>
      <c r="P142">
        <v>68.7</v>
      </c>
      <c r="Q142">
        <v>2450</v>
      </c>
      <c r="R142">
        <v>5</v>
      </c>
      <c r="S142">
        <v>0</v>
      </c>
      <c r="T142" t="s">
        <v>36</v>
      </c>
      <c r="U142" t="s">
        <v>37</v>
      </c>
      <c r="V142">
        <v>15819</v>
      </c>
      <c r="W142">
        <v>4.18</v>
      </c>
      <c r="X142">
        <v>3</v>
      </c>
    </row>
    <row r="143" spans="1:24" x14ac:dyDescent="0.3">
      <c r="A143" t="s">
        <v>63</v>
      </c>
      <c r="B143" t="s">
        <v>96</v>
      </c>
      <c r="C143">
        <v>2023</v>
      </c>
      <c r="D143" t="s">
        <v>26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48</v>
      </c>
      <c r="N143">
        <v>5</v>
      </c>
      <c r="O143" t="s">
        <v>58</v>
      </c>
      <c r="P143">
        <v>33.1</v>
      </c>
      <c r="Q143">
        <v>1623</v>
      </c>
      <c r="R143">
        <v>4</v>
      </c>
      <c r="S143">
        <v>2</v>
      </c>
      <c r="T143" t="s">
        <v>65</v>
      </c>
      <c r="U143" t="s">
        <v>66</v>
      </c>
      <c r="V143">
        <v>106140</v>
      </c>
      <c r="W143">
        <v>3.65</v>
      </c>
      <c r="X143">
        <v>3</v>
      </c>
    </row>
    <row r="144" spans="1:24" x14ac:dyDescent="0.3">
      <c r="A144" t="s">
        <v>68</v>
      </c>
      <c r="B144" t="s">
        <v>69</v>
      </c>
      <c r="C144">
        <v>2025</v>
      </c>
      <c r="D144" t="s">
        <v>44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27</v>
      </c>
      <c r="N144">
        <v>7</v>
      </c>
      <c r="O144" t="s">
        <v>35</v>
      </c>
      <c r="P144">
        <v>41.8</v>
      </c>
      <c r="Q144">
        <v>2284</v>
      </c>
      <c r="R144">
        <v>3</v>
      </c>
      <c r="S144">
        <v>1</v>
      </c>
      <c r="T144" t="s">
        <v>45</v>
      </c>
      <c r="U144" t="s">
        <v>37</v>
      </c>
      <c r="V144">
        <v>61921</v>
      </c>
      <c r="W144">
        <v>3.92</v>
      </c>
      <c r="X144">
        <v>3</v>
      </c>
    </row>
    <row r="145" spans="1:24" x14ac:dyDescent="0.3">
      <c r="A145" t="s">
        <v>63</v>
      </c>
      <c r="B145" t="s">
        <v>96</v>
      </c>
      <c r="C145">
        <v>2024</v>
      </c>
      <c r="D145" t="s">
        <v>33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27</v>
      </c>
      <c r="N145">
        <v>7</v>
      </c>
      <c r="O145" t="s">
        <v>40</v>
      </c>
      <c r="P145">
        <v>67.3</v>
      </c>
      <c r="Q145">
        <v>1633</v>
      </c>
      <c r="R145">
        <v>5</v>
      </c>
      <c r="S145">
        <v>2</v>
      </c>
      <c r="T145" t="s">
        <v>65</v>
      </c>
      <c r="U145" t="s">
        <v>33</v>
      </c>
      <c r="V145">
        <v>229760</v>
      </c>
      <c r="W145">
        <v>3.35</v>
      </c>
      <c r="X145">
        <v>4</v>
      </c>
    </row>
    <row r="146" spans="1:24" x14ac:dyDescent="0.3">
      <c r="A146" t="s">
        <v>63</v>
      </c>
      <c r="B146" t="s">
        <v>64</v>
      </c>
      <c r="C146">
        <v>2023</v>
      </c>
      <c r="D146" t="s">
        <v>44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27</v>
      </c>
      <c r="N146">
        <v>5</v>
      </c>
      <c r="O146" t="s">
        <v>35</v>
      </c>
      <c r="P146">
        <v>54.1</v>
      </c>
      <c r="Q146">
        <v>1861</v>
      </c>
      <c r="R146">
        <v>5</v>
      </c>
      <c r="S146">
        <v>1</v>
      </c>
      <c r="T146" t="s">
        <v>65</v>
      </c>
      <c r="U146" t="s">
        <v>33</v>
      </c>
      <c r="V146">
        <v>177211</v>
      </c>
      <c r="W146">
        <v>3.38</v>
      </c>
      <c r="X146">
        <v>3</v>
      </c>
    </row>
    <row r="147" spans="1:24" x14ac:dyDescent="0.3">
      <c r="A147" t="s">
        <v>46</v>
      </c>
      <c r="B147" t="s">
        <v>57</v>
      </c>
      <c r="C147">
        <v>2025</v>
      </c>
      <c r="D147" t="s">
        <v>61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48</v>
      </c>
      <c r="N147">
        <v>5</v>
      </c>
      <c r="O147" t="s">
        <v>51</v>
      </c>
      <c r="P147">
        <v>28.4</v>
      </c>
      <c r="Q147">
        <v>1692</v>
      </c>
      <c r="R147">
        <v>4</v>
      </c>
      <c r="S147">
        <v>2</v>
      </c>
      <c r="T147" t="s">
        <v>41</v>
      </c>
      <c r="U147" t="s">
        <v>33</v>
      </c>
      <c r="V147">
        <v>226745</v>
      </c>
      <c r="W147">
        <v>3.61</v>
      </c>
      <c r="X147">
        <v>5</v>
      </c>
    </row>
    <row r="148" spans="1:24" x14ac:dyDescent="0.3">
      <c r="A148" t="s">
        <v>42</v>
      </c>
      <c r="B148" t="s">
        <v>43</v>
      </c>
      <c r="C148">
        <v>2025</v>
      </c>
      <c r="D148" t="s">
        <v>26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48</v>
      </c>
      <c r="N148">
        <v>5</v>
      </c>
      <c r="O148" t="s">
        <v>35</v>
      </c>
      <c r="P148">
        <v>39.6</v>
      </c>
      <c r="Q148">
        <v>2114</v>
      </c>
      <c r="R148">
        <v>4</v>
      </c>
      <c r="S148">
        <v>1</v>
      </c>
      <c r="T148" t="s">
        <v>45</v>
      </c>
      <c r="U148" t="s">
        <v>33</v>
      </c>
      <c r="V148">
        <v>52100</v>
      </c>
      <c r="W148">
        <v>3.59</v>
      </c>
      <c r="X148">
        <v>3</v>
      </c>
    </row>
    <row r="149" spans="1:24" x14ac:dyDescent="0.3">
      <c r="A149" t="s">
        <v>68</v>
      </c>
      <c r="B149" t="s">
        <v>90</v>
      </c>
      <c r="C149">
        <v>2024</v>
      </c>
      <c r="D149" t="s">
        <v>56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34</v>
      </c>
      <c r="N149">
        <v>7</v>
      </c>
      <c r="O149" t="s">
        <v>50</v>
      </c>
      <c r="P149">
        <v>30.7</v>
      </c>
      <c r="Q149">
        <v>1684</v>
      </c>
      <c r="R149">
        <v>5</v>
      </c>
      <c r="S149">
        <v>2</v>
      </c>
      <c r="T149" t="s">
        <v>45</v>
      </c>
      <c r="U149" t="s">
        <v>66</v>
      </c>
      <c r="V149">
        <v>53245</v>
      </c>
      <c r="W149">
        <v>3.2</v>
      </c>
      <c r="X149">
        <v>3</v>
      </c>
    </row>
    <row r="150" spans="1:24" x14ac:dyDescent="0.3">
      <c r="A150" t="s">
        <v>46</v>
      </c>
      <c r="B150" t="s">
        <v>72</v>
      </c>
      <c r="C150">
        <v>2024</v>
      </c>
      <c r="D150" t="s">
        <v>44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48</v>
      </c>
      <c r="N150">
        <v>5</v>
      </c>
      <c r="O150" t="s">
        <v>28</v>
      </c>
      <c r="P150">
        <v>69.599999999999994</v>
      </c>
      <c r="Q150">
        <v>2629</v>
      </c>
      <c r="R150">
        <v>4</v>
      </c>
      <c r="S150">
        <v>2</v>
      </c>
      <c r="T150" t="s">
        <v>41</v>
      </c>
      <c r="U150" t="s">
        <v>37</v>
      </c>
      <c r="V150">
        <v>136381</v>
      </c>
      <c r="W150">
        <v>3.84</v>
      </c>
      <c r="X150">
        <v>4</v>
      </c>
    </row>
    <row r="151" spans="1:24" x14ac:dyDescent="0.3">
      <c r="A151" t="s">
        <v>63</v>
      </c>
      <c r="B151" t="s">
        <v>96</v>
      </c>
      <c r="C151">
        <v>2023</v>
      </c>
      <c r="D151" t="s">
        <v>61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34</v>
      </c>
      <c r="N151">
        <v>7</v>
      </c>
      <c r="O151" t="s">
        <v>58</v>
      </c>
      <c r="P151">
        <v>29.6</v>
      </c>
      <c r="Q151">
        <v>1618</v>
      </c>
      <c r="R151">
        <v>4</v>
      </c>
      <c r="S151">
        <v>1</v>
      </c>
      <c r="T151" t="s">
        <v>65</v>
      </c>
      <c r="U151" t="s">
        <v>37</v>
      </c>
      <c r="V151">
        <v>176192</v>
      </c>
      <c r="W151">
        <v>3.19</v>
      </c>
      <c r="X151">
        <v>4</v>
      </c>
    </row>
    <row r="152" spans="1:24" x14ac:dyDescent="0.3">
      <c r="A152" t="s">
        <v>86</v>
      </c>
      <c r="B152" t="s">
        <v>105</v>
      </c>
      <c r="C152">
        <v>2024</v>
      </c>
      <c r="D152" t="s">
        <v>61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34</v>
      </c>
      <c r="N152">
        <v>7</v>
      </c>
      <c r="O152" t="s">
        <v>58</v>
      </c>
      <c r="P152">
        <v>17.100000000000001</v>
      </c>
      <c r="Q152">
        <v>1591</v>
      </c>
      <c r="R152">
        <v>3</v>
      </c>
      <c r="S152">
        <v>1</v>
      </c>
      <c r="T152" t="s">
        <v>29</v>
      </c>
      <c r="U152" t="s">
        <v>30</v>
      </c>
      <c r="V152">
        <v>45029</v>
      </c>
      <c r="W152">
        <v>3.56</v>
      </c>
      <c r="X152">
        <v>8</v>
      </c>
    </row>
    <row r="153" spans="1:24" x14ac:dyDescent="0.3">
      <c r="A153" t="s">
        <v>63</v>
      </c>
      <c r="B153" t="s">
        <v>88</v>
      </c>
      <c r="C153">
        <v>2023</v>
      </c>
      <c r="D153" t="s">
        <v>33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27</v>
      </c>
      <c r="N153">
        <v>5</v>
      </c>
      <c r="O153" t="s">
        <v>50</v>
      </c>
      <c r="P153">
        <v>34.5</v>
      </c>
      <c r="Q153">
        <v>1500</v>
      </c>
      <c r="R153">
        <v>4</v>
      </c>
      <c r="S153">
        <v>0</v>
      </c>
      <c r="T153" t="s">
        <v>65</v>
      </c>
      <c r="U153" t="s">
        <v>66</v>
      </c>
      <c r="V153">
        <v>240988</v>
      </c>
      <c r="W153">
        <v>3.46</v>
      </c>
      <c r="X153">
        <v>4</v>
      </c>
    </row>
    <row r="154" spans="1:24" x14ac:dyDescent="0.3">
      <c r="A154" t="s">
        <v>46</v>
      </c>
      <c r="B154" t="s">
        <v>49</v>
      </c>
      <c r="C154">
        <v>2024</v>
      </c>
      <c r="D154" t="s">
        <v>56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27</v>
      </c>
      <c r="N154">
        <v>5</v>
      </c>
      <c r="O154" t="s">
        <v>51</v>
      </c>
      <c r="P154">
        <v>17</v>
      </c>
      <c r="Q154">
        <v>1547</v>
      </c>
      <c r="R154">
        <v>5</v>
      </c>
      <c r="S154">
        <v>2</v>
      </c>
      <c r="T154" t="s">
        <v>41</v>
      </c>
      <c r="U154" t="s">
        <v>37</v>
      </c>
      <c r="V154">
        <v>429025</v>
      </c>
      <c r="W154">
        <v>3.73</v>
      </c>
      <c r="X154">
        <v>5</v>
      </c>
    </row>
    <row r="155" spans="1:24" x14ac:dyDescent="0.3">
      <c r="A155" t="s">
        <v>68</v>
      </c>
      <c r="B155" t="s">
        <v>109</v>
      </c>
      <c r="C155">
        <v>2025</v>
      </c>
      <c r="D155" t="s">
        <v>56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27</v>
      </c>
      <c r="N155">
        <v>5</v>
      </c>
      <c r="O155" t="s">
        <v>40</v>
      </c>
      <c r="P155">
        <v>79</v>
      </c>
      <c r="Q155">
        <v>1683</v>
      </c>
      <c r="R155">
        <v>5</v>
      </c>
      <c r="S155">
        <v>1</v>
      </c>
      <c r="T155" t="s">
        <v>45</v>
      </c>
      <c r="U155" t="s">
        <v>37</v>
      </c>
      <c r="V155">
        <v>89226</v>
      </c>
      <c r="W155">
        <v>3.67</v>
      </c>
      <c r="X155">
        <v>4</v>
      </c>
    </row>
    <row r="156" spans="1:24" x14ac:dyDescent="0.3">
      <c r="A156" t="s">
        <v>99</v>
      </c>
      <c r="B156" t="s">
        <v>113</v>
      </c>
      <c r="C156">
        <v>2024</v>
      </c>
      <c r="D156" t="s">
        <v>33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48</v>
      </c>
      <c r="N156">
        <v>5</v>
      </c>
      <c r="O156" t="s">
        <v>35</v>
      </c>
      <c r="P156">
        <v>67.8</v>
      </c>
      <c r="Q156">
        <v>2128</v>
      </c>
      <c r="R156">
        <v>5</v>
      </c>
      <c r="S156">
        <v>2</v>
      </c>
      <c r="T156" t="s">
        <v>29</v>
      </c>
      <c r="U156" t="s">
        <v>30</v>
      </c>
      <c r="V156">
        <v>23751</v>
      </c>
      <c r="W156">
        <v>3.87</v>
      </c>
      <c r="X156">
        <v>5</v>
      </c>
    </row>
    <row r="157" spans="1:24" x14ac:dyDescent="0.3">
      <c r="A157" t="s">
        <v>63</v>
      </c>
      <c r="B157" t="s">
        <v>107</v>
      </c>
      <c r="C157">
        <v>2024</v>
      </c>
      <c r="D157" t="s">
        <v>26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27</v>
      </c>
      <c r="N157">
        <v>5</v>
      </c>
      <c r="O157" t="s">
        <v>28</v>
      </c>
      <c r="P157">
        <v>68.3</v>
      </c>
      <c r="Q157">
        <v>2757</v>
      </c>
      <c r="R157">
        <v>4</v>
      </c>
      <c r="S157">
        <v>0</v>
      </c>
      <c r="T157" t="s">
        <v>65</v>
      </c>
      <c r="U157" t="s">
        <v>33</v>
      </c>
      <c r="V157">
        <v>152043</v>
      </c>
      <c r="W157">
        <v>3.48</v>
      </c>
      <c r="X157">
        <v>4</v>
      </c>
    </row>
    <row r="158" spans="1:24" x14ac:dyDescent="0.3">
      <c r="A158" t="s">
        <v>83</v>
      </c>
      <c r="B158" t="s">
        <v>89</v>
      </c>
      <c r="C158">
        <v>2024</v>
      </c>
      <c r="D158" t="s">
        <v>33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27</v>
      </c>
      <c r="N158">
        <v>5</v>
      </c>
      <c r="O158" t="s">
        <v>40</v>
      </c>
      <c r="P158">
        <v>68.900000000000006</v>
      </c>
      <c r="Q158">
        <v>1611</v>
      </c>
      <c r="R158">
        <v>5</v>
      </c>
      <c r="S158">
        <v>1</v>
      </c>
      <c r="T158" t="s">
        <v>29</v>
      </c>
      <c r="U158" t="s">
        <v>30</v>
      </c>
      <c r="V158">
        <v>54152</v>
      </c>
      <c r="W158">
        <v>3.63</v>
      </c>
      <c r="X158">
        <v>8</v>
      </c>
    </row>
    <row r="159" spans="1:24" x14ac:dyDescent="0.3">
      <c r="A159" t="s">
        <v>76</v>
      </c>
      <c r="B159" t="s">
        <v>91</v>
      </c>
      <c r="C159">
        <v>2026</v>
      </c>
      <c r="D159" t="s">
        <v>61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48</v>
      </c>
      <c r="N159">
        <v>4</v>
      </c>
      <c r="O159" t="s">
        <v>28</v>
      </c>
      <c r="P159">
        <v>59.7</v>
      </c>
      <c r="Q159">
        <v>2391</v>
      </c>
      <c r="R159">
        <v>4</v>
      </c>
      <c r="S159">
        <v>0</v>
      </c>
      <c r="T159" t="s">
        <v>41</v>
      </c>
      <c r="U159" t="s">
        <v>37</v>
      </c>
      <c r="V159">
        <v>26384</v>
      </c>
      <c r="W159">
        <v>3.09</v>
      </c>
      <c r="X159">
        <v>5</v>
      </c>
    </row>
    <row r="160" spans="1:24" x14ac:dyDescent="0.3">
      <c r="A160" t="s">
        <v>63</v>
      </c>
      <c r="B160" t="s">
        <v>64</v>
      </c>
      <c r="C160">
        <v>2024</v>
      </c>
      <c r="D160" t="s">
        <v>56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34</v>
      </c>
      <c r="N160">
        <v>5</v>
      </c>
      <c r="O160" t="s">
        <v>28</v>
      </c>
      <c r="P160">
        <v>68.2</v>
      </c>
      <c r="Q160">
        <v>2552</v>
      </c>
      <c r="R160">
        <v>3</v>
      </c>
      <c r="S160">
        <v>1</v>
      </c>
      <c r="T160" t="s">
        <v>65</v>
      </c>
      <c r="U160" t="s">
        <v>66</v>
      </c>
      <c r="V160">
        <v>210937</v>
      </c>
      <c r="W160">
        <v>3.48</v>
      </c>
      <c r="X160">
        <v>3</v>
      </c>
    </row>
    <row r="161" spans="1:24" x14ac:dyDescent="0.3">
      <c r="A161" t="s">
        <v>38</v>
      </c>
      <c r="B161" t="s">
        <v>55</v>
      </c>
      <c r="C161">
        <v>2025</v>
      </c>
      <c r="D161" t="s">
        <v>61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27</v>
      </c>
      <c r="N161">
        <v>7</v>
      </c>
      <c r="O161" t="s">
        <v>35</v>
      </c>
      <c r="P161">
        <v>45.1</v>
      </c>
      <c r="Q161">
        <v>1866</v>
      </c>
      <c r="R161">
        <v>4</v>
      </c>
      <c r="S161">
        <v>1</v>
      </c>
      <c r="T161" t="s">
        <v>41</v>
      </c>
      <c r="U161" t="s">
        <v>37</v>
      </c>
      <c r="V161">
        <v>6914</v>
      </c>
      <c r="W161">
        <v>3.21</v>
      </c>
      <c r="X161">
        <v>4</v>
      </c>
    </row>
    <row r="162" spans="1:24" x14ac:dyDescent="0.3">
      <c r="A162" t="s">
        <v>24</v>
      </c>
      <c r="B162" t="s">
        <v>25</v>
      </c>
      <c r="C162">
        <v>2025</v>
      </c>
      <c r="D162" t="s">
        <v>44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48</v>
      </c>
      <c r="N162">
        <v>5</v>
      </c>
      <c r="O162" t="s">
        <v>58</v>
      </c>
      <c r="P162">
        <v>19.600000000000001</v>
      </c>
      <c r="Q162">
        <v>1697</v>
      </c>
      <c r="R162">
        <v>5</v>
      </c>
      <c r="S162">
        <v>1</v>
      </c>
      <c r="T162" t="s">
        <v>29</v>
      </c>
      <c r="U162" t="s">
        <v>33</v>
      </c>
      <c r="V162">
        <v>222583</v>
      </c>
      <c r="W162">
        <v>3.38</v>
      </c>
      <c r="X162">
        <v>3</v>
      </c>
    </row>
    <row r="163" spans="1:24" x14ac:dyDescent="0.3">
      <c r="A163" t="s">
        <v>83</v>
      </c>
      <c r="B163" t="s">
        <v>104</v>
      </c>
      <c r="C163">
        <v>2025</v>
      </c>
      <c r="D163" t="s">
        <v>44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34</v>
      </c>
      <c r="N163">
        <v>7</v>
      </c>
      <c r="O163" t="s">
        <v>58</v>
      </c>
      <c r="P163">
        <v>24.9</v>
      </c>
      <c r="Q163">
        <v>1872</v>
      </c>
      <c r="R163">
        <v>3</v>
      </c>
      <c r="S163">
        <v>1</v>
      </c>
      <c r="T163" t="s">
        <v>29</v>
      </c>
      <c r="U163" t="s">
        <v>30</v>
      </c>
      <c r="V163">
        <v>51096</v>
      </c>
      <c r="W163">
        <v>3.39</v>
      </c>
      <c r="X163">
        <v>7</v>
      </c>
    </row>
    <row r="164" spans="1:24" x14ac:dyDescent="0.3">
      <c r="A164" t="s">
        <v>83</v>
      </c>
      <c r="B164" t="s">
        <v>114</v>
      </c>
      <c r="C164">
        <v>2025</v>
      </c>
      <c r="D164" t="s">
        <v>61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27</v>
      </c>
      <c r="N164">
        <v>5</v>
      </c>
      <c r="O164" t="s">
        <v>50</v>
      </c>
      <c r="P164">
        <v>18.3</v>
      </c>
      <c r="Q164">
        <v>1510</v>
      </c>
      <c r="R164">
        <v>5</v>
      </c>
      <c r="S164">
        <v>2</v>
      </c>
      <c r="T164" t="s">
        <v>29</v>
      </c>
      <c r="U164" t="s">
        <v>33</v>
      </c>
      <c r="V164">
        <v>66065</v>
      </c>
      <c r="W164">
        <v>3.41</v>
      </c>
      <c r="X164">
        <v>5</v>
      </c>
    </row>
    <row r="165" spans="1:24" x14ac:dyDescent="0.3">
      <c r="A165" t="s">
        <v>68</v>
      </c>
      <c r="B165" t="s">
        <v>90</v>
      </c>
      <c r="C165">
        <v>2021</v>
      </c>
      <c r="D165" t="s">
        <v>33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27</v>
      </c>
      <c r="N165">
        <v>5</v>
      </c>
      <c r="O165" t="s">
        <v>28</v>
      </c>
      <c r="P165">
        <v>70.7</v>
      </c>
      <c r="Q165">
        <v>2400</v>
      </c>
      <c r="R165">
        <v>4</v>
      </c>
      <c r="S165">
        <v>0</v>
      </c>
      <c r="T165" t="s">
        <v>45</v>
      </c>
      <c r="U165" t="s">
        <v>33</v>
      </c>
      <c r="V165">
        <v>137712</v>
      </c>
      <c r="W165">
        <v>3.33</v>
      </c>
      <c r="X165">
        <v>4</v>
      </c>
    </row>
    <row r="166" spans="1:24" x14ac:dyDescent="0.3">
      <c r="A166" t="s">
        <v>46</v>
      </c>
      <c r="B166" t="s">
        <v>47</v>
      </c>
      <c r="C166">
        <v>2023</v>
      </c>
      <c r="D166" t="s">
        <v>33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27</v>
      </c>
      <c r="N166">
        <v>7</v>
      </c>
      <c r="O166" t="s">
        <v>35</v>
      </c>
      <c r="P166">
        <v>68.900000000000006</v>
      </c>
      <c r="Q166">
        <v>2083</v>
      </c>
      <c r="R166">
        <v>5</v>
      </c>
      <c r="S166">
        <v>3</v>
      </c>
      <c r="T166" t="s">
        <v>41</v>
      </c>
      <c r="U166" t="s">
        <v>30</v>
      </c>
      <c r="V166">
        <v>228731</v>
      </c>
      <c r="W166">
        <v>3.4</v>
      </c>
      <c r="X166">
        <v>4</v>
      </c>
    </row>
    <row r="167" spans="1:24" x14ac:dyDescent="0.3">
      <c r="A167" t="s">
        <v>52</v>
      </c>
      <c r="B167" t="s">
        <v>103</v>
      </c>
      <c r="C167">
        <v>2024</v>
      </c>
      <c r="D167" t="s">
        <v>33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48</v>
      </c>
      <c r="N167">
        <v>5</v>
      </c>
      <c r="O167" t="s">
        <v>50</v>
      </c>
      <c r="P167">
        <v>39.6</v>
      </c>
      <c r="Q167">
        <v>1581</v>
      </c>
      <c r="R167">
        <v>3</v>
      </c>
      <c r="S167">
        <v>1</v>
      </c>
      <c r="T167" t="s">
        <v>29</v>
      </c>
      <c r="U167" t="s">
        <v>30</v>
      </c>
      <c r="V167">
        <v>69583</v>
      </c>
      <c r="W167">
        <v>3.65</v>
      </c>
      <c r="X167">
        <v>7</v>
      </c>
    </row>
    <row r="168" spans="1:24" x14ac:dyDescent="0.3">
      <c r="A168" t="s">
        <v>63</v>
      </c>
      <c r="B168" t="s">
        <v>107</v>
      </c>
      <c r="C168">
        <v>2021</v>
      </c>
      <c r="D168" t="s">
        <v>61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34</v>
      </c>
      <c r="N168">
        <v>5</v>
      </c>
      <c r="O168" t="s">
        <v>35</v>
      </c>
      <c r="P168">
        <v>46</v>
      </c>
      <c r="Q168">
        <v>2063</v>
      </c>
      <c r="R168">
        <v>3</v>
      </c>
      <c r="S168">
        <v>1</v>
      </c>
      <c r="T168" t="s">
        <v>65</v>
      </c>
      <c r="U168" t="s">
        <v>37</v>
      </c>
      <c r="V168">
        <v>230454</v>
      </c>
      <c r="W168">
        <v>3.4</v>
      </c>
      <c r="X168">
        <v>5</v>
      </c>
    </row>
    <row r="169" spans="1:24" x14ac:dyDescent="0.3">
      <c r="A169" t="s">
        <v>46</v>
      </c>
      <c r="B169" t="s">
        <v>57</v>
      </c>
      <c r="C169">
        <v>2022</v>
      </c>
      <c r="D169" t="s">
        <v>44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27</v>
      </c>
      <c r="N169">
        <v>7</v>
      </c>
      <c r="O169" t="s">
        <v>51</v>
      </c>
      <c r="P169">
        <v>34</v>
      </c>
      <c r="Q169">
        <v>1500</v>
      </c>
      <c r="R169">
        <v>5</v>
      </c>
      <c r="S169">
        <v>2</v>
      </c>
      <c r="T169" t="s">
        <v>41</v>
      </c>
      <c r="U169" t="s">
        <v>30</v>
      </c>
      <c r="V169">
        <v>213496</v>
      </c>
      <c r="W169">
        <v>3.81</v>
      </c>
      <c r="X169">
        <v>5</v>
      </c>
    </row>
    <row r="170" spans="1:24" x14ac:dyDescent="0.3">
      <c r="A170" t="s">
        <v>46</v>
      </c>
      <c r="B170" t="s">
        <v>78</v>
      </c>
      <c r="C170">
        <v>2023</v>
      </c>
      <c r="D170" t="s">
        <v>33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27</v>
      </c>
      <c r="N170">
        <v>5</v>
      </c>
      <c r="O170" t="s">
        <v>28</v>
      </c>
      <c r="P170">
        <v>57.8</v>
      </c>
      <c r="Q170">
        <v>2601</v>
      </c>
      <c r="R170">
        <v>5</v>
      </c>
      <c r="S170">
        <v>3</v>
      </c>
      <c r="T170" t="s">
        <v>41</v>
      </c>
      <c r="U170" t="s">
        <v>37</v>
      </c>
      <c r="V170">
        <v>203412</v>
      </c>
      <c r="W170">
        <v>3.84</v>
      </c>
      <c r="X170">
        <v>4</v>
      </c>
    </row>
    <row r="171" spans="1:24" x14ac:dyDescent="0.3">
      <c r="A171" t="s">
        <v>42</v>
      </c>
      <c r="B171" t="s">
        <v>115</v>
      </c>
      <c r="C171">
        <v>2022</v>
      </c>
      <c r="D171" t="s">
        <v>56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48</v>
      </c>
      <c r="N171">
        <v>5</v>
      </c>
      <c r="O171" t="s">
        <v>35</v>
      </c>
      <c r="P171">
        <v>64.2</v>
      </c>
      <c r="Q171">
        <v>1917</v>
      </c>
      <c r="R171">
        <v>5</v>
      </c>
      <c r="S171">
        <v>0</v>
      </c>
      <c r="T171" t="s">
        <v>45</v>
      </c>
      <c r="U171" t="s">
        <v>37</v>
      </c>
      <c r="V171">
        <v>145797</v>
      </c>
      <c r="W171">
        <v>3.55</v>
      </c>
      <c r="X171">
        <v>3</v>
      </c>
    </row>
    <row r="172" spans="1:24" x14ac:dyDescent="0.3">
      <c r="A172" t="s">
        <v>83</v>
      </c>
      <c r="B172" t="s">
        <v>116</v>
      </c>
      <c r="C172">
        <v>2023</v>
      </c>
      <c r="D172" t="s">
        <v>44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27</v>
      </c>
      <c r="N172">
        <v>7</v>
      </c>
      <c r="O172" t="s">
        <v>58</v>
      </c>
      <c r="P172">
        <v>23.8</v>
      </c>
      <c r="Q172">
        <v>1596</v>
      </c>
      <c r="R172">
        <v>5</v>
      </c>
      <c r="S172">
        <v>2</v>
      </c>
      <c r="T172" t="s">
        <v>29</v>
      </c>
      <c r="U172" t="s">
        <v>33</v>
      </c>
      <c r="V172">
        <v>29925</v>
      </c>
      <c r="W172">
        <v>3.89</v>
      </c>
      <c r="X172">
        <v>5</v>
      </c>
    </row>
    <row r="173" spans="1:24" x14ac:dyDescent="0.3">
      <c r="A173" t="s">
        <v>46</v>
      </c>
      <c r="B173" t="s">
        <v>49</v>
      </c>
      <c r="C173">
        <v>2024</v>
      </c>
      <c r="D173" t="s">
        <v>61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34</v>
      </c>
      <c r="N173">
        <v>7</v>
      </c>
      <c r="O173" t="s">
        <v>50</v>
      </c>
      <c r="P173">
        <v>28</v>
      </c>
      <c r="Q173">
        <v>1500</v>
      </c>
      <c r="R173">
        <v>5</v>
      </c>
      <c r="S173">
        <v>2</v>
      </c>
      <c r="T173" t="s">
        <v>41</v>
      </c>
      <c r="U173" t="s">
        <v>66</v>
      </c>
      <c r="V173">
        <v>457458</v>
      </c>
      <c r="W173">
        <v>3.75</v>
      </c>
      <c r="X173">
        <v>5</v>
      </c>
    </row>
    <row r="174" spans="1:24" x14ac:dyDescent="0.3">
      <c r="A174" t="s">
        <v>68</v>
      </c>
      <c r="B174" t="s">
        <v>69</v>
      </c>
      <c r="C174">
        <v>2025</v>
      </c>
      <c r="D174" t="s">
        <v>44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34</v>
      </c>
      <c r="N174">
        <v>5</v>
      </c>
      <c r="O174" t="s">
        <v>40</v>
      </c>
      <c r="P174">
        <v>63.4</v>
      </c>
      <c r="Q174">
        <v>1663</v>
      </c>
      <c r="R174">
        <v>4</v>
      </c>
      <c r="S174">
        <v>0</v>
      </c>
      <c r="T174" t="s">
        <v>45</v>
      </c>
      <c r="U174" t="s">
        <v>37</v>
      </c>
      <c r="V174">
        <v>84174</v>
      </c>
      <c r="W174">
        <v>3.27</v>
      </c>
      <c r="X174">
        <v>3</v>
      </c>
    </row>
    <row r="175" spans="1:24" x14ac:dyDescent="0.3">
      <c r="A175" t="s">
        <v>63</v>
      </c>
      <c r="B175" t="s">
        <v>82</v>
      </c>
      <c r="C175">
        <v>2024</v>
      </c>
      <c r="D175" t="s">
        <v>56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34</v>
      </c>
      <c r="N175">
        <v>5</v>
      </c>
      <c r="O175" t="s">
        <v>50</v>
      </c>
      <c r="P175">
        <v>22.8</v>
      </c>
      <c r="Q175">
        <v>1656</v>
      </c>
      <c r="R175">
        <v>4</v>
      </c>
      <c r="S175">
        <v>0</v>
      </c>
      <c r="T175" t="s">
        <v>65</v>
      </c>
      <c r="U175" t="s">
        <v>33</v>
      </c>
      <c r="V175">
        <v>140199</v>
      </c>
      <c r="W175">
        <v>3.58</v>
      </c>
      <c r="X175">
        <v>5</v>
      </c>
    </row>
    <row r="176" spans="1:24" x14ac:dyDescent="0.3">
      <c r="A176" t="s">
        <v>83</v>
      </c>
      <c r="B176" t="s">
        <v>114</v>
      </c>
      <c r="C176">
        <v>2023</v>
      </c>
      <c r="D176" t="s">
        <v>56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34</v>
      </c>
      <c r="N176">
        <v>5</v>
      </c>
      <c r="O176" t="s">
        <v>40</v>
      </c>
      <c r="P176">
        <v>63.5</v>
      </c>
      <c r="Q176">
        <v>1615</v>
      </c>
      <c r="R176">
        <v>5</v>
      </c>
      <c r="S176">
        <v>1</v>
      </c>
      <c r="T176" t="s">
        <v>29</v>
      </c>
      <c r="U176" t="s">
        <v>37</v>
      </c>
      <c r="V176">
        <v>20422</v>
      </c>
      <c r="W176">
        <v>3.39</v>
      </c>
      <c r="X176">
        <v>8</v>
      </c>
    </row>
    <row r="177" spans="1:24" x14ac:dyDescent="0.3">
      <c r="A177" t="s">
        <v>46</v>
      </c>
      <c r="B177" t="s">
        <v>72</v>
      </c>
      <c r="C177">
        <v>2023</v>
      </c>
      <c r="D177" t="s">
        <v>56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27</v>
      </c>
      <c r="N177">
        <v>7</v>
      </c>
      <c r="O177" t="s">
        <v>28</v>
      </c>
      <c r="P177">
        <v>61.3</v>
      </c>
      <c r="Q177">
        <v>2449</v>
      </c>
      <c r="R177">
        <v>5</v>
      </c>
      <c r="S177">
        <v>2</v>
      </c>
      <c r="T177" t="s">
        <v>41</v>
      </c>
      <c r="U177" t="s">
        <v>30</v>
      </c>
      <c r="V177">
        <v>162424</v>
      </c>
      <c r="W177">
        <v>3.82</v>
      </c>
      <c r="X177">
        <v>4</v>
      </c>
    </row>
    <row r="178" spans="1:24" x14ac:dyDescent="0.3">
      <c r="A178" t="s">
        <v>38</v>
      </c>
      <c r="B178" t="s">
        <v>55</v>
      </c>
      <c r="C178">
        <v>2022</v>
      </c>
      <c r="D178" t="s">
        <v>56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27</v>
      </c>
      <c r="N178">
        <v>7</v>
      </c>
      <c r="O178" t="s">
        <v>28</v>
      </c>
      <c r="P178">
        <v>60.8</v>
      </c>
      <c r="Q178">
        <v>2500</v>
      </c>
      <c r="R178">
        <v>4</v>
      </c>
      <c r="S178">
        <v>1</v>
      </c>
      <c r="T178" t="s">
        <v>41</v>
      </c>
      <c r="U178" t="s">
        <v>66</v>
      </c>
      <c r="V178">
        <v>9346</v>
      </c>
      <c r="W178">
        <v>3.53</v>
      </c>
      <c r="X178">
        <v>3</v>
      </c>
    </row>
    <row r="179" spans="1:24" x14ac:dyDescent="0.3">
      <c r="A179" t="s">
        <v>24</v>
      </c>
      <c r="B179" t="s">
        <v>70</v>
      </c>
      <c r="C179">
        <v>2025</v>
      </c>
      <c r="D179" t="s">
        <v>33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48</v>
      </c>
      <c r="N179">
        <v>5</v>
      </c>
      <c r="O179" t="s">
        <v>40</v>
      </c>
      <c r="P179">
        <v>64.2</v>
      </c>
      <c r="Q179">
        <v>1500</v>
      </c>
      <c r="R179">
        <v>5</v>
      </c>
      <c r="S179">
        <v>0</v>
      </c>
      <c r="T179" t="s">
        <v>29</v>
      </c>
      <c r="U179" t="s">
        <v>33</v>
      </c>
      <c r="V179">
        <v>295974</v>
      </c>
      <c r="W179">
        <v>3.47</v>
      </c>
      <c r="X179">
        <v>5</v>
      </c>
    </row>
    <row r="180" spans="1:24" x14ac:dyDescent="0.3">
      <c r="A180" t="s">
        <v>92</v>
      </c>
      <c r="B180" t="s">
        <v>93</v>
      </c>
      <c r="C180">
        <v>2025</v>
      </c>
      <c r="D180" t="s">
        <v>44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34</v>
      </c>
      <c r="N180">
        <v>7</v>
      </c>
      <c r="O180" t="s">
        <v>35</v>
      </c>
      <c r="P180">
        <v>41.2</v>
      </c>
      <c r="Q180">
        <v>1856</v>
      </c>
      <c r="R180">
        <v>3</v>
      </c>
      <c r="S180">
        <v>1</v>
      </c>
      <c r="T180" t="s">
        <v>65</v>
      </c>
      <c r="U180" t="s">
        <v>30</v>
      </c>
      <c r="V180">
        <v>18130</v>
      </c>
      <c r="W180">
        <v>3.2</v>
      </c>
      <c r="X180">
        <v>4</v>
      </c>
    </row>
    <row r="181" spans="1:24" x14ac:dyDescent="0.3">
      <c r="A181" t="s">
        <v>46</v>
      </c>
      <c r="B181" t="s">
        <v>78</v>
      </c>
      <c r="C181">
        <v>2025</v>
      </c>
      <c r="D181" t="s">
        <v>56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48</v>
      </c>
      <c r="N181">
        <v>7</v>
      </c>
      <c r="O181" t="s">
        <v>40</v>
      </c>
      <c r="P181">
        <v>60</v>
      </c>
      <c r="Q181">
        <v>1837</v>
      </c>
      <c r="R181">
        <v>5</v>
      </c>
      <c r="S181">
        <v>2</v>
      </c>
      <c r="T181" t="s">
        <v>41</v>
      </c>
      <c r="U181" t="s">
        <v>33</v>
      </c>
      <c r="V181">
        <v>132658</v>
      </c>
      <c r="W181">
        <v>3.6</v>
      </c>
      <c r="X181">
        <v>4</v>
      </c>
    </row>
    <row r="182" spans="1:24" x14ac:dyDescent="0.3">
      <c r="A182" t="s">
        <v>63</v>
      </c>
      <c r="B182" t="s">
        <v>82</v>
      </c>
      <c r="C182">
        <v>2024</v>
      </c>
      <c r="D182" t="s">
        <v>61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48</v>
      </c>
      <c r="N182">
        <v>5</v>
      </c>
      <c r="O182" t="s">
        <v>50</v>
      </c>
      <c r="P182">
        <v>25.2</v>
      </c>
      <c r="Q182">
        <v>1630</v>
      </c>
      <c r="R182">
        <v>4</v>
      </c>
      <c r="S182">
        <v>1</v>
      </c>
      <c r="T182" t="s">
        <v>65</v>
      </c>
      <c r="U182" t="s">
        <v>37</v>
      </c>
      <c r="V182">
        <v>112631</v>
      </c>
      <c r="W182">
        <v>3.46</v>
      </c>
      <c r="X182">
        <v>5</v>
      </c>
    </row>
    <row r="183" spans="1:24" x14ac:dyDescent="0.3">
      <c r="A183" t="s">
        <v>46</v>
      </c>
      <c r="B183" t="s">
        <v>47</v>
      </c>
      <c r="C183">
        <v>2025</v>
      </c>
      <c r="D183" t="s">
        <v>61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48</v>
      </c>
      <c r="N183">
        <v>5</v>
      </c>
      <c r="O183" t="s">
        <v>35</v>
      </c>
      <c r="P183">
        <v>35.9</v>
      </c>
      <c r="Q183">
        <v>1751</v>
      </c>
      <c r="R183">
        <v>5</v>
      </c>
      <c r="S183">
        <v>3</v>
      </c>
      <c r="T183" t="s">
        <v>41</v>
      </c>
      <c r="U183" t="s">
        <v>30</v>
      </c>
      <c r="V183">
        <v>220080</v>
      </c>
      <c r="W183">
        <v>3.43</v>
      </c>
      <c r="X183">
        <v>6</v>
      </c>
    </row>
    <row r="184" spans="1:24" x14ac:dyDescent="0.3">
      <c r="A184" t="s">
        <v>94</v>
      </c>
      <c r="B184" t="s">
        <v>95</v>
      </c>
      <c r="C184">
        <v>2023</v>
      </c>
      <c r="D184" t="s">
        <v>26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48</v>
      </c>
      <c r="N184">
        <v>7</v>
      </c>
      <c r="O184" t="s">
        <v>58</v>
      </c>
      <c r="P184">
        <v>15.8</v>
      </c>
      <c r="Q184">
        <v>1647</v>
      </c>
      <c r="R184">
        <v>5</v>
      </c>
      <c r="S184">
        <v>1</v>
      </c>
      <c r="T184" t="s">
        <v>41</v>
      </c>
      <c r="U184" t="s">
        <v>30</v>
      </c>
      <c r="V184">
        <v>4453</v>
      </c>
      <c r="W184">
        <v>3.72</v>
      </c>
      <c r="X184">
        <v>4</v>
      </c>
    </row>
    <row r="185" spans="1:24" x14ac:dyDescent="0.3">
      <c r="A185" t="s">
        <v>86</v>
      </c>
      <c r="B185" t="s">
        <v>87</v>
      </c>
      <c r="C185">
        <v>2026</v>
      </c>
      <c r="D185" t="s">
        <v>26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27</v>
      </c>
      <c r="N185">
        <v>5</v>
      </c>
      <c r="O185" t="s">
        <v>58</v>
      </c>
      <c r="P185">
        <v>21.8</v>
      </c>
      <c r="Q185">
        <v>1634</v>
      </c>
      <c r="R185">
        <v>5</v>
      </c>
      <c r="S185">
        <v>1</v>
      </c>
      <c r="T185" t="s">
        <v>29</v>
      </c>
      <c r="U185" t="s">
        <v>30</v>
      </c>
      <c r="V185">
        <v>35466</v>
      </c>
      <c r="W185">
        <v>3.84</v>
      </c>
      <c r="X185">
        <v>7</v>
      </c>
    </row>
    <row r="186" spans="1:24" x14ac:dyDescent="0.3">
      <c r="A186" t="s">
        <v>63</v>
      </c>
      <c r="B186" t="s">
        <v>67</v>
      </c>
      <c r="C186">
        <v>2026</v>
      </c>
      <c r="D186" t="s">
        <v>33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48</v>
      </c>
      <c r="N186">
        <v>5</v>
      </c>
      <c r="O186" t="s">
        <v>58</v>
      </c>
      <c r="P186">
        <v>35.5</v>
      </c>
      <c r="Q186">
        <v>1770</v>
      </c>
      <c r="R186">
        <v>4</v>
      </c>
      <c r="S186">
        <v>1</v>
      </c>
      <c r="T186" t="s">
        <v>65</v>
      </c>
      <c r="U186" t="s">
        <v>30</v>
      </c>
      <c r="V186">
        <v>112568</v>
      </c>
      <c r="W186">
        <v>3.22</v>
      </c>
      <c r="X186">
        <v>4</v>
      </c>
    </row>
    <row r="187" spans="1:24" x14ac:dyDescent="0.3">
      <c r="A187" t="s">
        <v>83</v>
      </c>
      <c r="B187" t="s">
        <v>114</v>
      </c>
      <c r="C187">
        <v>2025</v>
      </c>
      <c r="D187" t="s">
        <v>33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48</v>
      </c>
      <c r="N187">
        <v>7</v>
      </c>
      <c r="O187" t="s">
        <v>50</v>
      </c>
      <c r="P187">
        <v>25.4</v>
      </c>
      <c r="Q187">
        <v>1688</v>
      </c>
      <c r="R187">
        <v>4</v>
      </c>
      <c r="S187">
        <v>2</v>
      </c>
      <c r="T187" t="s">
        <v>29</v>
      </c>
      <c r="U187" t="s">
        <v>33</v>
      </c>
      <c r="V187">
        <v>26069</v>
      </c>
      <c r="W187">
        <v>3.19</v>
      </c>
      <c r="X187">
        <v>7</v>
      </c>
    </row>
    <row r="188" spans="1:24" x14ac:dyDescent="0.3">
      <c r="A188" t="s">
        <v>76</v>
      </c>
      <c r="B188" t="s">
        <v>81</v>
      </c>
      <c r="C188">
        <v>2026</v>
      </c>
      <c r="D188" t="s">
        <v>26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27</v>
      </c>
      <c r="N188">
        <v>5</v>
      </c>
      <c r="O188" t="s">
        <v>35</v>
      </c>
      <c r="P188">
        <v>59.5</v>
      </c>
      <c r="Q188">
        <v>1927</v>
      </c>
      <c r="R188">
        <v>5</v>
      </c>
      <c r="S188">
        <v>1</v>
      </c>
      <c r="T188" t="s">
        <v>41</v>
      </c>
      <c r="U188" t="s">
        <v>37</v>
      </c>
      <c r="V188">
        <v>76169</v>
      </c>
      <c r="W188">
        <v>3.67</v>
      </c>
      <c r="X188">
        <v>4</v>
      </c>
    </row>
    <row r="189" spans="1:24" x14ac:dyDescent="0.3">
      <c r="A189" t="s">
        <v>42</v>
      </c>
      <c r="B189" t="s">
        <v>80</v>
      </c>
      <c r="C189">
        <v>2024</v>
      </c>
      <c r="D189" t="s">
        <v>33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27</v>
      </c>
      <c r="N189">
        <v>5</v>
      </c>
      <c r="O189" t="s">
        <v>35</v>
      </c>
      <c r="P189">
        <v>55</v>
      </c>
      <c r="Q189">
        <v>2132</v>
      </c>
      <c r="R189">
        <v>4</v>
      </c>
      <c r="S189">
        <v>0</v>
      </c>
      <c r="T189" t="s">
        <v>45</v>
      </c>
      <c r="U189" t="s">
        <v>33</v>
      </c>
      <c r="V189">
        <v>60682</v>
      </c>
      <c r="W189">
        <v>3.3</v>
      </c>
      <c r="X189">
        <v>3</v>
      </c>
    </row>
    <row r="190" spans="1:24" x14ac:dyDescent="0.3">
      <c r="A190" t="s">
        <v>68</v>
      </c>
      <c r="B190" t="s">
        <v>109</v>
      </c>
      <c r="C190">
        <v>2022</v>
      </c>
      <c r="D190" t="s">
        <v>61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34</v>
      </c>
      <c r="N190">
        <v>5</v>
      </c>
      <c r="O190" t="s">
        <v>58</v>
      </c>
      <c r="P190">
        <v>19.600000000000001</v>
      </c>
      <c r="Q190">
        <v>1500</v>
      </c>
      <c r="R190">
        <v>5</v>
      </c>
      <c r="S190">
        <v>0</v>
      </c>
      <c r="T190" t="s">
        <v>45</v>
      </c>
      <c r="U190" t="s">
        <v>37</v>
      </c>
      <c r="V190">
        <v>116403</v>
      </c>
      <c r="W190">
        <v>3.38</v>
      </c>
      <c r="X190">
        <v>3</v>
      </c>
    </row>
    <row r="191" spans="1:24" x14ac:dyDescent="0.3">
      <c r="A191" t="s">
        <v>63</v>
      </c>
      <c r="B191" t="s">
        <v>96</v>
      </c>
      <c r="C191">
        <v>2025</v>
      </c>
      <c r="D191" t="s">
        <v>56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48</v>
      </c>
      <c r="N191">
        <v>5</v>
      </c>
      <c r="O191" t="s">
        <v>28</v>
      </c>
      <c r="P191">
        <v>77.2</v>
      </c>
      <c r="Q191">
        <v>2468</v>
      </c>
      <c r="R191">
        <v>4</v>
      </c>
      <c r="S191">
        <v>0</v>
      </c>
      <c r="T191" t="s">
        <v>65</v>
      </c>
      <c r="U191" t="s">
        <v>37</v>
      </c>
      <c r="V191">
        <v>129397</v>
      </c>
      <c r="W191">
        <v>3.55</v>
      </c>
      <c r="X191">
        <v>5</v>
      </c>
    </row>
    <row r="192" spans="1:24" x14ac:dyDescent="0.3">
      <c r="A192" t="s">
        <v>46</v>
      </c>
      <c r="B192" t="s">
        <v>57</v>
      </c>
      <c r="C192">
        <v>2024</v>
      </c>
      <c r="D192" t="s">
        <v>26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27</v>
      </c>
      <c r="N192">
        <v>5</v>
      </c>
      <c r="O192" t="s">
        <v>28</v>
      </c>
      <c r="P192">
        <v>74.099999999999994</v>
      </c>
      <c r="Q192">
        <v>2510</v>
      </c>
      <c r="R192">
        <v>4</v>
      </c>
      <c r="S192">
        <v>2</v>
      </c>
      <c r="T192" t="s">
        <v>41</v>
      </c>
      <c r="U192" t="s">
        <v>30</v>
      </c>
      <c r="V192">
        <v>142701</v>
      </c>
      <c r="W192">
        <v>4.1399999999999997</v>
      </c>
      <c r="X192">
        <v>5</v>
      </c>
    </row>
    <row r="193" spans="1:24" x14ac:dyDescent="0.3">
      <c r="A193" t="s">
        <v>86</v>
      </c>
      <c r="B193" t="s">
        <v>87</v>
      </c>
      <c r="C193">
        <v>2025</v>
      </c>
      <c r="D193" t="s">
        <v>44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34</v>
      </c>
      <c r="N193">
        <v>5</v>
      </c>
      <c r="O193" t="s">
        <v>51</v>
      </c>
      <c r="P193">
        <v>18</v>
      </c>
      <c r="Q193">
        <v>1548</v>
      </c>
      <c r="R193">
        <v>3</v>
      </c>
      <c r="S193">
        <v>1</v>
      </c>
      <c r="T193" t="s">
        <v>29</v>
      </c>
      <c r="U193" t="s">
        <v>33</v>
      </c>
      <c r="V193">
        <v>79614</v>
      </c>
      <c r="W193">
        <v>3.53</v>
      </c>
      <c r="X193">
        <v>5</v>
      </c>
    </row>
    <row r="194" spans="1:24" x14ac:dyDescent="0.3">
      <c r="A194" t="s">
        <v>86</v>
      </c>
      <c r="B194" t="s">
        <v>105</v>
      </c>
      <c r="C194">
        <v>2025</v>
      </c>
      <c r="D194" t="s">
        <v>33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48</v>
      </c>
      <c r="N194">
        <v>5</v>
      </c>
      <c r="O194" t="s">
        <v>51</v>
      </c>
      <c r="P194">
        <v>37.200000000000003</v>
      </c>
      <c r="Q194">
        <v>1588</v>
      </c>
      <c r="R194">
        <v>4</v>
      </c>
      <c r="S194">
        <v>1</v>
      </c>
      <c r="T194" t="s">
        <v>29</v>
      </c>
      <c r="U194" t="s">
        <v>30</v>
      </c>
      <c r="V194">
        <v>58972</v>
      </c>
      <c r="W194">
        <v>3.24</v>
      </c>
      <c r="X194">
        <v>6</v>
      </c>
    </row>
    <row r="195" spans="1:24" x14ac:dyDescent="0.3">
      <c r="A195" t="s">
        <v>83</v>
      </c>
      <c r="B195" t="s">
        <v>104</v>
      </c>
      <c r="C195">
        <v>2023</v>
      </c>
      <c r="D195" t="s">
        <v>56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27</v>
      </c>
      <c r="N195">
        <v>5</v>
      </c>
      <c r="O195" t="s">
        <v>50</v>
      </c>
      <c r="P195">
        <v>24.7</v>
      </c>
      <c r="Q195">
        <v>1500</v>
      </c>
      <c r="R195">
        <v>4</v>
      </c>
      <c r="S195">
        <v>1</v>
      </c>
      <c r="T195" t="s">
        <v>29</v>
      </c>
      <c r="U195" t="s">
        <v>33</v>
      </c>
      <c r="V195">
        <v>26056</v>
      </c>
      <c r="W195">
        <v>3.46</v>
      </c>
      <c r="X195">
        <v>5</v>
      </c>
    </row>
    <row r="196" spans="1:24" x14ac:dyDescent="0.3">
      <c r="A196" t="s">
        <v>63</v>
      </c>
      <c r="B196" t="s">
        <v>88</v>
      </c>
      <c r="C196">
        <v>2020</v>
      </c>
      <c r="D196" t="s">
        <v>56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48</v>
      </c>
      <c r="N196">
        <v>7</v>
      </c>
      <c r="O196" t="s">
        <v>28</v>
      </c>
      <c r="P196">
        <v>60.1</v>
      </c>
      <c r="Q196">
        <v>2386</v>
      </c>
      <c r="R196">
        <v>4</v>
      </c>
      <c r="S196">
        <v>0</v>
      </c>
      <c r="T196" t="s">
        <v>65</v>
      </c>
      <c r="U196" t="s">
        <v>33</v>
      </c>
      <c r="V196">
        <v>160145</v>
      </c>
      <c r="W196">
        <v>3.2</v>
      </c>
      <c r="X196">
        <v>4</v>
      </c>
    </row>
    <row r="197" spans="1:24" x14ac:dyDescent="0.3">
      <c r="A197" t="s">
        <v>63</v>
      </c>
      <c r="B197" t="s">
        <v>73</v>
      </c>
      <c r="C197">
        <v>2022</v>
      </c>
      <c r="D197" t="s">
        <v>61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27</v>
      </c>
      <c r="N197">
        <v>7</v>
      </c>
      <c r="O197" t="s">
        <v>35</v>
      </c>
      <c r="P197">
        <v>68.5</v>
      </c>
      <c r="Q197">
        <v>1964</v>
      </c>
      <c r="R197">
        <v>5</v>
      </c>
      <c r="S197">
        <v>0</v>
      </c>
      <c r="T197" t="s">
        <v>65</v>
      </c>
      <c r="U197" t="s">
        <v>66</v>
      </c>
      <c r="V197">
        <v>100593</v>
      </c>
      <c r="W197">
        <v>3.2</v>
      </c>
      <c r="X197">
        <v>4</v>
      </c>
    </row>
    <row r="198" spans="1:24" x14ac:dyDescent="0.3">
      <c r="A198" t="s">
        <v>38</v>
      </c>
      <c r="B198" t="s">
        <v>101</v>
      </c>
      <c r="C198">
        <v>2026</v>
      </c>
      <c r="D198" t="s">
        <v>44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48</v>
      </c>
      <c r="N198">
        <v>5</v>
      </c>
      <c r="O198" t="s">
        <v>28</v>
      </c>
      <c r="P198">
        <v>76.8</v>
      </c>
      <c r="Q198">
        <v>2305</v>
      </c>
      <c r="R198">
        <v>4</v>
      </c>
      <c r="S198">
        <v>0</v>
      </c>
      <c r="T198" t="s">
        <v>41</v>
      </c>
      <c r="U198" t="s">
        <v>33</v>
      </c>
      <c r="V198">
        <v>1598</v>
      </c>
      <c r="W198">
        <v>3.6</v>
      </c>
      <c r="X198">
        <v>5</v>
      </c>
    </row>
    <row r="199" spans="1:24" x14ac:dyDescent="0.3">
      <c r="A199" t="s">
        <v>86</v>
      </c>
      <c r="B199" t="s">
        <v>87</v>
      </c>
      <c r="C199">
        <v>2025</v>
      </c>
      <c r="D199" t="s">
        <v>56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48</v>
      </c>
      <c r="N199">
        <v>7</v>
      </c>
      <c r="O199" t="s">
        <v>35</v>
      </c>
      <c r="P199">
        <v>50.8</v>
      </c>
      <c r="Q199">
        <v>2104</v>
      </c>
      <c r="R199">
        <v>5</v>
      </c>
      <c r="S199">
        <v>2</v>
      </c>
      <c r="T199" t="s">
        <v>29</v>
      </c>
      <c r="U199" t="s">
        <v>30</v>
      </c>
      <c r="V199">
        <v>52472</v>
      </c>
      <c r="W199">
        <v>3.51</v>
      </c>
      <c r="X199">
        <v>8</v>
      </c>
    </row>
    <row r="200" spans="1:24" x14ac:dyDescent="0.3">
      <c r="A200" t="s">
        <v>86</v>
      </c>
      <c r="B200" t="s">
        <v>105</v>
      </c>
      <c r="C200">
        <v>2025</v>
      </c>
      <c r="D200" t="s">
        <v>44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48</v>
      </c>
      <c r="N200">
        <v>5</v>
      </c>
      <c r="O200" t="s">
        <v>40</v>
      </c>
      <c r="P200">
        <v>75.7</v>
      </c>
      <c r="Q200">
        <v>1500</v>
      </c>
      <c r="R200">
        <v>5</v>
      </c>
      <c r="S200">
        <v>1</v>
      </c>
      <c r="T200" t="s">
        <v>29</v>
      </c>
      <c r="U200" t="s">
        <v>33</v>
      </c>
      <c r="V200">
        <v>46587</v>
      </c>
      <c r="W200">
        <v>3.19</v>
      </c>
      <c r="X200">
        <v>6</v>
      </c>
    </row>
    <row r="201" spans="1:24" x14ac:dyDescent="0.3">
      <c r="A201" t="s">
        <v>76</v>
      </c>
      <c r="B201" t="s">
        <v>98</v>
      </c>
      <c r="C201">
        <v>2024</v>
      </c>
      <c r="D201" t="s">
        <v>26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27</v>
      </c>
      <c r="N201">
        <v>5</v>
      </c>
      <c r="O201" t="s">
        <v>40</v>
      </c>
      <c r="P201">
        <v>72.400000000000006</v>
      </c>
      <c r="Q201">
        <v>2052</v>
      </c>
      <c r="R201">
        <v>4</v>
      </c>
      <c r="S201">
        <v>0</v>
      </c>
      <c r="T201" t="s">
        <v>41</v>
      </c>
      <c r="U201" t="s">
        <v>30</v>
      </c>
      <c r="V201">
        <v>31600</v>
      </c>
      <c r="W201">
        <v>4.03</v>
      </c>
      <c r="X201">
        <v>5</v>
      </c>
    </row>
    <row r="202" spans="1:24" x14ac:dyDescent="0.3">
      <c r="A202" t="s">
        <v>83</v>
      </c>
      <c r="B202" t="s">
        <v>104</v>
      </c>
      <c r="C202">
        <v>2025</v>
      </c>
      <c r="D202" t="s">
        <v>61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27</v>
      </c>
      <c r="N202">
        <v>5</v>
      </c>
      <c r="O202" t="s">
        <v>40</v>
      </c>
      <c r="P202">
        <v>73.3</v>
      </c>
      <c r="Q202">
        <v>1646</v>
      </c>
      <c r="R202">
        <v>5</v>
      </c>
      <c r="S202">
        <v>2</v>
      </c>
      <c r="T202" t="s">
        <v>29</v>
      </c>
      <c r="U202" t="s">
        <v>37</v>
      </c>
      <c r="V202">
        <v>69514</v>
      </c>
      <c r="W202">
        <v>3.1</v>
      </c>
      <c r="X202">
        <v>8</v>
      </c>
    </row>
    <row r="203" spans="1:24" x14ac:dyDescent="0.3">
      <c r="A203" t="s">
        <v>46</v>
      </c>
      <c r="B203" t="s">
        <v>72</v>
      </c>
      <c r="C203">
        <v>2026</v>
      </c>
      <c r="D203" t="s">
        <v>56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48</v>
      </c>
      <c r="N203">
        <v>7</v>
      </c>
      <c r="O203" t="s">
        <v>28</v>
      </c>
      <c r="P203">
        <v>66.2</v>
      </c>
      <c r="Q203">
        <v>2227</v>
      </c>
      <c r="R203">
        <v>5</v>
      </c>
      <c r="S203">
        <v>2</v>
      </c>
      <c r="T203" t="s">
        <v>41</v>
      </c>
      <c r="U203" t="s">
        <v>37</v>
      </c>
      <c r="V203">
        <v>175527</v>
      </c>
      <c r="W203">
        <v>4.0199999999999996</v>
      </c>
      <c r="X203">
        <v>4</v>
      </c>
    </row>
    <row r="204" spans="1:24" x14ac:dyDescent="0.3">
      <c r="A204" t="s">
        <v>46</v>
      </c>
      <c r="B204" t="s">
        <v>49</v>
      </c>
      <c r="C204">
        <v>2025</v>
      </c>
      <c r="D204" t="s">
        <v>56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48</v>
      </c>
      <c r="N204">
        <v>7</v>
      </c>
      <c r="O204" t="s">
        <v>28</v>
      </c>
      <c r="P204">
        <v>79.8</v>
      </c>
      <c r="Q204">
        <v>2648</v>
      </c>
      <c r="R204">
        <v>4</v>
      </c>
      <c r="S204">
        <v>2</v>
      </c>
      <c r="T204" t="s">
        <v>41</v>
      </c>
      <c r="U204" t="s">
        <v>37</v>
      </c>
      <c r="V204">
        <v>472726</v>
      </c>
      <c r="W204">
        <v>3.66</v>
      </c>
      <c r="X204">
        <v>5</v>
      </c>
    </row>
    <row r="205" spans="1:24" x14ac:dyDescent="0.3">
      <c r="A205" t="s">
        <v>86</v>
      </c>
      <c r="B205" t="s">
        <v>117</v>
      </c>
      <c r="C205">
        <v>2026</v>
      </c>
      <c r="D205" t="s">
        <v>44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34</v>
      </c>
      <c r="N205">
        <v>5</v>
      </c>
      <c r="O205" t="s">
        <v>58</v>
      </c>
      <c r="P205">
        <v>33.700000000000003</v>
      </c>
      <c r="Q205">
        <v>1508</v>
      </c>
      <c r="R205">
        <v>4</v>
      </c>
      <c r="S205">
        <v>1</v>
      </c>
      <c r="T205" t="s">
        <v>29</v>
      </c>
      <c r="U205" t="s">
        <v>33</v>
      </c>
      <c r="V205">
        <v>38660</v>
      </c>
      <c r="W205">
        <v>3.57</v>
      </c>
      <c r="X205">
        <v>8</v>
      </c>
    </row>
    <row r="206" spans="1:24" x14ac:dyDescent="0.3">
      <c r="A206" t="s">
        <v>42</v>
      </c>
      <c r="B206" t="s">
        <v>80</v>
      </c>
      <c r="C206">
        <v>2025</v>
      </c>
      <c r="D206" t="s">
        <v>61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34</v>
      </c>
      <c r="N206">
        <v>5</v>
      </c>
      <c r="O206" t="s">
        <v>35</v>
      </c>
      <c r="P206">
        <v>60.7</v>
      </c>
      <c r="Q206">
        <v>1989</v>
      </c>
      <c r="R206">
        <v>3</v>
      </c>
      <c r="S206">
        <v>1</v>
      </c>
      <c r="T206" t="s">
        <v>45</v>
      </c>
      <c r="U206" t="s">
        <v>33</v>
      </c>
      <c r="V206">
        <v>116585</v>
      </c>
      <c r="W206">
        <v>3.02</v>
      </c>
      <c r="X206">
        <v>4</v>
      </c>
    </row>
    <row r="207" spans="1:24" x14ac:dyDescent="0.3">
      <c r="A207" t="s">
        <v>46</v>
      </c>
      <c r="B207" t="s">
        <v>49</v>
      </c>
      <c r="C207">
        <v>2022</v>
      </c>
      <c r="D207" t="s">
        <v>44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34</v>
      </c>
      <c r="N207">
        <v>5</v>
      </c>
      <c r="O207" t="s">
        <v>51</v>
      </c>
      <c r="P207">
        <v>25.1</v>
      </c>
      <c r="Q207">
        <v>1583</v>
      </c>
      <c r="R207">
        <v>4</v>
      </c>
      <c r="S207">
        <v>2</v>
      </c>
      <c r="T207" t="s">
        <v>41</v>
      </c>
      <c r="U207" t="s">
        <v>30</v>
      </c>
      <c r="V207">
        <v>494879</v>
      </c>
      <c r="W207">
        <v>3.77</v>
      </c>
      <c r="X207">
        <v>4</v>
      </c>
    </row>
    <row r="208" spans="1:24" x14ac:dyDescent="0.3">
      <c r="A208" t="s">
        <v>46</v>
      </c>
      <c r="B208" t="s">
        <v>78</v>
      </c>
      <c r="C208">
        <v>2025</v>
      </c>
      <c r="D208" t="s">
        <v>33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34</v>
      </c>
      <c r="N208">
        <v>5</v>
      </c>
      <c r="O208" t="s">
        <v>40</v>
      </c>
      <c r="P208">
        <v>75</v>
      </c>
      <c r="Q208">
        <v>1720</v>
      </c>
      <c r="R208">
        <v>4</v>
      </c>
      <c r="S208">
        <v>2</v>
      </c>
      <c r="T208" t="s">
        <v>41</v>
      </c>
      <c r="U208" t="s">
        <v>30</v>
      </c>
      <c r="V208">
        <v>245565</v>
      </c>
      <c r="W208">
        <v>3.75</v>
      </c>
      <c r="X208">
        <v>4</v>
      </c>
    </row>
    <row r="209" spans="1:24" x14ac:dyDescent="0.3">
      <c r="A209" t="s">
        <v>83</v>
      </c>
      <c r="B209" t="s">
        <v>84</v>
      </c>
      <c r="C209">
        <v>2024</v>
      </c>
      <c r="D209" t="s">
        <v>44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27</v>
      </c>
      <c r="N209">
        <v>7</v>
      </c>
      <c r="O209" t="s">
        <v>40</v>
      </c>
      <c r="P209">
        <v>72.2</v>
      </c>
      <c r="Q209">
        <v>1614</v>
      </c>
      <c r="R209">
        <v>4</v>
      </c>
      <c r="S209">
        <v>1</v>
      </c>
      <c r="T209" t="s">
        <v>29</v>
      </c>
      <c r="U209" t="s">
        <v>33</v>
      </c>
      <c r="V209">
        <v>36760</v>
      </c>
      <c r="W209">
        <v>3.63</v>
      </c>
      <c r="X209">
        <v>6</v>
      </c>
    </row>
    <row r="210" spans="1:24" x14ac:dyDescent="0.3">
      <c r="A210" t="s">
        <v>46</v>
      </c>
      <c r="B210" t="s">
        <v>72</v>
      </c>
      <c r="C210">
        <v>2021</v>
      </c>
      <c r="D210" t="s">
        <v>56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48</v>
      </c>
      <c r="N210">
        <v>5</v>
      </c>
      <c r="O210" t="s">
        <v>28</v>
      </c>
      <c r="P210">
        <v>52</v>
      </c>
      <c r="Q210">
        <v>2415</v>
      </c>
      <c r="R210">
        <v>5</v>
      </c>
      <c r="S210">
        <v>2</v>
      </c>
      <c r="T210" t="s">
        <v>41</v>
      </c>
      <c r="U210" t="s">
        <v>33</v>
      </c>
      <c r="V210">
        <v>235244</v>
      </c>
      <c r="W210">
        <v>3.9</v>
      </c>
      <c r="X210">
        <v>6</v>
      </c>
    </row>
    <row r="211" spans="1:24" x14ac:dyDescent="0.3">
      <c r="A211" t="s">
        <v>46</v>
      </c>
      <c r="B211" t="s">
        <v>72</v>
      </c>
      <c r="C211">
        <v>2023</v>
      </c>
      <c r="D211" t="s">
        <v>56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27</v>
      </c>
      <c r="N211">
        <v>5</v>
      </c>
      <c r="O211" t="s">
        <v>28</v>
      </c>
      <c r="P211">
        <v>65.099999999999994</v>
      </c>
      <c r="Q211">
        <v>2463</v>
      </c>
      <c r="R211">
        <v>4</v>
      </c>
      <c r="S211">
        <v>2</v>
      </c>
      <c r="T211" t="s">
        <v>41</v>
      </c>
      <c r="U211" t="s">
        <v>37</v>
      </c>
      <c r="V211">
        <v>187848</v>
      </c>
      <c r="W211">
        <v>3.58</v>
      </c>
      <c r="X211">
        <v>4</v>
      </c>
    </row>
    <row r="212" spans="1:24" x14ac:dyDescent="0.3">
      <c r="A212" t="s">
        <v>42</v>
      </c>
      <c r="B212" t="s">
        <v>115</v>
      </c>
      <c r="C212">
        <v>2021</v>
      </c>
      <c r="D212" t="s">
        <v>44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27</v>
      </c>
      <c r="N212">
        <v>7</v>
      </c>
      <c r="O212" t="s">
        <v>51</v>
      </c>
      <c r="P212">
        <v>29</v>
      </c>
      <c r="Q212">
        <v>1500</v>
      </c>
      <c r="R212">
        <v>5</v>
      </c>
      <c r="S212">
        <v>0</v>
      </c>
      <c r="T212" t="s">
        <v>45</v>
      </c>
      <c r="U212" t="s">
        <v>33</v>
      </c>
      <c r="V212">
        <v>57850</v>
      </c>
      <c r="W212">
        <v>3.25</v>
      </c>
      <c r="X212">
        <v>5</v>
      </c>
    </row>
    <row r="213" spans="1:24" x14ac:dyDescent="0.3">
      <c r="A213" t="s">
        <v>38</v>
      </c>
      <c r="B213" t="s">
        <v>118</v>
      </c>
      <c r="C213">
        <v>2026</v>
      </c>
      <c r="D213" t="s">
        <v>26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27</v>
      </c>
      <c r="N213">
        <v>7</v>
      </c>
      <c r="O213" t="s">
        <v>51</v>
      </c>
      <c r="P213">
        <v>19.8</v>
      </c>
      <c r="Q213">
        <v>1566</v>
      </c>
      <c r="R213">
        <v>4</v>
      </c>
      <c r="S213">
        <v>0</v>
      </c>
      <c r="T213" t="s">
        <v>41</v>
      </c>
      <c r="U213" t="s">
        <v>33</v>
      </c>
      <c r="V213">
        <v>25704</v>
      </c>
      <c r="W213">
        <v>4.1900000000000004</v>
      </c>
      <c r="X213">
        <v>4</v>
      </c>
    </row>
    <row r="214" spans="1:24" x14ac:dyDescent="0.3">
      <c r="A214" t="s">
        <v>83</v>
      </c>
      <c r="B214" t="s">
        <v>89</v>
      </c>
      <c r="C214">
        <v>2023</v>
      </c>
      <c r="D214" t="s">
        <v>33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48</v>
      </c>
      <c r="N214">
        <v>7</v>
      </c>
      <c r="O214" t="s">
        <v>50</v>
      </c>
      <c r="P214">
        <v>22.7</v>
      </c>
      <c r="Q214">
        <v>1654</v>
      </c>
      <c r="R214">
        <v>4</v>
      </c>
      <c r="S214">
        <v>1</v>
      </c>
      <c r="T214" t="s">
        <v>29</v>
      </c>
      <c r="U214" t="s">
        <v>30</v>
      </c>
      <c r="V214">
        <v>26110</v>
      </c>
      <c r="W214">
        <v>3.46</v>
      </c>
      <c r="X214">
        <v>7</v>
      </c>
    </row>
    <row r="215" spans="1:24" x14ac:dyDescent="0.3">
      <c r="A215" t="s">
        <v>63</v>
      </c>
      <c r="B215" t="s">
        <v>64</v>
      </c>
      <c r="C215">
        <v>2024</v>
      </c>
      <c r="D215" t="s">
        <v>61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48</v>
      </c>
      <c r="N215">
        <v>5</v>
      </c>
      <c r="O215" t="s">
        <v>50</v>
      </c>
      <c r="P215">
        <v>18.5</v>
      </c>
      <c r="Q215">
        <v>1646</v>
      </c>
      <c r="R215">
        <v>5</v>
      </c>
      <c r="S215">
        <v>0</v>
      </c>
      <c r="T215" t="s">
        <v>65</v>
      </c>
      <c r="U215" t="s">
        <v>66</v>
      </c>
      <c r="V215">
        <v>236029</v>
      </c>
      <c r="W215">
        <v>3.7</v>
      </c>
      <c r="X215">
        <v>4</v>
      </c>
    </row>
    <row r="216" spans="1:24" x14ac:dyDescent="0.3">
      <c r="A216" t="s">
        <v>38</v>
      </c>
      <c r="B216" t="s">
        <v>39</v>
      </c>
      <c r="C216">
        <v>2024</v>
      </c>
      <c r="D216" t="s">
        <v>61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27</v>
      </c>
      <c r="N216">
        <v>7</v>
      </c>
      <c r="O216" t="s">
        <v>50</v>
      </c>
      <c r="P216">
        <v>25.2</v>
      </c>
      <c r="Q216">
        <v>1883</v>
      </c>
      <c r="R216">
        <v>5</v>
      </c>
      <c r="S216">
        <v>0</v>
      </c>
      <c r="T216" t="s">
        <v>41</v>
      </c>
      <c r="U216" t="s">
        <v>37</v>
      </c>
      <c r="V216">
        <v>2434</v>
      </c>
      <c r="W216">
        <v>3.31</v>
      </c>
      <c r="X216">
        <v>4</v>
      </c>
    </row>
    <row r="217" spans="1:24" x14ac:dyDescent="0.3">
      <c r="A217" t="s">
        <v>63</v>
      </c>
      <c r="B217" t="s">
        <v>64</v>
      </c>
      <c r="C217">
        <v>2025</v>
      </c>
      <c r="D217" t="s">
        <v>56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27</v>
      </c>
      <c r="N217">
        <v>7</v>
      </c>
      <c r="O217" t="s">
        <v>50</v>
      </c>
      <c r="P217">
        <v>21.2</v>
      </c>
      <c r="Q217">
        <v>1654</v>
      </c>
      <c r="R217">
        <v>4</v>
      </c>
      <c r="S217">
        <v>1</v>
      </c>
      <c r="T217" t="s">
        <v>65</v>
      </c>
      <c r="U217" t="s">
        <v>33</v>
      </c>
      <c r="V217">
        <v>179136</v>
      </c>
      <c r="W217">
        <v>3.46</v>
      </c>
      <c r="X217">
        <v>4</v>
      </c>
    </row>
    <row r="218" spans="1:24" x14ac:dyDescent="0.3">
      <c r="A218" t="s">
        <v>63</v>
      </c>
      <c r="B218" t="s">
        <v>64</v>
      </c>
      <c r="C218">
        <v>2025</v>
      </c>
      <c r="D218" t="s">
        <v>44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48</v>
      </c>
      <c r="N218">
        <v>5</v>
      </c>
      <c r="O218" t="s">
        <v>35</v>
      </c>
      <c r="P218">
        <v>58.2</v>
      </c>
      <c r="Q218">
        <v>2202</v>
      </c>
      <c r="R218">
        <v>4</v>
      </c>
      <c r="S218">
        <v>1</v>
      </c>
      <c r="T218" t="s">
        <v>65</v>
      </c>
      <c r="U218" t="s">
        <v>37</v>
      </c>
      <c r="V218">
        <v>211809</v>
      </c>
      <c r="W218">
        <v>3.67</v>
      </c>
      <c r="X218">
        <v>4</v>
      </c>
    </row>
    <row r="219" spans="1:24" x14ac:dyDescent="0.3">
      <c r="A219" t="s">
        <v>38</v>
      </c>
      <c r="B219" t="s">
        <v>39</v>
      </c>
      <c r="C219">
        <v>2024</v>
      </c>
      <c r="D219" t="s">
        <v>56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27</v>
      </c>
      <c r="N219">
        <v>5</v>
      </c>
      <c r="O219" t="s">
        <v>40</v>
      </c>
      <c r="P219">
        <v>61.8</v>
      </c>
      <c r="Q219">
        <v>1500</v>
      </c>
      <c r="R219">
        <v>4</v>
      </c>
      <c r="S219">
        <v>1</v>
      </c>
      <c r="T219" t="s">
        <v>41</v>
      </c>
      <c r="U219" t="s">
        <v>37</v>
      </c>
      <c r="V219">
        <v>2728</v>
      </c>
      <c r="W219">
        <v>3.2</v>
      </c>
      <c r="X219">
        <v>5</v>
      </c>
    </row>
    <row r="220" spans="1:24" x14ac:dyDescent="0.3">
      <c r="A220" t="s">
        <v>83</v>
      </c>
      <c r="B220" t="s">
        <v>114</v>
      </c>
      <c r="C220">
        <v>2021</v>
      </c>
      <c r="D220" t="s">
        <v>61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27</v>
      </c>
      <c r="N220">
        <v>7</v>
      </c>
      <c r="O220" t="s">
        <v>51</v>
      </c>
      <c r="P220">
        <v>38.6</v>
      </c>
      <c r="Q220">
        <v>1626</v>
      </c>
      <c r="R220">
        <v>5</v>
      </c>
      <c r="S220">
        <v>1</v>
      </c>
      <c r="T220" t="s">
        <v>29</v>
      </c>
      <c r="U220" t="s">
        <v>33</v>
      </c>
      <c r="V220">
        <v>79673</v>
      </c>
      <c r="W220">
        <v>3.08</v>
      </c>
      <c r="X220">
        <v>7</v>
      </c>
    </row>
    <row r="221" spans="1:24" x14ac:dyDescent="0.3">
      <c r="A221" t="s">
        <v>52</v>
      </c>
      <c r="B221" t="s">
        <v>103</v>
      </c>
      <c r="C221">
        <v>2025</v>
      </c>
      <c r="D221" t="s">
        <v>44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34</v>
      </c>
      <c r="N221">
        <v>7</v>
      </c>
      <c r="O221" t="s">
        <v>50</v>
      </c>
      <c r="P221">
        <v>16.600000000000001</v>
      </c>
      <c r="Q221">
        <v>1843</v>
      </c>
      <c r="R221">
        <v>3</v>
      </c>
      <c r="S221">
        <v>2</v>
      </c>
      <c r="T221" t="s">
        <v>29</v>
      </c>
      <c r="U221" t="s">
        <v>30</v>
      </c>
      <c r="V221">
        <v>52641</v>
      </c>
      <c r="W221">
        <v>4.0599999999999996</v>
      </c>
      <c r="X221">
        <v>7</v>
      </c>
    </row>
    <row r="222" spans="1:24" x14ac:dyDescent="0.3">
      <c r="A222" t="s">
        <v>83</v>
      </c>
      <c r="B222" t="s">
        <v>89</v>
      </c>
      <c r="C222">
        <v>2023</v>
      </c>
      <c r="D222" t="s">
        <v>61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27</v>
      </c>
      <c r="N222">
        <v>5</v>
      </c>
      <c r="O222" t="s">
        <v>51</v>
      </c>
      <c r="P222">
        <v>27.6</v>
      </c>
      <c r="Q222">
        <v>1770</v>
      </c>
      <c r="R222">
        <v>5</v>
      </c>
      <c r="S222">
        <v>2</v>
      </c>
      <c r="T222" t="s">
        <v>29</v>
      </c>
      <c r="U222" t="s">
        <v>33</v>
      </c>
      <c r="V222">
        <v>68305</v>
      </c>
      <c r="W222">
        <v>3.3</v>
      </c>
      <c r="X222">
        <v>8</v>
      </c>
    </row>
    <row r="223" spans="1:24" x14ac:dyDescent="0.3">
      <c r="A223" t="s">
        <v>42</v>
      </c>
      <c r="B223" t="s">
        <v>115</v>
      </c>
      <c r="C223">
        <v>2024</v>
      </c>
      <c r="D223" t="s">
        <v>61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34</v>
      </c>
      <c r="N223">
        <v>5</v>
      </c>
      <c r="O223" t="s">
        <v>28</v>
      </c>
      <c r="P223">
        <v>68.8</v>
      </c>
      <c r="Q223">
        <v>2615</v>
      </c>
      <c r="R223">
        <v>5</v>
      </c>
      <c r="S223">
        <v>1</v>
      </c>
      <c r="T223" t="s">
        <v>45</v>
      </c>
      <c r="U223" t="s">
        <v>37</v>
      </c>
      <c r="V223">
        <v>145791</v>
      </c>
      <c r="W223">
        <v>3</v>
      </c>
      <c r="X223">
        <v>5</v>
      </c>
    </row>
    <row r="224" spans="1:24" x14ac:dyDescent="0.3">
      <c r="A224" t="s">
        <v>46</v>
      </c>
      <c r="B224" t="s">
        <v>72</v>
      </c>
      <c r="C224">
        <v>2024</v>
      </c>
      <c r="D224" t="s">
        <v>33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34</v>
      </c>
      <c r="N224">
        <v>7</v>
      </c>
      <c r="O224" t="s">
        <v>28</v>
      </c>
      <c r="P224">
        <v>74</v>
      </c>
      <c r="Q224">
        <v>2335</v>
      </c>
      <c r="R224">
        <v>3</v>
      </c>
      <c r="S224">
        <v>2</v>
      </c>
      <c r="T224" t="s">
        <v>41</v>
      </c>
      <c r="U224" t="s">
        <v>37</v>
      </c>
      <c r="V224">
        <v>118665</v>
      </c>
      <c r="W224">
        <v>3.65</v>
      </c>
      <c r="X224">
        <v>6</v>
      </c>
    </row>
    <row r="225" spans="1:24" x14ac:dyDescent="0.3">
      <c r="A225" t="s">
        <v>24</v>
      </c>
      <c r="B225" t="s">
        <v>74</v>
      </c>
      <c r="C225">
        <v>2022</v>
      </c>
      <c r="D225" t="s">
        <v>33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34</v>
      </c>
      <c r="N225">
        <v>7</v>
      </c>
      <c r="O225" t="s">
        <v>35</v>
      </c>
      <c r="P225">
        <v>38</v>
      </c>
      <c r="Q225">
        <v>1760</v>
      </c>
      <c r="R225">
        <v>5</v>
      </c>
      <c r="S225">
        <v>0</v>
      </c>
      <c r="T225" t="s">
        <v>29</v>
      </c>
      <c r="U225" t="s">
        <v>37</v>
      </c>
      <c r="V225">
        <v>222675</v>
      </c>
      <c r="W225">
        <v>3.19</v>
      </c>
      <c r="X225">
        <v>5</v>
      </c>
    </row>
    <row r="226" spans="1:24" x14ac:dyDescent="0.3">
      <c r="A226" t="s">
        <v>63</v>
      </c>
      <c r="B226" t="s">
        <v>64</v>
      </c>
      <c r="C226">
        <v>2025</v>
      </c>
      <c r="D226" t="s">
        <v>44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34</v>
      </c>
      <c r="N226">
        <v>5</v>
      </c>
      <c r="O226" t="s">
        <v>58</v>
      </c>
      <c r="P226">
        <v>38.9</v>
      </c>
      <c r="Q226">
        <v>1500</v>
      </c>
      <c r="R226">
        <v>5</v>
      </c>
      <c r="S226">
        <v>0</v>
      </c>
      <c r="T226" t="s">
        <v>65</v>
      </c>
      <c r="U226" t="s">
        <v>66</v>
      </c>
      <c r="V226">
        <v>228388</v>
      </c>
      <c r="W226">
        <v>3.55</v>
      </c>
      <c r="X226">
        <v>4</v>
      </c>
    </row>
    <row r="227" spans="1:24" x14ac:dyDescent="0.3">
      <c r="A227" t="s">
        <v>63</v>
      </c>
      <c r="B227" t="s">
        <v>107</v>
      </c>
      <c r="C227">
        <v>2023</v>
      </c>
      <c r="D227" t="s">
        <v>61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34</v>
      </c>
      <c r="N227">
        <v>5</v>
      </c>
      <c r="O227" t="s">
        <v>28</v>
      </c>
      <c r="P227">
        <v>64.3</v>
      </c>
      <c r="Q227">
        <v>2600</v>
      </c>
      <c r="R227">
        <v>4</v>
      </c>
      <c r="S227">
        <v>0</v>
      </c>
      <c r="T227" t="s">
        <v>65</v>
      </c>
      <c r="U227" t="s">
        <v>37</v>
      </c>
      <c r="V227">
        <v>117310</v>
      </c>
      <c r="W227">
        <v>3.57</v>
      </c>
      <c r="X227">
        <v>5</v>
      </c>
    </row>
    <row r="228" spans="1:24" x14ac:dyDescent="0.3">
      <c r="A228" t="s">
        <v>59</v>
      </c>
      <c r="B228" t="s">
        <v>60</v>
      </c>
      <c r="C228">
        <v>2024</v>
      </c>
      <c r="D228" t="s">
        <v>33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27</v>
      </c>
      <c r="N228">
        <v>5</v>
      </c>
      <c r="O228" t="s">
        <v>51</v>
      </c>
      <c r="P228">
        <v>16.5</v>
      </c>
      <c r="Q228">
        <v>1631</v>
      </c>
      <c r="R228">
        <v>4</v>
      </c>
      <c r="S228">
        <v>1</v>
      </c>
      <c r="T228" t="s">
        <v>41</v>
      </c>
      <c r="U228" t="s">
        <v>33</v>
      </c>
      <c r="V228">
        <v>20333</v>
      </c>
      <c r="W228">
        <v>3.29</v>
      </c>
      <c r="X228">
        <v>4</v>
      </c>
    </row>
    <row r="229" spans="1:24" x14ac:dyDescent="0.3">
      <c r="A229" t="s">
        <v>24</v>
      </c>
      <c r="B229" t="s">
        <v>25</v>
      </c>
      <c r="C229">
        <v>2025</v>
      </c>
      <c r="D229" t="s">
        <v>44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34</v>
      </c>
      <c r="N229">
        <v>5</v>
      </c>
      <c r="O229" t="s">
        <v>50</v>
      </c>
      <c r="P229">
        <v>19</v>
      </c>
      <c r="Q229">
        <v>1588</v>
      </c>
      <c r="R229">
        <v>3</v>
      </c>
      <c r="S229">
        <v>1</v>
      </c>
      <c r="T229" t="s">
        <v>29</v>
      </c>
      <c r="U229" t="s">
        <v>37</v>
      </c>
      <c r="V229">
        <v>238272</v>
      </c>
      <c r="W229">
        <v>3.57</v>
      </c>
      <c r="X229">
        <v>4</v>
      </c>
    </row>
    <row r="230" spans="1:24" x14ac:dyDescent="0.3">
      <c r="A230" t="s">
        <v>86</v>
      </c>
      <c r="B230" t="s">
        <v>117</v>
      </c>
      <c r="C230">
        <v>2025</v>
      </c>
      <c r="D230" t="s">
        <v>56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48</v>
      </c>
      <c r="N230">
        <v>5</v>
      </c>
      <c r="O230" t="s">
        <v>51</v>
      </c>
      <c r="P230">
        <v>35.5</v>
      </c>
      <c r="Q230">
        <v>1693</v>
      </c>
      <c r="R230">
        <v>5</v>
      </c>
      <c r="S230">
        <v>2</v>
      </c>
      <c r="T230" t="s">
        <v>29</v>
      </c>
      <c r="U230" t="s">
        <v>33</v>
      </c>
      <c r="V230">
        <v>77358</v>
      </c>
      <c r="W230">
        <v>3</v>
      </c>
      <c r="X230">
        <v>7</v>
      </c>
    </row>
    <row r="231" spans="1:24" x14ac:dyDescent="0.3">
      <c r="A231" t="s">
        <v>83</v>
      </c>
      <c r="B231" t="s">
        <v>116</v>
      </c>
      <c r="C231">
        <v>2026</v>
      </c>
      <c r="D231" t="s">
        <v>26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27</v>
      </c>
      <c r="N231">
        <v>5</v>
      </c>
      <c r="O231" t="s">
        <v>28</v>
      </c>
      <c r="P231">
        <v>55</v>
      </c>
      <c r="Q231">
        <v>2197</v>
      </c>
      <c r="R231">
        <v>4</v>
      </c>
      <c r="S231">
        <v>2</v>
      </c>
      <c r="T231" t="s">
        <v>29</v>
      </c>
      <c r="U231" t="s">
        <v>30</v>
      </c>
      <c r="V231">
        <v>50521</v>
      </c>
      <c r="W231">
        <v>3.46</v>
      </c>
      <c r="X231">
        <v>7</v>
      </c>
    </row>
    <row r="232" spans="1:24" x14ac:dyDescent="0.3">
      <c r="A232" t="s">
        <v>76</v>
      </c>
      <c r="B232" t="s">
        <v>77</v>
      </c>
      <c r="C232">
        <v>2025</v>
      </c>
      <c r="D232" t="s">
        <v>61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48</v>
      </c>
      <c r="N232">
        <v>5</v>
      </c>
      <c r="O232" t="s">
        <v>35</v>
      </c>
      <c r="P232">
        <v>66.900000000000006</v>
      </c>
      <c r="Q232">
        <v>2215</v>
      </c>
      <c r="R232">
        <v>3</v>
      </c>
      <c r="S232">
        <v>0</v>
      </c>
      <c r="T232" t="s">
        <v>41</v>
      </c>
      <c r="U232" t="s">
        <v>37</v>
      </c>
      <c r="V232">
        <v>69874</v>
      </c>
      <c r="W232">
        <v>3.35</v>
      </c>
      <c r="X232">
        <v>4</v>
      </c>
    </row>
    <row r="233" spans="1:24" x14ac:dyDescent="0.3">
      <c r="A233" t="s">
        <v>68</v>
      </c>
      <c r="B233" t="s">
        <v>106</v>
      </c>
      <c r="C233">
        <v>2024</v>
      </c>
      <c r="D233" t="s">
        <v>44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27</v>
      </c>
      <c r="N233">
        <v>5</v>
      </c>
      <c r="O233" t="s">
        <v>51</v>
      </c>
      <c r="P233">
        <v>17</v>
      </c>
      <c r="Q233">
        <v>1794</v>
      </c>
      <c r="R233">
        <v>5</v>
      </c>
      <c r="S233">
        <v>1</v>
      </c>
      <c r="T233" t="s">
        <v>45</v>
      </c>
      <c r="U233" t="s">
        <v>33</v>
      </c>
      <c r="V233">
        <v>145959</v>
      </c>
      <c r="W233">
        <v>3.37</v>
      </c>
      <c r="X233">
        <v>4</v>
      </c>
    </row>
    <row r="234" spans="1:24" x14ac:dyDescent="0.3">
      <c r="A234" t="s">
        <v>42</v>
      </c>
      <c r="B234" t="s">
        <v>71</v>
      </c>
      <c r="C234">
        <v>2022</v>
      </c>
      <c r="D234" t="s">
        <v>26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48</v>
      </c>
      <c r="N234">
        <v>5</v>
      </c>
      <c r="O234" t="s">
        <v>50</v>
      </c>
      <c r="P234">
        <v>18.8</v>
      </c>
      <c r="Q234">
        <v>1538</v>
      </c>
      <c r="R234">
        <v>5</v>
      </c>
      <c r="S234">
        <v>1</v>
      </c>
      <c r="T234" t="s">
        <v>45</v>
      </c>
      <c r="U234" t="s">
        <v>30</v>
      </c>
      <c r="V234">
        <v>51798</v>
      </c>
      <c r="W234">
        <v>3.75</v>
      </c>
      <c r="X234">
        <v>5</v>
      </c>
    </row>
    <row r="235" spans="1:24" x14ac:dyDescent="0.3">
      <c r="A235" t="s">
        <v>68</v>
      </c>
      <c r="B235" t="s">
        <v>106</v>
      </c>
      <c r="C235">
        <v>2025</v>
      </c>
      <c r="D235" t="s">
        <v>56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48</v>
      </c>
      <c r="N235">
        <v>5</v>
      </c>
      <c r="O235" t="s">
        <v>40</v>
      </c>
      <c r="P235">
        <v>78</v>
      </c>
      <c r="Q235">
        <v>1903</v>
      </c>
      <c r="R235">
        <v>5</v>
      </c>
      <c r="S235">
        <v>0</v>
      </c>
      <c r="T235" t="s">
        <v>45</v>
      </c>
      <c r="U235" t="s">
        <v>37</v>
      </c>
      <c r="V235">
        <v>110095</v>
      </c>
      <c r="W235">
        <v>3.32</v>
      </c>
      <c r="X235">
        <v>3</v>
      </c>
    </row>
    <row r="236" spans="1:24" x14ac:dyDescent="0.3">
      <c r="A236" t="s">
        <v>46</v>
      </c>
      <c r="B236" t="s">
        <v>49</v>
      </c>
      <c r="C236">
        <v>2023</v>
      </c>
      <c r="D236" t="s">
        <v>61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34</v>
      </c>
      <c r="N236">
        <v>5</v>
      </c>
      <c r="O236" t="s">
        <v>58</v>
      </c>
      <c r="P236">
        <v>15.2</v>
      </c>
      <c r="Q236">
        <v>1513</v>
      </c>
      <c r="R236">
        <v>4</v>
      </c>
      <c r="S236">
        <v>2</v>
      </c>
      <c r="T236" t="s">
        <v>41</v>
      </c>
      <c r="U236" t="s">
        <v>37</v>
      </c>
      <c r="V236">
        <v>403294</v>
      </c>
      <c r="W236">
        <v>3.48</v>
      </c>
      <c r="X236">
        <v>5</v>
      </c>
    </row>
    <row r="237" spans="1:24" x14ac:dyDescent="0.3">
      <c r="A237" t="s">
        <v>38</v>
      </c>
      <c r="B237" t="s">
        <v>102</v>
      </c>
      <c r="C237">
        <v>2025</v>
      </c>
      <c r="D237" t="s">
        <v>61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27</v>
      </c>
      <c r="N237">
        <v>5</v>
      </c>
      <c r="O237" t="s">
        <v>35</v>
      </c>
      <c r="P237">
        <v>66.099999999999994</v>
      </c>
      <c r="Q237">
        <v>2020</v>
      </c>
      <c r="R237">
        <v>4</v>
      </c>
      <c r="S237">
        <v>0</v>
      </c>
      <c r="T237" t="s">
        <v>41</v>
      </c>
      <c r="U237" t="s">
        <v>66</v>
      </c>
      <c r="V237">
        <v>1331</v>
      </c>
      <c r="W237">
        <v>3.29</v>
      </c>
      <c r="X237">
        <v>3</v>
      </c>
    </row>
    <row r="238" spans="1:24" x14ac:dyDescent="0.3">
      <c r="A238" t="s">
        <v>63</v>
      </c>
      <c r="B238" t="s">
        <v>73</v>
      </c>
      <c r="C238">
        <v>2024</v>
      </c>
      <c r="D238" t="s">
        <v>33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34</v>
      </c>
      <c r="N238">
        <v>7</v>
      </c>
      <c r="O238" t="s">
        <v>51</v>
      </c>
      <c r="P238">
        <v>27.3</v>
      </c>
      <c r="Q238">
        <v>1661</v>
      </c>
      <c r="R238">
        <v>3</v>
      </c>
      <c r="S238">
        <v>1</v>
      </c>
      <c r="T238" t="s">
        <v>65</v>
      </c>
      <c r="U238" t="s">
        <v>30</v>
      </c>
      <c r="V238">
        <v>110469</v>
      </c>
      <c r="W238">
        <v>3.56</v>
      </c>
      <c r="X238">
        <v>4</v>
      </c>
    </row>
    <row r="239" spans="1:24" x14ac:dyDescent="0.3">
      <c r="A239" t="s">
        <v>46</v>
      </c>
      <c r="B239" t="s">
        <v>49</v>
      </c>
      <c r="C239">
        <v>2026</v>
      </c>
      <c r="D239" t="s">
        <v>61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27</v>
      </c>
      <c r="N239">
        <v>7</v>
      </c>
      <c r="O239" t="s">
        <v>58</v>
      </c>
      <c r="P239">
        <v>26.8</v>
      </c>
      <c r="Q239">
        <v>1514</v>
      </c>
      <c r="R239">
        <v>5</v>
      </c>
      <c r="S239">
        <v>2</v>
      </c>
      <c r="T239" t="s">
        <v>41</v>
      </c>
      <c r="U239" t="s">
        <v>33</v>
      </c>
      <c r="V239">
        <v>489120</v>
      </c>
      <c r="W239">
        <v>3.77</v>
      </c>
      <c r="X239">
        <v>5</v>
      </c>
    </row>
    <row r="240" spans="1:24" x14ac:dyDescent="0.3">
      <c r="A240" t="s">
        <v>83</v>
      </c>
      <c r="B240" t="s">
        <v>114</v>
      </c>
      <c r="C240">
        <v>2025</v>
      </c>
      <c r="D240" t="s">
        <v>26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27</v>
      </c>
      <c r="N240">
        <v>7</v>
      </c>
      <c r="O240" t="s">
        <v>40</v>
      </c>
      <c r="P240">
        <v>68.2</v>
      </c>
      <c r="Q240">
        <v>1817</v>
      </c>
      <c r="R240">
        <v>5</v>
      </c>
      <c r="S240">
        <v>1</v>
      </c>
      <c r="T240" t="s">
        <v>29</v>
      </c>
      <c r="U240" t="s">
        <v>30</v>
      </c>
      <c r="V240">
        <v>71584</v>
      </c>
      <c r="W240">
        <v>3.74</v>
      </c>
      <c r="X240">
        <v>6</v>
      </c>
    </row>
    <row r="241" spans="1:24" x14ac:dyDescent="0.3">
      <c r="A241" t="s">
        <v>46</v>
      </c>
      <c r="B241" t="s">
        <v>78</v>
      </c>
      <c r="C241">
        <v>2023</v>
      </c>
      <c r="D241" t="s">
        <v>33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27</v>
      </c>
      <c r="N241">
        <v>5</v>
      </c>
      <c r="O241" t="s">
        <v>51</v>
      </c>
      <c r="P241">
        <v>22.9</v>
      </c>
      <c r="Q241">
        <v>1500</v>
      </c>
      <c r="R241">
        <v>4</v>
      </c>
      <c r="S241">
        <v>2</v>
      </c>
      <c r="T241" t="s">
        <v>41</v>
      </c>
      <c r="U241" t="s">
        <v>30</v>
      </c>
      <c r="V241">
        <v>121739</v>
      </c>
      <c r="W241">
        <v>3.62</v>
      </c>
      <c r="X241">
        <v>4</v>
      </c>
    </row>
    <row r="242" spans="1:24" x14ac:dyDescent="0.3">
      <c r="A242" t="s">
        <v>92</v>
      </c>
      <c r="B242" t="s">
        <v>119</v>
      </c>
      <c r="C242">
        <v>2022</v>
      </c>
      <c r="D242" t="s">
        <v>61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34</v>
      </c>
      <c r="N242">
        <v>5</v>
      </c>
      <c r="O242" t="s">
        <v>58</v>
      </c>
      <c r="P242">
        <v>22.3</v>
      </c>
      <c r="Q242">
        <v>1500</v>
      </c>
      <c r="R242">
        <v>5</v>
      </c>
      <c r="S242">
        <v>0</v>
      </c>
      <c r="T242" t="s">
        <v>65</v>
      </c>
      <c r="U242" t="s">
        <v>33</v>
      </c>
      <c r="V242">
        <v>28334</v>
      </c>
      <c r="W242">
        <v>3.19</v>
      </c>
      <c r="X242">
        <v>5</v>
      </c>
    </row>
    <row r="243" spans="1:24" x14ac:dyDescent="0.3">
      <c r="A243" t="s">
        <v>31</v>
      </c>
      <c r="B243" t="s">
        <v>112</v>
      </c>
      <c r="C243">
        <v>2023</v>
      </c>
      <c r="D243" t="s">
        <v>56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34</v>
      </c>
      <c r="N243">
        <v>7</v>
      </c>
      <c r="O243" t="s">
        <v>51</v>
      </c>
      <c r="P243">
        <v>36.5</v>
      </c>
      <c r="Q243">
        <v>1576</v>
      </c>
      <c r="R243">
        <v>4</v>
      </c>
      <c r="S243">
        <v>0</v>
      </c>
      <c r="T243" t="s">
        <v>36</v>
      </c>
      <c r="U243" t="s">
        <v>37</v>
      </c>
      <c r="V243">
        <v>16544</v>
      </c>
      <c r="W243">
        <v>3.42</v>
      </c>
      <c r="X243">
        <v>4</v>
      </c>
    </row>
    <row r="244" spans="1:24" x14ac:dyDescent="0.3">
      <c r="A244" t="s">
        <v>94</v>
      </c>
      <c r="B244" t="s">
        <v>95</v>
      </c>
      <c r="C244">
        <v>2023</v>
      </c>
      <c r="D244" t="s">
        <v>61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27</v>
      </c>
      <c r="N244">
        <v>5</v>
      </c>
      <c r="O244" t="s">
        <v>58</v>
      </c>
      <c r="P244">
        <v>37.9</v>
      </c>
      <c r="Q244">
        <v>1668</v>
      </c>
      <c r="R244">
        <v>4</v>
      </c>
      <c r="S244">
        <v>1</v>
      </c>
      <c r="T244" t="s">
        <v>41</v>
      </c>
      <c r="U244" t="s">
        <v>33</v>
      </c>
      <c r="V244">
        <v>1989</v>
      </c>
      <c r="W244">
        <v>3.61</v>
      </c>
      <c r="X244">
        <v>4</v>
      </c>
    </row>
    <row r="245" spans="1:24" x14ac:dyDescent="0.3">
      <c r="A245" t="s">
        <v>24</v>
      </c>
      <c r="B245" t="s">
        <v>75</v>
      </c>
      <c r="C245">
        <v>2024</v>
      </c>
      <c r="D245" t="s">
        <v>44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34</v>
      </c>
      <c r="N245">
        <v>7</v>
      </c>
      <c r="O245" t="s">
        <v>35</v>
      </c>
      <c r="P245">
        <v>68.7</v>
      </c>
      <c r="Q245">
        <v>1974</v>
      </c>
      <c r="R245">
        <v>4</v>
      </c>
      <c r="S245">
        <v>2</v>
      </c>
      <c r="T245" t="s">
        <v>29</v>
      </c>
      <c r="U245" t="s">
        <v>37</v>
      </c>
      <c r="V245">
        <v>230145</v>
      </c>
      <c r="W245">
        <v>3.7</v>
      </c>
      <c r="X245">
        <v>3</v>
      </c>
    </row>
    <row r="246" spans="1:24" x14ac:dyDescent="0.3">
      <c r="A246" t="s">
        <v>46</v>
      </c>
      <c r="B246" t="s">
        <v>47</v>
      </c>
      <c r="C246">
        <v>2026</v>
      </c>
      <c r="D246" t="s">
        <v>56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48</v>
      </c>
      <c r="N246">
        <v>7</v>
      </c>
      <c r="O246" t="s">
        <v>51</v>
      </c>
      <c r="P246">
        <v>39</v>
      </c>
      <c r="Q246">
        <v>1500</v>
      </c>
      <c r="R246">
        <v>5</v>
      </c>
      <c r="S246">
        <v>2</v>
      </c>
      <c r="T246" t="s">
        <v>41</v>
      </c>
      <c r="U246" t="s">
        <v>33</v>
      </c>
      <c r="V246">
        <v>234368</v>
      </c>
      <c r="W246">
        <v>3.52</v>
      </c>
      <c r="X246">
        <v>5</v>
      </c>
    </row>
    <row r="247" spans="1:24" x14ac:dyDescent="0.3">
      <c r="A247" t="s">
        <v>94</v>
      </c>
      <c r="B247" t="s">
        <v>120</v>
      </c>
      <c r="C247">
        <v>2024</v>
      </c>
      <c r="D247" t="s">
        <v>61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34</v>
      </c>
      <c r="N247">
        <v>5</v>
      </c>
      <c r="O247" t="s">
        <v>51</v>
      </c>
      <c r="P247">
        <v>39.200000000000003</v>
      </c>
      <c r="Q247">
        <v>1500</v>
      </c>
      <c r="R247">
        <v>4</v>
      </c>
      <c r="S247">
        <v>0</v>
      </c>
      <c r="T247" t="s">
        <v>41</v>
      </c>
      <c r="U247" t="s">
        <v>33</v>
      </c>
      <c r="V247">
        <v>29685</v>
      </c>
      <c r="W247">
        <v>3.44</v>
      </c>
      <c r="X247">
        <v>4</v>
      </c>
    </row>
    <row r="248" spans="1:24" x14ac:dyDescent="0.3">
      <c r="A248" t="s">
        <v>24</v>
      </c>
      <c r="B248" t="s">
        <v>74</v>
      </c>
      <c r="C248">
        <v>2024</v>
      </c>
      <c r="D248" t="s">
        <v>56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27</v>
      </c>
      <c r="N248">
        <v>5</v>
      </c>
      <c r="O248" t="s">
        <v>58</v>
      </c>
      <c r="P248">
        <v>19.7</v>
      </c>
      <c r="Q248">
        <v>1793</v>
      </c>
      <c r="R248">
        <v>4</v>
      </c>
      <c r="S248">
        <v>0</v>
      </c>
      <c r="T248" t="s">
        <v>29</v>
      </c>
      <c r="U248" t="s">
        <v>37</v>
      </c>
      <c r="V248">
        <v>212818</v>
      </c>
      <c r="W248">
        <v>3.48</v>
      </c>
      <c r="X248">
        <v>3</v>
      </c>
    </row>
    <row r="249" spans="1:24" x14ac:dyDescent="0.3">
      <c r="A249" t="s">
        <v>59</v>
      </c>
      <c r="B249" t="s">
        <v>60</v>
      </c>
      <c r="C249">
        <v>2024</v>
      </c>
      <c r="D249" t="s">
        <v>44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27</v>
      </c>
      <c r="N249">
        <v>7</v>
      </c>
      <c r="O249" t="s">
        <v>28</v>
      </c>
      <c r="P249">
        <v>75.5</v>
      </c>
      <c r="Q249">
        <v>2039</v>
      </c>
      <c r="R249">
        <v>4</v>
      </c>
      <c r="S249">
        <v>1</v>
      </c>
      <c r="T249" t="s">
        <v>41</v>
      </c>
      <c r="U249" t="s">
        <v>30</v>
      </c>
      <c r="V249">
        <v>6077</v>
      </c>
      <c r="W249">
        <v>3.64</v>
      </c>
      <c r="X249">
        <v>5</v>
      </c>
    </row>
    <row r="250" spans="1:24" x14ac:dyDescent="0.3">
      <c r="A250" t="s">
        <v>31</v>
      </c>
      <c r="B250" t="s">
        <v>32</v>
      </c>
      <c r="C250">
        <v>2024</v>
      </c>
      <c r="D250" t="s">
        <v>44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34</v>
      </c>
      <c r="N250">
        <v>7</v>
      </c>
      <c r="O250" t="s">
        <v>35</v>
      </c>
      <c r="P250">
        <v>64.400000000000006</v>
      </c>
      <c r="Q250">
        <v>2334</v>
      </c>
      <c r="R250">
        <v>4</v>
      </c>
      <c r="S250">
        <v>2</v>
      </c>
      <c r="T250" t="s">
        <v>36</v>
      </c>
      <c r="U250" t="s">
        <v>37</v>
      </c>
      <c r="V250">
        <v>1214</v>
      </c>
      <c r="W250">
        <v>3.76</v>
      </c>
      <c r="X250">
        <v>4</v>
      </c>
    </row>
    <row r="251" spans="1:24" x14ac:dyDescent="0.3">
      <c r="A251" t="s">
        <v>52</v>
      </c>
      <c r="B251" t="s">
        <v>62</v>
      </c>
      <c r="C251">
        <v>2023</v>
      </c>
      <c r="D251" t="s">
        <v>26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34</v>
      </c>
      <c r="N251">
        <v>5</v>
      </c>
      <c r="O251" t="s">
        <v>28</v>
      </c>
      <c r="P251">
        <v>79.099999999999994</v>
      </c>
      <c r="Q251">
        <v>2572</v>
      </c>
      <c r="R251">
        <v>4</v>
      </c>
      <c r="S251">
        <v>1</v>
      </c>
      <c r="T251" t="s">
        <v>29</v>
      </c>
      <c r="U251" t="s">
        <v>30</v>
      </c>
      <c r="V251">
        <v>35248</v>
      </c>
      <c r="W251">
        <v>3.91</v>
      </c>
      <c r="X251">
        <v>8</v>
      </c>
    </row>
    <row r="252" spans="1:24" x14ac:dyDescent="0.3">
      <c r="A252" t="s">
        <v>63</v>
      </c>
      <c r="B252" t="s">
        <v>73</v>
      </c>
      <c r="C252">
        <v>2025</v>
      </c>
      <c r="D252" t="s">
        <v>44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34</v>
      </c>
      <c r="N252">
        <v>5</v>
      </c>
      <c r="O252" t="s">
        <v>58</v>
      </c>
      <c r="P252">
        <v>33.4</v>
      </c>
      <c r="Q252">
        <v>1500</v>
      </c>
      <c r="R252">
        <v>4</v>
      </c>
      <c r="S252">
        <v>0</v>
      </c>
      <c r="T252" t="s">
        <v>65</v>
      </c>
      <c r="U252" t="s">
        <v>37</v>
      </c>
      <c r="V252">
        <v>222634</v>
      </c>
      <c r="W252">
        <v>3.67</v>
      </c>
      <c r="X252">
        <v>5</v>
      </c>
    </row>
    <row r="253" spans="1:24" x14ac:dyDescent="0.3">
      <c r="A253" t="s">
        <v>24</v>
      </c>
      <c r="B253" t="s">
        <v>85</v>
      </c>
      <c r="C253">
        <v>2023</v>
      </c>
      <c r="D253" t="s">
        <v>33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27</v>
      </c>
      <c r="N253">
        <v>7</v>
      </c>
      <c r="O253" t="s">
        <v>51</v>
      </c>
      <c r="P253">
        <v>37.299999999999997</v>
      </c>
      <c r="Q253">
        <v>1894</v>
      </c>
      <c r="R253">
        <v>4</v>
      </c>
      <c r="S253">
        <v>0</v>
      </c>
      <c r="T253" t="s">
        <v>29</v>
      </c>
      <c r="U253" t="s">
        <v>37</v>
      </c>
      <c r="V253">
        <v>229072</v>
      </c>
      <c r="W253">
        <v>3.13</v>
      </c>
      <c r="X253">
        <v>5</v>
      </c>
    </row>
    <row r="254" spans="1:24" x14ac:dyDescent="0.3">
      <c r="A254" t="s">
        <v>52</v>
      </c>
      <c r="B254" t="s">
        <v>103</v>
      </c>
      <c r="C254">
        <v>2023</v>
      </c>
      <c r="D254" t="s">
        <v>44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48</v>
      </c>
      <c r="N254">
        <v>7</v>
      </c>
      <c r="O254" t="s">
        <v>58</v>
      </c>
      <c r="P254">
        <v>35.4</v>
      </c>
      <c r="Q254">
        <v>1500</v>
      </c>
      <c r="R254">
        <v>4</v>
      </c>
      <c r="S254">
        <v>2</v>
      </c>
      <c r="T254" t="s">
        <v>29</v>
      </c>
      <c r="U254" t="s">
        <v>30</v>
      </c>
      <c r="V254">
        <v>20765</v>
      </c>
      <c r="W254">
        <v>4.0999999999999996</v>
      </c>
      <c r="X254">
        <v>8</v>
      </c>
    </row>
    <row r="255" spans="1:24" x14ac:dyDescent="0.3">
      <c r="A255" t="s">
        <v>63</v>
      </c>
      <c r="B255" t="s">
        <v>67</v>
      </c>
      <c r="C255">
        <v>2022</v>
      </c>
      <c r="D255" t="s">
        <v>26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48</v>
      </c>
      <c r="N255">
        <v>5</v>
      </c>
      <c r="O255" t="s">
        <v>40</v>
      </c>
      <c r="P255">
        <v>73.900000000000006</v>
      </c>
      <c r="Q255">
        <v>1520</v>
      </c>
      <c r="R255">
        <v>4</v>
      </c>
      <c r="S255">
        <v>1</v>
      </c>
      <c r="T255" t="s">
        <v>65</v>
      </c>
      <c r="U255" t="s">
        <v>37</v>
      </c>
      <c r="V255">
        <v>175542</v>
      </c>
      <c r="W255">
        <v>3.44</v>
      </c>
      <c r="X255">
        <v>5</v>
      </c>
    </row>
    <row r="256" spans="1:24" x14ac:dyDescent="0.3">
      <c r="A256" t="s">
        <v>46</v>
      </c>
      <c r="B256" t="s">
        <v>72</v>
      </c>
      <c r="C256">
        <v>2025</v>
      </c>
      <c r="D256" t="s">
        <v>26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34</v>
      </c>
      <c r="N256">
        <v>5</v>
      </c>
      <c r="O256" t="s">
        <v>28</v>
      </c>
      <c r="P256">
        <v>56.7</v>
      </c>
      <c r="Q256">
        <v>2613</v>
      </c>
      <c r="R256">
        <v>5</v>
      </c>
      <c r="S256">
        <v>2</v>
      </c>
      <c r="T256" t="s">
        <v>41</v>
      </c>
      <c r="U256" t="s">
        <v>30</v>
      </c>
      <c r="V256">
        <v>150657</v>
      </c>
      <c r="W256">
        <v>4.24</v>
      </c>
      <c r="X256">
        <v>5</v>
      </c>
    </row>
    <row r="257" spans="1:24" x14ac:dyDescent="0.3">
      <c r="A257" t="s">
        <v>42</v>
      </c>
      <c r="B257" t="s">
        <v>80</v>
      </c>
      <c r="C257">
        <v>2025</v>
      </c>
      <c r="D257" t="s">
        <v>44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48</v>
      </c>
      <c r="N257">
        <v>5</v>
      </c>
      <c r="O257" t="s">
        <v>35</v>
      </c>
      <c r="P257">
        <v>44.5</v>
      </c>
      <c r="Q257">
        <v>2199</v>
      </c>
      <c r="R257">
        <v>4</v>
      </c>
      <c r="S257">
        <v>0</v>
      </c>
      <c r="T257" t="s">
        <v>45</v>
      </c>
      <c r="U257" t="s">
        <v>37</v>
      </c>
      <c r="V257">
        <v>99235</v>
      </c>
      <c r="W257">
        <v>3.69</v>
      </c>
      <c r="X257">
        <v>3</v>
      </c>
    </row>
    <row r="258" spans="1:24" x14ac:dyDescent="0.3">
      <c r="A258" t="s">
        <v>92</v>
      </c>
      <c r="B258" t="s">
        <v>110</v>
      </c>
      <c r="C258">
        <v>2025</v>
      </c>
      <c r="D258" t="s">
        <v>33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48</v>
      </c>
      <c r="N258">
        <v>7</v>
      </c>
      <c r="O258" t="s">
        <v>35</v>
      </c>
      <c r="P258">
        <v>52.5</v>
      </c>
      <c r="Q258">
        <v>2018</v>
      </c>
      <c r="R258">
        <v>4</v>
      </c>
      <c r="S258">
        <v>1</v>
      </c>
      <c r="T258" t="s">
        <v>65</v>
      </c>
      <c r="U258" t="s">
        <v>33</v>
      </c>
      <c r="V258">
        <v>16505</v>
      </c>
      <c r="W258">
        <v>3.43</v>
      </c>
      <c r="X258">
        <v>3</v>
      </c>
    </row>
    <row r="259" spans="1:24" x14ac:dyDescent="0.3">
      <c r="A259" t="s">
        <v>38</v>
      </c>
      <c r="B259" t="s">
        <v>101</v>
      </c>
      <c r="C259">
        <v>2025</v>
      </c>
      <c r="D259" t="s">
        <v>44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27</v>
      </c>
      <c r="N259">
        <v>7</v>
      </c>
      <c r="O259" t="s">
        <v>40</v>
      </c>
      <c r="P259">
        <v>74.099999999999994</v>
      </c>
      <c r="Q259">
        <v>1500</v>
      </c>
      <c r="R259">
        <v>4</v>
      </c>
      <c r="S259">
        <v>2</v>
      </c>
      <c r="T259" t="s">
        <v>41</v>
      </c>
      <c r="U259" t="s">
        <v>33</v>
      </c>
      <c r="V259">
        <v>14899</v>
      </c>
      <c r="W259">
        <v>3.33</v>
      </c>
      <c r="X259">
        <v>4</v>
      </c>
    </row>
    <row r="260" spans="1:24" x14ac:dyDescent="0.3">
      <c r="A260" t="s">
        <v>42</v>
      </c>
      <c r="B260" t="s">
        <v>80</v>
      </c>
      <c r="C260">
        <v>2025</v>
      </c>
      <c r="D260" t="s">
        <v>33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27</v>
      </c>
      <c r="N260">
        <v>7</v>
      </c>
      <c r="O260" t="s">
        <v>35</v>
      </c>
      <c r="P260">
        <v>36.700000000000003</v>
      </c>
      <c r="Q260">
        <v>2020</v>
      </c>
      <c r="R260">
        <v>4</v>
      </c>
      <c r="S260">
        <v>0</v>
      </c>
      <c r="T260" t="s">
        <v>45</v>
      </c>
      <c r="U260" t="s">
        <v>33</v>
      </c>
      <c r="V260">
        <v>123485</v>
      </c>
      <c r="W260">
        <v>3.47</v>
      </c>
      <c r="X260">
        <v>4</v>
      </c>
    </row>
    <row r="261" spans="1:24" x14ac:dyDescent="0.3">
      <c r="A261" t="s">
        <v>46</v>
      </c>
      <c r="B261" t="s">
        <v>57</v>
      </c>
      <c r="C261">
        <v>2023</v>
      </c>
      <c r="D261" t="s">
        <v>33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27</v>
      </c>
      <c r="N261">
        <v>7</v>
      </c>
      <c r="O261" t="s">
        <v>40</v>
      </c>
      <c r="P261">
        <v>69.5</v>
      </c>
      <c r="Q261">
        <v>1617</v>
      </c>
      <c r="R261">
        <v>3</v>
      </c>
      <c r="S261">
        <v>3</v>
      </c>
      <c r="T261" t="s">
        <v>41</v>
      </c>
      <c r="U261" t="s">
        <v>33</v>
      </c>
      <c r="V261">
        <v>244244</v>
      </c>
      <c r="W261">
        <v>3.81</v>
      </c>
      <c r="X261">
        <v>4</v>
      </c>
    </row>
    <row r="262" spans="1:24" x14ac:dyDescent="0.3">
      <c r="A262" t="s">
        <v>42</v>
      </c>
      <c r="B262" t="s">
        <v>71</v>
      </c>
      <c r="C262">
        <v>2022</v>
      </c>
      <c r="D262" t="s">
        <v>44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34</v>
      </c>
      <c r="N262">
        <v>5</v>
      </c>
      <c r="O262" t="s">
        <v>28</v>
      </c>
      <c r="P262">
        <v>75.099999999999994</v>
      </c>
      <c r="Q262">
        <v>2689</v>
      </c>
      <c r="R262">
        <v>5</v>
      </c>
      <c r="S262">
        <v>0</v>
      </c>
      <c r="T262" t="s">
        <v>45</v>
      </c>
      <c r="U262" t="s">
        <v>33</v>
      </c>
      <c r="V262">
        <v>85577</v>
      </c>
      <c r="W262">
        <v>3.72</v>
      </c>
      <c r="X262">
        <v>3</v>
      </c>
    </row>
    <row r="263" spans="1:24" x14ac:dyDescent="0.3">
      <c r="A263" t="s">
        <v>121</v>
      </c>
      <c r="B263" t="s">
        <v>122</v>
      </c>
      <c r="C263">
        <v>2025</v>
      </c>
      <c r="D263" t="s">
        <v>26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48</v>
      </c>
      <c r="N263">
        <v>5</v>
      </c>
      <c r="O263" t="s">
        <v>40</v>
      </c>
      <c r="P263">
        <v>60.8</v>
      </c>
      <c r="Q263">
        <v>1794</v>
      </c>
      <c r="R263">
        <v>5</v>
      </c>
      <c r="S263">
        <v>0</v>
      </c>
      <c r="T263" t="s">
        <v>123</v>
      </c>
      <c r="U263" t="s">
        <v>30</v>
      </c>
      <c r="V263">
        <v>8684</v>
      </c>
      <c r="W263">
        <v>3.86</v>
      </c>
      <c r="X263">
        <v>4</v>
      </c>
    </row>
    <row r="264" spans="1:24" x14ac:dyDescent="0.3">
      <c r="A264" t="s">
        <v>46</v>
      </c>
      <c r="B264" t="s">
        <v>49</v>
      </c>
      <c r="C264">
        <v>2025</v>
      </c>
      <c r="D264" t="s">
        <v>33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48</v>
      </c>
      <c r="N264">
        <v>5</v>
      </c>
      <c r="O264" t="s">
        <v>28</v>
      </c>
      <c r="P264">
        <v>55.2</v>
      </c>
      <c r="Q264">
        <v>2793</v>
      </c>
      <c r="R264">
        <v>5</v>
      </c>
      <c r="S264">
        <v>2</v>
      </c>
      <c r="T264" t="s">
        <v>41</v>
      </c>
      <c r="U264" t="s">
        <v>33</v>
      </c>
      <c r="V264">
        <v>427228</v>
      </c>
      <c r="W264">
        <v>4.1500000000000004</v>
      </c>
      <c r="X264">
        <v>4</v>
      </c>
    </row>
    <row r="265" spans="1:24" x14ac:dyDescent="0.3">
      <c r="A265" t="s">
        <v>68</v>
      </c>
      <c r="B265" t="s">
        <v>90</v>
      </c>
      <c r="C265">
        <v>2024</v>
      </c>
      <c r="D265" t="s">
        <v>56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48</v>
      </c>
      <c r="N265">
        <v>5</v>
      </c>
      <c r="O265" t="s">
        <v>40</v>
      </c>
      <c r="P265">
        <v>72.900000000000006</v>
      </c>
      <c r="Q265">
        <v>1533</v>
      </c>
      <c r="R265">
        <v>3</v>
      </c>
      <c r="S265">
        <v>1</v>
      </c>
      <c r="T265" t="s">
        <v>45</v>
      </c>
      <c r="U265" t="s">
        <v>37</v>
      </c>
      <c r="V265">
        <v>126203</v>
      </c>
      <c r="W265">
        <v>3.42</v>
      </c>
      <c r="X265">
        <v>4</v>
      </c>
    </row>
    <row r="266" spans="1:24" x14ac:dyDescent="0.3">
      <c r="A266" t="s">
        <v>86</v>
      </c>
      <c r="B266" t="s">
        <v>87</v>
      </c>
      <c r="C266">
        <v>2022</v>
      </c>
      <c r="D266" t="s">
        <v>33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48</v>
      </c>
      <c r="N266">
        <v>5</v>
      </c>
      <c r="O266" t="s">
        <v>28</v>
      </c>
      <c r="P266">
        <v>55.3</v>
      </c>
      <c r="Q266">
        <v>2533</v>
      </c>
      <c r="R266">
        <v>5</v>
      </c>
      <c r="S266">
        <v>1</v>
      </c>
      <c r="T266" t="s">
        <v>29</v>
      </c>
      <c r="U266" t="s">
        <v>33</v>
      </c>
      <c r="V266">
        <v>45293</v>
      </c>
      <c r="W266">
        <v>3.1</v>
      </c>
      <c r="X266">
        <v>7</v>
      </c>
    </row>
    <row r="267" spans="1:24" x14ac:dyDescent="0.3">
      <c r="A267" t="s">
        <v>38</v>
      </c>
      <c r="B267" t="s">
        <v>102</v>
      </c>
      <c r="C267">
        <v>2025</v>
      </c>
      <c r="D267" t="s">
        <v>26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27</v>
      </c>
      <c r="N267">
        <v>7</v>
      </c>
      <c r="O267" t="s">
        <v>35</v>
      </c>
      <c r="P267">
        <v>39.700000000000003</v>
      </c>
      <c r="Q267">
        <v>1831</v>
      </c>
      <c r="R267">
        <v>3</v>
      </c>
      <c r="S267">
        <v>0</v>
      </c>
      <c r="T267" t="s">
        <v>41</v>
      </c>
      <c r="U267" t="s">
        <v>30</v>
      </c>
      <c r="V267">
        <v>27681</v>
      </c>
      <c r="W267">
        <v>3.35</v>
      </c>
      <c r="X267">
        <v>3</v>
      </c>
    </row>
    <row r="268" spans="1:24" x14ac:dyDescent="0.3">
      <c r="A268" t="s">
        <v>38</v>
      </c>
      <c r="B268" t="s">
        <v>55</v>
      </c>
      <c r="C268">
        <v>2025</v>
      </c>
      <c r="D268" t="s">
        <v>56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27</v>
      </c>
      <c r="N268">
        <v>5</v>
      </c>
      <c r="O268" t="s">
        <v>28</v>
      </c>
      <c r="P268">
        <v>71.400000000000006</v>
      </c>
      <c r="Q268">
        <v>2734</v>
      </c>
      <c r="R268">
        <v>4</v>
      </c>
      <c r="S268">
        <v>0</v>
      </c>
      <c r="T268" t="s">
        <v>41</v>
      </c>
      <c r="U268" t="s">
        <v>37</v>
      </c>
      <c r="V268">
        <v>3536</v>
      </c>
      <c r="W268">
        <v>3.69</v>
      </c>
      <c r="X268">
        <v>4</v>
      </c>
    </row>
    <row r="269" spans="1:24" x14ac:dyDescent="0.3">
      <c r="A269" t="s">
        <v>38</v>
      </c>
      <c r="B269" t="s">
        <v>118</v>
      </c>
      <c r="C269">
        <v>2025</v>
      </c>
      <c r="D269" t="s">
        <v>33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48</v>
      </c>
      <c r="N269">
        <v>5</v>
      </c>
      <c r="O269" t="s">
        <v>58</v>
      </c>
      <c r="P269">
        <v>24.8</v>
      </c>
      <c r="Q269">
        <v>1699</v>
      </c>
      <c r="R269">
        <v>4</v>
      </c>
      <c r="S269">
        <v>0</v>
      </c>
      <c r="T269" t="s">
        <v>41</v>
      </c>
      <c r="U269" t="s">
        <v>37</v>
      </c>
      <c r="V269">
        <v>25746</v>
      </c>
      <c r="W269">
        <v>3.34</v>
      </c>
      <c r="X269">
        <v>4</v>
      </c>
    </row>
    <row r="270" spans="1:24" x14ac:dyDescent="0.3">
      <c r="A270" t="s">
        <v>24</v>
      </c>
      <c r="B270" t="s">
        <v>70</v>
      </c>
      <c r="C270">
        <v>2021</v>
      </c>
      <c r="D270" t="s">
        <v>33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27</v>
      </c>
      <c r="N270">
        <v>5</v>
      </c>
      <c r="O270" t="s">
        <v>50</v>
      </c>
      <c r="P270">
        <v>30.6</v>
      </c>
      <c r="Q270">
        <v>1514</v>
      </c>
      <c r="R270">
        <v>5</v>
      </c>
      <c r="S270">
        <v>2</v>
      </c>
      <c r="T270" t="s">
        <v>29</v>
      </c>
      <c r="U270" t="s">
        <v>30</v>
      </c>
      <c r="V270">
        <v>254098</v>
      </c>
      <c r="W270">
        <v>3.37</v>
      </c>
      <c r="X270">
        <v>4</v>
      </c>
    </row>
    <row r="271" spans="1:24" x14ac:dyDescent="0.3">
      <c r="A271" t="s">
        <v>63</v>
      </c>
      <c r="B271" t="s">
        <v>82</v>
      </c>
      <c r="C271">
        <v>2024</v>
      </c>
      <c r="D271" t="s">
        <v>26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27</v>
      </c>
      <c r="N271">
        <v>5</v>
      </c>
      <c r="O271" t="s">
        <v>51</v>
      </c>
      <c r="P271">
        <v>37.6</v>
      </c>
      <c r="Q271">
        <v>1584</v>
      </c>
      <c r="R271">
        <v>4</v>
      </c>
      <c r="S271">
        <v>0</v>
      </c>
      <c r="T271" t="s">
        <v>65</v>
      </c>
      <c r="U271" t="s">
        <v>30</v>
      </c>
      <c r="V271">
        <v>209498</v>
      </c>
      <c r="W271">
        <v>3.76</v>
      </c>
      <c r="X271">
        <v>3</v>
      </c>
    </row>
    <row r="272" spans="1:24" x14ac:dyDescent="0.3">
      <c r="A272" t="s">
        <v>76</v>
      </c>
      <c r="B272" t="s">
        <v>98</v>
      </c>
      <c r="C272">
        <v>2025</v>
      </c>
      <c r="D272" t="s">
        <v>44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34</v>
      </c>
      <c r="N272">
        <v>7</v>
      </c>
      <c r="O272" t="s">
        <v>28</v>
      </c>
      <c r="P272">
        <v>55.9</v>
      </c>
      <c r="Q272">
        <v>2390</v>
      </c>
      <c r="R272">
        <v>4</v>
      </c>
      <c r="S272">
        <v>0</v>
      </c>
      <c r="T272" t="s">
        <v>41</v>
      </c>
      <c r="U272" t="s">
        <v>33</v>
      </c>
      <c r="V272">
        <v>70352</v>
      </c>
      <c r="W272">
        <v>3.3</v>
      </c>
      <c r="X272">
        <v>3</v>
      </c>
    </row>
    <row r="273" spans="1:24" x14ac:dyDescent="0.3">
      <c r="A273" t="s">
        <v>76</v>
      </c>
      <c r="B273" t="s">
        <v>77</v>
      </c>
      <c r="C273">
        <v>2024</v>
      </c>
      <c r="D273" t="s">
        <v>56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34</v>
      </c>
      <c r="N273">
        <v>7</v>
      </c>
      <c r="O273" t="s">
        <v>51</v>
      </c>
      <c r="P273">
        <v>35.6</v>
      </c>
      <c r="Q273">
        <v>1529</v>
      </c>
      <c r="R273">
        <v>4</v>
      </c>
      <c r="S273">
        <v>0</v>
      </c>
      <c r="T273" t="s">
        <v>41</v>
      </c>
      <c r="U273" t="s">
        <v>37</v>
      </c>
      <c r="V273">
        <v>29029</v>
      </c>
      <c r="W273">
        <v>3.16</v>
      </c>
      <c r="X273">
        <v>4</v>
      </c>
    </row>
    <row r="274" spans="1:24" x14ac:dyDescent="0.3">
      <c r="A274" t="s">
        <v>52</v>
      </c>
      <c r="B274" t="s">
        <v>97</v>
      </c>
      <c r="C274">
        <v>2024</v>
      </c>
      <c r="D274" t="s">
        <v>44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48</v>
      </c>
      <c r="N274">
        <v>5</v>
      </c>
      <c r="O274" t="s">
        <v>28</v>
      </c>
      <c r="P274">
        <v>59.3</v>
      </c>
      <c r="Q274">
        <v>2679</v>
      </c>
      <c r="R274">
        <v>3</v>
      </c>
      <c r="S274">
        <v>2</v>
      </c>
      <c r="T274" t="s">
        <v>29</v>
      </c>
      <c r="U274" t="s">
        <v>30</v>
      </c>
      <c r="V274">
        <v>60151</v>
      </c>
      <c r="W274">
        <v>3.87</v>
      </c>
      <c r="X274">
        <v>7</v>
      </c>
    </row>
    <row r="275" spans="1:24" x14ac:dyDescent="0.3">
      <c r="A275" t="s">
        <v>86</v>
      </c>
      <c r="B275" t="s">
        <v>87</v>
      </c>
      <c r="C275">
        <v>2021</v>
      </c>
      <c r="D275" t="s">
        <v>56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27</v>
      </c>
      <c r="N275">
        <v>5</v>
      </c>
      <c r="O275" t="s">
        <v>58</v>
      </c>
      <c r="P275">
        <v>21.5</v>
      </c>
      <c r="Q275">
        <v>1509</v>
      </c>
      <c r="R275">
        <v>5</v>
      </c>
      <c r="S275">
        <v>2</v>
      </c>
      <c r="T275" t="s">
        <v>29</v>
      </c>
      <c r="U275" t="s">
        <v>33</v>
      </c>
      <c r="V275">
        <v>55803</v>
      </c>
      <c r="W275">
        <v>3.52</v>
      </c>
      <c r="X275">
        <v>6</v>
      </c>
    </row>
    <row r="276" spans="1:24" x14ac:dyDescent="0.3">
      <c r="A276" t="s">
        <v>68</v>
      </c>
      <c r="B276" t="s">
        <v>106</v>
      </c>
      <c r="C276">
        <v>2022</v>
      </c>
      <c r="D276" t="s">
        <v>33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27</v>
      </c>
      <c r="N276">
        <v>7</v>
      </c>
      <c r="O276" t="s">
        <v>40</v>
      </c>
      <c r="P276">
        <v>75.8</v>
      </c>
      <c r="Q276">
        <v>1500</v>
      </c>
      <c r="R276">
        <v>4</v>
      </c>
      <c r="S276">
        <v>0</v>
      </c>
      <c r="T276" t="s">
        <v>45</v>
      </c>
      <c r="U276" t="s">
        <v>33</v>
      </c>
      <c r="V276">
        <v>119329</v>
      </c>
      <c r="W276">
        <v>3.43</v>
      </c>
      <c r="X276">
        <v>4</v>
      </c>
    </row>
    <row r="277" spans="1:24" x14ac:dyDescent="0.3">
      <c r="A277" t="s">
        <v>68</v>
      </c>
      <c r="B277" t="s">
        <v>79</v>
      </c>
      <c r="C277">
        <v>2025</v>
      </c>
      <c r="D277" t="s">
        <v>44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48</v>
      </c>
      <c r="N277">
        <v>7</v>
      </c>
      <c r="O277" t="s">
        <v>28</v>
      </c>
      <c r="P277">
        <v>57.8</v>
      </c>
      <c r="Q277">
        <v>2452</v>
      </c>
      <c r="R277">
        <v>4</v>
      </c>
      <c r="S277">
        <v>0</v>
      </c>
      <c r="T277" t="s">
        <v>45</v>
      </c>
      <c r="U277" t="s">
        <v>37</v>
      </c>
      <c r="V277">
        <v>77052</v>
      </c>
      <c r="W277">
        <v>3.86</v>
      </c>
      <c r="X277">
        <v>5</v>
      </c>
    </row>
    <row r="278" spans="1:24" x14ac:dyDescent="0.3">
      <c r="A278" t="s">
        <v>76</v>
      </c>
      <c r="B278" t="s">
        <v>77</v>
      </c>
      <c r="C278">
        <v>2023</v>
      </c>
      <c r="D278" t="s">
        <v>44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34</v>
      </c>
      <c r="N278">
        <v>7</v>
      </c>
      <c r="O278" t="s">
        <v>28</v>
      </c>
      <c r="P278">
        <v>59.4</v>
      </c>
      <c r="Q278">
        <v>2431</v>
      </c>
      <c r="R278">
        <v>4</v>
      </c>
      <c r="S278">
        <v>0</v>
      </c>
      <c r="T278" t="s">
        <v>41</v>
      </c>
      <c r="U278" t="s">
        <v>37</v>
      </c>
      <c r="V278">
        <v>74506</v>
      </c>
      <c r="W278">
        <v>3.43</v>
      </c>
      <c r="X278">
        <v>3</v>
      </c>
    </row>
    <row r="279" spans="1:24" x14ac:dyDescent="0.3">
      <c r="A279" t="s">
        <v>83</v>
      </c>
      <c r="B279" t="s">
        <v>84</v>
      </c>
      <c r="C279">
        <v>2025</v>
      </c>
      <c r="D279" t="s">
        <v>33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48</v>
      </c>
      <c r="N279">
        <v>7</v>
      </c>
      <c r="O279" t="s">
        <v>50</v>
      </c>
      <c r="P279">
        <v>20.5</v>
      </c>
      <c r="Q279">
        <v>1765</v>
      </c>
      <c r="R279">
        <v>4</v>
      </c>
      <c r="S279">
        <v>2</v>
      </c>
      <c r="T279" t="s">
        <v>29</v>
      </c>
      <c r="U279" t="s">
        <v>30</v>
      </c>
      <c r="V279">
        <v>47379</v>
      </c>
      <c r="W279">
        <v>3.31</v>
      </c>
      <c r="X279">
        <v>8</v>
      </c>
    </row>
    <row r="280" spans="1:24" x14ac:dyDescent="0.3">
      <c r="A280" t="s">
        <v>38</v>
      </c>
      <c r="B280" t="s">
        <v>101</v>
      </c>
      <c r="C280">
        <v>2023</v>
      </c>
      <c r="D280" t="s">
        <v>26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48</v>
      </c>
      <c r="N280">
        <v>7</v>
      </c>
      <c r="O280" t="s">
        <v>51</v>
      </c>
      <c r="P280">
        <v>17.5</v>
      </c>
      <c r="Q280">
        <v>1704</v>
      </c>
      <c r="R280">
        <v>4</v>
      </c>
      <c r="S280">
        <v>2</v>
      </c>
      <c r="T280" t="s">
        <v>41</v>
      </c>
      <c r="U280" t="s">
        <v>33</v>
      </c>
      <c r="V280">
        <v>29402</v>
      </c>
      <c r="W280">
        <v>3.57</v>
      </c>
      <c r="X280">
        <v>3</v>
      </c>
    </row>
    <row r="281" spans="1:24" x14ac:dyDescent="0.3">
      <c r="A281" t="s">
        <v>76</v>
      </c>
      <c r="B281" t="s">
        <v>91</v>
      </c>
      <c r="C281">
        <v>2025</v>
      </c>
      <c r="D281" t="s">
        <v>44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34</v>
      </c>
      <c r="N281">
        <v>4</v>
      </c>
      <c r="O281" t="s">
        <v>28</v>
      </c>
      <c r="P281">
        <v>69.3</v>
      </c>
      <c r="Q281">
        <v>2671</v>
      </c>
      <c r="R281">
        <v>4</v>
      </c>
      <c r="S281">
        <v>0</v>
      </c>
      <c r="T281" t="s">
        <v>41</v>
      </c>
      <c r="U281" t="s">
        <v>33</v>
      </c>
      <c r="V281">
        <v>43803</v>
      </c>
      <c r="W281">
        <v>3.47</v>
      </c>
      <c r="X281">
        <v>5</v>
      </c>
    </row>
    <row r="282" spans="1:24" x14ac:dyDescent="0.3">
      <c r="A282" t="s">
        <v>86</v>
      </c>
      <c r="B282" t="s">
        <v>105</v>
      </c>
      <c r="C282">
        <v>2020</v>
      </c>
      <c r="D282" t="s">
        <v>44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27</v>
      </c>
      <c r="N282">
        <v>5</v>
      </c>
      <c r="O282" t="s">
        <v>50</v>
      </c>
      <c r="P282">
        <v>29.6</v>
      </c>
      <c r="Q282">
        <v>1563</v>
      </c>
      <c r="R282">
        <v>4</v>
      </c>
      <c r="S282">
        <v>1</v>
      </c>
      <c r="T282" t="s">
        <v>29</v>
      </c>
      <c r="U282" t="s">
        <v>33</v>
      </c>
      <c r="V282">
        <v>32828</v>
      </c>
      <c r="W282">
        <v>3.4</v>
      </c>
      <c r="X282">
        <v>5</v>
      </c>
    </row>
    <row r="283" spans="1:24" x14ac:dyDescent="0.3">
      <c r="A283" t="s">
        <v>63</v>
      </c>
      <c r="B283" t="s">
        <v>96</v>
      </c>
      <c r="C283">
        <v>2025</v>
      </c>
      <c r="D283" t="s">
        <v>56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34</v>
      </c>
      <c r="N283">
        <v>7</v>
      </c>
      <c r="O283" t="s">
        <v>35</v>
      </c>
      <c r="P283">
        <v>41.7</v>
      </c>
      <c r="Q283">
        <v>2370</v>
      </c>
      <c r="R283">
        <v>5</v>
      </c>
      <c r="S283">
        <v>2</v>
      </c>
      <c r="T283" t="s">
        <v>65</v>
      </c>
      <c r="U283" t="s">
        <v>37</v>
      </c>
      <c r="V283">
        <v>158327</v>
      </c>
      <c r="W283">
        <v>3.29</v>
      </c>
      <c r="X283">
        <v>3</v>
      </c>
    </row>
    <row r="284" spans="1:24" x14ac:dyDescent="0.3">
      <c r="A284" t="s">
        <v>24</v>
      </c>
      <c r="B284" t="s">
        <v>25</v>
      </c>
      <c r="C284">
        <v>2026</v>
      </c>
      <c r="D284" t="s">
        <v>61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48</v>
      </c>
      <c r="N284">
        <v>5</v>
      </c>
      <c r="O284" t="s">
        <v>40</v>
      </c>
      <c r="P284">
        <v>70.599999999999994</v>
      </c>
      <c r="Q284">
        <v>1732</v>
      </c>
      <c r="R284">
        <v>4</v>
      </c>
      <c r="S284">
        <v>1</v>
      </c>
      <c r="T284" t="s">
        <v>29</v>
      </c>
      <c r="U284" t="s">
        <v>37</v>
      </c>
      <c r="V284">
        <v>228329</v>
      </c>
      <c r="W284">
        <v>3.2</v>
      </c>
      <c r="X284">
        <v>3</v>
      </c>
    </row>
    <row r="285" spans="1:24" x14ac:dyDescent="0.3">
      <c r="A285" t="s">
        <v>46</v>
      </c>
      <c r="B285" t="s">
        <v>72</v>
      </c>
      <c r="C285">
        <v>2023</v>
      </c>
      <c r="D285" t="s">
        <v>56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34</v>
      </c>
      <c r="N285">
        <v>7</v>
      </c>
      <c r="O285" t="s">
        <v>28</v>
      </c>
      <c r="P285">
        <v>66.2</v>
      </c>
      <c r="Q285">
        <v>2370</v>
      </c>
      <c r="R285">
        <v>5</v>
      </c>
      <c r="S285">
        <v>2</v>
      </c>
      <c r="T285" t="s">
        <v>41</v>
      </c>
      <c r="U285" t="s">
        <v>30</v>
      </c>
      <c r="V285">
        <v>156090</v>
      </c>
      <c r="W285">
        <v>3.54</v>
      </c>
      <c r="X285">
        <v>6</v>
      </c>
    </row>
    <row r="286" spans="1:24" x14ac:dyDescent="0.3">
      <c r="A286" t="s">
        <v>42</v>
      </c>
      <c r="B286" t="s">
        <v>115</v>
      </c>
      <c r="C286">
        <v>2022</v>
      </c>
      <c r="D286" t="s">
        <v>44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34</v>
      </c>
      <c r="N286">
        <v>5</v>
      </c>
      <c r="O286" t="s">
        <v>28</v>
      </c>
      <c r="P286">
        <v>78.900000000000006</v>
      </c>
      <c r="Q286">
        <v>2457</v>
      </c>
      <c r="R286">
        <v>4</v>
      </c>
      <c r="S286">
        <v>0</v>
      </c>
      <c r="T286" t="s">
        <v>45</v>
      </c>
      <c r="U286" t="s">
        <v>33</v>
      </c>
      <c r="V286">
        <v>86318</v>
      </c>
      <c r="W286">
        <v>3.46</v>
      </c>
      <c r="X286">
        <v>3</v>
      </c>
    </row>
    <row r="287" spans="1:24" x14ac:dyDescent="0.3">
      <c r="A287" t="s">
        <v>46</v>
      </c>
      <c r="B287" t="s">
        <v>57</v>
      </c>
      <c r="C287">
        <v>2022</v>
      </c>
      <c r="D287" t="s">
        <v>33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48</v>
      </c>
      <c r="N287">
        <v>5</v>
      </c>
      <c r="O287" t="s">
        <v>58</v>
      </c>
      <c r="P287">
        <v>36.700000000000003</v>
      </c>
      <c r="Q287">
        <v>1500</v>
      </c>
      <c r="R287">
        <v>5</v>
      </c>
      <c r="S287">
        <v>2</v>
      </c>
      <c r="T287" t="s">
        <v>41</v>
      </c>
      <c r="U287" t="s">
        <v>37</v>
      </c>
      <c r="V287">
        <v>130707</v>
      </c>
      <c r="W287">
        <v>3.64</v>
      </c>
      <c r="X287">
        <v>5</v>
      </c>
    </row>
    <row r="288" spans="1:24" x14ac:dyDescent="0.3">
      <c r="A288" t="s">
        <v>68</v>
      </c>
      <c r="B288" t="s">
        <v>90</v>
      </c>
      <c r="C288">
        <v>2024</v>
      </c>
      <c r="D288" t="s">
        <v>26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34</v>
      </c>
      <c r="N288">
        <v>7</v>
      </c>
      <c r="O288" t="s">
        <v>28</v>
      </c>
      <c r="P288">
        <v>62.2</v>
      </c>
      <c r="Q288">
        <v>2466</v>
      </c>
      <c r="R288">
        <v>5</v>
      </c>
      <c r="S288">
        <v>0</v>
      </c>
      <c r="T288" t="s">
        <v>45</v>
      </c>
      <c r="U288" t="s">
        <v>37</v>
      </c>
      <c r="V288">
        <v>62703</v>
      </c>
      <c r="W288">
        <v>3.86</v>
      </c>
      <c r="X288">
        <v>3</v>
      </c>
    </row>
    <row r="289" spans="1:24" x14ac:dyDescent="0.3">
      <c r="A289" t="s">
        <v>42</v>
      </c>
      <c r="B289" t="s">
        <v>115</v>
      </c>
      <c r="C289">
        <v>2025</v>
      </c>
      <c r="D289" t="s">
        <v>26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48</v>
      </c>
      <c r="N289">
        <v>5</v>
      </c>
      <c r="O289" t="s">
        <v>51</v>
      </c>
      <c r="P289">
        <v>37.4</v>
      </c>
      <c r="Q289">
        <v>1704</v>
      </c>
      <c r="R289">
        <v>4</v>
      </c>
      <c r="S289">
        <v>0</v>
      </c>
      <c r="T289" t="s">
        <v>45</v>
      </c>
      <c r="U289" t="s">
        <v>30</v>
      </c>
      <c r="V289">
        <v>108933</v>
      </c>
      <c r="W289">
        <v>3.59</v>
      </c>
      <c r="X289">
        <v>4</v>
      </c>
    </row>
    <row r="290" spans="1:24" x14ac:dyDescent="0.3">
      <c r="A290" t="s">
        <v>63</v>
      </c>
      <c r="B290" t="s">
        <v>88</v>
      </c>
      <c r="C290">
        <v>2024</v>
      </c>
      <c r="D290" t="s">
        <v>56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48</v>
      </c>
      <c r="N290">
        <v>5</v>
      </c>
      <c r="O290" t="s">
        <v>51</v>
      </c>
      <c r="P290">
        <v>24</v>
      </c>
      <c r="Q290">
        <v>1558</v>
      </c>
      <c r="R290">
        <v>4</v>
      </c>
      <c r="S290">
        <v>1</v>
      </c>
      <c r="T290" t="s">
        <v>65</v>
      </c>
      <c r="U290" t="s">
        <v>37</v>
      </c>
      <c r="V290">
        <v>220450</v>
      </c>
      <c r="W290">
        <v>3.22</v>
      </c>
      <c r="X290">
        <v>4</v>
      </c>
    </row>
    <row r="291" spans="1:24" x14ac:dyDescent="0.3">
      <c r="A291" t="s">
        <v>42</v>
      </c>
      <c r="B291" t="s">
        <v>115</v>
      </c>
      <c r="C291">
        <v>2025</v>
      </c>
      <c r="D291" t="s">
        <v>56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48</v>
      </c>
      <c r="N291">
        <v>5</v>
      </c>
      <c r="O291" t="s">
        <v>28</v>
      </c>
      <c r="P291">
        <v>50.4</v>
      </c>
      <c r="Q291">
        <v>2255</v>
      </c>
      <c r="R291">
        <v>5</v>
      </c>
      <c r="S291">
        <v>1</v>
      </c>
      <c r="T291" t="s">
        <v>45</v>
      </c>
      <c r="U291" t="s">
        <v>33</v>
      </c>
      <c r="V291">
        <v>84247</v>
      </c>
      <c r="W291">
        <v>3.42</v>
      </c>
      <c r="X291">
        <v>3</v>
      </c>
    </row>
    <row r="292" spans="1:24" x14ac:dyDescent="0.3">
      <c r="A292" t="s">
        <v>46</v>
      </c>
      <c r="B292" t="s">
        <v>72</v>
      </c>
      <c r="C292">
        <v>2025</v>
      </c>
      <c r="D292" t="s">
        <v>56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48</v>
      </c>
      <c r="N292">
        <v>5</v>
      </c>
      <c r="O292" t="s">
        <v>28</v>
      </c>
      <c r="P292">
        <v>77.099999999999994</v>
      </c>
      <c r="Q292">
        <v>2639</v>
      </c>
      <c r="R292">
        <v>4</v>
      </c>
      <c r="S292">
        <v>2</v>
      </c>
      <c r="T292" t="s">
        <v>41</v>
      </c>
      <c r="U292" t="s">
        <v>33</v>
      </c>
      <c r="V292">
        <v>217680</v>
      </c>
      <c r="W292">
        <v>3.55</v>
      </c>
      <c r="X292">
        <v>4</v>
      </c>
    </row>
    <row r="293" spans="1:24" x14ac:dyDescent="0.3">
      <c r="A293" t="s">
        <v>46</v>
      </c>
      <c r="B293" t="s">
        <v>72</v>
      </c>
      <c r="C293">
        <v>2025</v>
      </c>
      <c r="D293" t="s">
        <v>26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27</v>
      </c>
      <c r="N293">
        <v>5</v>
      </c>
      <c r="O293" t="s">
        <v>28</v>
      </c>
      <c r="P293">
        <v>72.900000000000006</v>
      </c>
      <c r="Q293">
        <v>2600</v>
      </c>
      <c r="R293">
        <v>5</v>
      </c>
      <c r="S293">
        <v>2</v>
      </c>
      <c r="T293" t="s">
        <v>41</v>
      </c>
      <c r="U293" t="s">
        <v>30</v>
      </c>
      <c r="V293">
        <v>229037</v>
      </c>
      <c r="W293">
        <v>4.3499999999999996</v>
      </c>
      <c r="X293">
        <v>6</v>
      </c>
    </row>
    <row r="294" spans="1:24" x14ac:dyDescent="0.3">
      <c r="A294" t="s">
        <v>52</v>
      </c>
      <c r="B294" t="s">
        <v>103</v>
      </c>
      <c r="C294">
        <v>2024</v>
      </c>
      <c r="D294" t="s">
        <v>56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48</v>
      </c>
      <c r="N294">
        <v>5</v>
      </c>
      <c r="O294" t="s">
        <v>50</v>
      </c>
      <c r="P294">
        <v>29</v>
      </c>
      <c r="Q294">
        <v>1558</v>
      </c>
      <c r="R294">
        <v>4</v>
      </c>
      <c r="S294">
        <v>1</v>
      </c>
      <c r="T294" t="s">
        <v>29</v>
      </c>
      <c r="U294" t="s">
        <v>30</v>
      </c>
      <c r="V294">
        <v>43904</v>
      </c>
      <c r="W294">
        <v>3.6</v>
      </c>
      <c r="X294">
        <v>6</v>
      </c>
    </row>
    <row r="295" spans="1:24" x14ac:dyDescent="0.3">
      <c r="A295" t="s">
        <v>24</v>
      </c>
      <c r="B295" t="s">
        <v>85</v>
      </c>
      <c r="C295">
        <v>2024</v>
      </c>
      <c r="D295" t="s">
        <v>33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27</v>
      </c>
      <c r="N295">
        <v>5</v>
      </c>
      <c r="O295" t="s">
        <v>50</v>
      </c>
      <c r="P295">
        <v>25.9</v>
      </c>
      <c r="Q295">
        <v>1840</v>
      </c>
      <c r="R295">
        <v>5</v>
      </c>
      <c r="S295">
        <v>0</v>
      </c>
      <c r="T295" t="s">
        <v>29</v>
      </c>
      <c r="U295" t="s">
        <v>33</v>
      </c>
      <c r="V295">
        <v>289215</v>
      </c>
      <c r="W295">
        <v>3.46</v>
      </c>
      <c r="X295">
        <v>4</v>
      </c>
    </row>
    <row r="296" spans="1:24" x14ac:dyDescent="0.3">
      <c r="A296" t="s">
        <v>46</v>
      </c>
      <c r="B296" t="s">
        <v>57</v>
      </c>
      <c r="C296">
        <v>2023</v>
      </c>
      <c r="D296" t="s">
        <v>56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27</v>
      </c>
      <c r="N296">
        <v>5</v>
      </c>
      <c r="O296" t="s">
        <v>40</v>
      </c>
      <c r="P296">
        <v>72.2</v>
      </c>
      <c r="Q296">
        <v>1500</v>
      </c>
      <c r="R296">
        <v>4</v>
      </c>
      <c r="S296">
        <v>2</v>
      </c>
      <c r="T296" t="s">
        <v>41</v>
      </c>
      <c r="U296" t="s">
        <v>37</v>
      </c>
      <c r="V296">
        <v>175034</v>
      </c>
      <c r="W296">
        <v>3.89</v>
      </c>
      <c r="X296">
        <v>4</v>
      </c>
    </row>
    <row r="297" spans="1:24" x14ac:dyDescent="0.3">
      <c r="A297" t="s">
        <v>68</v>
      </c>
      <c r="B297" t="s">
        <v>69</v>
      </c>
      <c r="C297">
        <v>2024</v>
      </c>
      <c r="D297" t="s">
        <v>33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48</v>
      </c>
      <c r="N297">
        <v>7</v>
      </c>
      <c r="O297" t="s">
        <v>28</v>
      </c>
      <c r="P297">
        <v>72.400000000000006</v>
      </c>
      <c r="Q297">
        <v>2127</v>
      </c>
      <c r="R297">
        <v>4</v>
      </c>
      <c r="S297">
        <v>1</v>
      </c>
      <c r="T297" t="s">
        <v>45</v>
      </c>
      <c r="U297" t="s">
        <v>33</v>
      </c>
      <c r="V297">
        <v>86699</v>
      </c>
      <c r="W297">
        <v>3.36</v>
      </c>
      <c r="X297">
        <v>4</v>
      </c>
    </row>
    <row r="298" spans="1:24" x14ac:dyDescent="0.3">
      <c r="A298" t="s">
        <v>76</v>
      </c>
      <c r="B298" t="s">
        <v>81</v>
      </c>
      <c r="C298">
        <v>2025</v>
      </c>
      <c r="D298" t="s">
        <v>61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48</v>
      </c>
      <c r="N298">
        <v>7</v>
      </c>
      <c r="O298" t="s">
        <v>28</v>
      </c>
      <c r="P298">
        <v>54</v>
      </c>
      <c r="Q298">
        <v>2803</v>
      </c>
      <c r="R298">
        <v>4</v>
      </c>
      <c r="S298">
        <v>1</v>
      </c>
      <c r="T298" t="s">
        <v>41</v>
      </c>
      <c r="U298" t="s">
        <v>37</v>
      </c>
      <c r="V298">
        <v>35218</v>
      </c>
      <c r="W298">
        <v>3.57</v>
      </c>
      <c r="X298">
        <v>3</v>
      </c>
    </row>
    <row r="299" spans="1:24" x14ac:dyDescent="0.3">
      <c r="A299" t="s">
        <v>63</v>
      </c>
      <c r="B299" t="s">
        <v>88</v>
      </c>
      <c r="C299">
        <v>2024</v>
      </c>
      <c r="D299" t="s">
        <v>61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27</v>
      </c>
      <c r="N299">
        <v>7</v>
      </c>
      <c r="O299" t="s">
        <v>40</v>
      </c>
      <c r="P299">
        <v>74.900000000000006</v>
      </c>
      <c r="Q299">
        <v>1609</v>
      </c>
      <c r="R299">
        <v>4</v>
      </c>
      <c r="S299">
        <v>1</v>
      </c>
      <c r="T299" t="s">
        <v>65</v>
      </c>
      <c r="U299" t="s">
        <v>37</v>
      </c>
      <c r="V299">
        <v>139199</v>
      </c>
      <c r="W299">
        <v>3.11</v>
      </c>
      <c r="X299">
        <v>5</v>
      </c>
    </row>
    <row r="300" spans="1:24" x14ac:dyDescent="0.3">
      <c r="A300" t="s">
        <v>83</v>
      </c>
      <c r="B300" t="s">
        <v>116</v>
      </c>
      <c r="C300">
        <v>2025</v>
      </c>
      <c r="D300" t="s">
        <v>56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48</v>
      </c>
      <c r="N300">
        <v>5</v>
      </c>
      <c r="O300" t="s">
        <v>28</v>
      </c>
      <c r="P300">
        <v>68.3</v>
      </c>
      <c r="Q300">
        <v>2688</v>
      </c>
      <c r="R300">
        <v>5</v>
      </c>
      <c r="S300">
        <v>2</v>
      </c>
      <c r="T300" t="s">
        <v>29</v>
      </c>
      <c r="U300" t="s">
        <v>33</v>
      </c>
      <c r="V300">
        <v>29338</v>
      </c>
      <c r="W300">
        <v>3.48</v>
      </c>
      <c r="X300">
        <v>6</v>
      </c>
    </row>
    <row r="301" spans="1:24" x14ac:dyDescent="0.3">
      <c r="A301" t="s">
        <v>46</v>
      </c>
      <c r="B301" t="s">
        <v>72</v>
      </c>
      <c r="C301">
        <v>2023</v>
      </c>
      <c r="D301" t="s">
        <v>56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34</v>
      </c>
      <c r="N301">
        <v>5</v>
      </c>
      <c r="O301" t="s">
        <v>28</v>
      </c>
      <c r="P301">
        <v>50.7</v>
      </c>
      <c r="Q301">
        <v>2531</v>
      </c>
      <c r="R301">
        <v>5</v>
      </c>
      <c r="S301">
        <v>3</v>
      </c>
      <c r="T301" t="s">
        <v>41</v>
      </c>
      <c r="U301" t="s">
        <v>37</v>
      </c>
      <c r="V301">
        <v>199768</v>
      </c>
      <c r="W301">
        <v>3.77</v>
      </c>
      <c r="X301">
        <v>5</v>
      </c>
    </row>
    <row r="302" spans="1:24" x14ac:dyDescent="0.3">
      <c r="A302" t="s">
        <v>46</v>
      </c>
      <c r="B302" t="s">
        <v>72</v>
      </c>
      <c r="C302">
        <v>2022</v>
      </c>
      <c r="D302" t="s">
        <v>26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48</v>
      </c>
      <c r="N302">
        <v>7</v>
      </c>
      <c r="O302" t="s">
        <v>28</v>
      </c>
      <c r="P302">
        <v>63.7</v>
      </c>
      <c r="Q302">
        <v>2467</v>
      </c>
      <c r="R302">
        <v>4</v>
      </c>
      <c r="S302">
        <v>2</v>
      </c>
      <c r="T302" t="s">
        <v>41</v>
      </c>
      <c r="U302" t="s">
        <v>30</v>
      </c>
      <c r="V302">
        <v>163960</v>
      </c>
      <c r="W302">
        <v>4.09</v>
      </c>
      <c r="X302">
        <v>5</v>
      </c>
    </row>
    <row r="303" spans="1:24" x14ac:dyDescent="0.3">
      <c r="A303" t="s">
        <v>68</v>
      </c>
      <c r="B303" t="s">
        <v>106</v>
      </c>
      <c r="C303">
        <v>2024</v>
      </c>
      <c r="D303" t="s">
        <v>33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34</v>
      </c>
      <c r="N303">
        <v>7</v>
      </c>
      <c r="O303" t="s">
        <v>40</v>
      </c>
      <c r="P303">
        <v>77.2</v>
      </c>
      <c r="Q303">
        <v>1500</v>
      </c>
      <c r="R303">
        <v>5</v>
      </c>
      <c r="S303">
        <v>1</v>
      </c>
      <c r="T303" t="s">
        <v>45</v>
      </c>
      <c r="U303" t="s">
        <v>33</v>
      </c>
      <c r="V303">
        <v>134570</v>
      </c>
      <c r="W303">
        <v>3.64</v>
      </c>
      <c r="X303">
        <v>3</v>
      </c>
    </row>
    <row r="304" spans="1:24" x14ac:dyDescent="0.3">
      <c r="A304" t="s">
        <v>42</v>
      </c>
      <c r="B304" t="s">
        <v>71</v>
      </c>
      <c r="C304">
        <v>2022</v>
      </c>
      <c r="D304" t="s">
        <v>56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48</v>
      </c>
      <c r="N304">
        <v>7</v>
      </c>
      <c r="O304" t="s">
        <v>50</v>
      </c>
      <c r="P304">
        <v>27.1</v>
      </c>
      <c r="Q304">
        <v>1724</v>
      </c>
      <c r="R304">
        <v>5</v>
      </c>
      <c r="S304">
        <v>0</v>
      </c>
      <c r="T304" t="s">
        <v>45</v>
      </c>
      <c r="U304" t="s">
        <v>37</v>
      </c>
      <c r="V304">
        <v>77441</v>
      </c>
      <c r="W304">
        <v>3.34</v>
      </c>
      <c r="X304">
        <v>4</v>
      </c>
    </row>
    <row r="305" spans="1:24" x14ac:dyDescent="0.3">
      <c r="A305" t="s">
        <v>83</v>
      </c>
      <c r="B305" t="s">
        <v>89</v>
      </c>
      <c r="C305">
        <v>2023</v>
      </c>
      <c r="D305" t="s">
        <v>44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27</v>
      </c>
      <c r="N305">
        <v>5</v>
      </c>
      <c r="O305" t="s">
        <v>58</v>
      </c>
      <c r="P305">
        <v>26.8</v>
      </c>
      <c r="Q305">
        <v>1652</v>
      </c>
      <c r="R305">
        <v>5</v>
      </c>
      <c r="S305">
        <v>2</v>
      </c>
      <c r="T305" t="s">
        <v>29</v>
      </c>
      <c r="U305" t="s">
        <v>30</v>
      </c>
      <c r="V305">
        <v>70841</v>
      </c>
      <c r="W305">
        <v>3.71</v>
      </c>
      <c r="X305">
        <v>5</v>
      </c>
    </row>
    <row r="306" spans="1:24" x14ac:dyDescent="0.3">
      <c r="A306" t="s">
        <v>38</v>
      </c>
      <c r="B306" t="s">
        <v>55</v>
      </c>
      <c r="C306">
        <v>2025</v>
      </c>
      <c r="D306" t="s">
        <v>33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48</v>
      </c>
      <c r="N306">
        <v>5</v>
      </c>
      <c r="O306" t="s">
        <v>50</v>
      </c>
      <c r="P306">
        <v>27.2</v>
      </c>
      <c r="Q306">
        <v>1500</v>
      </c>
      <c r="R306">
        <v>4</v>
      </c>
      <c r="S306">
        <v>0</v>
      </c>
      <c r="T306" t="s">
        <v>41</v>
      </c>
      <c r="U306" t="s">
        <v>33</v>
      </c>
      <c r="V306">
        <v>11404</v>
      </c>
      <c r="W306">
        <v>3.35</v>
      </c>
      <c r="X306">
        <v>4</v>
      </c>
    </row>
    <row r="307" spans="1:24" x14ac:dyDescent="0.3">
      <c r="A307" t="s">
        <v>124</v>
      </c>
      <c r="B307" t="s">
        <v>125</v>
      </c>
      <c r="C307">
        <v>2026</v>
      </c>
      <c r="D307" t="s">
        <v>61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34</v>
      </c>
      <c r="N307">
        <v>7</v>
      </c>
      <c r="O307" t="s">
        <v>51</v>
      </c>
      <c r="P307">
        <v>23.6</v>
      </c>
      <c r="Q307">
        <v>1531</v>
      </c>
      <c r="R307">
        <v>4</v>
      </c>
      <c r="S307">
        <v>0</v>
      </c>
      <c r="T307" t="s">
        <v>41</v>
      </c>
      <c r="U307" t="s">
        <v>30</v>
      </c>
      <c r="V307">
        <v>26890</v>
      </c>
      <c r="W307">
        <v>3.19</v>
      </c>
      <c r="X307">
        <v>5</v>
      </c>
    </row>
    <row r="308" spans="1:24" x14ac:dyDescent="0.3">
      <c r="A308" t="s">
        <v>68</v>
      </c>
      <c r="B308" t="s">
        <v>109</v>
      </c>
      <c r="C308">
        <v>2023</v>
      </c>
      <c r="D308" t="s">
        <v>44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34</v>
      </c>
      <c r="N308">
        <v>5</v>
      </c>
      <c r="O308" t="s">
        <v>51</v>
      </c>
      <c r="P308">
        <v>38.200000000000003</v>
      </c>
      <c r="Q308">
        <v>1500</v>
      </c>
      <c r="R308">
        <v>5</v>
      </c>
      <c r="S308">
        <v>1</v>
      </c>
      <c r="T308" t="s">
        <v>45</v>
      </c>
      <c r="U308" t="s">
        <v>33</v>
      </c>
      <c r="V308">
        <v>146072</v>
      </c>
      <c r="W308">
        <v>4.09</v>
      </c>
      <c r="X308">
        <v>4</v>
      </c>
    </row>
    <row r="309" spans="1:24" x14ac:dyDescent="0.3">
      <c r="A309" t="s">
        <v>63</v>
      </c>
      <c r="B309" t="s">
        <v>107</v>
      </c>
      <c r="C309">
        <v>2024</v>
      </c>
      <c r="D309" t="s">
        <v>33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27</v>
      </c>
      <c r="N309">
        <v>5</v>
      </c>
      <c r="O309" t="s">
        <v>50</v>
      </c>
      <c r="P309">
        <v>28.6</v>
      </c>
      <c r="Q309">
        <v>1988</v>
      </c>
      <c r="R309">
        <v>4</v>
      </c>
      <c r="S309">
        <v>0</v>
      </c>
      <c r="T309" t="s">
        <v>65</v>
      </c>
      <c r="U309" t="s">
        <v>33</v>
      </c>
      <c r="V309">
        <v>235660</v>
      </c>
      <c r="W309">
        <v>3.57</v>
      </c>
      <c r="X309">
        <v>5</v>
      </c>
    </row>
    <row r="310" spans="1:24" x14ac:dyDescent="0.3">
      <c r="A310" t="s">
        <v>76</v>
      </c>
      <c r="B310" t="s">
        <v>81</v>
      </c>
      <c r="C310">
        <v>2023</v>
      </c>
      <c r="D310" t="s">
        <v>56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27</v>
      </c>
      <c r="N310">
        <v>5</v>
      </c>
      <c r="O310" t="s">
        <v>35</v>
      </c>
      <c r="P310">
        <v>35.200000000000003</v>
      </c>
      <c r="Q310">
        <v>1892</v>
      </c>
      <c r="R310">
        <v>5</v>
      </c>
      <c r="S310">
        <v>0</v>
      </c>
      <c r="T310" t="s">
        <v>41</v>
      </c>
      <c r="U310" t="s">
        <v>37</v>
      </c>
      <c r="V310">
        <v>47569</v>
      </c>
      <c r="W310">
        <v>3.37</v>
      </c>
      <c r="X310">
        <v>4</v>
      </c>
    </row>
    <row r="311" spans="1:24" x14ac:dyDescent="0.3">
      <c r="A311" t="s">
        <v>63</v>
      </c>
      <c r="B311" t="s">
        <v>82</v>
      </c>
      <c r="C311">
        <v>2024</v>
      </c>
      <c r="D311" t="s">
        <v>56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48</v>
      </c>
      <c r="N311">
        <v>7</v>
      </c>
      <c r="O311" t="s">
        <v>58</v>
      </c>
      <c r="P311">
        <v>15.8</v>
      </c>
      <c r="Q311">
        <v>1666</v>
      </c>
      <c r="R311">
        <v>5</v>
      </c>
      <c r="S311">
        <v>1</v>
      </c>
      <c r="T311" t="s">
        <v>65</v>
      </c>
      <c r="U311" t="s">
        <v>37</v>
      </c>
      <c r="V311">
        <v>205113</v>
      </c>
      <c r="W311">
        <v>3.4</v>
      </c>
      <c r="X311">
        <v>4</v>
      </c>
    </row>
    <row r="312" spans="1:24" x14ac:dyDescent="0.3">
      <c r="A312" t="s">
        <v>24</v>
      </c>
      <c r="B312" t="s">
        <v>25</v>
      </c>
      <c r="C312">
        <v>2025</v>
      </c>
      <c r="D312" t="s">
        <v>44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34</v>
      </c>
      <c r="N312">
        <v>7</v>
      </c>
      <c r="O312" t="s">
        <v>50</v>
      </c>
      <c r="P312">
        <v>26.2</v>
      </c>
      <c r="Q312">
        <v>1571</v>
      </c>
      <c r="R312">
        <v>4</v>
      </c>
      <c r="S312">
        <v>0</v>
      </c>
      <c r="T312" t="s">
        <v>29</v>
      </c>
      <c r="U312" t="s">
        <v>33</v>
      </c>
      <c r="V312">
        <v>228215</v>
      </c>
      <c r="W312">
        <v>3.37</v>
      </c>
      <c r="X312">
        <v>3</v>
      </c>
    </row>
    <row r="313" spans="1:24" x14ac:dyDescent="0.3">
      <c r="A313" t="s">
        <v>46</v>
      </c>
      <c r="B313" t="s">
        <v>72</v>
      </c>
      <c r="C313">
        <v>2024</v>
      </c>
      <c r="D313" t="s">
        <v>56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27</v>
      </c>
      <c r="N313">
        <v>5</v>
      </c>
      <c r="O313" t="s">
        <v>28</v>
      </c>
      <c r="P313">
        <v>50.6</v>
      </c>
      <c r="Q313">
        <v>2555</v>
      </c>
      <c r="R313">
        <v>5</v>
      </c>
      <c r="S313">
        <v>2</v>
      </c>
      <c r="T313" t="s">
        <v>41</v>
      </c>
      <c r="U313" t="s">
        <v>37</v>
      </c>
      <c r="V313">
        <v>220616</v>
      </c>
      <c r="W313">
        <v>3.81</v>
      </c>
      <c r="X313">
        <v>5</v>
      </c>
    </row>
    <row r="314" spans="1:24" x14ac:dyDescent="0.3">
      <c r="A314" t="s">
        <v>46</v>
      </c>
      <c r="B314" t="s">
        <v>72</v>
      </c>
      <c r="C314">
        <v>2023</v>
      </c>
      <c r="D314" t="s">
        <v>56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34</v>
      </c>
      <c r="N314">
        <v>5</v>
      </c>
      <c r="O314" t="s">
        <v>28</v>
      </c>
      <c r="P314">
        <v>75.7</v>
      </c>
      <c r="Q314">
        <v>2714</v>
      </c>
      <c r="R314">
        <v>5</v>
      </c>
      <c r="S314">
        <v>2</v>
      </c>
      <c r="T314" t="s">
        <v>41</v>
      </c>
      <c r="U314" t="s">
        <v>37</v>
      </c>
      <c r="V314">
        <v>174372</v>
      </c>
      <c r="W314">
        <v>3.4</v>
      </c>
      <c r="X314">
        <v>5</v>
      </c>
    </row>
    <row r="315" spans="1:24" x14ac:dyDescent="0.3">
      <c r="A315" t="s">
        <v>31</v>
      </c>
      <c r="B315" t="s">
        <v>112</v>
      </c>
      <c r="C315">
        <v>2022</v>
      </c>
      <c r="D315" t="s">
        <v>61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27</v>
      </c>
      <c r="N315">
        <v>5</v>
      </c>
      <c r="O315" t="s">
        <v>28</v>
      </c>
      <c r="P315">
        <v>64.8</v>
      </c>
      <c r="Q315">
        <v>2317</v>
      </c>
      <c r="R315">
        <v>5</v>
      </c>
      <c r="S315">
        <v>1</v>
      </c>
      <c r="T315" t="s">
        <v>36</v>
      </c>
      <c r="U315" t="s">
        <v>33</v>
      </c>
      <c r="V315">
        <v>8818</v>
      </c>
      <c r="W315">
        <v>3.15</v>
      </c>
      <c r="X315">
        <v>3</v>
      </c>
    </row>
    <row r="316" spans="1:24" x14ac:dyDescent="0.3">
      <c r="A316" t="s">
        <v>52</v>
      </c>
      <c r="B316" t="s">
        <v>126</v>
      </c>
      <c r="C316">
        <v>2021</v>
      </c>
      <c r="D316" t="s">
        <v>26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27</v>
      </c>
      <c r="N316">
        <v>7</v>
      </c>
      <c r="O316" t="s">
        <v>40</v>
      </c>
      <c r="P316">
        <v>62.5</v>
      </c>
      <c r="Q316">
        <v>1751</v>
      </c>
      <c r="R316">
        <v>4</v>
      </c>
      <c r="S316">
        <v>1</v>
      </c>
      <c r="T316" t="s">
        <v>29</v>
      </c>
      <c r="U316" t="s">
        <v>30</v>
      </c>
      <c r="V316">
        <v>35726</v>
      </c>
      <c r="W316">
        <v>3.78</v>
      </c>
      <c r="X316">
        <v>6</v>
      </c>
    </row>
    <row r="317" spans="1:24" x14ac:dyDescent="0.3">
      <c r="A317" t="s">
        <v>38</v>
      </c>
      <c r="B317" t="s">
        <v>55</v>
      </c>
      <c r="C317">
        <v>2025</v>
      </c>
      <c r="D317" t="s">
        <v>61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27</v>
      </c>
      <c r="N317">
        <v>7</v>
      </c>
      <c r="O317" t="s">
        <v>50</v>
      </c>
      <c r="P317">
        <v>33.299999999999997</v>
      </c>
      <c r="Q317">
        <v>1629</v>
      </c>
      <c r="R317">
        <v>4</v>
      </c>
      <c r="S317">
        <v>0</v>
      </c>
      <c r="T317" t="s">
        <v>41</v>
      </c>
      <c r="U317" t="s">
        <v>33</v>
      </c>
      <c r="V317">
        <v>27643</v>
      </c>
      <c r="W317">
        <v>3.38</v>
      </c>
      <c r="X317">
        <v>4</v>
      </c>
    </row>
    <row r="318" spans="1:24" x14ac:dyDescent="0.3">
      <c r="A318" t="s">
        <v>24</v>
      </c>
      <c r="B318" t="s">
        <v>70</v>
      </c>
      <c r="C318">
        <v>2025</v>
      </c>
      <c r="D318" t="s">
        <v>26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48</v>
      </c>
      <c r="N318">
        <v>7</v>
      </c>
      <c r="O318" t="s">
        <v>28</v>
      </c>
      <c r="P318">
        <v>70.900000000000006</v>
      </c>
      <c r="Q318">
        <v>2812</v>
      </c>
      <c r="R318">
        <v>5</v>
      </c>
      <c r="S318">
        <v>0</v>
      </c>
      <c r="T318" t="s">
        <v>29</v>
      </c>
      <c r="U318" t="s">
        <v>33</v>
      </c>
      <c r="V318">
        <v>291709</v>
      </c>
      <c r="W318">
        <v>3.7</v>
      </c>
      <c r="X318">
        <v>3</v>
      </c>
    </row>
    <row r="319" spans="1:24" x14ac:dyDescent="0.3">
      <c r="A319" t="s">
        <v>46</v>
      </c>
      <c r="B319" t="s">
        <v>49</v>
      </c>
      <c r="C319">
        <v>2020</v>
      </c>
      <c r="D319" t="s">
        <v>44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34</v>
      </c>
      <c r="N319">
        <v>5</v>
      </c>
      <c r="O319" t="s">
        <v>40</v>
      </c>
      <c r="P319">
        <v>74</v>
      </c>
      <c r="Q319">
        <v>1505</v>
      </c>
      <c r="R319">
        <v>4</v>
      </c>
      <c r="S319">
        <v>3</v>
      </c>
      <c r="T319" t="s">
        <v>41</v>
      </c>
      <c r="U319" t="s">
        <v>33</v>
      </c>
      <c r="V319">
        <v>498047</v>
      </c>
      <c r="W319">
        <v>3.82</v>
      </c>
      <c r="X319">
        <v>5</v>
      </c>
    </row>
    <row r="320" spans="1:24" x14ac:dyDescent="0.3">
      <c r="A320" t="s">
        <v>46</v>
      </c>
      <c r="B320" t="s">
        <v>78</v>
      </c>
      <c r="C320">
        <v>2023</v>
      </c>
      <c r="D320" t="s">
        <v>56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34</v>
      </c>
      <c r="N320">
        <v>7</v>
      </c>
      <c r="O320" t="s">
        <v>51</v>
      </c>
      <c r="P320">
        <v>30.7</v>
      </c>
      <c r="Q320">
        <v>1644</v>
      </c>
      <c r="R320">
        <v>5</v>
      </c>
      <c r="S320">
        <v>3</v>
      </c>
      <c r="T320" t="s">
        <v>41</v>
      </c>
      <c r="U320" t="s">
        <v>66</v>
      </c>
      <c r="V320">
        <v>230869</v>
      </c>
      <c r="W320">
        <v>3.79</v>
      </c>
      <c r="X320">
        <v>4</v>
      </c>
    </row>
    <row r="321" spans="1:24" x14ac:dyDescent="0.3">
      <c r="A321" t="s">
        <v>63</v>
      </c>
      <c r="B321" t="s">
        <v>82</v>
      </c>
      <c r="C321">
        <v>2024</v>
      </c>
      <c r="D321" t="s">
        <v>56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48</v>
      </c>
      <c r="N321">
        <v>5</v>
      </c>
      <c r="O321" t="s">
        <v>40</v>
      </c>
      <c r="P321">
        <v>63.3</v>
      </c>
      <c r="Q321">
        <v>1500</v>
      </c>
      <c r="R321">
        <v>4</v>
      </c>
      <c r="S321">
        <v>1</v>
      </c>
      <c r="T321" t="s">
        <v>65</v>
      </c>
      <c r="U321" t="s">
        <v>33</v>
      </c>
      <c r="V321">
        <v>191416</v>
      </c>
      <c r="W321">
        <v>3.33</v>
      </c>
      <c r="X321">
        <v>4</v>
      </c>
    </row>
    <row r="322" spans="1:24" x14ac:dyDescent="0.3">
      <c r="A322" t="s">
        <v>42</v>
      </c>
      <c r="B322" t="s">
        <v>71</v>
      </c>
      <c r="C322">
        <v>2025</v>
      </c>
      <c r="D322" t="s">
        <v>56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48</v>
      </c>
      <c r="N322">
        <v>5</v>
      </c>
      <c r="O322" t="s">
        <v>50</v>
      </c>
      <c r="P322">
        <v>22</v>
      </c>
      <c r="Q322">
        <v>1500</v>
      </c>
      <c r="R322">
        <v>5</v>
      </c>
      <c r="S322">
        <v>1</v>
      </c>
      <c r="T322" t="s">
        <v>45</v>
      </c>
      <c r="U322" t="s">
        <v>37</v>
      </c>
      <c r="V322">
        <v>137512</v>
      </c>
      <c r="W322">
        <v>3.35</v>
      </c>
      <c r="X322">
        <v>3</v>
      </c>
    </row>
    <row r="323" spans="1:24" x14ac:dyDescent="0.3">
      <c r="A323" t="s">
        <v>38</v>
      </c>
      <c r="B323" t="s">
        <v>118</v>
      </c>
      <c r="C323">
        <v>2023</v>
      </c>
      <c r="D323" t="s">
        <v>61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48</v>
      </c>
      <c r="N323">
        <v>5</v>
      </c>
      <c r="O323" t="s">
        <v>28</v>
      </c>
      <c r="P323">
        <v>66.5</v>
      </c>
      <c r="Q323">
        <v>2693</v>
      </c>
      <c r="R323">
        <v>4</v>
      </c>
      <c r="S323">
        <v>0</v>
      </c>
      <c r="T323" t="s">
        <v>41</v>
      </c>
      <c r="U323" t="s">
        <v>37</v>
      </c>
      <c r="V323">
        <v>5462</v>
      </c>
      <c r="W323">
        <v>3.44</v>
      </c>
      <c r="X323">
        <v>4</v>
      </c>
    </row>
    <row r="324" spans="1:24" x14ac:dyDescent="0.3">
      <c r="A324" t="s">
        <v>83</v>
      </c>
      <c r="B324" t="s">
        <v>89</v>
      </c>
      <c r="C324">
        <v>2025</v>
      </c>
      <c r="D324" t="s">
        <v>26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48</v>
      </c>
      <c r="N324">
        <v>5</v>
      </c>
      <c r="O324" t="s">
        <v>28</v>
      </c>
      <c r="P324">
        <v>57.6</v>
      </c>
      <c r="Q324">
        <v>2381</v>
      </c>
      <c r="R324">
        <v>4</v>
      </c>
      <c r="S324">
        <v>1</v>
      </c>
      <c r="T324" t="s">
        <v>29</v>
      </c>
      <c r="U324" t="s">
        <v>33</v>
      </c>
      <c r="V324">
        <v>50895</v>
      </c>
      <c r="W324">
        <v>3.63</v>
      </c>
      <c r="X324">
        <v>5</v>
      </c>
    </row>
    <row r="325" spans="1:24" x14ac:dyDescent="0.3">
      <c r="A325" t="s">
        <v>63</v>
      </c>
      <c r="B325" t="s">
        <v>64</v>
      </c>
      <c r="C325">
        <v>2024</v>
      </c>
      <c r="D325" t="s">
        <v>26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34</v>
      </c>
      <c r="N325">
        <v>5</v>
      </c>
      <c r="O325" t="s">
        <v>58</v>
      </c>
      <c r="P325">
        <v>22.2</v>
      </c>
      <c r="Q325">
        <v>1500</v>
      </c>
      <c r="R325">
        <v>3</v>
      </c>
      <c r="S325">
        <v>0</v>
      </c>
      <c r="T325" t="s">
        <v>65</v>
      </c>
      <c r="U325" t="s">
        <v>30</v>
      </c>
      <c r="V325">
        <v>111137</v>
      </c>
      <c r="W325">
        <v>3.92</v>
      </c>
      <c r="X325">
        <v>3</v>
      </c>
    </row>
    <row r="326" spans="1:24" x14ac:dyDescent="0.3">
      <c r="A326" t="s">
        <v>31</v>
      </c>
      <c r="B326" t="s">
        <v>112</v>
      </c>
      <c r="C326">
        <v>2025</v>
      </c>
      <c r="D326" t="s">
        <v>44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27</v>
      </c>
      <c r="N326">
        <v>7</v>
      </c>
      <c r="O326" t="s">
        <v>51</v>
      </c>
      <c r="P326">
        <v>16</v>
      </c>
      <c r="Q326">
        <v>1500</v>
      </c>
      <c r="R326">
        <v>5</v>
      </c>
      <c r="S326">
        <v>0</v>
      </c>
      <c r="T326" t="s">
        <v>36</v>
      </c>
      <c r="U326" t="s">
        <v>33</v>
      </c>
      <c r="V326">
        <v>15856</v>
      </c>
      <c r="W326">
        <v>3.46</v>
      </c>
      <c r="X326">
        <v>4</v>
      </c>
    </row>
    <row r="327" spans="1:24" x14ac:dyDescent="0.3">
      <c r="A327" t="s">
        <v>38</v>
      </c>
      <c r="B327" t="s">
        <v>39</v>
      </c>
      <c r="C327">
        <v>2025</v>
      </c>
      <c r="D327" t="s">
        <v>26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34</v>
      </c>
      <c r="N327">
        <v>7</v>
      </c>
      <c r="O327" t="s">
        <v>28</v>
      </c>
      <c r="P327">
        <v>51.2</v>
      </c>
      <c r="Q327">
        <v>2645</v>
      </c>
      <c r="R327">
        <v>5</v>
      </c>
      <c r="S327">
        <v>2</v>
      </c>
      <c r="T327" t="s">
        <v>41</v>
      </c>
      <c r="U327" t="s">
        <v>37</v>
      </c>
      <c r="V327">
        <v>7236</v>
      </c>
      <c r="W327">
        <v>3.24</v>
      </c>
      <c r="X327">
        <v>3</v>
      </c>
    </row>
    <row r="328" spans="1:24" x14ac:dyDescent="0.3">
      <c r="A328" t="s">
        <v>42</v>
      </c>
      <c r="B328" t="s">
        <v>54</v>
      </c>
      <c r="C328">
        <v>2026</v>
      </c>
      <c r="D328" t="s">
        <v>33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48</v>
      </c>
      <c r="N328">
        <v>5</v>
      </c>
      <c r="O328" t="s">
        <v>51</v>
      </c>
      <c r="P328">
        <v>25.6</v>
      </c>
      <c r="Q328">
        <v>1500</v>
      </c>
      <c r="R328">
        <v>5</v>
      </c>
      <c r="S328">
        <v>1</v>
      </c>
      <c r="T328" t="s">
        <v>45</v>
      </c>
      <c r="U328" t="s">
        <v>33</v>
      </c>
      <c r="V328">
        <v>126328</v>
      </c>
      <c r="W328">
        <v>3.5</v>
      </c>
      <c r="X328">
        <v>4</v>
      </c>
    </row>
    <row r="329" spans="1:24" x14ac:dyDescent="0.3">
      <c r="A329" t="s">
        <v>42</v>
      </c>
      <c r="B329" t="s">
        <v>80</v>
      </c>
      <c r="C329">
        <v>2025</v>
      </c>
      <c r="D329" t="s">
        <v>33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27</v>
      </c>
      <c r="N329">
        <v>5</v>
      </c>
      <c r="O329" t="s">
        <v>35</v>
      </c>
      <c r="P329">
        <v>52.1</v>
      </c>
      <c r="Q329">
        <v>2022</v>
      </c>
      <c r="R329">
        <v>5</v>
      </c>
      <c r="S329">
        <v>0</v>
      </c>
      <c r="T329" t="s">
        <v>45</v>
      </c>
      <c r="U329" t="s">
        <v>37</v>
      </c>
      <c r="V329">
        <v>58624</v>
      </c>
      <c r="W329">
        <v>3.74</v>
      </c>
      <c r="X329">
        <v>5</v>
      </c>
    </row>
    <row r="330" spans="1:24" x14ac:dyDescent="0.3">
      <c r="A330" t="s">
        <v>24</v>
      </c>
      <c r="B330" t="s">
        <v>25</v>
      </c>
      <c r="C330">
        <v>2025</v>
      </c>
      <c r="D330" t="s">
        <v>26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27</v>
      </c>
      <c r="N330">
        <v>7</v>
      </c>
      <c r="O330" t="s">
        <v>50</v>
      </c>
      <c r="P330">
        <v>28.5</v>
      </c>
      <c r="Q330">
        <v>1500</v>
      </c>
      <c r="R330">
        <v>4</v>
      </c>
      <c r="S330">
        <v>1</v>
      </c>
      <c r="T330" t="s">
        <v>29</v>
      </c>
      <c r="U330" t="s">
        <v>37</v>
      </c>
      <c r="V330">
        <v>298599</v>
      </c>
      <c r="W330">
        <v>3.42</v>
      </c>
      <c r="X330">
        <v>5</v>
      </c>
    </row>
    <row r="331" spans="1:24" x14ac:dyDescent="0.3">
      <c r="A331" t="s">
        <v>63</v>
      </c>
      <c r="B331" t="s">
        <v>96</v>
      </c>
      <c r="C331">
        <v>2023</v>
      </c>
      <c r="D331" t="s">
        <v>33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48</v>
      </c>
      <c r="N331">
        <v>5</v>
      </c>
      <c r="O331" t="s">
        <v>51</v>
      </c>
      <c r="P331">
        <v>32.200000000000003</v>
      </c>
      <c r="Q331">
        <v>1500</v>
      </c>
      <c r="R331">
        <v>5</v>
      </c>
      <c r="S331">
        <v>1</v>
      </c>
      <c r="T331" t="s">
        <v>65</v>
      </c>
      <c r="U331" t="s">
        <v>33</v>
      </c>
      <c r="V331">
        <v>171261</v>
      </c>
      <c r="W331">
        <v>3.56</v>
      </c>
      <c r="X331">
        <v>4</v>
      </c>
    </row>
    <row r="332" spans="1:24" x14ac:dyDescent="0.3">
      <c r="A332" t="s">
        <v>24</v>
      </c>
      <c r="B332" t="s">
        <v>85</v>
      </c>
      <c r="C332">
        <v>2025</v>
      </c>
      <c r="D332" t="s">
        <v>26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27</v>
      </c>
      <c r="N332">
        <v>7</v>
      </c>
      <c r="O332" t="s">
        <v>50</v>
      </c>
      <c r="P332">
        <v>27.4</v>
      </c>
      <c r="Q332">
        <v>1591</v>
      </c>
      <c r="R332">
        <v>5</v>
      </c>
      <c r="S332">
        <v>1</v>
      </c>
      <c r="T332" t="s">
        <v>29</v>
      </c>
      <c r="U332" t="s">
        <v>33</v>
      </c>
      <c r="V332">
        <v>265949</v>
      </c>
      <c r="W332">
        <v>3.68</v>
      </c>
      <c r="X332">
        <v>4</v>
      </c>
    </row>
    <row r="333" spans="1:24" x14ac:dyDescent="0.3">
      <c r="A333" t="s">
        <v>38</v>
      </c>
      <c r="B333" t="s">
        <v>39</v>
      </c>
      <c r="C333">
        <v>2022</v>
      </c>
      <c r="D333" t="s">
        <v>44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34</v>
      </c>
      <c r="N333">
        <v>5</v>
      </c>
      <c r="O333" t="s">
        <v>40</v>
      </c>
      <c r="P333">
        <v>61.5</v>
      </c>
      <c r="Q333">
        <v>1500</v>
      </c>
      <c r="R333">
        <v>4</v>
      </c>
      <c r="S333">
        <v>1</v>
      </c>
      <c r="T333" t="s">
        <v>41</v>
      </c>
      <c r="U333" t="s">
        <v>37</v>
      </c>
      <c r="V333">
        <v>17112</v>
      </c>
      <c r="W333">
        <v>3.4</v>
      </c>
      <c r="X333">
        <v>3</v>
      </c>
    </row>
    <row r="334" spans="1:24" x14ac:dyDescent="0.3">
      <c r="A334" t="s">
        <v>46</v>
      </c>
      <c r="B334" t="s">
        <v>47</v>
      </c>
      <c r="C334">
        <v>2023</v>
      </c>
      <c r="D334" t="s">
        <v>56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48</v>
      </c>
      <c r="N334">
        <v>5</v>
      </c>
      <c r="O334" t="s">
        <v>40</v>
      </c>
      <c r="P334">
        <v>77.5</v>
      </c>
      <c r="Q334">
        <v>1500</v>
      </c>
      <c r="R334">
        <v>4</v>
      </c>
      <c r="S334">
        <v>3</v>
      </c>
      <c r="T334" t="s">
        <v>41</v>
      </c>
      <c r="U334" t="s">
        <v>66</v>
      </c>
      <c r="V334">
        <v>239021</v>
      </c>
      <c r="W334">
        <v>3.85</v>
      </c>
      <c r="X334">
        <v>5</v>
      </c>
    </row>
    <row r="335" spans="1:24" x14ac:dyDescent="0.3">
      <c r="A335" t="s">
        <v>46</v>
      </c>
      <c r="B335" t="s">
        <v>72</v>
      </c>
      <c r="C335">
        <v>2025</v>
      </c>
      <c r="D335" t="s">
        <v>56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34</v>
      </c>
      <c r="N335">
        <v>5</v>
      </c>
      <c r="O335" t="s">
        <v>28</v>
      </c>
      <c r="P335">
        <v>77</v>
      </c>
      <c r="Q335">
        <v>2468</v>
      </c>
      <c r="R335">
        <v>5</v>
      </c>
      <c r="S335">
        <v>2</v>
      </c>
      <c r="T335" t="s">
        <v>41</v>
      </c>
      <c r="U335" t="s">
        <v>66</v>
      </c>
      <c r="V335">
        <v>210522</v>
      </c>
      <c r="W335">
        <v>3.78</v>
      </c>
      <c r="X335">
        <v>5</v>
      </c>
    </row>
    <row r="336" spans="1:24" x14ac:dyDescent="0.3">
      <c r="A336" t="s">
        <v>46</v>
      </c>
      <c r="B336" t="s">
        <v>57</v>
      </c>
      <c r="C336">
        <v>2025</v>
      </c>
      <c r="D336" t="s">
        <v>44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34</v>
      </c>
      <c r="N336">
        <v>7</v>
      </c>
      <c r="O336" t="s">
        <v>50</v>
      </c>
      <c r="P336">
        <v>19.7</v>
      </c>
      <c r="Q336">
        <v>1638</v>
      </c>
      <c r="R336">
        <v>5</v>
      </c>
      <c r="S336">
        <v>2</v>
      </c>
      <c r="T336" t="s">
        <v>41</v>
      </c>
      <c r="U336" t="s">
        <v>30</v>
      </c>
      <c r="V336">
        <v>207546</v>
      </c>
      <c r="W336">
        <v>3.74</v>
      </c>
      <c r="X336">
        <v>6</v>
      </c>
    </row>
    <row r="337" spans="1:24" x14ac:dyDescent="0.3">
      <c r="A337" t="s">
        <v>46</v>
      </c>
      <c r="B337" t="s">
        <v>72</v>
      </c>
      <c r="C337">
        <v>2025</v>
      </c>
      <c r="D337" t="s">
        <v>44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48</v>
      </c>
      <c r="N337">
        <v>5</v>
      </c>
      <c r="O337" t="s">
        <v>28</v>
      </c>
      <c r="P337">
        <v>78.7</v>
      </c>
      <c r="Q337">
        <v>2287</v>
      </c>
      <c r="R337">
        <v>5</v>
      </c>
      <c r="S337">
        <v>3</v>
      </c>
      <c r="T337" t="s">
        <v>41</v>
      </c>
      <c r="U337" t="s">
        <v>30</v>
      </c>
      <c r="V337">
        <v>133735</v>
      </c>
      <c r="W337">
        <v>3.85</v>
      </c>
      <c r="X337">
        <v>4</v>
      </c>
    </row>
    <row r="338" spans="1:24" x14ac:dyDescent="0.3">
      <c r="A338" t="s">
        <v>52</v>
      </c>
      <c r="B338" t="s">
        <v>126</v>
      </c>
      <c r="C338">
        <v>2026</v>
      </c>
      <c r="D338" t="s">
        <v>56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34</v>
      </c>
      <c r="N338">
        <v>7</v>
      </c>
      <c r="O338" t="s">
        <v>35</v>
      </c>
      <c r="P338">
        <v>56.9</v>
      </c>
      <c r="Q338">
        <v>2444</v>
      </c>
      <c r="R338">
        <v>4</v>
      </c>
      <c r="S338">
        <v>2</v>
      </c>
      <c r="T338" t="s">
        <v>29</v>
      </c>
      <c r="U338" t="s">
        <v>37</v>
      </c>
      <c r="V338">
        <v>57795</v>
      </c>
      <c r="W338">
        <v>3.37</v>
      </c>
      <c r="X338">
        <v>5</v>
      </c>
    </row>
    <row r="339" spans="1:24" x14ac:dyDescent="0.3">
      <c r="A339" t="s">
        <v>38</v>
      </c>
      <c r="B339" t="s">
        <v>102</v>
      </c>
      <c r="C339">
        <v>2026</v>
      </c>
      <c r="D339" t="s">
        <v>26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48</v>
      </c>
      <c r="N339">
        <v>5</v>
      </c>
      <c r="O339" t="s">
        <v>35</v>
      </c>
      <c r="P339">
        <v>44.4</v>
      </c>
      <c r="Q339">
        <v>2235</v>
      </c>
      <c r="R339">
        <v>5</v>
      </c>
      <c r="S339">
        <v>2</v>
      </c>
      <c r="T339" t="s">
        <v>41</v>
      </c>
      <c r="U339" t="s">
        <v>37</v>
      </c>
      <c r="V339">
        <v>18263</v>
      </c>
      <c r="W339">
        <v>3.65</v>
      </c>
      <c r="X339">
        <v>4</v>
      </c>
    </row>
    <row r="340" spans="1:24" x14ac:dyDescent="0.3">
      <c r="A340" t="s">
        <v>68</v>
      </c>
      <c r="B340" t="s">
        <v>106</v>
      </c>
      <c r="C340">
        <v>2026</v>
      </c>
      <c r="D340" t="s">
        <v>33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48</v>
      </c>
      <c r="N340">
        <v>7</v>
      </c>
      <c r="O340" t="s">
        <v>58</v>
      </c>
      <c r="P340">
        <v>26</v>
      </c>
      <c r="Q340">
        <v>1500</v>
      </c>
      <c r="R340">
        <v>4</v>
      </c>
      <c r="S340">
        <v>1</v>
      </c>
      <c r="T340" t="s">
        <v>45</v>
      </c>
      <c r="U340" t="s">
        <v>33</v>
      </c>
      <c r="V340">
        <v>147601</v>
      </c>
      <c r="W340">
        <v>3.5</v>
      </c>
      <c r="X340">
        <v>4</v>
      </c>
    </row>
    <row r="341" spans="1:24" x14ac:dyDescent="0.3">
      <c r="A341" t="s">
        <v>46</v>
      </c>
      <c r="B341" t="s">
        <v>57</v>
      </c>
      <c r="C341">
        <v>2025</v>
      </c>
      <c r="D341" t="s">
        <v>33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27</v>
      </c>
      <c r="N341">
        <v>5</v>
      </c>
      <c r="O341" t="s">
        <v>58</v>
      </c>
      <c r="P341">
        <v>22.4</v>
      </c>
      <c r="Q341">
        <v>1618</v>
      </c>
      <c r="R341">
        <v>5</v>
      </c>
      <c r="S341">
        <v>2</v>
      </c>
      <c r="T341" t="s">
        <v>41</v>
      </c>
      <c r="U341" t="s">
        <v>30</v>
      </c>
      <c r="V341">
        <v>210253</v>
      </c>
      <c r="W341">
        <v>3.9</v>
      </c>
      <c r="X341">
        <v>4</v>
      </c>
    </row>
    <row r="342" spans="1:24" x14ac:dyDescent="0.3">
      <c r="A342" t="s">
        <v>68</v>
      </c>
      <c r="B342" t="s">
        <v>69</v>
      </c>
      <c r="C342">
        <v>2025</v>
      </c>
      <c r="D342" t="s">
        <v>33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27</v>
      </c>
      <c r="N342">
        <v>5</v>
      </c>
      <c r="O342" t="s">
        <v>51</v>
      </c>
      <c r="P342">
        <v>34.4</v>
      </c>
      <c r="Q342">
        <v>2027</v>
      </c>
      <c r="R342">
        <v>5</v>
      </c>
      <c r="S342">
        <v>2</v>
      </c>
      <c r="T342" t="s">
        <v>45</v>
      </c>
      <c r="U342" t="s">
        <v>37</v>
      </c>
      <c r="V342">
        <v>55671</v>
      </c>
      <c r="W342">
        <v>3.38</v>
      </c>
      <c r="X342">
        <v>3</v>
      </c>
    </row>
    <row r="343" spans="1:24" x14ac:dyDescent="0.3">
      <c r="A343" t="s">
        <v>68</v>
      </c>
      <c r="B343" t="s">
        <v>69</v>
      </c>
      <c r="C343">
        <v>2024</v>
      </c>
      <c r="D343" t="s">
        <v>56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48</v>
      </c>
      <c r="N343">
        <v>5</v>
      </c>
      <c r="O343" t="s">
        <v>40</v>
      </c>
      <c r="P343">
        <v>65.7</v>
      </c>
      <c r="Q343">
        <v>1635</v>
      </c>
      <c r="R343">
        <v>4</v>
      </c>
      <c r="S343">
        <v>1</v>
      </c>
      <c r="T343" t="s">
        <v>45</v>
      </c>
      <c r="U343" t="s">
        <v>37</v>
      </c>
      <c r="V343">
        <v>89573</v>
      </c>
      <c r="W343">
        <v>3.43</v>
      </c>
      <c r="X343">
        <v>3</v>
      </c>
    </row>
    <row r="344" spans="1:24" x14ac:dyDescent="0.3">
      <c r="A344" t="s">
        <v>46</v>
      </c>
      <c r="B344" t="s">
        <v>57</v>
      </c>
      <c r="C344">
        <v>2025</v>
      </c>
      <c r="D344" t="s">
        <v>56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27</v>
      </c>
      <c r="N344">
        <v>5</v>
      </c>
      <c r="O344" t="s">
        <v>51</v>
      </c>
      <c r="P344">
        <v>37.4</v>
      </c>
      <c r="Q344">
        <v>1787</v>
      </c>
      <c r="R344">
        <v>4</v>
      </c>
      <c r="S344">
        <v>3</v>
      </c>
      <c r="T344" t="s">
        <v>41</v>
      </c>
      <c r="U344" t="s">
        <v>37</v>
      </c>
      <c r="V344">
        <v>101221</v>
      </c>
      <c r="W344">
        <v>3.6</v>
      </c>
      <c r="X344">
        <v>4</v>
      </c>
    </row>
    <row r="345" spans="1:24" x14ac:dyDescent="0.3">
      <c r="A345" t="s">
        <v>24</v>
      </c>
      <c r="B345" t="s">
        <v>74</v>
      </c>
      <c r="C345">
        <v>2025</v>
      </c>
      <c r="D345" t="s">
        <v>56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48</v>
      </c>
      <c r="N345">
        <v>5</v>
      </c>
      <c r="O345" t="s">
        <v>40</v>
      </c>
      <c r="P345">
        <v>74.5</v>
      </c>
      <c r="Q345">
        <v>1500</v>
      </c>
      <c r="R345">
        <v>4</v>
      </c>
      <c r="S345">
        <v>0</v>
      </c>
      <c r="T345" t="s">
        <v>29</v>
      </c>
      <c r="U345" t="s">
        <v>33</v>
      </c>
      <c r="V345">
        <v>237990</v>
      </c>
      <c r="W345">
        <v>3.28</v>
      </c>
      <c r="X345">
        <v>4</v>
      </c>
    </row>
    <row r="346" spans="1:24" x14ac:dyDescent="0.3">
      <c r="A346" t="s">
        <v>24</v>
      </c>
      <c r="B346" t="s">
        <v>25</v>
      </c>
      <c r="C346">
        <v>2026</v>
      </c>
      <c r="D346" t="s">
        <v>61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34</v>
      </c>
      <c r="N346">
        <v>7</v>
      </c>
      <c r="O346" t="s">
        <v>28</v>
      </c>
      <c r="P346">
        <v>69.900000000000006</v>
      </c>
      <c r="Q346">
        <v>2758</v>
      </c>
      <c r="R346">
        <v>3</v>
      </c>
      <c r="S346">
        <v>1</v>
      </c>
      <c r="T346" t="s">
        <v>29</v>
      </c>
      <c r="U346" t="s">
        <v>37</v>
      </c>
      <c r="V346">
        <v>248701</v>
      </c>
      <c r="W346">
        <v>3.08</v>
      </c>
      <c r="X346">
        <v>5</v>
      </c>
    </row>
    <row r="347" spans="1:24" x14ac:dyDescent="0.3">
      <c r="A347" t="s">
        <v>42</v>
      </c>
      <c r="B347" t="s">
        <v>80</v>
      </c>
      <c r="C347">
        <v>2025</v>
      </c>
      <c r="D347" t="s">
        <v>33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27</v>
      </c>
      <c r="N347">
        <v>5</v>
      </c>
      <c r="O347" t="s">
        <v>35</v>
      </c>
      <c r="P347">
        <v>45.2</v>
      </c>
      <c r="Q347">
        <v>2221</v>
      </c>
      <c r="R347">
        <v>5</v>
      </c>
      <c r="S347">
        <v>1</v>
      </c>
      <c r="T347" t="s">
        <v>45</v>
      </c>
      <c r="U347" t="s">
        <v>30</v>
      </c>
      <c r="V347">
        <v>50563</v>
      </c>
      <c r="W347">
        <v>3.44</v>
      </c>
      <c r="X347">
        <v>3</v>
      </c>
    </row>
    <row r="348" spans="1:24" x14ac:dyDescent="0.3">
      <c r="A348" t="s">
        <v>83</v>
      </c>
      <c r="B348" t="s">
        <v>114</v>
      </c>
      <c r="C348">
        <v>2024</v>
      </c>
      <c r="D348" t="s">
        <v>26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27</v>
      </c>
      <c r="N348">
        <v>5</v>
      </c>
      <c r="O348" t="s">
        <v>35</v>
      </c>
      <c r="P348">
        <v>68.3</v>
      </c>
      <c r="Q348">
        <v>2006</v>
      </c>
      <c r="R348">
        <v>5</v>
      </c>
      <c r="S348">
        <v>1</v>
      </c>
      <c r="T348" t="s">
        <v>29</v>
      </c>
      <c r="U348" t="s">
        <v>33</v>
      </c>
      <c r="V348">
        <v>21525</v>
      </c>
      <c r="W348">
        <v>3.69</v>
      </c>
      <c r="X348">
        <v>5</v>
      </c>
    </row>
    <row r="349" spans="1:24" x14ac:dyDescent="0.3">
      <c r="A349" t="s">
        <v>46</v>
      </c>
      <c r="B349" t="s">
        <v>57</v>
      </c>
      <c r="C349">
        <v>2023</v>
      </c>
      <c r="D349" t="s">
        <v>44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34</v>
      </c>
      <c r="N349">
        <v>5</v>
      </c>
      <c r="O349" t="s">
        <v>50</v>
      </c>
      <c r="P349">
        <v>39.200000000000003</v>
      </c>
      <c r="Q349">
        <v>1521</v>
      </c>
      <c r="R349">
        <v>4</v>
      </c>
      <c r="S349">
        <v>2</v>
      </c>
      <c r="T349" t="s">
        <v>41</v>
      </c>
      <c r="U349" t="s">
        <v>33</v>
      </c>
      <c r="V349">
        <v>246839</v>
      </c>
      <c r="W349">
        <v>3.98</v>
      </c>
      <c r="X349">
        <v>4</v>
      </c>
    </row>
    <row r="350" spans="1:24" x14ac:dyDescent="0.3">
      <c r="A350" t="s">
        <v>24</v>
      </c>
      <c r="B350" t="s">
        <v>70</v>
      </c>
      <c r="C350">
        <v>2026</v>
      </c>
      <c r="D350" t="s">
        <v>61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34</v>
      </c>
      <c r="N350">
        <v>5</v>
      </c>
      <c r="O350" t="s">
        <v>50</v>
      </c>
      <c r="P350">
        <v>19</v>
      </c>
      <c r="Q350">
        <v>1583</v>
      </c>
      <c r="R350">
        <v>4</v>
      </c>
      <c r="S350">
        <v>0</v>
      </c>
      <c r="T350" t="s">
        <v>29</v>
      </c>
      <c r="U350" t="s">
        <v>33</v>
      </c>
      <c r="V350">
        <v>282690</v>
      </c>
      <c r="W350">
        <v>3.24</v>
      </c>
      <c r="X350">
        <v>3</v>
      </c>
    </row>
    <row r="351" spans="1:24" x14ac:dyDescent="0.3">
      <c r="A351" t="s">
        <v>83</v>
      </c>
      <c r="B351" t="s">
        <v>116</v>
      </c>
      <c r="C351">
        <v>2026</v>
      </c>
      <c r="D351" t="s">
        <v>61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48</v>
      </c>
      <c r="N351">
        <v>5</v>
      </c>
      <c r="O351" t="s">
        <v>50</v>
      </c>
      <c r="P351">
        <v>28.4</v>
      </c>
      <c r="Q351">
        <v>1500</v>
      </c>
      <c r="R351">
        <v>5</v>
      </c>
      <c r="S351">
        <v>2</v>
      </c>
      <c r="T351" t="s">
        <v>29</v>
      </c>
      <c r="U351" t="s">
        <v>33</v>
      </c>
      <c r="V351">
        <v>49770</v>
      </c>
      <c r="W351">
        <v>3.42</v>
      </c>
      <c r="X351">
        <v>8</v>
      </c>
    </row>
    <row r="352" spans="1:24" x14ac:dyDescent="0.3">
      <c r="A352" t="s">
        <v>68</v>
      </c>
      <c r="B352" t="s">
        <v>79</v>
      </c>
      <c r="C352">
        <v>2025</v>
      </c>
      <c r="D352" t="s">
        <v>61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27</v>
      </c>
      <c r="N352">
        <v>5</v>
      </c>
      <c r="O352" t="s">
        <v>35</v>
      </c>
      <c r="P352">
        <v>63.1</v>
      </c>
      <c r="Q352">
        <v>1935</v>
      </c>
      <c r="R352">
        <v>4</v>
      </c>
      <c r="S352">
        <v>1</v>
      </c>
      <c r="T352" t="s">
        <v>45</v>
      </c>
      <c r="U352" t="s">
        <v>37</v>
      </c>
      <c r="V352">
        <v>101021</v>
      </c>
      <c r="W352">
        <v>3.33</v>
      </c>
      <c r="X352">
        <v>3</v>
      </c>
    </row>
    <row r="353" spans="1:24" x14ac:dyDescent="0.3">
      <c r="A353" t="s">
        <v>52</v>
      </c>
      <c r="B353" t="s">
        <v>53</v>
      </c>
      <c r="C353">
        <v>2024</v>
      </c>
      <c r="D353" t="s">
        <v>33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27</v>
      </c>
      <c r="N353">
        <v>5</v>
      </c>
      <c r="O353" t="s">
        <v>35</v>
      </c>
      <c r="P353">
        <v>65.099999999999994</v>
      </c>
      <c r="Q353">
        <v>1569</v>
      </c>
      <c r="R353">
        <v>4</v>
      </c>
      <c r="S353">
        <v>2</v>
      </c>
      <c r="T353" t="s">
        <v>29</v>
      </c>
      <c r="U353" t="s">
        <v>33</v>
      </c>
      <c r="V353">
        <v>71016</v>
      </c>
      <c r="W353">
        <v>3.79</v>
      </c>
      <c r="X353">
        <v>7</v>
      </c>
    </row>
    <row r="354" spans="1:24" x14ac:dyDescent="0.3">
      <c r="A354" t="s">
        <v>83</v>
      </c>
      <c r="B354" t="s">
        <v>84</v>
      </c>
      <c r="C354">
        <v>2025</v>
      </c>
      <c r="D354" t="s">
        <v>26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27</v>
      </c>
      <c r="N354">
        <v>5</v>
      </c>
      <c r="O354" t="s">
        <v>28</v>
      </c>
      <c r="P354">
        <v>75.3</v>
      </c>
      <c r="Q354">
        <v>2275</v>
      </c>
      <c r="R354">
        <v>5</v>
      </c>
      <c r="S354">
        <v>1</v>
      </c>
      <c r="T354" t="s">
        <v>29</v>
      </c>
      <c r="U354" t="s">
        <v>30</v>
      </c>
      <c r="V354">
        <v>68048</v>
      </c>
      <c r="W354">
        <v>3.7</v>
      </c>
      <c r="X354">
        <v>8</v>
      </c>
    </row>
    <row r="355" spans="1:24" x14ac:dyDescent="0.3">
      <c r="A355" t="s">
        <v>46</v>
      </c>
      <c r="B355" t="s">
        <v>49</v>
      </c>
      <c r="C355">
        <v>2024</v>
      </c>
      <c r="D355" t="s">
        <v>61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48</v>
      </c>
      <c r="N355">
        <v>5</v>
      </c>
      <c r="O355" t="s">
        <v>51</v>
      </c>
      <c r="P355">
        <v>22.2</v>
      </c>
      <c r="Q355">
        <v>1526</v>
      </c>
      <c r="R355">
        <v>4</v>
      </c>
      <c r="S355">
        <v>2</v>
      </c>
      <c r="T355" t="s">
        <v>41</v>
      </c>
      <c r="U355" t="s">
        <v>30</v>
      </c>
      <c r="V355">
        <v>456268</v>
      </c>
      <c r="W355">
        <v>3.43</v>
      </c>
      <c r="X355">
        <v>6</v>
      </c>
    </row>
    <row r="356" spans="1:24" x14ac:dyDescent="0.3">
      <c r="A356" t="s">
        <v>46</v>
      </c>
      <c r="B356" t="s">
        <v>78</v>
      </c>
      <c r="C356">
        <v>2026</v>
      </c>
      <c r="D356" t="s">
        <v>44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48</v>
      </c>
      <c r="N356">
        <v>5</v>
      </c>
      <c r="O356" t="s">
        <v>51</v>
      </c>
      <c r="P356">
        <v>32.1</v>
      </c>
      <c r="Q356">
        <v>1500</v>
      </c>
      <c r="R356">
        <v>4</v>
      </c>
      <c r="S356">
        <v>2</v>
      </c>
      <c r="T356" t="s">
        <v>41</v>
      </c>
      <c r="U356" t="s">
        <v>30</v>
      </c>
      <c r="V356">
        <v>176985</v>
      </c>
      <c r="W356">
        <v>4.2300000000000004</v>
      </c>
      <c r="X356">
        <v>5</v>
      </c>
    </row>
    <row r="357" spans="1:24" x14ac:dyDescent="0.3">
      <c r="A357" t="s">
        <v>83</v>
      </c>
      <c r="B357" t="s">
        <v>89</v>
      </c>
      <c r="C357">
        <v>2024</v>
      </c>
      <c r="D357" t="s">
        <v>33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48</v>
      </c>
      <c r="N357">
        <v>7</v>
      </c>
      <c r="O357" t="s">
        <v>40</v>
      </c>
      <c r="P357">
        <v>73.2</v>
      </c>
      <c r="Q357">
        <v>1764</v>
      </c>
      <c r="R357">
        <v>4</v>
      </c>
      <c r="S357">
        <v>2</v>
      </c>
      <c r="T357" t="s">
        <v>29</v>
      </c>
      <c r="U357" t="s">
        <v>33</v>
      </c>
      <c r="V357">
        <v>51378</v>
      </c>
      <c r="W357">
        <v>3.2</v>
      </c>
      <c r="X357">
        <v>5</v>
      </c>
    </row>
    <row r="358" spans="1:24" x14ac:dyDescent="0.3">
      <c r="A358" t="s">
        <v>46</v>
      </c>
      <c r="B358" t="s">
        <v>47</v>
      </c>
      <c r="C358">
        <v>2025</v>
      </c>
      <c r="D358" t="s">
        <v>56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27</v>
      </c>
      <c r="N358">
        <v>7</v>
      </c>
      <c r="O358" t="s">
        <v>35</v>
      </c>
      <c r="P358">
        <v>51.8</v>
      </c>
      <c r="Q358">
        <v>1730</v>
      </c>
      <c r="R358">
        <v>4</v>
      </c>
      <c r="S358">
        <v>2</v>
      </c>
      <c r="T358" t="s">
        <v>41</v>
      </c>
      <c r="U358" t="s">
        <v>37</v>
      </c>
      <c r="V358">
        <v>207769</v>
      </c>
      <c r="W358">
        <v>3.71</v>
      </c>
      <c r="X358">
        <v>5</v>
      </c>
    </row>
    <row r="359" spans="1:24" x14ac:dyDescent="0.3">
      <c r="A359" t="s">
        <v>42</v>
      </c>
      <c r="B359" t="s">
        <v>71</v>
      </c>
      <c r="C359">
        <v>2024</v>
      </c>
      <c r="D359" t="s">
        <v>33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48</v>
      </c>
      <c r="N359">
        <v>5</v>
      </c>
      <c r="O359" t="s">
        <v>51</v>
      </c>
      <c r="P359">
        <v>33.700000000000003</v>
      </c>
      <c r="Q359">
        <v>1841</v>
      </c>
      <c r="R359">
        <v>3</v>
      </c>
      <c r="S359">
        <v>0</v>
      </c>
      <c r="T359" t="s">
        <v>45</v>
      </c>
      <c r="U359" t="s">
        <v>37</v>
      </c>
      <c r="V359">
        <v>113782</v>
      </c>
      <c r="W359">
        <v>3.4</v>
      </c>
      <c r="X359">
        <v>3</v>
      </c>
    </row>
    <row r="360" spans="1:24" x14ac:dyDescent="0.3">
      <c r="A360" t="s">
        <v>92</v>
      </c>
      <c r="B360" t="s">
        <v>110</v>
      </c>
      <c r="C360">
        <v>2024</v>
      </c>
      <c r="D360" t="s">
        <v>56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34</v>
      </c>
      <c r="N360">
        <v>7</v>
      </c>
      <c r="O360" t="s">
        <v>28</v>
      </c>
      <c r="P360">
        <v>56.6</v>
      </c>
      <c r="Q360">
        <v>2319</v>
      </c>
      <c r="R360">
        <v>5</v>
      </c>
      <c r="S360">
        <v>0</v>
      </c>
      <c r="T360" t="s">
        <v>65</v>
      </c>
      <c r="U360" t="s">
        <v>33</v>
      </c>
      <c r="V360">
        <v>17477</v>
      </c>
      <c r="W360">
        <v>3.38</v>
      </c>
      <c r="X360">
        <v>5</v>
      </c>
    </row>
    <row r="361" spans="1:24" x14ac:dyDescent="0.3">
      <c r="A361" t="s">
        <v>42</v>
      </c>
      <c r="B361" t="s">
        <v>80</v>
      </c>
      <c r="C361">
        <v>2026</v>
      </c>
      <c r="D361" t="s">
        <v>56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34</v>
      </c>
      <c r="N361">
        <v>5</v>
      </c>
      <c r="O361" t="s">
        <v>35</v>
      </c>
      <c r="P361">
        <v>53</v>
      </c>
      <c r="Q361">
        <v>1838</v>
      </c>
      <c r="R361">
        <v>5</v>
      </c>
      <c r="S361">
        <v>0</v>
      </c>
      <c r="T361" t="s">
        <v>45</v>
      </c>
      <c r="U361" t="s">
        <v>37</v>
      </c>
      <c r="V361">
        <v>93165</v>
      </c>
      <c r="W361">
        <v>3.26</v>
      </c>
      <c r="X361">
        <v>3</v>
      </c>
    </row>
    <row r="362" spans="1:24" x14ac:dyDescent="0.3">
      <c r="A362" t="s">
        <v>24</v>
      </c>
      <c r="B362" t="s">
        <v>74</v>
      </c>
      <c r="C362">
        <v>2025</v>
      </c>
      <c r="D362" t="s">
        <v>26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48</v>
      </c>
      <c r="N362">
        <v>5</v>
      </c>
      <c r="O362" t="s">
        <v>28</v>
      </c>
      <c r="P362">
        <v>77.900000000000006</v>
      </c>
      <c r="Q362">
        <v>2374</v>
      </c>
      <c r="R362">
        <v>4</v>
      </c>
      <c r="S362">
        <v>1</v>
      </c>
      <c r="T362" t="s">
        <v>29</v>
      </c>
      <c r="U362" t="s">
        <v>33</v>
      </c>
      <c r="V362">
        <v>255988</v>
      </c>
      <c r="W362">
        <v>3.58</v>
      </c>
      <c r="X362">
        <v>4</v>
      </c>
    </row>
    <row r="363" spans="1:24" x14ac:dyDescent="0.3">
      <c r="A363" t="s">
        <v>83</v>
      </c>
      <c r="B363" t="s">
        <v>84</v>
      </c>
      <c r="C363">
        <v>2025</v>
      </c>
      <c r="D363" t="s">
        <v>61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34</v>
      </c>
      <c r="N363">
        <v>5</v>
      </c>
      <c r="O363" t="s">
        <v>50</v>
      </c>
      <c r="P363">
        <v>31.2</v>
      </c>
      <c r="Q363">
        <v>1703</v>
      </c>
      <c r="R363">
        <v>4</v>
      </c>
      <c r="S363">
        <v>2</v>
      </c>
      <c r="T363" t="s">
        <v>29</v>
      </c>
      <c r="U363" t="s">
        <v>33</v>
      </c>
      <c r="V363">
        <v>78799</v>
      </c>
      <c r="W363">
        <v>3.26</v>
      </c>
      <c r="X363">
        <v>8</v>
      </c>
    </row>
    <row r="364" spans="1:24" x14ac:dyDescent="0.3">
      <c r="A364" t="s">
        <v>68</v>
      </c>
      <c r="B364" t="s">
        <v>79</v>
      </c>
      <c r="C364">
        <v>2024</v>
      </c>
      <c r="D364" t="s">
        <v>56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34</v>
      </c>
      <c r="N364">
        <v>7</v>
      </c>
      <c r="O364" t="s">
        <v>28</v>
      </c>
      <c r="P364">
        <v>50.2</v>
      </c>
      <c r="Q364">
        <v>2843</v>
      </c>
      <c r="R364">
        <v>5</v>
      </c>
      <c r="S364">
        <v>2</v>
      </c>
      <c r="T364" t="s">
        <v>45</v>
      </c>
      <c r="U364" t="s">
        <v>37</v>
      </c>
      <c r="V364">
        <v>136935</v>
      </c>
      <c r="W364">
        <v>3.41</v>
      </c>
      <c r="X364">
        <v>4</v>
      </c>
    </row>
    <row r="365" spans="1:24" x14ac:dyDescent="0.3">
      <c r="A365" t="s">
        <v>42</v>
      </c>
      <c r="B365" t="s">
        <v>71</v>
      </c>
      <c r="C365">
        <v>2023</v>
      </c>
      <c r="D365" t="s">
        <v>33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27</v>
      </c>
      <c r="N365">
        <v>5</v>
      </c>
      <c r="O365" t="s">
        <v>35</v>
      </c>
      <c r="P365">
        <v>44.2</v>
      </c>
      <c r="Q365">
        <v>1516</v>
      </c>
      <c r="R365">
        <v>5</v>
      </c>
      <c r="S365">
        <v>1</v>
      </c>
      <c r="T365" t="s">
        <v>45</v>
      </c>
      <c r="U365" t="s">
        <v>33</v>
      </c>
      <c r="V365">
        <v>107457</v>
      </c>
      <c r="W365">
        <v>3.32</v>
      </c>
      <c r="X365">
        <v>5</v>
      </c>
    </row>
    <row r="366" spans="1:24" x14ac:dyDescent="0.3">
      <c r="A366" t="s">
        <v>92</v>
      </c>
      <c r="B366" t="s">
        <v>127</v>
      </c>
      <c r="C366">
        <v>2023</v>
      </c>
      <c r="D366" t="s">
        <v>44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27</v>
      </c>
      <c r="N366">
        <v>7</v>
      </c>
      <c r="O366" t="s">
        <v>58</v>
      </c>
      <c r="P366">
        <v>20.5</v>
      </c>
      <c r="Q366">
        <v>1662</v>
      </c>
      <c r="R366">
        <v>4</v>
      </c>
      <c r="S366">
        <v>0</v>
      </c>
      <c r="T366" t="s">
        <v>65</v>
      </c>
      <c r="U366" t="s">
        <v>33</v>
      </c>
      <c r="V366">
        <v>12631</v>
      </c>
      <c r="W366">
        <v>3.86</v>
      </c>
      <c r="X366">
        <v>5</v>
      </c>
    </row>
    <row r="367" spans="1:24" x14ac:dyDescent="0.3">
      <c r="A367" t="s">
        <v>24</v>
      </c>
      <c r="B367" t="s">
        <v>85</v>
      </c>
      <c r="C367">
        <v>2025</v>
      </c>
      <c r="D367" t="s">
        <v>26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27</v>
      </c>
      <c r="N367">
        <v>5</v>
      </c>
      <c r="O367" t="s">
        <v>28</v>
      </c>
      <c r="P367">
        <v>77.2</v>
      </c>
      <c r="Q367">
        <v>2583</v>
      </c>
      <c r="R367">
        <v>3</v>
      </c>
      <c r="S367">
        <v>1</v>
      </c>
      <c r="T367" t="s">
        <v>29</v>
      </c>
      <c r="U367" t="s">
        <v>37</v>
      </c>
      <c r="V367">
        <v>263694</v>
      </c>
      <c r="W367">
        <v>3.21</v>
      </c>
      <c r="X367">
        <v>3</v>
      </c>
    </row>
    <row r="368" spans="1:24" x14ac:dyDescent="0.3">
      <c r="A368" t="s">
        <v>31</v>
      </c>
      <c r="B368" t="s">
        <v>32</v>
      </c>
      <c r="C368">
        <v>2024</v>
      </c>
      <c r="D368" t="s">
        <v>56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48</v>
      </c>
      <c r="N368">
        <v>5</v>
      </c>
      <c r="O368" t="s">
        <v>35</v>
      </c>
      <c r="P368">
        <v>35.4</v>
      </c>
      <c r="Q368">
        <v>1773</v>
      </c>
      <c r="R368">
        <v>4</v>
      </c>
      <c r="S368">
        <v>0</v>
      </c>
      <c r="T368" t="s">
        <v>36</v>
      </c>
      <c r="U368" t="s">
        <v>37</v>
      </c>
      <c r="V368">
        <v>8458</v>
      </c>
      <c r="W368">
        <v>3.67</v>
      </c>
      <c r="X368">
        <v>4</v>
      </c>
    </row>
    <row r="369" spans="1:24" x14ac:dyDescent="0.3">
      <c r="A369" t="s">
        <v>86</v>
      </c>
      <c r="B369" t="s">
        <v>108</v>
      </c>
      <c r="C369">
        <v>2025</v>
      </c>
      <c r="D369" t="s">
        <v>61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48</v>
      </c>
      <c r="N369">
        <v>7</v>
      </c>
      <c r="O369" t="s">
        <v>28</v>
      </c>
      <c r="P369">
        <v>64.5</v>
      </c>
      <c r="Q369">
        <v>2402</v>
      </c>
      <c r="R369">
        <v>5</v>
      </c>
      <c r="S369">
        <v>2</v>
      </c>
      <c r="T369" t="s">
        <v>29</v>
      </c>
      <c r="U369" t="s">
        <v>33</v>
      </c>
      <c r="V369">
        <v>26577</v>
      </c>
      <c r="W369">
        <v>3.76</v>
      </c>
      <c r="X369">
        <v>7</v>
      </c>
    </row>
    <row r="370" spans="1:24" x14ac:dyDescent="0.3">
      <c r="A370" t="s">
        <v>46</v>
      </c>
      <c r="B370" t="s">
        <v>72</v>
      </c>
      <c r="C370">
        <v>2024</v>
      </c>
      <c r="D370" t="s">
        <v>61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34</v>
      </c>
      <c r="N370">
        <v>5</v>
      </c>
      <c r="O370" t="s">
        <v>28</v>
      </c>
      <c r="P370">
        <v>77.3</v>
      </c>
      <c r="Q370">
        <v>2533</v>
      </c>
      <c r="R370">
        <v>4</v>
      </c>
      <c r="S370">
        <v>2</v>
      </c>
      <c r="T370" t="s">
        <v>41</v>
      </c>
      <c r="U370" t="s">
        <v>30</v>
      </c>
      <c r="V370">
        <v>105012</v>
      </c>
      <c r="W370">
        <v>4.03</v>
      </c>
      <c r="X370">
        <v>6</v>
      </c>
    </row>
    <row r="371" spans="1:24" x14ac:dyDescent="0.3">
      <c r="A371" t="s">
        <v>46</v>
      </c>
      <c r="B371" t="s">
        <v>47</v>
      </c>
      <c r="C371">
        <v>2025</v>
      </c>
      <c r="D371" t="s">
        <v>56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34</v>
      </c>
      <c r="N371">
        <v>7</v>
      </c>
      <c r="O371" t="s">
        <v>58</v>
      </c>
      <c r="P371">
        <v>38.5</v>
      </c>
      <c r="Q371">
        <v>1522</v>
      </c>
      <c r="R371">
        <v>5</v>
      </c>
      <c r="S371">
        <v>3</v>
      </c>
      <c r="T371" t="s">
        <v>41</v>
      </c>
      <c r="U371" t="s">
        <v>33</v>
      </c>
      <c r="V371">
        <v>189686</v>
      </c>
      <c r="W371">
        <v>3.74</v>
      </c>
      <c r="X371">
        <v>5</v>
      </c>
    </row>
    <row r="372" spans="1:24" x14ac:dyDescent="0.3">
      <c r="A372" t="s">
        <v>46</v>
      </c>
      <c r="B372" t="s">
        <v>49</v>
      </c>
      <c r="C372">
        <v>2024</v>
      </c>
      <c r="D372" t="s">
        <v>44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27</v>
      </c>
      <c r="N372">
        <v>5</v>
      </c>
      <c r="O372" t="s">
        <v>58</v>
      </c>
      <c r="P372">
        <v>22</v>
      </c>
      <c r="Q372">
        <v>1500</v>
      </c>
      <c r="R372">
        <v>4</v>
      </c>
      <c r="S372">
        <v>2</v>
      </c>
      <c r="T372" t="s">
        <v>41</v>
      </c>
      <c r="U372" t="s">
        <v>33</v>
      </c>
      <c r="V372">
        <v>497556</v>
      </c>
      <c r="W372">
        <v>4.0599999999999996</v>
      </c>
      <c r="X372">
        <v>5</v>
      </c>
    </row>
    <row r="373" spans="1:24" x14ac:dyDescent="0.3">
      <c r="A373" t="s">
        <v>46</v>
      </c>
      <c r="B373" t="s">
        <v>47</v>
      </c>
      <c r="C373">
        <v>2026</v>
      </c>
      <c r="D373" t="s">
        <v>44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48</v>
      </c>
      <c r="N373">
        <v>7</v>
      </c>
      <c r="O373" t="s">
        <v>51</v>
      </c>
      <c r="P373">
        <v>15</v>
      </c>
      <c r="Q373">
        <v>1574</v>
      </c>
      <c r="R373">
        <v>5</v>
      </c>
      <c r="S373">
        <v>2</v>
      </c>
      <c r="T373" t="s">
        <v>41</v>
      </c>
      <c r="U373" t="s">
        <v>30</v>
      </c>
      <c r="V373">
        <v>178740</v>
      </c>
      <c r="W373">
        <v>4.0599999999999996</v>
      </c>
      <c r="X373">
        <v>5</v>
      </c>
    </row>
    <row r="374" spans="1:24" x14ac:dyDescent="0.3">
      <c r="A374" t="s">
        <v>46</v>
      </c>
      <c r="B374" t="s">
        <v>72</v>
      </c>
      <c r="C374">
        <v>2023</v>
      </c>
      <c r="D374" t="s">
        <v>61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48</v>
      </c>
      <c r="N374">
        <v>7</v>
      </c>
      <c r="O374" t="s">
        <v>28</v>
      </c>
      <c r="P374">
        <v>77</v>
      </c>
      <c r="Q374">
        <v>2332</v>
      </c>
      <c r="R374">
        <v>5</v>
      </c>
      <c r="S374">
        <v>2</v>
      </c>
      <c r="T374" t="s">
        <v>41</v>
      </c>
      <c r="U374" t="s">
        <v>30</v>
      </c>
      <c r="V374">
        <v>186743</v>
      </c>
      <c r="W374">
        <v>3.62</v>
      </c>
      <c r="X374">
        <v>4</v>
      </c>
    </row>
    <row r="375" spans="1:24" x14ac:dyDescent="0.3">
      <c r="A375" t="s">
        <v>83</v>
      </c>
      <c r="B375" t="s">
        <v>84</v>
      </c>
      <c r="C375">
        <v>2025</v>
      </c>
      <c r="D375" t="s">
        <v>56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34</v>
      </c>
      <c r="N375">
        <v>5</v>
      </c>
      <c r="O375" t="s">
        <v>28</v>
      </c>
      <c r="P375">
        <v>74.8</v>
      </c>
      <c r="Q375">
        <v>2768</v>
      </c>
      <c r="R375">
        <v>5</v>
      </c>
      <c r="S375">
        <v>1</v>
      </c>
      <c r="T375" t="s">
        <v>29</v>
      </c>
      <c r="U375" t="s">
        <v>33</v>
      </c>
      <c r="V375">
        <v>30088</v>
      </c>
      <c r="W375">
        <v>3.19</v>
      </c>
      <c r="X375">
        <v>8</v>
      </c>
    </row>
    <row r="376" spans="1:24" x14ac:dyDescent="0.3">
      <c r="A376" t="s">
        <v>46</v>
      </c>
      <c r="B376" t="s">
        <v>49</v>
      </c>
      <c r="C376">
        <v>2024</v>
      </c>
      <c r="D376" t="s">
        <v>56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27</v>
      </c>
      <c r="N376">
        <v>5</v>
      </c>
      <c r="O376" t="s">
        <v>58</v>
      </c>
      <c r="P376">
        <v>17.399999999999999</v>
      </c>
      <c r="Q376">
        <v>1500</v>
      </c>
      <c r="R376">
        <v>5</v>
      </c>
      <c r="S376">
        <v>2</v>
      </c>
      <c r="T376" t="s">
        <v>41</v>
      </c>
      <c r="U376" t="s">
        <v>37</v>
      </c>
      <c r="V376">
        <v>424937</v>
      </c>
      <c r="W376">
        <v>3.73</v>
      </c>
      <c r="X376">
        <v>6</v>
      </c>
    </row>
    <row r="377" spans="1:24" x14ac:dyDescent="0.3">
      <c r="A377" t="s">
        <v>63</v>
      </c>
      <c r="B377" t="s">
        <v>67</v>
      </c>
      <c r="C377">
        <v>2022</v>
      </c>
      <c r="D377" t="s">
        <v>33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48</v>
      </c>
      <c r="N377">
        <v>7</v>
      </c>
      <c r="O377" t="s">
        <v>40</v>
      </c>
      <c r="P377">
        <v>71.3</v>
      </c>
      <c r="Q377">
        <v>1527</v>
      </c>
      <c r="R377">
        <v>4</v>
      </c>
      <c r="S377">
        <v>2</v>
      </c>
      <c r="T377" t="s">
        <v>65</v>
      </c>
      <c r="U377" t="s">
        <v>37</v>
      </c>
      <c r="V377">
        <v>159638</v>
      </c>
      <c r="W377">
        <v>3.48</v>
      </c>
      <c r="X377">
        <v>4</v>
      </c>
    </row>
    <row r="378" spans="1:24" x14ac:dyDescent="0.3">
      <c r="A378" t="s">
        <v>52</v>
      </c>
      <c r="B378" t="s">
        <v>103</v>
      </c>
      <c r="C378">
        <v>2025</v>
      </c>
      <c r="D378" t="s">
        <v>56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34</v>
      </c>
      <c r="N378">
        <v>5</v>
      </c>
      <c r="O378" t="s">
        <v>58</v>
      </c>
      <c r="P378">
        <v>35.799999999999997</v>
      </c>
      <c r="Q378">
        <v>1918</v>
      </c>
      <c r="R378">
        <v>4</v>
      </c>
      <c r="S378">
        <v>1</v>
      </c>
      <c r="T378" t="s">
        <v>29</v>
      </c>
      <c r="U378" t="s">
        <v>30</v>
      </c>
      <c r="V378">
        <v>74928</v>
      </c>
      <c r="W378">
        <v>3.82</v>
      </c>
      <c r="X378">
        <v>5</v>
      </c>
    </row>
    <row r="379" spans="1:24" x14ac:dyDescent="0.3">
      <c r="A379" t="s">
        <v>46</v>
      </c>
      <c r="B379" t="s">
        <v>78</v>
      </c>
      <c r="C379">
        <v>2024</v>
      </c>
      <c r="D379" t="s">
        <v>61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34</v>
      </c>
      <c r="N379">
        <v>7</v>
      </c>
      <c r="O379" t="s">
        <v>28</v>
      </c>
      <c r="P379">
        <v>62.3</v>
      </c>
      <c r="Q379">
        <v>2173</v>
      </c>
      <c r="R379">
        <v>5</v>
      </c>
      <c r="S379">
        <v>2</v>
      </c>
      <c r="T379" t="s">
        <v>41</v>
      </c>
      <c r="U379" t="s">
        <v>33</v>
      </c>
      <c r="V379">
        <v>122128</v>
      </c>
      <c r="W379">
        <v>3.66</v>
      </c>
      <c r="X379">
        <v>4</v>
      </c>
    </row>
    <row r="380" spans="1:24" x14ac:dyDescent="0.3">
      <c r="A380" t="s">
        <v>76</v>
      </c>
      <c r="B380" t="s">
        <v>98</v>
      </c>
      <c r="C380">
        <v>2023</v>
      </c>
      <c r="D380" t="s">
        <v>56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48</v>
      </c>
      <c r="N380">
        <v>5</v>
      </c>
      <c r="O380" t="s">
        <v>50</v>
      </c>
      <c r="P380">
        <v>36.299999999999997</v>
      </c>
      <c r="Q380">
        <v>1677</v>
      </c>
      <c r="R380">
        <v>5</v>
      </c>
      <c r="S380">
        <v>1</v>
      </c>
      <c r="T380" t="s">
        <v>41</v>
      </c>
      <c r="U380" t="s">
        <v>37</v>
      </c>
      <c r="V380">
        <v>63701</v>
      </c>
      <c r="W380">
        <v>3.25</v>
      </c>
      <c r="X380">
        <v>4</v>
      </c>
    </row>
    <row r="381" spans="1:24" x14ac:dyDescent="0.3">
      <c r="A381" t="s">
        <v>63</v>
      </c>
      <c r="B381" t="s">
        <v>96</v>
      </c>
      <c r="C381">
        <v>2026</v>
      </c>
      <c r="D381" t="s">
        <v>61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27</v>
      </c>
      <c r="N381">
        <v>7</v>
      </c>
      <c r="O381" t="s">
        <v>40</v>
      </c>
      <c r="P381">
        <v>72.599999999999994</v>
      </c>
      <c r="Q381">
        <v>1904</v>
      </c>
      <c r="R381">
        <v>5</v>
      </c>
      <c r="S381">
        <v>0</v>
      </c>
      <c r="T381" t="s">
        <v>65</v>
      </c>
      <c r="U381" t="s">
        <v>33</v>
      </c>
      <c r="V381">
        <v>156944</v>
      </c>
      <c r="W381">
        <v>3.54</v>
      </c>
      <c r="X381">
        <v>4</v>
      </c>
    </row>
    <row r="382" spans="1:24" x14ac:dyDescent="0.3">
      <c r="A382" t="s">
        <v>46</v>
      </c>
      <c r="B382" t="s">
        <v>57</v>
      </c>
      <c r="C382">
        <v>2025</v>
      </c>
      <c r="D382" t="s">
        <v>44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34</v>
      </c>
      <c r="N382">
        <v>5</v>
      </c>
      <c r="O382" t="s">
        <v>40</v>
      </c>
      <c r="P382">
        <v>70.2</v>
      </c>
      <c r="Q382">
        <v>1656</v>
      </c>
      <c r="R382">
        <v>3</v>
      </c>
      <c r="S382">
        <v>3</v>
      </c>
      <c r="T382" t="s">
        <v>41</v>
      </c>
      <c r="U382" t="s">
        <v>30</v>
      </c>
      <c r="V382">
        <v>239713</v>
      </c>
      <c r="W382">
        <v>3.88</v>
      </c>
      <c r="X382">
        <v>5</v>
      </c>
    </row>
    <row r="383" spans="1:24" x14ac:dyDescent="0.3">
      <c r="A383" t="s">
        <v>38</v>
      </c>
      <c r="B383" t="s">
        <v>118</v>
      </c>
      <c r="C383">
        <v>2025</v>
      </c>
      <c r="D383" t="s">
        <v>61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34</v>
      </c>
      <c r="N383">
        <v>7</v>
      </c>
      <c r="O383" t="s">
        <v>40</v>
      </c>
      <c r="P383">
        <v>61.8</v>
      </c>
      <c r="Q383">
        <v>1577</v>
      </c>
      <c r="R383">
        <v>5</v>
      </c>
      <c r="S383">
        <v>1</v>
      </c>
      <c r="T383" t="s">
        <v>41</v>
      </c>
      <c r="U383" t="s">
        <v>33</v>
      </c>
      <c r="V383">
        <v>23483</v>
      </c>
      <c r="W383">
        <v>3.13</v>
      </c>
      <c r="X383">
        <v>4</v>
      </c>
    </row>
    <row r="384" spans="1:24" x14ac:dyDescent="0.3">
      <c r="A384" t="s">
        <v>83</v>
      </c>
      <c r="B384" t="s">
        <v>116</v>
      </c>
      <c r="C384">
        <v>2026</v>
      </c>
      <c r="D384" t="s">
        <v>61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34</v>
      </c>
      <c r="N384">
        <v>7</v>
      </c>
      <c r="O384" t="s">
        <v>51</v>
      </c>
      <c r="P384">
        <v>19.100000000000001</v>
      </c>
      <c r="Q384">
        <v>1618</v>
      </c>
      <c r="R384">
        <v>3</v>
      </c>
      <c r="S384">
        <v>2</v>
      </c>
      <c r="T384" t="s">
        <v>29</v>
      </c>
      <c r="U384" t="s">
        <v>33</v>
      </c>
      <c r="V384">
        <v>72987</v>
      </c>
      <c r="W384">
        <v>3.29</v>
      </c>
      <c r="X384">
        <v>7</v>
      </c>
    </row>
    <row r="385" spans="1:24" x14ac:dyDescent="0.3">
      <c r="A385" t="s">
        <v>86</v>
      </c>
      <c r="B385" t="s">
        <v>108</v>
      </c>
      <c r="C385">
        <v>2024</v>
      </c>
      <c r="D385" t="s">
        <v>44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27</v>
      </c>
      <c r="N385">
        <v>7</v>
      </c>
      <c r="O385" t="s">
        <v>58</v>
      </c>
      <c r="P385">
        <v>37.700000000000003</v>
      </c>
      <c r="Q385">
        <v>1642</v>
      </c>
      <c r="R385">
        <v>4</v>
      </c>
      <c r="S385">
        <v>2</v>
      </c>
      <c r="T385" t="s">
        <v>29</v>
      </c>
      <c r="U385" t="s">
        <v>30</v>
      </c>
      <c r="V385">
        <v>36875</v>
      </c>
      <c r="W385">
        <v>3.63</v>
      </c>
      <c r="X385">
        <v>8</v>
      </c>
    </row>
    <row r="386" spans="1:24" x14ac:dyDescent="0.3">
      <c r="A386" t="s">
        <v>38</v>
      </c>
      <c r="B386" t="s">
        <v>39</v>
      </c>
      <c r="C386">
        <v>2024</v>
      </c>
      <c r="D386" t="s">
        <v>44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27</v>
      </c>
      <c r="N386">
        <v>7</v>
      </c>
      <c r="O386" t="s">
        <v>51</v>
      </c>
      <c r="P386">
        <v>17.2</v>
      </c>
      <c r="Q386">
        <v>1500</v>
      </c>
      <c r="R386">
        <v>5</v>
      </c>
      <c r="S386">
        <v>0</v>
      </c>
      <c r="T386" t="s">
        <v>41</v>
      </c>
      <c r="U386" t="s">
        <v>37</v>
      </c>
      <c r="V386">
        <v>12802</v>
      </c>
      <c r="W386">
        <v>3.81</v>
      </c>
      <c r="X386">
        <v>4</v>
      </c>
    </row>
    <row r="387" spans="1:24" x14ac:dyDescent="0.3">
      <c r="A387" t="s">
        <v>76</v>
      </c>
      <c r="B387" t="s">
        <v>91</v>
      </c>
      <c r="C387">
        <v>2024</v>
      </c>
      <c r="D387" t="s">
        <v>61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34</v>
      </c>
      <c r="N387">
        <v>4</v>
      </c>
      <c r="O387" t="s">
        <v>28</v>
      </c>
      <c r="P387">
        <v>56</v>
      </c>
      <c r="Q387">
        <v>2692</v>
      </c>
      <c r="R387">
        <v>4</v>
      </c>
      <c r="S387">
        <v>0</v>
      </c>
      <c r="T387" t="s">
        <v>41</v>
      </c>
      <c r="U387" t="s">
        <v>37</v>
      </c>
      <c r="V387">
        <v>57357</v>
      </c>
      <c r="W387">
        <v>3.14</v>
      </c>
      <c r="X387">
        <v>4</v>
      </c>
    </row>
    <row r="388" spans="1:24" x14ac:dyDescent="0.3">
      <c r="A388" t="s">
        <v>63</v>
      </c>
      <c r="B388" t="s">
        <v>82</v>
      </c>
      <c r="C388">
        <v>2023</v>
      </c>
      <c r="D388" t="s">
        <v>44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34</v>
      </c>
      <c r="N388">
        <v>5</v>
      </c>
      <c r="O388" t="s">
        <v>28</v>
      </c>
      <c r="P388">
        <v>67.7</v>
      </c>
      <c r="Q388">
        <v>2399</v>
      </c>
      <c r="R388">
        <v>4</v>
      </c>
      <c r="S388">
        <v>1</v>
      </c>
      <c r="T388" t="s">
        <v>65</v>
      </c>
      <c r="U388" t="s">
        <v>30</v>
      </c>
      <c r="V388">
        <v>107443</v>
      </c>
      <c r="W388">
        <v>3.79</v>
      </c>
      <c r="X388">
        <v>5</v>
      </c>
    </row>
    <row r="389" spans="1:24" x14ac:dyDescent="0.3">
      <c r="A389" t="s">
        <v>46</v>
      </c>
      <c r="B389" t="s">
        <v>49</v>
      </c>
      <c r="C389">
        <v>2023</v>
      </c>
      <c r="D389" t="s">
        <v>56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48</v>
      </c>
      <c r="N389">
        <v>5</v>
      </c>
      <c r="O389" t="s">
        <v>50</v>
      </c>
      <c r="P389">
        <v>16.3</v>
      </c>
      <c r="Q389">
        <v>1605</v>
      </c>
      <c r="R389">
        <v>5</v>
      </c>
      <c r="S389">
        <v>2</v>
      </c>
      <c r="T389" t="s">
        <v>41</v>
      </c>
      <c r="U389" t="s">
        <v>37</v>
      </c>
      <c r="V389">
        <v>449181</v>
      </c>
      <c r="W389">
        <v>3.75</v>
      </c>
      <c r="X389">
        <v>4</v>
      </c>
    </row>
    <row r="390" spans="1:24" x14ac:dyDescent="0.3">
      <c r="A390" t="s">
        <v>38</v>
      </c>
      <c r="B390" t="s">
        <v>55</v>
      </c>
      <c r="C390">
        <v>2025</v>
      </c>
      <c r="D390" t="s">
        <v>44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48</v>
      </c>
      <c r="N390">
        <v>5</v>
      </c>
      <c r="O390" t="s">
        <v>50</v>
      </c>
      <c r="P390">
        <v>22.4</v>
      </c>
      <c r="Q390">
        <v>1636</v>
      </c>
      <c r="R390">
        <v>4</v>
      </c>
      <c r="S390">
        <v>0</v>
      </c>
      <c r="T390" t="s">
        <v>41</v>
      </c>
      <c r="U390" t="s">
        <v>37</v>
      </c>
      <c r="V390">
        <v>19461</v>
      </c>
      <c r="W390">
        <v>3.6</v>
      </c>
      <c r="X390">
        <v>4</v>
      </c>
    </row>
    <row r="391" spans="1:24" x14ac:dyDescent="0.3">
      <c r="A391" t="s">
        <v>76</v>
      </c>
      <c r="B391" t="s">
        <v>81</v>
      </c>
      <c r="C391">
        <v>2024</v>
      </c>
      <c r="D391" t="s">
        <v>26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48</v>
      </c>
      <c r="N391">
        <v>7</v>
      </c>
      <c r="O391" t="s">
        <v>40</v>
      </c>
      <c r="P391">
        <v>69.400000000000006</v>
      </c>
      <c r="Q391">
        <v>1563</v>
      </c>
      <c r="R391">
        <v>4</v>
      </c>
      <c r="S391">
        <v>1</v>
      </c>
      <c r="T391" t="s">
        <v>41</v>
      </c>
      <c r="U391" t="s">
        <v>33</v>
      </c>
      <c r="V391">
        <v>47356</v>
      </c>
      <c r="W391">
        <v>3.62</v>
      </c>
      <c r="X391">
        <v>4</v>
      </c>
    </row>
    <row r="392" spans="1:24" x14ac:dyDescent="0.3">
      <c r="A392" t="s">
        <v>121</v>
      </c>
      <c r="B392" t="s">
        <v>122</v>
      </c>
      <c r="C392">
        <v>2025</v>
      </c>
      <c r="D392" t="s">
        <v>61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34</v>
      </c>
      <c r="N392">
        <v>5</v>
      </c>
      <c r="O392" t="s">
        <v>40</v>
      </c>
      <c r="P392">
        <v>65</v>
      </c>
      <c r="Q392">
        <v>1577</v>
      </c>
      <c r="R392">
        <v>5</v>
      </c>
      <c r="S392">
        <v>1</v>
      </c>
      <c r="T392" t="s">
        <v>123</v>
      </c>
      <c r="U392" t="s">
        <v>37</v>
      </c>
      <c r="V392">
        <v>15994</v>
      </c>
      <c r="W392">
        <v>3.31</v>
      </c>
      <c r="X392">
        <v>5</v>
      </c>
    </row>
    <row r="393" spans="1:24" x14ac:dyDescent="0.3">
      <c r="A393" t="s">
        <v>24</v>
      </c>
      <c r="B393" t="s">
        <v>85</v>
      </c>
      <c r="C393">
        <v>2024</v>
      </c>
      <c r="D393" t="s">
        <v>56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48</v>
      </c>
      <c r="N393">
        <v>5</v>
      </c>
      <c r="O393" t="s">
        <v>28</v>
      </c>
      <c r="P393">
        <v>64.599999999999994</v>
      </c>
      <c r="Q393">
        <v>2243</v>
      </c>
      <c r="R393">
        <v>5</v>
      </c>
      <c r="S393">
        <v>1</v>
      </c>
      <c r="T393" t="s">
        <v>29</v>
      </c>
      <c r="U393" t="s">
        <v>66</v>
      </c>
      <c r="V393">
        <v>224478</v>
      </c>
      <c r="W393">
        <v>3.16</v>
      </c>
      <c r="X393">
        <v>3</v>
      </c>
    </row>
    <row r="394" spans="1:24" x14ac:dyDescent="0.3">
      <c r="A394" t="s">
        <v>24</v>
      </c>
      <c r="B394" t="s">
        <v>85</v>
      </c>
      <c r="C394">
        <v>2022</v>
      </c>
      <c r="D394" t="s">
        <v>61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34</v>
      </c>
      <c r="N394">
        <v>7</v>
      </c>
      <c r="O394" t="s">
        <v>40</v>
      </c>
      <c r="P394">
        <v>60.7</v>
      </c>
      <c r="Q394">
        <v>1754</v>
      </c>
      <c r="R394">
        <v>4</v>
      </c>
      <c r="S394">
        <v>0</v>
      </c>
      <c r="T394" t="s">
        <v>29</v>
      </c>
      <c r="U394" t="s">
        <v>33</v>
      </c>
      <c r="V394">
        <v>251288</v>
      </c>
      <c r="W394">
        <v>3.32</v>
      </c>
      <c r="X394">
        <v>4</v>
      </c>
    </row>
    <row r="395" spans="1:24" x14ac:dyDescent="0.3">
      <c r="A395" t="s">
        <v>76</v>
      </c>
      <c r="B395" t="s">
        <v>98</v>
      </c>
      <c r="C395">
        <v>2023</v>
      </c>
      <c r="D395" t="s">
        <v>56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48</v>
      </c>
      <c r="N395">
        <v>5</v>
      </c>
      <c r="O395" t="s">
        <v>40</v>
      </c>
      <c r="P395">
        <v>79.8</v>
      </c>
      <c r="Q395">
        <v>1632</v>
      </c>
      <c r="R395">
        <v>4</v>
      </c>
      <c r="S395">
        <v>1</v>
      </c>
      <c r="T395" t="s">
        <v>41</v>
      </c>
      <c r="U395" t="s">
        <v>37</v>
      </c>
      <c r="V395">
        <v>72053</v>
      </c>
      <c r="W395">
        <v>3.42</v>
      </c>
      <c r="X395">
        <v>3</v>
      </c>
    </row>
    <row r="396" spans="1:24" x14ac:dyDescent="0.3">
      <c r="A396" t="s">
        <v>63</v>
      </c>
      <c r="B396" t="s">
        <v>96</v>
      </c>
      <c r="C396">
        <v>2025</v>
      </c>
      <c r="D396" t="s">
        <v>61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34</v>
      </c>
      <c r="N396">
        <v>7</v>
      </c>
      <c r="O396" t="s">
        <v>50</v>
      </c>
      <c r="P396">
        <v>22.8</v>
      </c>
      <c r="Q396">
        <v>1771</v>
      </c>
      <c r="R396">
        <v>5</v>
      </c>
      <c r="S396">
        <v>0</v>
      </c>
      <c r="T396" t="s">
        <v>65</v>
      </c>
      <c r="U396" t="s">
        <v>66</v>
      </c>
      <c r="V396">
        <v>131689</v>
      </c>
      <c r="W396">
        <v>3.16</v>
      </c>
      <c r="X396">
        <v>4</v>
      </c>
    </row>
    <row r="397" spans="1:24" x14ac:dyDescent="0.3">
      <c r="A397" t="s">
        <v>94</v>
      </c>
      <c r="B397" t="s">
        <v>128</v>
      </c>
      <c r="C397">
        <v>2024</v>
      </c>
      <c r="D397" t="s">
        <v>44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34</v>
      </c>
      <c r="N397">
        <v>5</v>
      </c>
      <c r="O397" t="s">
        <v>51</v>
      </c>
      <c r="P397">
        <v>38.200000000000003</v>
      </c>
      <c r="Q397">
        <v>1864</v>
      </c>
      <c r="R397">
        <v>5</v>
      </c>
      <c r="S397">
        <v>0</v>
      </c>
      <c r="T397" t="s">
        <v>41</v>
      </c>
      <c r="U397" t="s">
        <v>33</v>
      </c>
      <c r="V397">
        <v>10950</v>
      </c>
      <c r="W397">
        <v>3.77</v>
      </c>
      <c r="X397">
        <v>6</v>
      </c>
    </row>
    <row r="398" spans="1:24" x14ac:dyDescent="0.3">
      <c r="A398" t="s">
        <v>52</v>
      </c>
      <c r="B398" t="s">
        <v>97</v>
      </c>
      <c r="C398">
        <v>2026</v>
      </c>
      <c r="D398" t="s">
        <v>26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27</v>
      </c>
      <c r="N398">
        <v>7</v>
      </c>
      <c r="O398" t="s">
        <v>50</v>
      </c>
      <c r="P398">
        <v>36.9</v>
      </c>
      <c r="Q398">
        <v>2011</v>
      </c>
      <c r="R398">
        <v>5</v>
      </c>
      <c r="S398">
        <v>2</v>
      </c>
      <c r="T398" t="s">
        <v>29</v>
      </c>
      <c r="U398" t="s">
        <v>30</v>
      </c>
      <c r="V398">
        <v>49733</v>
      </c>
      <c r="W398">
        <v>4.0199999999999996</v>
      </c>
      <c r="X398">
        <v>5</v>
      </c>
    </row>
    <row r="399" spans="1:24" x14ac:dyDescent="0.3">
      <c r="A399" t="s">
        <v>24</v>
      </c>
      <c r="B399" t="s">
        <v>25</v>
      </c>
      <c r="C399">
        <v>2023</v>
      </c>
      <c r="D399" t="s">
        <v>26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48</v>
      </c>
      <c r="N399">
        <v>7</v>
      </c>
      <c r="O399" t="s">
        <v>40</v>
      </c>
      <c r="P399">
        <v>77.400000000000006</v>
      </c>
      <c r="Q399">
        <v>1844</v>
      </c>
      <c r="R399">
        <v>4</v>
      </c>
      <c r="S399">
        <v>0</v>
      </c>
      <c r="T399" t="s">
        <v>29</v>
      </c>
      <c r="U399" t="s">
        <v>37</v>
      </c>
      <c r="V399">
        <v>238954</v>
      </c>
      <c r="W399">
        <v>3.69</v>
      </c>
      <c r="X399">
        <v>4</v>
      </c>
    </row>
    <row r="400" spans="1:24" x14ac:dyDescent="0.3">
      <c r="A400" t="s">
        <v>38</v>
      </c>
      <c r="B400" t="s">
        <v>55</v>
      </c>
      <c r="C400">
        <v>2025</v>
      </c>
      <c r="D400" t="s">
        <v>61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34</v>
      </c>
      <c r="N400">
        <v>5</v>
      </c>
      <c r="O400" t="s">
        <v>35</v>
      </c>
      <c r="P400">
        <v>55.3</v>
      </c>
      <c r="Q400">
        <v>1752</v>
      </c>
      <c r="R400">
        <v>4</v>
      </c>
      <c r="S400">
        <v>1</v>
      </c>
      <c r="T400" t="s">
        <v>41</v>
      </c>
      <c r="U400" t="s">
        <v>37</v>
      </c>
      <c r="V400">
        <v>25503</v>
      </c>
      <c r="W400">
        <v>3.61</v>
      </c>
      <c r="X400">
        <v>4</v>
      </c>
    </row>
    <row r="401" spans="1:24" x14ac:dyDescent="0.3">
      <c r="A401" t="s">
        <v>38</v>
      </c>
      <c r="B401" t="s">
        <v>102</v>
      </c>
      <c r="C401">
        <v>2025</v>
      </c>
      <c r="D401" t="s">
        <v>26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48</v>
      </c>
      <c r="N401">
        <v>7</v>
      </c>
      <c r="O401" t="s">
        <v>35</v>
      </c>
      <c r="P401">
        <v>54.9</v>
      </c>
      <c r="Q401">
        <v>2113</v>
      </c>
      <c r="R401">
        <v>4</v>
      </c>
      <c r="S401">
        <v>1</v>
      </c>
      <c r="T401" t="s">
        <v>41</v>
      </c>
      <c r="U401" t="s">
        <v>37</v>
      </c>
      <c r="V401">
        <v>13660</v>
      </c>
      <c r="W401">
        <v>3.69</v>
      </c>
      <c r="X401">
        <v>4</v>
      </c>
    </row>
    <row r="402" spans="1:24" x14ac:dyDescent="0.3">
      <c r="A402" t="s">
        <v>46</v>
      </c>
      <c r="B402" t="s">
        <v>49</v>
      </c>
      <c r="C402">
        <v>2025</v>
      </c>
      <c r="D402" t="s">
        <v>56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48</v>
      </c>
      <c r="N402">
        <v>5</v>
      </c>
      <c r="O402" t="s">
        <v>51</v>
      </c>
      <c r="P402">
        <v>16.8</v>
      </c>
      <c r="Q402">
        <v>1709</v>
      </c>
      <c r="R402">
        <v>4</v>
      </c>
      <c r="S402">
        <v>3</v>
      </c>
      <c r="T402" t="s">
        <v>41</v>
      </c>
      <c r="U402" t="s">
        <v>30</v>
      </c>
      <c r="V402">
        <v>456748</v>
      </c>
      <c r="W402">
        <v>3.5</v>
      </c>
      <c r="X402">
        <v>6</v>
      </c>
    </row>
    <row r="403" spans="1:24" x14ac:dyDescent="0.3">
      <c r="A403" t="s">
        <v>86</v>
      </c>
      <c r="B403" t="s">
        <v>108</v>
      </c>
      <c r="C403">
        <v>2024</v>
      </c>
      <c r="D403" t="s">
        <v>44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48</v>
      </c>
      <c r="N403">
        <v>7</v>
      </c>
      <c r="O403" t="s">
        <v>50</v>
      </c>
      <c r="P403">
        <v>15.8</v>
      </c>
      <c r="Q403">
        <v>1511</v>
      </c>
      <c r="R403">
        <v>4</v>
      </c>
      <c r="S403">
        <v>1</v>
      </c>
      <c r="T403" t="s">
        <v>29</v>
      </c>
      <c r="U403" t="s">
        <v>33</v>
      </c>
      <c r="V403">
        <v>22988</v>
      </c>
      <c r="W403">
        <v>3.55</v>
      </c>
      <c r="X403">
        <v>6</v>
      </c>
    </row>
    <row r="404" spans="1:24" x14ac:dyDescent="0.3">
      <c r="A404" t="s">
        <v>68</v>
      </c>
      <c r="B404" t="s">
        <v>109</v>
      </c>
      <c r="C404">
        <v>2025</v>
      </c>
      <c r="D404" t="s">
        <v>61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34</v>
      </c>
      <c r="N404">
        <v>7</v>
      </c>
      <c r="O404" t="s">
        <v>50</v>
      </c>
      <c r="P404">
        <v>15.3</v>
      </c>
      <c r="Q404">
        <v>1717</v>
      </c>
      <c r="R404">
        <v>4</v>
      </c>
      <c r="S404">
        <v>1</v>
      </c>
      <c r="T404" t="s">
        <v>45</v>
      </c>
      <c r="U404" t="s">
        <v>33</v>
      </c>
      <c r="V404">
        <v>138781</v>
      </c>
      <c r="W404">
        <v>3.03</v>
      </c>
      <c r="X404">
        <v>4</v>
      </c>
    </row>
    <row r="405" spans="1:24" x14ac:dyDescent="0.3">
      <c r="A405" t="s">
        <v>52</v>
      </c>
      <c r="B405" t="s">
        <v>53</v>
      </c>
      <c r="C405">
        <v>2023</v>
      </c>
      <c r="D405" t="s">
        <v>44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27</v>
      </c>
      <c r="N405">
        <v>7</v>
      </c>
      <c r="O405" t="s">
        <v>28</v>
      </c>
      <c r="P405">
        <v>54.4</v>
      </c>
      <c r="Q405">
        <v>2004</v>
      </c>
      <c r="R405">
        <v>5</v>
      </c>
      <c r="S405">
        <v>1</v>
      </c>
      <c r="T405" t="s">
        <v>29</v>
      </c>
      <c r="U405" t="s">
        <v>30</v>
      </c>
      <c r="V405">
        <v>65127</v>
      </c>
      <c r="W405">
        <v>3.77</v>
      </c>
      <c r="X405">
        <v>5</v>
      </c>
    </row>
    <row r="406" spans="1:24" x14ac:dyDescent="0.3">
      <c r="A406" t="s">
        <v>63</v>
      </c>
      <c r="B406" t="s">
        <v>67</v>
      </c>
      <c r="C406">
        <v>2020</v>
      </c>
      <c r="D406" t="s">
        <v>26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48</v>
      </c>
      <c r="N406">
        <v>5</v>
      </c>
      <c r="O406" t="s">
        <v>40</v>
      </c>
      <c r="P406">
        <v>70</v>
      </c>
      <c r="Q406">
        <v>1500</v>
      </c>
      <c r="R406">
        <v>4</v>
      </c>
      <c r="S406">
        <v>1</v>
      </c>
      <c r="T406" t="s">
        <v>65</v>
      </c>
      <c r="U406" t="s">
        <v>30</v>
      </c>
      <c r="V406">
        <v>117639</v>
      </c>
      <c r="W406">
        <v>3.79</v>
      </c>
      <c r="X406">
        <v>5</v>
      </c>
    </row>
    <row r="407" spans="1:24" x14ac:dyDescent="0.3">
      <c r="A407" t="s">
        <v>86</v>
      </c>
      <c r="B407" t="s">
        <v>108</v>
      </c>
      <c r="C407">
        <v>2025</v>
      </c>
      <c r="D407" t="s">
        <v>56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34</v>
      </c>
      <c r="N407">
        <v>5</v>
      </c>
      <c r="O407" t="s">
        <v>58</v>
      </c>
      <c r="P407">
        <v>32.700000000000003</v>
      </c>
      <c r="Q407">
        <v>1535</v>
      </c>
      <c r="R407">
        <v>4</v>
      </c>
      <c r="S407">
        <v>1</v>
      </c>
      <c r="T407" t="s">
        <v>29</v>
      </c>
      <c r="U407" t="s">
        <v>33</v>
      </c>
      <c r="V407">
        <v>62967</v>
      </c>
      <c r="W407">
        <v>3.57</v>
      </c>
      <c r="X407">
        <v>6</v>
      </c>
    </row>
    <row r="408" spans="1:24" x14ac:dyDescent="0.3">
      <c r="A408" t="s">
        <v>24</v>
      </c>
      <c r="B408" t="s">
        <v>70</v>
      </c>
      <c r="C408">
        <v>2024</v>
      </c>
      <c r="D408" t="s">
        <v>33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27</v>
      </c>
      <c r="N408">
        <v>5</v>
      </c>
      <c r="O408" t="s">
        <v>28</v>
      </c>
      <c r="P408">
        <v>78.3</v>
      </c>
      <c r="Q408">
        <v>2324</v>
      </c>
      <c r="R408">
        <v>5</v>
      </c>
      <c r="S408">
        <v>1</v>
      </c>
      <c r="T408" t="s">
        <v>29</v>
      </c>
      <c r="U408" t="s">
        <v>33</v>
      </c>
      <c r="V408">
        <v>264436</v>
      </c>
      <c r="W408">
        <v>3.26</v>
      </c>
      <c r="X408">
        <v>4</v>
      </c>
    </row>
    <row r="409" spans="1:24" x14ac:dyDescent="0.3">
      <c r="A409" t="s">
        <v>46</v>
      </c>
      <c r="B409" t="s">
        <v>57</v>
      </c>
      <c r="C409">
        <v>2023</v>
      </c>
      <c r="D409" t="s">
        <v>33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48</v>
      </c>
      <c r="N409">
        <v>5</v>
      </c>
      <c r="O409" t="s">
        <v>35</v>
      </c>
      <c r="P409">
        <v>52.7</v>
      </c>
      <c r="Q409">
        <v>2015</v>
      </c>
      <c r="R409">
        <v>4</v>
      </c>
      <c r="S409">
        <v>2</v>
      </c>
      <c r="T409" t="s">
        <v>41</v>
      </c>
      <c r="U409" t="s">
        <v>30</v>
      </c>
      <c r="V409">
        <v>154508</v>
      </c>
      <c r="W409">
        <v>3.91</v>
      </c>
      <c r="X409">
        <v>4</v>
      </c>
    </row>
    <row r="410" spans="1:24" x14ac:dyDescent="0.3">
      <c r="A410" t="s">
        <v>86</v>
      </c>
      <c r="B410" t="s">
        <v>108</v>
      </c>
      <c r="C410">
        <v>2025</v>
      </c>
      <c r="D410" t="s">
        <v>56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27</v>
      </c>
      <c r="N410">
        <v>7</v>
      </c>
      <c r="O410" t="s">
        <v>35</v>
      </c>
      <c r="P410">
        <v>58.6</v>
      </c>
      <c r="Q410">
        <v>2209</v>
      </c>
      <c r="R410">
        <v>4</v>
      </c>
      <c r="S410">
        <v>1</v>
      </c>
      <c r="T410" t="s">
        <v>29</v>
      </c>
      <c r="U410" t="s">
        <v>33</v>
      </c>
      <c r="V410">
        <v>37226</v>
      </c>
      <c r="W410">
        <v>3.53</v>
      </c>
      <c r="X410">
        <v>5</v>
      </c>
    </row>
    <row r="411" spans="1:24" x14ac:dyDescent="0.3">
      <c r="A411" t="s">
        <v>46</v>
      </c>
      <c r="B411" t="s">
        <v>78</v>
      </c>
      <c r="C411">
        <v>2025</v>
      </c>
      <c r="D411" t="s">
        <v>61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48</v>
      </c>
      <c r="N411">
        <v>5</v>
      </c>
      <c r="O411" t="s">
        <v>35</v>
      </c>
      <c r="P411">
        <v>56.8</v>
      </c>
      <c r="Q411">
        <v>1709</v>
      </c>
      <c r="R411">
        <v>5</v>
      </c>
      <c r="S411">
        <v>2</v>
      </c>
      <c r="T411" t="s">
        <v>41</v>
      </c>
      <c r="U411" t="s">
        <v>33</v>
      </c>
      <c r="V411">
        <v>167458</v>
      </c>
      <c r="W411">
        <v>3.59</v>
      </c>
      <c r="X411">
        <v>5</v>
      </c>
    </row>
    <row r="412" spans="1:24" x14ac:dyDescent="0.3">
      <c r="A412" t="s">
        <v>63</v>
      </c>
      <c r="B412" t="s">
        <v>82</v>
      </c>
      <c r="C412">
        <v>2026</v>
      </c>
      <c r="D412" t="s">
        <v>33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48</v>
      </c>
      <c r="N412">
        <v>5</v>
      </c>
      <c r="O412" t="s">
        <v>51</v>
      </c>
      <c r="P412">
        <v>19.399999999999999</v>
      </c>
      <c r="Q412">
        <v>1729</v>
      </c>
      <c r="R412">
        <v>4</v>
      </c>
      <c r="S412">
        <v>1</v>
      </c>
      <c r="T412" t="s">
        <v>65</v>
      </c>
      <c r="U412" t="s">
        <v>37</v>
      </c>
      <c r="V412">
        <v>145412</v>
      </c>
      <c r="W412">
        <v>3.34</v>
      </c>
      <c r="X412">
        <v>4</v>
      </c>
    </row>
    <row r="413" spans="1:24" x14ac:dyDescent="0.3">
      <c r="A413" t="s">
        <v>31</v>
      </c>
      <c r="B413" t="s">
        <v>32</v>
      </c>
      <c r="C413">
        <v>2022</v>
      </c>
      <c r="D413" t="s">
        <v>56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48</v>
      </c>
      <c r="N413">
        <v>5</v>
      </c>
      <c r="O413" t="s">
        <v>35</v>
      </c>
      <c r="P413">
        <v>41.3</v>
      </c>
      <c r="Q413">
        <v>2240</v>
      </c>
      <c r="R413">
        <v>4</v>
      </c>
      <c r="S413">
        <v>0</v>
      </c>
      <c r="T413" t="s">
        <v>36</v>
      </c>
      <c r="U413" t="s">
        <v>37</v>
      </c>
      <c r="V413">
        <v>18789</v>
      </c>
      <c r="W413">
        <v>3.47</v>
      </c>
      <c r="X413">
        <v>4</v>
      </c>
    </row>
    <row r="414" spans="1:24" x14ac:dyDescent="0.3">
      <c r="A414" t="s">
        <v>31</v>
      </c>
      <c r="B414" t="s">
        <v>32</v>
      </c>
      <c r="C414">
        <v>2024</v>
      </c>
      <c r="D414" t="s">
        <v>61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27</v>
      </c>
      <c r="N414">
        <v>5</v>
      </c>
      <c r="O414" t="s">
        <v>35</v>
      </c>
      <c r="P414">
        <v>55.5</v>
      </c>
      <c r="Q414">
        <v>2079</v>
      </c>
      <c r="R414">
        <v>3</v>
      </c>
      <c r="S414">
        <v>1</v>
      </c>
      <c r="T414" t="s">
        <v>36</v>
      </c>
      <c r="U414" t="s">
        <v>37</v>
      </c>
      <c r="V414">
        <v>25820</v>
      </c>
      <c r="W414">
        <v>3.36</v>
      </c>
      <c r="X414">
        <v>4</v>
      </c>
    </row>
    <row r="415" spans="1:24" x14ac:dyDescent="0.3">
      <c r="A415" t="s">
        <v>42</v>
      </c>
      <c r="B415" t="s">
        <v>71</v>
      </c>
      <c r="C415">
        <v>2025</v>
      </c>
      <c r="D415" t="s">
        <v>56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27</v>
      </c>
      <c r="N415">
        <v>5</v>
      </c>
      <c r="O415" t="s">
        <v>28</v>
      </c>
      <c r="P415">
        <v>78.400000000000006</v>
      </c>
      <c r="Q415">
        <v>2736</v>
      </c>
      <c r="R415">
        <v>5</v>
      </c>
      <c r="S415">
        <v>0</v>
      </c>
      <c r="T415" t="s">
        <v>45</v>
      </c>
      <c r="U415" t="s">
        <v>37</v>
      </c>
      <c r="V415">
        <v>124417</v>
      </c>
      <c r="W415">
        <v>3.31</v>
      </c>
      <c r="X415">
        <v>5</v>
      </c>
    </row>
    <row r="416" spans="1:24" x14ac:dyDescent="0.3">
      <c r="A416" t="s">
        <v>83</v>
      </c>
      <c r="B416" t="s">
        <v>104</v>
      </c>
      <c r="C416">
        <v>2026</v>
      </c>
      <c r="D416" t="s">
        <v>61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48</v>
      </c>
      <c r="N416">
        <v>5</v>
      </c>
      <c r="O416" t="s">
        <v>40</v>
      </c>
      <c r="P416">
        <v>71.8</v>
      </c>
      <c r="Q416">
        <v>1551</v>
      </c>
      <c r="R416">
        <v>4</v>
      </c>
      <c r="S416">
        <v>1</v>
      </c>
      <c r="T416" t="s">
        <v>29</v>
      </c>
      <c r="U416" t="s">
        <v>30</v>
      </c>
      <c r="V416">
        <v>22266</v>
      </c>
      <c r="W416">
        <v>3.33</v>
      </c>
      <c r="X416">
        <v>5</v>
      </c>
    </row>
    <row r="417" spans="1:24" x14ac:dyDescent="0.3">
      <c r="A417" t="s">
        <v>24</v>
      </c>
      <c r="B417" t="s">
        <v>70</v>
      </c>
      <c r="C417">
        <v>2023</v>
      </c>
      <c r="D417" t="s">
        <v>33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48</v>
      </c>
      <c r="N417">
        <v>5</v>
      </c>
      <c r="O417" t="s">
        <v>58</v>
      </c>
      <c r="P417">
        <v>18.399999999999999</v>
      </c>
      <c r="Q417">
        <v>1500</v>
      </c>
      <c r="R417">
        <v>3</v>
      </c>
      <c r="S417">
        <v>2</v>
      </c>
      <c r="T417" t="s">
        <v>29</v>
      </c>
      <c r="U417" t="s">
        <v>37</v>
      </c>
      <c r="V417">
        <v>264149</v>
      </c>
      <c r="W417">
        <v>3.6</v>
      </c>
      <c r="X417">
        <v>5</v>
      </c>
    </row>
    <row r="418" spans="1:24" x14ac:dyDescent="0.3">
      <c r="A418" t="s">
        <v>63</v>
      </c>
      <c r="B418" t="s">
        <v>67</v>
      </c>
      <c r="C418">
        <v>2026</v>
      </c>
      <c r="D418" t="s">
        <v>44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34</v>
      </c>
      <c r="N418">
        <v>5</v>
      </c>
      <c r="O418" t="s">
        <v>58</v>
      </c>
      <c r="P418">
        <v>26.6</v>
      </c>
      <c r="Q418">
        <v>1641</v>
      </c>
      <c r="R418">
        <v>4</v>
      </c>
      <c r="S418">
        <v>0</v>
      </c>
      <c r="T418" t="s">
        <v>65</v>
      </c>
      <c r="U418" t="s">
        <v>33</v>
      </c>
      <c r="V418">
        <v>102350</v>
      </c>
      <c r="W418">
        <v>3.66</v>
      </c>
      <c r="X418">
        <v>4</v>
      </c>
    </row>
    <row r="419" spans="1:24" x14ac:dyDescent="0.3">
      <c r="A419" t="s">
        <v>63</v>
      </c>
      <c r="B419" t="s">
        <v>96</v>
      </c>
      <c r="C419">
        <v>2025</v>
      </c>
      <c r="D419" t="s">
        <v>26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48</v>
      </c>
      <c r="N419">
        <v>5</v>
      </c>
      <c r="O419" t="s">
        <v>58</v>
      </c>
      <c r="P419">
        <v>16</v>
      </c>
      <c r="Q419">
        <v>1500</v>
      </c>
      <c r="R419">
        <v>4</v>
      </c>
      <c r="S419">
        <v>0</v>
      </c>
      <c r="T419" t="s">
        <v>65</v>
      </c>
      <c r="U419" t="s">
        <v>37</v>
      </c>
      <c r="V419">
        <v>120007</v>
      </c>
      <c r="W419">
        <v>3.46</v>
      </c>
      <c r="X419">
        <v>4</v>
      </c>
    </row>
    <row r="420" spans="1:24" x14ac:dyDescent="0.3">
      <c r="A420" t="s">
        <v>83</v>
      </c>
      <c r="B420" t="s">
        <v>84</v>
      </c>
      <c r="C420">
        <v>2022</v>
      </c>
      <c r="D420" t="s">
        <v>61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34</v>
      </c>
      <c r="N420">
        <v>5</v>
      </c>
      <c r="O420" t="s">
        <v>50</v>
      </c>
      <c r="P420">
        <v>39.1</v>
      </c>
      <c r="Q420">
        <v>1591</v>
      </c>
      <c r="R420">
        <v>5</v>
      </c>
      <c r="S420">
        <v>1</v>
      </c>
      <c r="T420" t="s">
        <v>29</v>
      </c>
      <c r="U420" t="s">
        <v>33</v>
      </c>
      <c r="V420">
        <v>52868</v>
      </c>
      <c r="W420">
        <v>3.54</v>
      </c>
      <c r="X420">
        <v>7</v>
      </c>
    </row>
    <row r="421" spans="1:24" x14ac:dyDescent="0.3">
      <c r="A421" t="s">
        <v>38</v>
      </c>
      <c r="B421" t="s">
        <v>118</v>
      </c>
      <c r="C421">
        <v>2025</v>
      </c>
      <c r="D421" t="s">
        <v>26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48</v>
      </c>
      <c r="N421">
        <v>7</v>
      </c>
      <c r="O421" t="s">
        <v>58</v>
      </c>
      <c r="P421">
        <v>33.4</v>
      </c>
      <c r="Q421">
        <v>1500</v>
      </c>
      <c r="R421">
        <v>5</v>
      </c>
      <c r="S421">
        <v>2</v>
      </c>
      <c r="T421" t="s">
        <v>41</v>
      </c>
      <c r="U421" t="s">
        <v>37</v>
      </c>
      <c r="V421">
        <v>17861</v>
      </c>
      <c r="W421">
        <v>3.54</v>
      </c>
      <c r="X421">
        <v>3</v>
      </c>
    </row>
    <row r="422" spans="1:24" x14ac:dyDescent="0.3">
      <c r="A422" t="s">
        <v>76</v>
      </c>
      <c r="B422" t="s">
        <v>81</v>
      </c>
      <c r="C422">
        <v>2026</v>
      </c>
      <c r="D422" t="s">
        <v>26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48</v>
      </c>
      <c r="N422">
        <v>7</v>
      </c>
      <c r="O422" t="s">
        <v>50</v>
      </c>
      <c r="P422">
        <v>29.2</v>
      </c>
      <c r="Q422">
        <v>1844</v>
      </c>
      <c r="R422">
        <v>4</v>
      </c>
      <c r="S422">
        <v>1</v>
      </c>
      <c r="T422" t="s">
        <v>41</v>
      </c>
      <c r="U422" t="s">
        <v>37</v>
      </c>
      <c r="V422">
        <v>32288</v>
      </c>
      <c r="W422">
        <v>3.72</v>
      </c>
      <c r="X422">
        <v>4</v>
      </c>
    </row>
    <row r="423" spans="1:24" x14ac:dyDescent="0.3">
      <c r="A423" t="s">
        <v>76</v>
      </c>
      <c r="B423" t="s">
        <v>98</v>
      </c>
      <c r="C423">
        <v>2021</v>
      </c>
      <c r="D423" t="s">
        <v>44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34</v>
      </c>
      <c r="N423">
        <v>5</v>
      </c>
      <c r="O423" t="s">
        <v>50</v>
      </c>
      <c r="P423">
        <v>26.2</v>
      </c>
      <c r="Q423">
        <v>1721</v>
      </c>
      <c r="R423">
        <v>4</v>
      </c>
      <c r="S423">
        <v>1</v>
      </c>
      <c r="T423" t="s">
        <v>41</v>
      </c>
      <c r="U423" t="s">
        <v>33</v>
      </c>
      <c r="V423">
        <v>27293</v>
      </c>
      <c r="W423">
        <v>3.54</v>
      </c>
      <c r="X423">
        <v>3</v>
      </c>
    </row>
    <row r="424" spans="1:24" x14ac:dyDescent="0.3">
      <c r="A424" t="s">
        <v>46</v>
      </c>
      <c r="B424" t="s">
        <v>72</v>
      </c>
      <c r="C424">
        <v>2025</v>
      </c>
      <c r="D424" t="s">
        <v>56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48</v>
      </c>
      <c r="N424">
        <v>5</v>
      </c>
      <c r="O424" t="s">
        <v>28</v>
      </c>
      <c r="P424">
        <v>69.900000000000006</v>
      </c>
      <c r="Q424">
        <v>2266</v>
      </c>
      <c r="R424">
        <v>4</v>
      </c>
      <c r="S424">
        <v>3</v>
      </c>
      <c r="T424" t="s">
        <v>41</v>
      </c>
      <c r="U424" t="s">
        <v>33</v>
      </c>
      <c r="V424">
        <v>214270</v>
      </c>
      <c r="W424">
        <v>3.74</v>
      </c>
      <c r="X424">
        <v>5</v>
      </c>
    </row>
    <row r="425" spans="1:24" x14ac:dyDescent="0.3">
      <c r="A425" t="s">
        <v>68</v>
      </c>
      <c r="B425" t="s">
        <v>106</v>
      </c>
      <c r="C425">
        <v>2023</v>
      </c>
      <c r="D425" t="s">
        <v>61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34</v>
      </c>
      <c r="N425">
        <v>5</v>
      </c>
      <c r="O425" t="s">
        <v>28</v>
      </c>
      <c r="P425">
        <v>56</v>
      </c>
      <c r="Q425">
        <v>2701</v>
      </c>
      <c r="R425">
        <v>4</v>
      </c>
      <c r="S425">
        <v>0</v>
      </c>
      <c r="T425" t="s">
        <v>45</v>
      </c>
      <c r="U425" t="s">
        <v>33</v>
      </c>
      <c r="V425">
        <v>73761</v>
      </c>
      <c r="W425">
        <v>3.77</v>
      </c>
      <c r="X425">
        <v>4</v>
      </c>
    </row>
    <row r="426" spans="1:24" x14ac:dyDescent="0.3">
      <c r="A426" t="s">
        <v>46</v>
      </c>
      <c r="B426" t="s">
        <v>49</v>
      </c>
      <c r="C426">
        <v>2023</v>
      </c>
      <c r="D426" t="s">
        <v>56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48</v>
      </c>
      <c r="N426">
        <v>5</v>
      </c>
      <c r="O426" t="s">
        <v>35</v>
      </c>
      <c r="P426">
        <v>43</v>
      </c>
      <c r="Q426">
        <v>2272</v>
      </c>
      <c r="R426">
        <v>5</v>
      </c>
      <c r="S426">
        <v>3</v>
      </c>
      <c r="T426" t="s">
        <v>41</v>
      </c>
      <c r="U426" t="s">
        <v>33</v>
      </c>
      <c r="V426">
        <v>491547</v>
      </c>
      <c r="W426">
        <v>3.57</v>
      </c>
      <c r="X426">
        <v>5</v>
      </c>
    </row>
    <row r="427" spans="1:24" x14ac:dyDescent="0.3">
      <c r="A427" t="s">
        <v>42</v>
      </c>
      <c r="B427" t="s">
        <v>80</v>
      </c>
      <c r="C427">
        <v>2022</v>
      </c>
      <c r="D427" t="s">
        <v>26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48</v>
      </c>
      <c r="N427">
        <v>5</v>
      </c>
      <c r="O427" t="s">
        <v>35</v>
      </c>
      <c r="P427">
        <v>50.4</v>
      </c>
      <c r="Q427">
        <v>1973</v>
      </c>
      <c r="R427">
        <v>5</v>
      </c>
      <c r="S427">
        <v>2</v>
      </c>
      <c r="T427" t="s">
        <v>45</v>
      </c>
      <c r="U427" t="s">
        <v>33</v>
      </c>
      <c r="V427">
        <v>91349</v>
      </c>
      <c r="W427">
        <v>3.46</v>
      </c>
      <c r="X427">
        <v>4</v>
      </c>
    </row>
    <row r="428" spans="1:24" x14ac:dyDescent="0.3">
      <c r="A428" t="s">
        <v>24</v>
      </c>
      <c r="B428" t="s">
        <v>75</v>
      </c>
      <c r="C428">
        <v>2025</v>
      </c>
      <c r="D428" t="s">
        <v>33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27</v>
      </c>
      <c r="N428">
        <v>5</v>
      </c>
      <c r="O428" t="s">
        <v>28</v>
      </c>
      <c r="P428">
        <v>50.6</v>
      </c>
      <c r="Q428">
        <v>3000</v>
      </c>
      <c r="R428">
        <v>4</v>
      </c>
      <c r="S428">
        <v>1</v>
      </c>
      <c r="T428" t="s">
        <v>29</v>
      </c>
      <c r="U428" t="s">
        <v>33</v>
      </c>
      <c r="V428">
        <v>222817</v>
      </c>
      <c r="W428">
        <v>3.39</v>
      </c>
      <c r="X428">
        <v>4</v>
      </c>
    </row>
    <row r="429" spans="1:24" x14ac:dyDescent="0.3">
      <c r="A429" t="s">
        <v>86</v>
      </c>
      <c r="B429" t="s">
        <v>117</v>
      </c>
      <c r="C429">
        <v>2024</v>
      </c>
      <c r="D429" t="s">
        <v>56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48</v>
      </c>
      <c r="N429">
        <v>5</v>
      </c>
      <c r="O429" t="s">
        <v>28</v>
      </c>
      <c r="P429">
        <v>63.1</v>
      </c>
      <c r="Q429">
        <v>2606</v>
      </c>
      <c r="R429">
        <v>5</v>
      </c>
      <c r="S429">
        <v>1</v>
      </c>
      <c r="T429" t="s">
        <v>29</v>
      </c>
      <c r="U429" t="s">
        <v>30</v>
      </c>
      <c r="V429">
        <v>75960</v>
      </c>
      <c r="W429">
        <v>3.64</v>
      </c>
      <c r="X429">
        <v>6</v>
      </c>
    </row>
    <row r="430" spans="1:24" x14ac:dyDescent="0.3">
      <c r="A430" t="s">
        <v>63</v>
      </c>
      <c r="B430" t="s">
        <v>88</v>
      </c>
      <c r="C430">
        <v>2025</v>
      </c>
      <c r="D430" t="s">
        <v>26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48</v>
      </c>
      <c r="N430">
        <v>7</v>
      </c>
      <c r="O430" t="s">
        <v>35</v>
      </c>
      <c r="P430">
        <v>36.9</v>
      </c>
      <c r="Q430">
        <v>1909</v>
      </c>
      <c r="R430">
        <v>5</v>
      </c>
      <c r="S430">
        <v>0</v>
      </c>
      <c r="T430" t="s">
        <v>65</v>
      </c>
      <c r="U430" t="s">
        <v>33</v>
      </c>
      <c r="V430">
        <v>235698</v>
      </c>
      <c r="W430">
        <v>3.58</v>
      </c>
      <c r="X430">
        <v>4</v>
      </c>
    </row>
    <row r="431" spans="1:24" x14ac:dyDescent="0.3">
      <c r="A431" t="s">
        <v>46</v>
      </c>
      <c r="B431" t="s">
        <v>72</v>
      </c>
      <c r="C431">
        <v>2025</v>
      </c>
      <c r="D431" t="s">
        <v>33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27</v>
      </c>
      <c r="N431">
        <v>5</v>
      </c>
      <c r="O431" t="s">
        <v>28</v>
      </c>
      <c r="P431">
        <v>51.5</v>
      </c>
      <c r="Q431">
        <v>2427</v>
      </c>
      <c r="R431">
        <v>4</v>
      </c>
      <c r="S431">
        <v>2</v>
      </c>
      <c r="T431" t="s">
        <v>41</v>
      </c>
      <c r="U431" t="s">
        <v>37</v>
      </c>
      <c r="V431">
        <v>169730</v>
      </c>
      <c r="W431">
        <v>3.71</v>
      </c>
      <c r="X431">
        <v>6</v>
      </c>
    </row>
    <row r="432" spans="1:24" x14ac:dyDescent="0.3">
      <c r="A432" t="s">
        <v>46</v>
      </c>
      <c r="B432" t="s">
        <v>47</v>
      </c>
      <c r="C432">
        <v>2025</v>
      </c>
      <c r="D432" t="s">
        <v>56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27</v>
      </c>
      <c r="N432">
        <v>7</v>
      </c>
      <c r="O432" t="s">
        <v>40</v>
      </c>
      <c r="P432">
        <v>60.6</v>
      </c>
      <c r="Q432">
        <v>1570</v>
      </c>
      <c r="R432">
        <v>5</v>
      </c>
      <c r="S432">
        <v>3</v>
      </c>
      <c r="T432" t="s">
        <v>41</v>
      </c>
      <c r="U432" t="s">
        <v>33</v>
      </c>
      <c r="V432">
        <v>124700</v>
      </c>
      <c r="W432">
        <v>3.61</v>
      </c>
      <c r="X432">
        <v>5</v>
      </c>
    </row>
    <row r="433" spans="1:24" x14ac:dyDescent="0.3">
      <c r="A433" t="s">
        <v>76</v>
      </c>
      <c r="B433" t="s">
        <v>98</v>
      </c>
      <c r="C433">
        <v>2023</v>
      </c>
      <c r="D433" t="s">
        <v>61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48</v>
      </c>
      <c r="N433">
        <v>5</v>
      </c>
      <c r="O433" t="s">
        <v>51</v>
      </c>
      <c r="P433">
        <v>29.9</v>
      </c>
      <c r="Q433">
        <v>1500</v>
      </c>
      <c r="R433">
        <v>5</v>
      </c>
      <c r="S433">
        <v>0</v>
      </c>
      <c r="T433" t="s">
        <v>41</v>
      </c>
      <c r="U433" t="s">
        <v>33</v>
      </c>
      <c r="V433">
        <v>59218</v>
      </c>
      <c r="W433">
        <v>3.38</v>
      </c>
      <c r="X433">
        <v>3</v>
      </c>
    </row>
    <row r="434" spans="1:24" x14ac:dyDescent="0.3">
      <c r="A434" t="s">
        <v>42</v>
      </c>
      <c r="B434" t="s">
        <v>54</v>
      </c>
      <c r="C434">
        <v>2026</v>
      </c>
      <c r="D434" t="s">
        <v>61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34</v>
      </c>
      <c r="N434">
        <v>7</v>
      </c>
      <c r="O434" t="s">
        <v>35</v>
      </c>
      <c r="P434">
        <v>55.2</v>
      </c>
      <c r="Q434">
        <v>1981</v>
      </c>
      <c r="R434">
        <v>4</v>
      </c>
      <c r="S434">
        <v>0</v>
      </c>
      <c r="T434" t="s">
        <v>45</v>
      </c>
      <c r="U434" t="s">
        <v>33</v>
      </c>
      <c r="V434">
        <v>69075</v>
      </c>
      <c r="W434">
        <v>3.22</v>
      </c>
      <c r="X434">
        <v>5</v>
      </c>
    </row>
    <row r="435" spans="1:24" x14ac:dyDescent="0.3">
      <c r="A435" t="s">
        <v>46</v>
      </c>
      <c r="B435" t="s">
        <v>78</v>
      </c>
      <c r="C435">
        <v>2023</v>
      </c>
      <c r="D435" t="s">
        <v>26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27</v>
      </c>
      <c r="N435">
        <v>7</v>
      </c>
      <c r="O435" t="s">
        <v>35</v>
      </c>
      <c r="P435">
        <v>35.4</v>
      </c>
      <c r="Q435">
        <v>2085</v>
      </c>
      <c r="R435">
        <v>5</v>
      </c>
      <c r="S435">
        <v>3</v>
      </c>
      <c r="T435" t="s">
        <v>41</v>
      </c>
      <c r="U435" t="s">
        <v>33</v>
      </c>
      <c r="V435">
        <v>138082</v>
      </c>
      <c r="W435">
        <v>3.74</v>
      </c>
      <c r="X435">
        <v>5</v>
      </c>
    </row>
    <row r="436" spans="1:24" x14ac:dyDescent="0.3">
      <c r="A436" t="s">
        <v>46</v>
      </c>
      <c r="B436" t="s">
        <v>57</v>
      </c>
      <c r="C436">
        <v>2023</v>
      </c>
      <c r="D436" t="s">
        <v>33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34</v>
      </c>
      <c r="N436">
        <v>5</v>
      </c>
      <c r="O436" t="s">
        <v>50</v>
      </c>
      <c r="P436">
        <v>22.4</v>
      </c>
      <c r="Q436">
        <v>1577</v>
      </c>
      <c r="R436">
        <v>5</v>
      </c>
      <c r="S436">
        <v>2</v>
      </c>
      <c r="T436" t="s">
        <v>41</v>
      </c>
      <c r="U436" t="s">
        <v>30</v>
      </c>
      <c r="V436">
        <v>113179</v>
      </c>
      <c r="W436">
        <v>3.59</v>
      </c>
      <c r="X436">
        <v>5</v>
      </c>
    </row>
    <row r="437" spans="1:24" x14ac:dyDescent="0.3">
      <c r="A437" t="s">
        <v>38</v>
      </c>
      <c r="B437" t="s">
        <v>39</v>
      </c>
      <c r="C437">
        <v>2024</v>
      </c>
      <c r="D437" t="s">
        <v>61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34</v>
      </c>
      <c r="N437">
        <v>7</v>
      </c>
      <c r="O437" t="s">
        <v>51</v>
      </c>
      <c r="P437">
        <v>26.9</v>
      </c>
      <c r="Q437">
        <v>1673</v>
      </c>
      <c r="R437">
        <v>5</v>
      </c>
      <c r="S437">
        <v>0</v>
      </c>
      <c r="T437" t="s">
        <v>41</v>
      </c>
      <c r="U437" t="s">
        <v>37</v>
      </c>
      <c r="V437">
        <v>24616</v>
      </c>
      <c r="W437">
        <v>3.08</v>
      </c>
      <c r="X437">
        <v>4</v>
      </c>
    </row>
    <row r="438" spans="1:24" x14ac:dyDescent="0.3">
      <c r="A438" t="s">
        <v>46</v>
      </c>
      <c r="B438" t="s">
        <v>49</v>
      </c>
      <c r="C438">
        <v>2024</v>
      </c>
      <c r="D438" t="s">
        <v>33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48</v>
      </c>
      <c r="N438">
        <v>5</v>
      </c>
      <c r="O438" t="s">
        <v>58</v>
      </c>
      <c r="P438">
        <v>25</v>
      </c>
      <c r="Q438">
        <v>1500</v>
      </c>
      <c r="R438">
        <v>5</v>
      </c>
      <c r="S438">
        <v>3</v>
      </c>
      <c r="T438" t="s">
        <v>41</v>
      </c>
      <c r="U438" t="s">
        <v>37</v>
      </c>
      <c r="V438">
        <v>423769</v>
      </c>
      <c r="W438">
        <v>3.45</v>
      </c>
      <c r="X438">
        <v>4</v>
      </c>
    </row>
    <row r="439" spans="1:24" x14ac:dyDescent="0.3">
      <c r="A439" t="s">
        <v>76</v>
      </c>
      <c r="B439" t="s">
        <v>77</v>
      </c>
      <c r="C439">
        <v>2024</v>
      </c>
      <c r="D439" t="s">
        <v>26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48</v>
      </c>
      <c r="N439">
        <v>7</v>
      </c>
      <c r="O439" t="s">
        <v>40</v>
      </c>
      <c r="P439">
        <v>71.5</v>
      </c>
      <c r="Q439">
        <v>1569</v>
      </c>
      <c r="R439">
        <v>4</v>
      </c>
      <c r="S439">
        <v>0</v>
      </c>
      <c r="T439" t="s">
        <v>41</v>
      </c>
      <c r="U439" t="s">
        <v>33</v>
      </c>
      <c r="V439">
        <v>52532</v>
      </c>
      <c r="W439">
        <v>3.34</v>
      </c>
      <c r="X439">
        <v>5</v>
      </c>
    </row>
    <row r="440" spans="1:24" x14ac:dyDescent="0.3">
      <c r="A440" t="s">
        <v>38</v>
      </c>
      <c r="B440" t="s">
        <v>101</v>
      </c>
      <c r="C440">
        <v>2024</v>
      </c>
      <c r="D440" t="s">
        <v>61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48</v>
      </c>
      <c r="N440">
        <v>5</v>
      </c>
      <c r="O440" t="s">
        <v>35</v>
      </c>
      <c r="P440">
        <v>44.5</v>
      </c>
      <c r="Q440">
        <v>2061</v>
      </c>
      <c r="R440">
        <v>4</v>
      </c>
      <c r="S440">
        <v>1</v>
      </c>
      <c r="T440" t="s">
        <v>41</v>
      </c>
      <c r="U440" t="s">
        <v>37</v>
      </c>
      <c r="V440">
        <v>25295</v>
      </c>
      <c r="W440">
        <v>3.72</v>
      </c>
      <c r="X440">
        <v>5</v>
      </c>
    </row>
    <row r="441" spans="1:24" x14ac:dyDescent="0.3">
      <c r="A441" t="s">
        <v>46</v>
      </c>
      <c r="B441" t="s">
        <v>47</v>
      </c>
      <c r="C441">
        <v>2024</v>
      </c>
      <c r="D441" t="s">
        <v>44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27</v>
      </c>
      <c r="N441">
        <v>7</v>
      </c>
      <c r="O441" t="s">
        <v>58</v>
      </c>
      <c r="P441">
        <v>25.1</v>
      </c>
      <c r="Q441">
        <v>1610</v>
      </c>
      <c r="R441">
        <v>5</v>
      </c>
      <c r="S441">
        <v>3</v>
      </c>
      <c r="T441" t="s">
        <v>41</v>
      </c>
      <c r="U441" t="s">
        <v>33</v>
      </c>
      <c r="V441">
        <v>155185</v>
      </c>
      <c r="W441">
        <v>4.1399999999999997</v>
      </c>
      <c r="X441">
        <v>5</v>
      </c>
    </row>
    <row r="442" spans="1:24" x14ac:dyDescent="0.3">
      <c r="A442" t="s">
        <v>46</v>
      </c>
      <c r="B442" t="s">
        <v>57</v>
      </c>
      <c r="C442">
        <v>2025</v>
      </c>
      <c r="D442" t="s">
        <v>56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34</v>
      </c>
      <c r="N442">
        <v>7</v>
      </c>
      <c r="O442" t="s">
        <v>35</v>
      </c>
      <c r="P442">
        <v>50.8</v>
      </c>
      <c r="Q442">
        <v>1663</v>
      </c>
      <c r="R442">
        <v>5</v>
      </c>
      <c r="S442">
        <v>2</v>
      </c>
      <c r="T442" t="s">
        <v>41</v>
      </c>
      <c r="U442" t="s">
        <v>37</v>
      </c>
      <c r="V442">
        <v>118264</v>
      </c>
      <c r="W442">
        <v>3.47</v>
      </c>
      <c r="X442">
        <v>6</v>
      </c>
    </row>
    <row r="443" spans="1:24" x14ac:dyDescent="0.3">
      <c r="A443" t="s">
        <v>99</v>
      </c>
      <c r="B443" t="s">
        <v>113</v>
      </c>
      <c r="C443">
        <v>2023</v>
      </c>
      <c r="D443" t="s">
        <v>56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48</v>
      </c>
      <c r="N443">
        <v>5</v>
      </c>
      <c r="O443" t="s">
        <v>50</v>
      </c>
      <c r="P443">
        <v>17.8</v>
      </c>
      <c r="Q443">
        <v>1755</v>
      </c>
      <c r="R443">
        <v>4</v>
      </c>
      <c r="S443">
        <v>2</v>
      </c>
      <c r="T443" t="s">
        <v>29</v>
      </c>
      <c r="U443" t="s">
        <v>30</v>
      </c>
      <c r="V443">
        <v>24347</v>
      </c>
      <c r="W443">
        <v>3.55</v>
      </c>
      <c r="X443">
        <v>7</v>
      </c>
    </row>
    <row r="444" spans="1:24" x14ac:dyDescent="0.3">
      <c r="A444" t="s">
        <v>24</v>
      </c>
      <c r="B444" t="s">
        <v>70</v>
      </c>
      <c r="C444">
        <v>2022</v>
      </c>
      <c r="D444" t="s">
        <v>26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48</v>
      </c>
      <c r="N444">
        <v>7</v>
      </c>
      <c r="O444" t="s">
        <v>28</v>
      </c>
      <c r="P444">
        <v>65.3</v>
      </c>
      <c r="Q444">
        <v>2347</v>
      </c>
      <c r="R444">
        <v>5</v>
      </c>
      <c r="S444">
        <v>1</v>
      </c>
      <c r="T444" t="s">
        <v>29</v>
      </c>
      <c r="U444" t="s">
        <v>30</v>
      </c>
      <c r="V444">
        <v>252835</v>
      </c>
      <c r="W444">
        <v>3.37</v>
      </c>
      <c r="X444">
        <v>5</v>
      </c>
    </row>
    <row r="445" spans="1:24" x14ac:dyDescent="0.3">
      <c r="A445" t="s">
        <v>24</v>
      </c>
      <c r="B445" t="s">
        <v>70</v>
      </c>
      <c r="C445">
        <v>2025</v>
      </c>
      <c r="D445" t="s">
        <v>26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48</v>
      </c>
      <c r="N445">
        <v>7</v>
      </c>
      <c r="O445" t="s">
        <v>58</v>
      </c>
      <c r="P445">
        <v>23.8</v>
      </c>
      <c r="Q445">
        <v>1721</v>
      </c>
      <c r="R445">
        <v>4</v>
      </c>
      <c r="S445">
        <v>0</v>
      </c>
      <c r="T445" t="s">
        <v>29</v>
      </c>
      <c r="U445" t="s">
        <v>33</v>
      </c>
      <c r="V445">
        <v>296982</v>
      </c>
      <c r="W445">
        <v>3.45</v>
      </c>
      <c r="X445">
        <v>3</v>
      </c>
    </row>
    <row r="446" spans="1:24" x14ac:dyDescent="0.3">
      <c r="A446" t="s">
        <v>76</v>
      </c>
      <c r="B446" t="s">
        <v>98</v>
      </c>
      <c r="C446">
        <v>2026</v>
      </c>
      <c r="D446" t="s">
        <v>61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34</v>
      </c>
      <c r="N446">
        <v>5</v>
      </c>
      <c r="O446" t="s">
        <v>35</v>
      </c>
      <c r="P446">
        <v>37.700000000000003</v>
      </c>
      <c r="Q446">
        <v>2080</v>
      </c>
      <c r="R446">
        <v>3</v>
      </c>
      <c r="S446">
        <v>2</v>
      </c>
      <c r="T446" t="s">
        <v>41</v>
      </c>
      <c r="U446" t="s">
        <v>33</v>
      </c>
      <c r="V446">
        <v>61663</v>
      </c>
      <c r="W446">
        <v>3.2</v>
      </c>
      <c r="X446">
        <v>4</v>
      </c>
    </row>
    <row r="447" spans="1:24" x14ac:dyDescent="0.3">
      <c r="A447" t="s">
        <v>31</v>
      </c>
      <c r="B447" t="s">
        <v>32</v>
      </c>
      <c r="C447">
        <v>2024</v>
      </c>
      <c r="D447" t="s">
        <v>44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34</v>
      </c>
      <c r="N447">
        <v>7</v>
      </c>
      <c r="O447" t="s">
        <v>35</v>
      </c>
      <c r="P447">
        <v>61.7</v>
      </c>
      <c r="Q447">
        <v>1886</v>
      </c>
      <c r="R447">
        <v>4</v>
      </c>
      <c r="S447">
        <v>0</v>
      </c>
      <c r="T447" t="s">
        <v>36</v>
      </c>
      <c r="U447" t="s">
        <v>33</v>
      </c>
      <c r="V447">
        <v>24507</v>
      </c>
      <c r="W447">
        <v>3.51</v>
      </c>
      <c r="X447">
        <v>4</v>
      </c>
    </row>
    <row r="448" spans="1:24" x14ac:dyDescent="0.3">
      <c r="A448" t="s">
        <v>99</v>
      </c>
      <c r="B448" t="s">
        <v>113</v>
      </c>
      <c r="C448">
        <v>2026</v>
      </c>
      <c r="D448" t="s">
        <v>44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48</v>
      </c>
      <c r="N448">
        <v>5</v>
      </c>
      <c r="O448" t="s">
        <v>35</v>
      </c>
      <c r="P448">
        <v>42.7</v>
      </c>
      <c r="Q448">
        <v>2169</v>
      </c>
      <c r="R448">
        <v>5</v>
      </c>
      <c r="S448">
        <v>0</v>
      </c>
      <c r="T448" t="s">
        <v>29</v>
      </c>
      <c r="U448" t="s">
        <v>30</v>
      </c>
      <c r="V448">
        <v>5345</v>
      </c>
      <c r="W448">
        <v>3.64</v>
      </c>
      <c r="X448">
        <v>6</v>
      </c>
    </row>
    <row r="449" spans="1:24" x14ac:dyDescent="0.3">
      <c r="A449" t="s">
        <v>38</v>
      </c>
      <c r="B449" t="s">
        <v>39</v>
      </c>
      <c r="C449">
        <v>2025</v>
      </c>
      <c r="D449" t="s">
        <v>33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48</v>
      </c>
      <c r="N449">
        <v>7</v>
      </c>
      <c r="O449" t="s">
        <v>58</v>
      </c>
      <c r="P449">
        <v>16.100000000000001</v>
      </c>
      <c r="Q449">
        <v>1500</v>
      </c>
      <c r="R449">
        <v>5</v>
      </c>
      <c r="S449">
        <v>1</v>
      </c>
      <c r="T449" t="s">
        <v>41</v>
      </c>
      <c r="U449" t="s">
        <v>33</v>
      </c>
      <c r="V449">
        <v>20002</v>
      </c>
      <c r="W449">
        <v>3.74</v>
      </c>
      <c r="X449">
        <v>4</v>
      </c>
    </row>
    <row r="450" spans="1:24" x14ac:dyDescent="0.3">
      <c r="A450" t="s">
        <v>24</v>
      </c>
      <c r="B450" t="s">
        <v>75</v>
      </c>
      <c r="C450">
        <v>2026</v>
      </c>
      <c r="D450" t="s">
        <v>61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34</v>
      </c>
      <c r="N450">
        <v>7</v>
      </c>
      <c r="O450" t="s">
        <v>50</v>
      </c>
      <c r="P450">
        <v>18</v>
      </c>
      <c r="Q450">
        <v>1597</v>
      </c>
      <c r="R450">
        <v>5</v>
      </c>
      <c r="S450">
        <v>1</v>
      </c>
      <c r="T450" t="s">
        <v>29</v>
      </c>
      <c r="U450" t="s">
        <v>37</v>
      </c>
      <c r="V450">
        <v>241049</v>
      </c>
      <c r="W450">
        <v>3.54</v>
      </c>
      <c r="X450">
        <v>3</v>
      </c>
    </row>
    <row r="451" spans="1:24" x14ac:dyDescent="0.3">
      <c r="A451" t="s">
        <v>46</v>
      </c>
      <c r="B451" t="s">
        <v>57</v>
      </c>
      <c r="C451">
        <v>2022</v>
      </c>
      <c r="D451" t="s">
        <v>44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48</v>
      </c>
      <c r="N451">
        <v>5</v>
      </c>
      <c r="O451" t="s">
        <v>28</v>
      </c>
      <c r="P451">
        <v>73.099999999999994</v>
      </c>
      <c r="Q451">
        <v>2165</v>
      </c>
      <c r="R451">
        <v>5</v>
      </c>
      <c r="S451">
        <v>2</v>
      </c>
      <c r="T451" t="s">
        <v>41</v>
      </c>
      <c r="U451" t="s">
        <v>30</v>
      </c>
      <c r="V451">
        <v>124340</v>
      </c>
      <c r="W451">
        <v>3.98</v>
      </c>
      <c r="X451">
        <v>6</v>
      </c>
    </row>
    <row r="452" spans="1:24" x14ac:dyDescent="0.3">
      <c r="A452" t="s">
        <v>76</v>
      </c>
      <c r="B452" t="s">
        <v>81</v>
      </c>
      <c r="C452">
        <v>2023</v>
      </c>
      <c r="D452" t="s">
        <v>56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48</v>
      </c>
      <c r="N452">
        <v>5</v>
      </c>
      <c r="O452" t="s">
        <v>51</v>
      </c>
      <c r="P452">
        <v>16.899999999999999</v>
      </c>
      <c r="Q452">
        <v>1639</v>
      </c>
      <c r="R452">
        <v>5</v>
      </c>
      <c r="S452">
        <v>0</v>
      </c>
      <c r="T452" t="s">
        <v>41</v>
      </c>
      <c r="U452" t="s">
        <v>37</v>
      </c>
      <c r="V452">
        <v>59730</v>
      </c>
      <c r="W452">
        <v>3.53</v>
      </c>
      <c r="X452">
        <v>4</v>
      </c>
    </row>
    <row r="453" spans="1:24" x14ac:dyDescent="0.3">
      <c r="A453" t="s">
        <v>42</v>
      </c>
      <c r="B453" t="s">
        <v>54</v>
      </c>
      <c r="C453">
        <v>2020</v>
      </c>
      <c r="D453" t="s">
        <v>56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48</v>
      </c>
      <c r="N453">
        <v>7</v>
      </c>
      <c r="O453" t="s">
        <v>40</v>
      </c>
      <c r="P453">
        <v>72.8</v>
      </c>
      <c r="Q453">
        <v>1762</v>
      </c>
      <c r="R453">
        <v>4</v>
      </c>
      <c r="S453">
        <v>0</v>
      </c>
      <c r="T453" t="s">
        <v>45</v>
      </c>
      <c r="U453" t="s">
        <v>37</v>
      </c>
      <c r="V453">
        <v>63258</v>
      </c>
      <c r="W453">
        <v>3.48</v>
      </c>
      <c r="X453">
        <v>4</v>
      </c>
    </row>
    <row r="454" spans="1:24" x14ac:dyDescent="0.3">
      <c r="A454" t="s">
        <v>24</v>
      </c>
      <c r="B454" t="s">
        <v>70</v>
      </c>
      <c r="C454">
        <v>2024</v>
      </c>
      <c r="D454" t="s">
        <v>33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48</v>
      </c>
      <c r="N454">
        <v>5</v>
      </c>
      <c r="O454" t="s">
        <v>50</v>
      </c>
      <c r="P454">
        <v>31.4</v>
      </c>
      <c r="Q454">
        <v>1812</v>
      </c>
      <c r="R454">
        <v>5</v>
      </c>
      <c r="S454">
        <v>0</v>
      </c>
      <c r="T454" t="s">
        <v>29</v>
      </c>
      <c r="U454" t="s">
        <v>30</v>
      </c>
      <c r="V454">
        <v>233971</v>
      </c>
      <c r="W454">
        <v>3.16</v>
      </c>
      <c r="X454">
        <v>5</v>
      </c>
    </row>
    <row r="455" spans="1:24" x14ac:dyDescent="0.3">
      <c r="A455" t="s">
        <v>86</v>
      </c>
      <c r="B455" t="s">
        <v>87</v>
      </c>
      <c r="C455">
        <v>2025</v>
      </c>
      <c r="D455" t="s">
        <v>61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34</v>
      </c>
      <c r="N455">
        <v>5</v>
      </c>
      <c r="O455" t="s">
        <v>58</v>
      </c>
      <c r="P455">
        <v>39.6</v>
      </c>
      <c r="Q455">
        <v>1514</v>
      </c>
      <c r="R455">
        <v>5</v>
      </c>
      <c r="S455">
        <v>1</v>
      </c>
      <c r="T455" t="s">
        <v>29</v>
      </c>
      <c r="U455" t="s">
        <v>30</v>
      </c>
      <c r="V455">
        <v>73358</v>
      </c>
      <c r="W455">
        <v>3.54</v>
      </c>
      <c r="X455">
        <v>8</v>
      </c>
    </row>
    <row r="456" spans="1:24" x14ac:dyDescent="0.3">
      <c r="A456" t="s">
        <v>46</v>
      </c>
      <c r="B456" t="s">
        <v>49</v>
      </c>
      <c r="C456">
        <v>2026</v>
      </c>
      <c r="D456" t="s">
        <v>61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34</v>
      </c>
      <c r="N456">
        <v>7</v>
      </c>
      <c r="O456" t="s">
        <v>28</v>
      </c>
      <c r="P456">
        <v>64.2</v>
      </c>
      <c r="Q456">
        <v>2397</v>
      </c>
      <c r="R456">
        <v>4</v>
      </c>
      <c r="S456">
        <v>2</v>
      </c>
      <c r="T456" t="s">
        <v>41</v>
      </c>
      <c r="U456" t="s">
        <v>37</v>
      </c>
      <c r="V456">
        <v>488644</v>
      </c>
      <c r="W456">
        <v>3.74</v>
      </c>
      <c r="X456">
        <v>4</v>
      </c>
    </row>
    <row r="457" spans="1:24" x14ac:dyDescent="0.3">
      <c r="A457" t="s">
        <v>68</v>
      </c>
      <c r="B457" t="s">
        <v>79</v>
      </c>
      <c r="C457">
        <v>2025</v>
      </c>
      <c r="D457" t="s">
        <v>61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34</v>
      </c>
      <c r="N457">
        <v>5</v>
      </c>
      <c r="O457" t="s">
        <v>28</v>
      </c>
      <c r="P457">
        <v>53.7</v>
      </c>
      <c r="Q457">
        <v>2077</v>
      </c>
      <c r="R457">
        <v>4</v>
      </c>
      <c r="S457">
        <v>0</v>
      </c>
      <c r="T457" t="s">
        <v>45</v>
      </c>
      <c r="U457" t="s">
        <v>37</v>
      </c>
      <c r="V457">
        <v>139571</v>
      </c>
      <c r="W457">
        <v>3.2</v>
      </c>
      <c r="X457">
        <v>4</v>
      </c>
    </row>
    <row r="458" spans="1:24" x14ac:dyDescent="0.3">
      <c r="A458" t="s">
        <v>46</v>
      </c>
      <c r="B458" t="s">
        <v>49</v>
      </c>
      <c r="C458">
        <v>2025</v>
      </c>
      <c r="D458" t="s">
        <v>44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27</v>
      </c>
      <c r="N458">
        <v>7</v>
      </c>
      <c r="O458" t="s">
        <v>51</v>
      </c>
      <c r="P458">
        <v>33</v>
      </c>
      <c r="Q458">
        <v>1641</v>
      </c>
      <c r="R458">
        <v>4</v>
      </c>
      <c r="S458">
        <v>2</v>
      </c>
      <c r="T458" t="s">
        <v>41</v>
      </c>
      <c r="U458" t="s">
        <v>30</v>
      </c>
      <c r="V458">
        <v>404800</v>
      </c>
      <c r="W458">
        <v>4.22</v>
      </c>
      <c r="X458">
        <v>5</v>
      </c>
    </row>
    <row r="459" spans="1:24" x14ac:dyDescent="0.3">
      <c r="A459" t="s">
        <v>68</v>
      </c>
      <c r="B459" t="s">
        <v>79</v>
      </c>
      <c r="C459">
        <v>2025</v>
      </c>
      <c r="D459" t="s">
        <v>33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48</v>
      </c>
      <c r="N459">
        <v>5</v>
      </c>
      <c r="O459" t="s">
        <v>51</v>
      </c>
      <c r="P459">
        <v>24.7</v>
      </c>
      <c r="Q459">
        <v>1680</v>
      </c>
      <c r="R459">
        <v>4</v>
      </c>
      <c r="S459">
        <v>0</v>
      </c>
      <c r="T459" t="s">
        <v>45</v>
      </c>
      <c r="U459" t="s">
        <v>37</v>
      </c>
      <c r="V459">
        <v>98434</v>
      </c>
      <c r="W459">
        <v>3.53</v>
      </c>
      <c r="X459">
        <v>3</v>
      </c>
    </row>
    <row r="460" spans="1:24" x14ac:dyDescent="0.3">
      <c r="A460" t="s">
        <v>46</v>
      </c>
      <c r="B460" t="s">
        <v>57</v>
      </c>
      <c r="C460">
        <v>2023</v>
      </c>
      <c r="D460" t="s">
        <v>33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27</v>
      </c>
      <c r="N460">
        <v>5</v>
      </c>
      <c r="O460" t="s">
        <v>51</v>
      </c>
      <c r="P460">
        <v>27.8</v>
      </c>
      <c r="Q460">
        <v>1530</v>
      </c>
      <c r="R460">
        <v>4</v>
      </c>
      <c r="S460">
        <v>2</v>
      </c>
      <c r="T460" t="s">
        <v>41</v>
      </c>
      <c r="U460" t="s">
        <v>30</v>
      </c>
      <c r="V460">
        <v>167952</v>
      </c>
      <c r="W460">
        <v>3.72</v>
      </c>
      <c r="X460">
        <v>6</v>
      </c>
    </row>
    <row r="461" spans="1:24" x14ac:dyDescent="0.3">
      <c r="A461" t="s">
        <v>46</v>
      </c>
      <c r="B461" t="s">
        <v>47</v>
      </c>
      <c r="C461">
        <v>2024</v>
      </c>
      <c r="D461" t="s">
        <v>56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34</v>
      </c>
      <c r="N461">
        <v>5</v>
      </c>
      <c r="O461" t="s">
        <v>51</v>
      </c>
      <c r="P461">
        <v>18.8</v>
      </c>
      <c r="Q461">
        <v>1625</v>
      </c>
      <c r="R461">
        <v>4</v>
      </c>
      <c r="S461">
        <v>2</v>
      </c>
      <c r="T461" t="s">
        <v>41</v>
      </c>
      <c r="U461" t="s">
        <v>66</v>
      </c>
      <c r="V461">
        <v>245170</v>
      </c>
      <c r="W461">
        <v>3.53</v>
      </c>
      <c r="X461">
        <v>5</v>
      </c>
    </row>
    <row r="462" spans="1:24" x14ac:dyDescent="0.3">
      <c r="A462" t="s">
        <v>46</v>
      </c>
      <c r="B462" t="s">
        <v>47</v>
      </c>
      <c r="C462">
        <v>2025</v>
      </c>
      <c r="D462" t="s">
        <v>26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34</v>
      </c>
      <c r="N462">
        <v>7</v>
      </c>
      <c r="O462" t="s">
        <v>28</v>
      </c>
      <c r="P462">
        <v>57.3</v>
      </c>
      <c r="Q462">
        <v>2532</v>
      </c>
      <c r="R462">
        <v>5</v>
      </c>
      <c r="S462">
        <v>2</v>
      </c>
      <c r="T462" t="s">
        <v>41</v>
      </c>
      <c r="U462" t="s">
        <v>37</v>
      </c>
      <c r="V462">
        <v>230471</v>
      </c>
      <c r="W462">
        <v>4.32</v>
      </c>
      <c r="X462">
        <v>5</v>
      </c>
    </row>
    <row r="463" spans="1:24" x14ac:dyDescent="0.3">
      <c r="A463" t="s">
        <v>83</v>
      </c>
      <c r="B463" t="s">
        <v>104</v>
      </c>
      <c r="C463">
        <v>2022</v>
      </c>
      <c r="D463" t="s">
        <v>56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27</v>
      </c>
      <c r="N463">
        <v>5</v>
      </c>
      <c r="O463" t="s">
        <v>35</v>
      </c>
      <c r="P463">
        <v>58.7</v>
      </c>
      <c r="Q463">
        <v>1890</v>
      </c>
      <c r="R463">
        <v>5</v>
      </c>
      <c r="S463">
        <v>2</v>
      </c>
      <c r="T463" t="s">
        <v>29</v>
      </c>
      <c r="U463" t="s">
        <v>37</v>
      </c>
      <c r="V463">
        <v>21575</v>
      </c>
      <c r="W463">
        <v>3.67</v>
      </c>
      <c r="X463">
        <v>6</v>
      </c>
    </row>
    <row r="464" spans="1:24" x14ac:dyDescent="0.3">
      <c r="A464" t="s">
        <v>38</v>
      </c>
      <c r="B464" t="s">
        <v>102</v>
      </c>
      <c r="C464">
        <v>2023</v>
      </c>
      <c r="D464" t="s">
        <v>56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27</v>
      </c>
      <c r="N464">
        <v>7</v>
      </c>
      <c r="O464" t="s">
        <v>35</v>
      </c>
      <c r="P464">
        <v>47.5</v>
      </c>
      <c r="Q464">
        <v>1971</v>
      </c>
      <c r="R464">
        <v>5</v>
      </c>
      <c r="S464">
        <v>0</v>
      </c>
      <c r="T464" t="s">
        <v>41</v>
      </c>
      <c r="U464" t="s">
        <v>37</v>
      </c>
      <c r="V464">
        <v>12182</v>
      </c>
      <c r="W464">
        <v>3.71</v>
      </c>
      <c r="X464">
        <v>5</v>
      </c>
    </row>
    <row r="465" spans="1:24" x14ac:dyDescent="0.3">
      <c r="A465" t="s">
        <v>42</v>
      </c>
      <c r="B465" t="s">
        <v>80</v>
      </c>
      <c r="C465">
        <v>2023</v>
      </c>
      <c r="D465" t="s">
        <v>61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27</v>
      </c>
      <c r="N465">
        <v>5</v>
      </c>
      <c r="O465" t="s">
        <v>35</v>
      </c>
      <c r="P465">
        <v>41.6</v>
      </c>
      <c r="Q465">
        <v>2004</v>
      </c>
      <c r="R465">
        <v>4</v>
      </c>
      <c r="S465">
        <v>1</v>
      </c>
      <c r="T465" t="s">
        <v>45</v>
      </c>
      <c r="U465" t="s">
        <v>37</v>
      </c>
      <c r="V465">
        <v>113695</v>
      </c>
      <c r="W465">
        <v>3.55</v>
      </c>
      <c r="X465">
        <v>5</v>
      </c>
    </row>
    <row r="466" spans="1:24" x14ac:dyDescent="0.3">
      <c r="A466" t="s">
        <v>31</v>
      </c>
      <c r="B466" t="s">
        <v>112</v>
      </c>
      <c r="C466">
        <v>2024</v>
      </c>
      <c r="D466" t="s">
        <v>44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34</v>
      </c>
      <c r="N466">
        <v>5</v>
      </c>
      <c r="O466" t="s">
        <v>40</v>
      </c>
      <c r="P466">
        <v>64.2</v>
      </c>
      <c r="Q466">
        <v>1570</v>
      </c>
      <c r="R466">
        <v>5</v>
      </c>
      <c r="S466">
        <v>1</v>
      </c>
      <c r="T466" t="s">
        <v>36</v>
      </c>
      <c r="U466" t="s">
        <v>37</v>
      </c>
      <c r="V466">
        <v>18558</v>
      </c>
      <c r="W466">
        <v>3.6</v>
      </c>
      <c r="X466">
        <v>4</v>
      </c>
    </row>
    <row r="467" spans="1:24" x14ac:dyDescent="0.3">
      <c r="A467" t="s">
        <v>24</v>
      </c>
      <c r="B467" t="s">
        <v>70</v>
      </c>
      <c r="C467">
        <v>2025</v>
      </c>
      <c r="D467" t="s">
        <v>44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34</v>
      </c>
      <c r="N467">
        <v>5</v>
      </c>
      <c r="O467" t="s">
        <v>58</v>
      </c>
      <c r="P467">
        <v>17.8</v>
      </c>
      <c r="Q467">
        <v>1870</v>
      </c>
      <c r="R467">
        <v>4</v>
      </c>
      <c r="S467">
        <v>1</v>
      </c>
      <c r="T467" t="s">
        <v>29</v>
      </c>
      <c r="U467" t="s">
        <v>37</v>
      </c>
      <c r="V467">
        <v>243761</v>
      </c>
      <c r="W467">
        <v>3.63</v>
      </c>
      <c r="X467">
        <v>5</v>
      </c>
    </row>
    <row r="468" spans="1:24" x14ac:dyDescent="0.3">
      <c r="A468" t="s">
        <v>63</v>
      </c>
      <c r="B468" t="s">
        <v>96</v>
      </c>
      <c r="C468">
        <v>2025</v>
      </c>
      <c r="D468" t="s">
        <v>26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34</v>
      </c>
      <c r="N468">
        <v>7</v>
      </c>
      <c r="O468" t="s">
        <v>35</v>
      </c>
      <c r="P468">
        <v>67.3</v>
      </c>
      <c r="Q468">
        <v>1923</v>
      </c>
      <c r="R468">
        <v>5</v>
      </c>
      <c r="S468">
        <v>0</v>
      </c>
      <c r="T468" t="s">
        <v>65</v>
      </c>
      <c r="U468" t="s">
        <v>37</v>
      </c>
      <c r="V468">
        <v>141126</v>
      </c>
      <c r="W468">
        <v>4.1900000000000004</v>
      </c>
      <c r="X468">
        <v>3</v>
      </c>
    </row>
    <row r="469" spans="1:24" x14ac:dyDescent="0.3">
      <c r="A469" t="s">
        <v>52</v>
      </c>
      <c r="B469" t="s">
        <v>97</v>
      </c>
      <c r="C469">
        <v>2025</v>
      </c>
      <c r="D469" t="s">
        <v>44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27</v>
      </c>
      <c r="N469">
        <v>5</v>
      </c>
      <c r="O469" t="s">
        <v>58</v>
      </c>
      <c r="P469">
        <v>33.4</v>
      </c>
      <c r="Q469">
        <v>1500</v>
      </c>
      <c r="R469">
        <v>5</v>
      </c>
      <c r="S469">
        <v>1</v>
      </c>
      <c r="T469" t="s">
        <v>29</v>
      </c>
      <c r="U469" t="s">
        <v>30</v>
      </c>
      <c r="V469">
        <v>68195</v>
      </c>
      <c r="W469">
        <v>4.28</v>
      </c>
      <c r="X469">
        <v>6</v>
      </c>
    </row>
    <row r="470" spans="1:24" x14ac:dyDescent="0.3">
      <c r="A470" t="s">
        <v>63</v>
      </c>
      <c r="B470" t="s">
        <v>96</v>
      </c>
      <c r="C470">
        <v>2020</v>
      </c>
      <c r="D470" t="s">
        <v>61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27</v>
      </c>
      <c r="N470">
        <v>5</v>
      </c>
      <c r="O470" t="s">
        <v>40</v>
      </c>
      <c r="P470">
        <v>67.2</v>
      </c>
      <c r="Q470">
        <v>1731</v>
      </c>
      <c r="R470">
        <v>3</v>
      </c>
      <c r="S470">
        <v>2</v>
      </c>
      <c r="T470" t="s">
        <v>65</v>
      </c>
      <c r="U470" t="s">
        <v>33</v>
      </c>
      <c r="V470">
        <v>199656</v>
      </c>
      <c r="W470">
        <v>3.4</v>
      </c>
      <c r="X470">
        <v>4</v>
      </c>
    </row>
    <row r="471" spans="1:24" x14ac:dyDescent="0.3">
      <c r="A471" t="s">
        <v>31</v>
      </c>
      <c r="B471" t="s">
        <v>112</v>
      </c>
      <c r="C471">
        <v>2024</v>
      </c>
      <c r="D471" t="s">
        <v>56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34</v>
      </c>
      <c r="N471">
        <v>5</v>
      </c>
      <c r="O471" t="s">
        <v>51</v>
      </c>
      <c r="P471">
        <v>29.8</v>
      </c>
      <c r="Q471">
        <v>1500</v>
      </c>
      <c r="R471">
        <v>4</v>
      </c>
      <c r="S471">
        <v>1</v>
      </c>
      <c r="T471" t="s">
        <v>36</v>
      </c>
      <c r="U471" t="s">
        <v>37</v>
      </c>
      <c r="V471">
        <v>5267</v>
      </c>
      <c r="W471">
        <v>3.41</v>
      </c>
      <c r="X471">
        <v>3</v>
      </c>
    </row>
    <row r="472" spans="1:24" x14ac:dyDescent="0.3">
      <c r="A472" t="s">
        <v>46</v>
      </c>
      <c r="B472" t="s">
        <v>49</v>
      </c>
      <c r="C472">
        <v>2026</v>
      </c>
      <c r="D472" t="s">
        <v>56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48</v>
      </c>
      <c r="N472">
        <v>5</v>
      </c>
      <c r="O472" t="s">
        <v>40</v>
      </c>
      <c r="P472">
        <v>69.8</v>
      </c>
      <c r="Q472">
        <v>1501</v>
      </c>
      <c r="R472">
        <v>4</v>
      </c>
      <c r="S472">
        <v>2</v>
      </c>
      <c r="T472" t="s">
        <v>41</v>
      </c>
      <c r="U472" t="s">
        <v>37</v>
      </c>
      <c r="V472">
        <v>407336</v>
      </c>
      <c r="W472">
        <v>3.8</v>
      </c>
      <c r="X472">
        <v>4</v>
      </c>
    </row>
    <row r="473" spans="1:24" x14ac:dyDescent="0.3">
      <c r="A473" t="s">
        <v>59</v>
      </c>
      <c r="B473" t="s">
        <v>60</v>
      </c>
      <c r="C473">
        <v>2024</v>
      </c>
      <c r="D473" t="s">
        <v>56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48</v>
      </c>
      <c r="N473">
        <v>7</v>
      </c>
      <c r="O473" t="s">
        <v>40</v>
      </c>
      <c r="P473">
        <v>70.599999999999994</v>
      </c>
      <c r="Q473">
        <v>1500</v>
      </c>
      <c r="R473">
        <v>5</v>
      </c>
      <c r="S473">
        <v>1</v>
      </c>
      <c r="T473" t="s">
        <v>41</v>
      </c>
      <c r="U473" t="s">
        <v>33</v>
      </c>
      <c r="V473">
        <v>2927</v>
      </c>
      <c r="W473">
        <v>3.38</v>
      </c>
      <c r="X473">
        <v>4</v>
      </c>
    </row>
    <row r="474" spans="1:24" x14ac:dyDescent="0.3">
      <c r="A474" t="s">
        <v>46</v>
      </c>
      <c r="B474" t="s">
        <v>57</v>
      </c>
      <c r="C474">
        <v>2026</v>
      </c>
      <c r="D474" t="s">
        <v>56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34</v>
      </c>
      <c r="N474">
        <v>7</v>
      </c>
      <c r="O474" t="s">
        <v>51</v>
      </c>
      <c r="P474">
        <v>24.3</v>
      </c>
      <c r="Q474">
        <v>1583</v>
      </c>
      <c r="R474">
        <v>5</v>
      </c>
      <c r="S474">
        <v>2</v>
      </c>
      <c r="T474" t="s">
        <v>41</v>
      </c>
      <c r="U474" t="s">
        <v>33</v>
      </c>
      <c r="V474">
        <v>238605</v>
      </c>
      <c r="W474">
        <v>3.46</v>
      </c>
      <c r="X474">
        <v>4</v>
      </c>
    </row>
    <row r="475" spans="1:24" x14ac:dyDescent="0.3">
      <c r="A475" t="s">
        <v>86</v>
      </c>
      <c r="B475" t="s">
        <v>117</v>
      </c>
      <c r="C475">
        <v>2026</v>
      </c>
      <c r="D475" t="s">
        <v>44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34</v>
      </c>
      <c r="N475">
        <v>7</v>
      </c>
      <c r="O475" t="s">
        <v>50</v>
      </c>
      <c r="P475">
        <v>34.1</v>
      </c>
      <c r="Q475">
        <v>1500</v>
      </c>
      <c r="R475">
        <v>3</v>
      </c>
      <c r="S475">
        <v>1</v>
      </c>
      <c r="T475" t="s">
        <v>29</v>
      </c>
      <c r="U475" t="s">
        <v>33</v>
      </c>
      <c r="V475">
        <v>45647</v>
      </c>
      <c r="W475">
        <v>3.96</v>
      </c>
      <c r="X475">
        <v>6</v>
      </c>
    </row>
    <row r="476" spans="1:24" x14ac:dyDescent="0.3">
      <c r="A476" t="s">
        <v>68</v>
      </c>
      <c r="B476" t="s">
        <v>109</v>
      </c>
      <c r="C476">
        <v>2025</v>
      </c>
      <c r="D476" t="s">
        <v>61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34</v>
      </c>
      <c r="N476">
        <v>7</v>
      </c>
      <c r="O476" t="s">
        <v>50</v>
      </c>
      <c r="P476">
        <v>21.8</v>
      </c>
      <c r="Q476">
        <v>1688</v>
      </c>
      <c r="R476">
        <v>4</v>
      </c>
      <c r="S476">
        <v>1</v>
      </c>
      <c r="T476" t="s">
        <v>45</v>
      </c>
      <c r="U476" t="s">
        <v>37</v>
      </c>
      <c r="V476">
        <v>111448</v>
      </c>
      <c r="W476">
        <v>3.65</v>
      </c>
      <c r="X476">
        <v>4</v>
      </c>
    </row>
    <row r="477" spans="1:24" x14ac:dyDescent="0.3">
      <c r="A477" t="s">
        <v>121</v>
      </c>
      <c r="B477" t="s">
        <v>122</v>
      </c>
      <c r="C477">
        <v>2025</v>
      </c>
      <c r="D477" t="s">
        <v>33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34</v>
      </c>
      <c r="N477">
        <v>7</v>
      </c>
      <c r="O477" t="s">
        <v>40</v>
      </c>
      <c r="P477">
        <v>63.9</v>
      </c>
      <c r="Q477">
        <v>1615</v>
      </c>
      <c r="R477">
        <v>5</v>
      </c>
      <c r="S477">
        <v>2</v>
      </c>
      <c r="T477" t="s">
        <v>123</v>
      </c>
      <c r="U477" t="s">
        <v>33</v>
      </c>
      <c r="V477">
        <v>10606</v>
      </c>
      <c r="W477">
        <v>3.2</v>
      </c>
      <c r="X477">
        <v>3</v>
      </c>
    </row>
    <row r="478" spans="1:24" x14ac:dyDescent="0.3">
      <c r="A478" t="s">
        <v>46</v>
      </c>
      <c r="B478" t="s">
        <v>49</v>
      </c>
      <c r="C478">
        <v>2025</v>
      </c>
      <c r="D478" t="s">
        <v>33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27</v>
      </c>
      <c r="N478">
        <v>5</v>
      </c>
      <c r="O478" t="s">
        <v>28</v>
      </c>
      <c r="P478">
        <v>75.599999999999994</v>
      </c>
      <c r="Q478">
        <v>2337</v>
      </c>
      <c r="R478">
        <v>5</v>
      </c>
      <c r="S478">
        <v>2</v>
      </c>
      <c r="T478" t="s">
        <v>41</v>
      </c>
      <c r="U478" t="s">
        <v>30</v>
      </c>
      <c r="V478">
        <v>481115</v>
      </c>
      <c r="W478">
        <v>3.49</v>
      </c>
      <c r="X478">
        <v>5</v>
      </c>
    </row>
    <row r="479" spans="1:24" x14ac:dyDescent="0.3">
      <c r="A479" t="s">
        <v>42</v>
      </c>
      <c r="B479" t="s">
        <v>80</v>
      </c>
      <c r="C479">
        <v>2024</v>
      </c>
      <c r="D479" t="s">
        <v>61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27</v>
      </c>
      <c r="N479">
        <v>7</v>
      </c>
      <c r="O479" t="s">
        <v>35</v>
      </c>
      <c r="P479">
        <v>36.799999999999997</v>
      </c>
      <c r="Q479">
        <v>1704</v>
      </c>
      <c r="R479">
        <v>4</v>
      </c>
      <c r="S479">
        <v>2</v>
      </c>
      <c r="T479" t="s">
        <v>45</v>
      </c>
      <c r="U479" t="s">
        <v>33</v>
      </c>
      <c r="V479">
        <v>125092</v>
      </c>
      <c r="W479">
        <v>3.1</v>
      </c>
      <c r="X479">
        <v>3</v>
      </c>
    </row>
    <row r="480" spans="1:24" x14ac:dyDescent="0.3">
      <c r="A480" t="s">
        <v>59</v>
      </c>
      <c r="B480" t="s">
        <v>111</v>
      </c>
      <c r="C480">
        <v>2025</v>
      </c>
      <c r="D480" t="s">
        <v>33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27</v>
      </c>
      <c r="N480">
        <v>7</v>
      </c>
      <c r="O480" t="s">
        <v>58</v>
      </c>
      <c r="P480">
        <v>32.1</v>
      </c>
      <c r="Q480">
        <v>1626</v>
      </c>
      <c r="R480">
        <v>5</v>
      </c>
      <c r="S480">
        <v>1</v>
      </c>
      <c r="T480" t="s">
        <v>41</v>
      </c>
      <c r="U480" t="s">
        <v>30</v>
      </c>
      <c r="V480">
        <v>11123</v>
      </c>
      <c r="W480">
        <v>3.38</v>
      </c>
      <c r="X480">
        <v>4</v>
      </c>
    </row>
    <row r="481" spans="1:24" x14ac:dyDescent="0.3">
      <c r="A481" t="s">
        <v>68</v>
      </c>
      <c r="B481" t="s">
        <v>106</v>
      </c>
      <c r="C481">
        <v>2020</v>
      </c>
      <c r="D481" t="s">
        <v>61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34</v>
      </c>
      <c r="N481">
        <v>5</v>
      </c>
      <c r="O481" t="s">
        <v>50</v>
      </c>
      <c r="P481">
        <v>31.4</v>
      </c>
      <c r="Q481">
        <v>1560</v>
      </c>
      <c r="R481">
        <v>5</v>
      </c>
      <c r="S481">
        <v>0</v>
      </c>
      <c r="T481" t="s">
        <v>45</v>
      </c>
      <c r="U481" t="s">
        <v>37</v>
      </c>
      <c r="V481">
        <v>60112</v>
      </c>
      <c r="W481">
        <v>3.39</v>
      </c>
      <c r="X481">
        <v>3</v>
      </c>
    </row>
    <row r="482" spans="1:24" x14ac:dyDescent="0.3">
      <c r="A482" t="s">
        <v>83</v>
      </c>
      <c r="B482" t="s">
        <v>116</v>
      </c>
      <c r="C482">
        <v>2025</v>
      </c>
      <c r="D482" t="s">
        <v>33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34</v>
      </c>
      <c r="N482">
        <v>7</v>
      </c>
      <c r="O482" t="s">
        <v>35</v>
      </c>
      <c r="P482">
        <v>37.200000000000003</v>
      </c>
      <c r="Q482">
        <v>1950</v>
      </c>
      <c r="R482">
        <v>4</v>
      </c>
      <c r="S482">
        <v>1</v>
      </c>
      <c r="T482" t="s">
        <v>29</v>
      </c>
      <c r="U482" t="s">
        <v>30</v>
      </c>
      <c r="V482">
        <v>42535</v>
      </c>
      <c r="W482">
        <v>3.47</v>
      </c>
      <c r="X482">
        <v>8</v>
      </c>
    </row>
    <row r="483" spans="1:24" x14ac:dyDescent="0.3">
      <c r="A483" t="s">
        <v>38</v>
      </c>
      <c r="B483" t="s">
        <v>118</v>
      </c>
      <c r="C483">
        <v>2025</v>
      </c>
      <c r="D483" t="s">
        <v>61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34</v>
      </c>
      <c r="N483">
        <v>7</v>
      </c>
      <c r="O483" t="s">
        <v>40</v>
      </c>
      <c r="P483">
        <v>60.3</v>
      </c>
      <c r="Q483">
        <v>1514</v>
      </c>
      <c r="R483">
        <v>4</v>
      </c>
      <c r="S483">
        <v>0</v>
      </c>
      <c r="T483" t="s">
        <v>41</v>
      </c>
      <c r="U483" t="s">
        <v>37</v>
      </c>
      <c r="V483">
        <v>14323</v>
      </c>
      <c r="W483">
        <v>3.34</v>
      </c>
      <c r="X483">
        <v>4</v>
      </c>
    </row>
    <row r="484" spans="1:24" x14ac:dyDescent="0.3">
      <c r="A484" t="s">
        <v>24</v>
      </c>
      <c r="B484" t="s">
        <v>85</v>
      </c>
      <c r="C484">
        <v>2026</v>
      </c>
      <c r="D484" t="s">
        <v>44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34</v>
      </c>
      <c r="N484">
        <v>7</v>
      </c>
      <c r="O484" t="s">
        <v>28</v>
      </c>
      <c r="P484">
        <v>56.1</v>
      </c>
      <c r="Q484">
        <v>2583</v>
      </c>
      <c r="R484">
        <v>5</v>
      </c>
      <c r="S484">
        <v>0</v>
      </c>
      <c r="T484" t="s">
        <v>29</v>
      </c>
      <c r="U484" t="s">
        <v>33</v>
      </c>
      <c r="V484">
        <v>243081</v>
      </c>
      <c r="W484">
        <v>3.92</v>
      </c>
      <c r="X484">
        <v>3</v>
      </c>
    </row>
    <row r="485" spans="1:24" x14ac:dyDescent="0.3">
      <c r="A485" t="s">
        <v>83</v>
      </c>
      <c r="B485" t="s">
        <v>84</v>
      </c>
      <c r="C485">
        <v>2024</v>
      </c>
      <c r="D485" t="s">
        <v>61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48</v>
      </c>
      <c r="N485">
        <v>5</v>
      </c>
      <c r="O485" t="s">
        <v>35</v>
      </c>
      <c r="P485">
        <v>38.299999999999997</v>
      </c>
      <c r="Q485">
        <v>2130</v>
      </c>
      <c r="R485">
        <v>4</v>
      </c>
      <c r="S485">
        <v>2</v>
      </c>
      <c r="T485" t="s">
        <v>29</v>
      </c>
      <c r="U485" t="s">
        <v>37</v>
      </c>
      <c r="V485">
        <v>69279</v>
      </c>
      <c r="W485">
        <v>3.23</v>
      </c>
      <c r="X485">
        <v>7</v>
      </c>
    </row>
    <row r="486" spans="1:24" x14ac:dyDescent="0.3">
      <c r="A486" t="s">
        <v>42</v>
      </c>
      <c r="B486" t="s">
        <v>54</v>
      </c>
      <c r="C486">
        <v>2025</v>
      </c>
      <c r="D486" t="s">
        <v>26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27</v>
      </c>
      <c r="N486">
        <v>7</v>
      </c>
      <c r="O486" t="s">
        <v>58</v>
      </c>
      <c r="P486">
        <v>22.4</v>
      </c>
      <c r="Q486">
        <v>1649</v>
      </c>
      <c r="R486">
        <v>5</v>
      </c>
      <c r="S486">
        <v>0</v>
      </c>
      <c r="T486" t="s">
        <v>45</v>
      </c>
      <c r="U486" t="s">
        <v>37</v>
      </c>
      <c r="V486">
        <v>96451</v>
      </c>
      <c r="W486">
        <v>3.9</v>
      </c>
      <c r="X486">
        <v>5</v>
      </c>
    </row>
    <row r="487" spans="1:24" x14ac:dyDescent="0.3">
      <c r="A487" t="s">
        <v>86</v>
      </c>
      <c r="B487" t="s">
        <v>105</v>
      </c>
      <c r="C487">
        <v>2020</v>
      </c>
      <c r="D487" t="s">
        <v>61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34</v>
      </c>
      <c r="N487">
        <v>5</v>
      </c>
      <c r="O487" t="s">
        <v>51</v>
      </c>
      <c r="P487">
        <v>31.5</v>
      </c>
      <c r="Q487">
        <v>1500</v>
      </c>
      <c r="R487">
        <v>3</v>
      </c>
      <c r="S487">
        <v>1</v>
      </c>
      <c r="T487" t="s">
        <v>29</v>
      </c>
      <c r="U487" t="s">
        <v>30</v>
      </c>
      <c r="V487">
        <v>45569</v>
      </c>
      <c r="W487">
        <v>3.67</v>
      </c>
      <c r="X487">
        <v>8</v>
      </c>
    </row>
    <row r="488" spans="1:24" x14ac:dyDescent="0.3">
      <c r="A488" t="s">
        <v>46</v>
      </c>
      <c r="B488" t="s">
        <v>49</v>
      </c>
      <c r="C488">
        <v>2022</v>
      </c>
      <c r="D488" t="s">
        <v>33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34</v>
      </c>
      <c r="N488">
        <v>7</v>
      </c>
      <c r="O488" t="s">
        <v>28</v>
      </c>
      <c r="P488">
        <v>67.599999999999994</v>
      </c>
      <c r="Q488">
        <v>2356</v>
      </c>
      <c r="R488">
        <v>5</v>
      </c>
      <c r="S488">
        <v>3</v>
      </c>
      <c r="T488" t="s">
        <v>41</v>
      </c>
      <c r="U488" t="s">
        <v>33</v>
      </c>
      <c r="V488">
        <v>438573</v>
      </c>
      <c r="W488">
        <v>3.82</v>
      </c>
      <c r="X488">
        <v>5</v>
      </c>
    </row>
    <row r="489" spans="1:24" x14ac:dyDescent="0.3">
      <c r="A489" t="s">
        <v>63</v>
      </c>
      <c r="B489" t="s">
        <v>107</v>
      </c>
      <c r="C489">
        <v>2023</v>
      </c>
      <c r="D489" t="s">
        <v>56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48</v>
      </c>
      <c r="N489">
        <v>7</v>
      </c>
      <c r="O489" t="s">
        <v>50</v>
      </c>
      <c r="P489">
        <v>36</v>
      </c>
      <c r="Q489">
        <v>1815</v>
      </c>
      <c r="R489">
        <v>5</v>
      </c>
      <c r="S489">
        <v>1</v>
      </c>
      <c r="T489" t="s">
        <v>65</v>
      </c>
      <c r="U489" t="s">
        <v>37</v>
      </c>
      <c r="V489">
        <v>135053</v>
      </c>
      <c r="W489">
        <v>3.36</v>
      </c>
      <c r="X489">
        <v>4</v>
      </c>
    </row>
    <row r="490" spans="1:24" x14ac:dyDescent="0.3">
      <c r="A490" t="s">
        <v>31</v>
      </c>
      <c r="B490" t="s">
        <v>112</v>
      </c>
      <c r="C490">
        <v>2024</v>
      </c>
      <c r="D490" t="s">
        <v>61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34</v>
      </c>
      <c r="N490">
        <v>5</v>
      </c>
      <c r="O490" t="s">
        <v>50</v>
      </c>
      <c r="P490">
        <v>35.5</v>
      </c>
      <c r="Q490">
        <v>1929</v>
      </c>
      <c r="R490">
        <v>5</v>
      </c>
      <c r="S490">
        <v>2</v>
      </c>
      <c r="T490" t="s">
        <v>36</v>
      </c>
      <c r="U490" t="s">
        <v>37</v>
      </c>
      <c r="V490">
        <v>26767</v>
      </c>
      <c r="W490">
        <v>3.22</v>
      </c>
      <c r="X490">
        <v>3</v>
      </c>
    </row>
    <row r="491" spans="1:24" x14ac:dyDescent="0.3">
      <c r="A491" t="s">
        <v>86</v>
      </c>
      <c r="B491" t="s">
        <v>105</v>
      </c>
      <c r="C491">
        <v>2022</v>
      </c>
      <c r="D491" t="s">
        <v>56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34</v>
      </c>
      <c r="N491">
        <v>7</v>
      </c>
      <c r="O491" t="s">
        <v>50</v>
      </c>
      <c r="P491">
        <v>22.7</v>
      </c>
      <c r="Q491">
        <v>1500</v>
      </c>
      <c r="R491">
        <v>5</v>
      </c>
      <c r="S491">
        <v>1</v>
      </c>
      <c r="T491" t="s">
        <v>29</v>
      </c>
      <c r="U491" t="s">
        <v>33</v>
      </c>
      <c r="V491">
        <v>64291</v>
      </c>
      <c r="W491">
        <v>3.45</v>
      </c>
      <c r="X491">
        <v>6</v>
      </c>
    </row>
    <row r="492" spans="1:24" x14ac:dyDescent="0.3">
      <c r="A492" t="s">
        <v>24</v>
      </c>
      <c r="B492" t="s">
        <v>85</v>
      </c>
      <c r="C492">
        <v>2025</v>
      </c>
      <c r="D492" t="s">
        <v>26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48</v>
      </c>
      <c r="N492">
        <v>7</v>
      </c>
      <c r="O492" t="s">
        <v>51</v>
      </c>
      <c r="P492">
        <v>16.3</v>
      </c>
      <c r="Q492">
        <v>1717</v>
      </c>
      <c r="R492">
        <v>3</v>
      </c>
      <c r="S492">
        <v>0</v>
      </c>
      <c r="T492" t="s">
        <v>29</v>
      </c>
      <c r="U492" t="s">
        <v>33</v>
      </c>
      <c r="V492">
        <v>285530</v>
      </c>
      <c r="W492">
        <v>3.65</v>
      </c>
      <c r="X492">
        <v>4</v>
      </c>
    </row>
    <row r="493" spans="1:24" x14ac:dyDescent="0.3">
      <c r="A493" t="s">
        <v>83</v>
      </c>
      <c r="B493" t="s">
        <v>89</v>
      </c>
      <c r="C493">
        <v>2023</v>
      </c>
      <c r="D493" t="s">
        <v>33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48</v>
      </c>
      <c r="N493">
        <v>7</v>
      </c>
      <c r="O493" t="s">
        <v>28</v>
      </c>
      <c r="P493">
        <v>63.4</v>
      </c>
      <c r="Q493">
        <v>2700</v>
      </c>
      <c r="R493">
        <v>5</v>
      </c>
      <c r="S493">
        <v>1</v>
      </c>
      <c r="T493" t="s">
        <v>29</v>
      </c>
      <c r="U493" t="s">
        <v>30</v>
      </c>
      <c r="V493">
        <v>26181</v>
      </c>
      <c r="W493">
        <v>3.26</v>
      </c>
      <c r="X493">
        <v>5</v>
      </c>
    </row>
    <row r="494" spans="1:24" x14ac:dyDescent="0.3">
      <c r="A494" t="s">
        <v>63</v>
      </c>
      <c r="B494" t="s">
        <v>88</v>
      </c>
      <c r="C494">
        <v>2025</v>
      </c>
      <c r="D494" t="s">
        <v>33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27</v>
      </c>
      <c r="N494">
        <v>7</v>
      </c>
      <c r="O494" t="s">
        <v>40</v>
      </c>
      <c r="P494">
        <v>70.400000000000006</v>
      </c>
      <c r="Q494">
        <v>1633</v>
      </c>
      <c r="R494">
        <v>4</v>
      </c>
      <c r="S494">
        <v>1</v>
      </c>
      <c r="T494" t="s">
        <v>65</v>
      </c>
      <c r="U494" t="s">
        <v>30</v>
      </c>
      <c r="V494">
        <v>164080</v>
      </c>
      <c r="W494">
        <v>3.52</v>
      </c>
      <c r="X494">
        <v>4</v>
      </c>
    </row>
    <row r="495" spans="1:24" x14ac:dyDescent="0.3">
      <c r="A495" t="s">
        <v>46</v>
      </c>
      <c r="B495" t="s">
        <v>78</v>
      </c>
      <c r="C495">
        <v>2026</v>
      </c>
      <c r="D495" t="s">
        <v>26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27</v>
      </c>
      <c r="N495">
        <v>7</v>
      </c>
      <c r="O495" t="s">
        <v>35</v>
      </c>
      <c r="P495">
        <v>42.1</v>
      </c>
      <c r="Q495">
        <v>2121</v>
      </c>
      <c r="R495">
        <v>4</v>
      </c>
      <c r="S495">
        <v>2</v>
      </c>
      <c r="T495" t="s">
        <v>41</v>
      </c>
      <c r="U495" t="s">
        <v>30</v>
      </c>
      <c r="V495">
        <v>191484</v>
      </c>
      <c r="W495">
        <v>4.17</v>
      </c>
      <c r="X495">
        <v>5</v>
      </c>
    </row>
    <row r="496" spans="1:24" x14ac:dyDescent="0.3">
      <c r="A496" t="s">
        <v>68</v>
      </c>
      <c r="B496" t="s">
        <v>79</v>
      </c>
      <c r="C496">
        <v>2024</v>
      </c>
      <c r="D496" t="s">
        <v>33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48</v>
      </c>
      <c r="N496">
        <v>7</v>
      </c>
      <c r="O496" t="s">
        <v>58</v>
      </c>
      <c r="P496">
        <v>27.7</v>
      </c>
      <c r="Q496">
        <v>1514</v>
      </c>
      <c r="R496">
        <v>4</v>
      </c>
      <c r="S496">
        <v>0</v>
      </c>
      <c r="T496" t="s">
        <v>45</v>
      </c>
      <c r="U496" t="s">
        <v>37</v>
      </c>
      <c r="V496">
        <v>71807</v>
      </c>
      <c r="W496">
        <v>3.28</v>
      </c>
      <c r="X496">
        <v>4</v>
      </c>
    </row>
    <row r="497" spans="1:24" x14ac:dyDescent="0.3">
      <c r="A497" t="s">
        <v>63</v>
      </c>
      <c r="B497" t="s">
        <v>88</v>
      </c>
      <c r="C497">
        <v>2025</v>
      </c>
      <c r="D497" t="s">
        <v>61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34</v>
      </c>
      <c r="N497">
        <v>5</v>
      </c>
      <c r="O497" t="s">
        <v>40</v>
      </c>
      <c r="P497">
        <v>61.8</v>
      </c>
      <c r="Q497">
        <v>1500</v>
      </c>
      <c r="R497">
        <v>4</v>
      </c>
      <c r="S497">
        <v>0</v>
      </c>
      <c r="T497" t="s">
        <v>65</v>
      </c>
      <c r="U497" t="s">
        <v>33</v>
      </c>
      <c r="V497">
        <v>120560</v>
      </c>
      <c r="W497">
        <v>3.71</v>
      </c>
      <c r="X497">
        <v>3</v>
      </c>
    </row>
    <row r="498" spans="1:24" x14ac:dyDescent="0.3">
      <c r="A498" t="s">
        <v>42</v>
      </c>
      <c r="B498" t="s">
        <v>71</v>
      </c>
      <c r="C498">
        <v>2025</v>
      </c>
      <c r="D498" t="s">
        <v>56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34</v>
      </c>
      <c r="N498">
        <v>5</v>
      </c>
      <c r="O498" t="s">
        <v>28</v>
      </c>
      <c r="P498">
        <v>68.8</v>
      </c>
      <c r="Q498">
        <v>2466</v>
      </c>
      <c r="R498">
        <v>4</v>
      </c>
      <c r="S498">
        <v>1</v>
      </c>
      <c r="T498" t="s">
        <v>45</v>
      </c>
      <c r="U498" t="s">
        <v>37</v>
      </c>
      <c r="V498">
        <v>111130</v>
      </c>
      <c r="W498">
        <v>3.52</v>
      </c>
      <c r="X498">
        <v>3</v>
      </c>
    </row>
    <row r="499" spans="1:24" x14ac:dyDescent="0.3">
      <c r="A499" t="s">
        <v>46</v>
      </c>
      <c r="B499" t="s">
        <v>57</v>
      </c>
      <c r="C499">
        <v>2023</v>
      </c>
      <c r="D499" t="s">
        <v>61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34</v>
      </c>
      <c r="N499">
        <v>7</v>
      </c>
      <c r="O499" t="s">
        <v>28</v>
      </c>
      <c r="P499">
        <v>70.900000000000006</v>
      </c>
      <c r="Q499">
        <v>2856</v>
      </c>
      <c r="R499">
        <v>5</v>
      </c>
      <c r="S499">
        <v>3</v>
      </c>
      <c r="T499" t="s">
        <v>41</v>
      </c>
      <c r="U499" t="s">
        <v>37</v>
      </c>
      <c r="V499">
        <v>124369</v>
      </c>
      <c r="W499">
        <v>3.76</v>
      </c>
      <c r="X499">
        <v>5</v>
      </c>
    </row>
    <row r="500" spans="1:24" x14ac:dyDescent="0.3">
      <c r="A500" t="s">
        <v>59</v>
      </c>
      <c r="B500" t="s">
        <v>111</v>
      </c>
      <c r="C500">
        <v>2024</v>
      </c>
      <c r="D500" t="s">
        <v>44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48</v>
      </c>
      <c r="N500">
        <v>5</v>
      </c>
      <c r="O500" t="s">
        <v>28</v>
      </c>
      <c r="P500">
        <v>57.1</v>
      </c>
      <c r="Q500">
        <v>2457</v>
      </c>
      <c r="R500">
        <v>5</v>
      </c>
      <c r="S500">
        <v>0</v>
      </c>
      <c r="T500" t="s">
        <v>41</v>
      </c>
      <c r="U500" t="s">
        <v>30</v>
      </c>
      <c r="V500">
        <v>17978</v>
      </c>
      <c r="W500">
        <v>3.23</v>
      </c>
      <c r="X500">
        <v>3</v>
      </c>
    </row>
    <row r="501" spans="1:24" x14ac:dyDescent="0.3">
      <c r="A501" t="s">
        <v>99</v>
      </c>
      <c r="B501" t="s">
        <v>113</v>
      </c>
      <c r="C501">
        <v>2024</v>
      </c>
      <c r="D501" t="s">
        <v>44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34</v>
      </c>
      <c r="N501">
        <v>7</v>
      </c>
      <c r="O501" t="s">
        <v>50</v>
      </c>
      <c r="P501">
        <v>23</v>
      </c>
      <c r="Q501">
        <v>1657</v>
      </c>
      <c r="R501">
        <v>5</v>
      </c>
      <c r="S501">
        <v>0</v>
      </c>
      <c r="T501" t="s">
        <v>29</v>
      </c>
      <c r="U501" t="s">
        <v>30</v>
      </c>
      <c r="V501">
        <v>28429</v>
      </c>
      <c r="W501">
        <v>3.99</v>
      </c>
      <c r="X501">
        <v>5</v>
      </c>
    </row>
    <row r="502" spans="1:24" x14ac:dyDescent="0.3">
      <c r="A502" t="s">
        <v>38</v>
      </c>
      <c r="B502" t="s">
        <v>118</v>
      </c>
      <c r="C502">
        <v>2024</v>
      </c>
      <c r="D502" t="s">
        <v>26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48</v>
      </c>
      <c r="N502">
        <v>7</v>
      </c>
      <c r="O502" t="s">
        <v>58</v>
      </c>
      <c r="P502">
        <v>38.9</v>
      </c>
      <c r="Q502">
        <v>1589</v>
      </c>
      <c r="R502">
        <v>5</v>
      </c>
      <c r="S502">
        <v>0</v>
      </c>
      <c r="T502" t="s">
        <v>41</v>
      </c>
      <c r="U502" t="s">
        <v>33</v>
      </c>
      <c r="V502">
        <v>24171</v>
      </c>
      <c r="W502">
        <v>3.38</v>
      </c>
      <c r="X502">
        <v>4</v>
      </c>
    </row>
    <row r="503" spans="1:24" x14ac:dyDescent="0.3">
      <c r="A503" t="s">
        <v>68</v>
      </c>
      <c r="B503" t="s">
        <v>106</v>
      </c>
      <c r="C503">
        <v>2024</v>
      </c>
      <c r="D503" t="s">
        <v>44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34</v>
      </c>
      <c r="N503">
        <v>5</v>
      </c>
      <c r="O503" t="s">
        <v>50</v>
      </c>
      <c r="P503">
        <v>39</v>
      </c>
      <c r="Q503">
        <v>1900</v>
      </c>
      <c r="R503">
        <v>5</v>
      </c>
      <c r="S503">
        <v>1</v>
      </c>
      <c r="T503" t="s">
        <v>45</v>
      </c>
      <c r="U503" t="s">
        <v>37</v>
      </c>
      <c r="V503">
        <v>70525</v>
      </c>
      <c r="W503">
        <v>3.62</v>
      </c>
      <c r="X503">
        <v>4</v>
      </c>
    </row>
    <row r="504" spans="1:24" x14ac:dyDescent="0.3">
      <c r="A504" t="s">
        <v>63</v>
      </c>
      <c r="B504" t="s">
        <v>107</v>
      </c>
      <c r="C504">
        <v>2025</v>
      </c>
      <c r="D504" t="s">
        <v>26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27</v>
      </c>
      <c r="N504">
        <v>7</v>
      </c>
      <c r="O504" t="s">
        <v>50</v>
      </c>
      <c r="P504">
        <v>25.6</v>
      </c>
      <c r="Q504">
        <v>1755</v>
      </c>
      <c r="R504">
        <v>4</v>
      </c>
      <c r="S504">
        <v>0</v>
      </c>
      <c r="T504" t="s">
        <v>65</v>
      </c>
      <c r="U504" t="s">
        <v>30</v>
      </c>
      <c r="V504">
        <v>150780</v>
      </c>
      <c r="W504">
        <v>3.44</v>
      </c>
      <c r="X504">
        <v>3</v>
      </c>
    </row>
    <row r="505" spans="1:24" x14ac:dyDescent="0.3">
      <c r="A505" t="s">
        <v>76</v>
      </c>
      <c r="B505" t="s">
        <v>91</v>
      </c>
      <c r="C505">
        <v>2021</v>
      </c>
      <c r="D505" t="s">
        <v>56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48</v>
      </c>
      <c r="N505">
        <v>4</v>
      </c>
      <c r="O505" t="s">
        <v>28</v>
      </c>
      <c r="P505">
        <v>72.900000000000006</v>
      </c>
      <c r="Q505">
        <v>2629</v>
      </c>
      <c r="R505">
        <v>4</v>
      </c>
      <c r="S505">
        <v>1</v>
      </c>
      <c r="T505" t="s">
        <v>41</v>
      </c>
      <c r="U505" t="s">
        <v>37</v>
      </c>
      <c r="V505">
        <v>76517</v>
      </c>
      <c r="W505">
        <v>3.4</v>
      </c>
      <c r="X505">
        <v>4</v>
      </c>
    </row>
    <row r="506" spans="1:24" x14ac:dyDescent="0.3">
      <c r="A506" t="s">
        <v>83</v>
      </c>
      <c r="B506" t="s">
        <v>114</v>
      </c>
      <c r="C506">
        <v>2023</v>
      </c>
      <c r="D506" t="s">
        <v>33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48</v>
      </c>
      <c r="N506">
        <v>5</v>
      </c>
      <c r="O506" t="s">
        <v>35</v>
      </c>
      <c r="P506">
        <v>37.6</v>
      </c>
      <c r="Q506">
        <v>1843</v>
      </c>
      <c r="R506">
        <v>5</v>
      </c>
      <c r="S506">
        <v>1</v>
      </c>
      <c r="T506" t="s">
        <v>29</v>
      </c>
      <c r="U506" t="s">
        <v>30</v>
      </c>
      <c r="V506">
        <v>51811</v>
      </c>
      <c r="W506">
        <v>3.11</v>
      </c>
      <c r="X506">
        <v>8</v>
      </c>
    </row>
    <row r="507" spans="1:24" x14ac:dyDescent="0.3">
      <c r="A507" t="s">
        <v>46</v>
      </c>
      <c r="B507" t="s">
        <v>47</v>
      </c>
      <c r="C507">
        <v>2025</v>
      </c>
      <c r="D507" t="s">
        <v>56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27</v>
      </c>
      <c r="N507">
        <v>5</v>
      </c>
      <c r="O507" t="s">
        <v>58</v>
      </c>
      <c r="P507">
        <v>37.299999999999997</v>
      </c>
      <c r="Q507">
        <v>1528</v>
      </c>
      <c r="R507">
        <v>3</v>
      </c>
      <c r="S507">
        <v>2</v>
      </c>
      <c r="T507" t="s">
        <v>41</v>
      </c>
      <c r="U507" t="s">
        <v>33</v>
      </c>
      <c r="V507">
        <v>163915</v>
      </c>
      <c r="W507">
        <v>3.66</v>
      </c>
      <c r="X507">
        <v>5</v>
      </c>
    </row>
    <row r="508" spans="1:24" x14ac:dyDescent="0.3">
      <c r="A508" t="s">
        <v>86</v>
      </c>
      <c r="B508" t="s">
        <v>117</v>
      </c>
      <c r="C508">
        <v>2025</v>
      </c>
      <c r="D508" t="s">
        <v>56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27</v>
      </c>
      <c r="N508">
        <v>5</v>
      </c>
      <c r="O508" t="s">
        <v>40</v>
      </c>
      <c r="P508">
        <v>68.900000000000006</v>
      </c>
      <c r="Q508">
        <v>1714</v>
      </c>
      <c r="R508">
        <v>4</v>
      </c>
      <c r="S508">
        <v>1</v>
      </c>
      <c r="T508" t="s">
        <v>29</v>
      </c>
      <c r="U508" t="s">
        <v>33</v>
      </c>
      <c r="V508">
        <v>66705</v>
      </c>
      <c r="W508">
        <v>3.5</v>
      </c>
      <c r="X508">
        <v>7</v>
      </c>
    </row>
    <row r="509" spans="1:24" x14ac:dyDescent="0.3">
      <c r="A509" t="s">
        <v>52</v>
      </c>
      <c r="B509" t="s">
        <v>97</v>
      </c>
      <c r="C509">
        <v>2026</v>
      </c>
      <c r="D509" t="s">
        <v>56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34</v>
      </c>
      <c r="N509">
        <v>7</v>
      </c>
      <c r="O509" t="s">
        <v>51</v>
      </c>
      <c r="P509">
        <v>15.9</v>
      </c>
      <c r="Q509">
        <v>1767</v>
      </c>
      <c r="R509">
        <v>5</v>
      </c>
      <c r="S509">
        <v>1</v>
      </c>
      <c r="T509" t="s">
        <v>29</v>
      </c>
      <c r="U509" t="s">
        <v>30</v>
      </c>
      <c r="V509">
        <v>34790</v>
      </c>
      <c r="W509">
        <v>3.64</v>
      </c>
      <c r="X509">
        <v>7</v>
      </c>
    </row>
    <row r="510" spans="1:24" x14ac:dyDescent="0.3">
      <c r="A510" t="s">
        <v>31</v>
      </c>
      <c r="B510" t="s">
        <v>112</v>
      </c>
      <c r="C510">
        <v>2025</v>
      </c>
      <c r="D510" t="s">
        <v>44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27</v>
      </c>
      <c r="N510">
        <v>5</v>
      </c>
      <c r="O510" t="s">
        <v>58</v>
      </c>
      <c r="P510">
        <v>23.1</v>
      </c>
      <c r="Q510">
        <v>1731</v>
      </c>
      <c r="R510">
        <v>4</v>
      </c>
      <c r="S510">
        <v>1</v>
      </c>
      <c r="T510" t="s">
        <v>36</v>
      </c>
      <c r="U510" t="s">
        <v>33</v>
      </c>
      <c r="V510">
        <v>13954</v>
      </c>
      <c r="W510">
        <v>3.57</v>
      </c>
      <c r="X510">
        <v>4</v>
      </c>
    </row>
    <row r="511" spans="1:24" x14ac:dyDescent="0.3">
      <c r="A511" t="s">
        <v>38</v>
      </c>
      <c r="B511" t="s">
        <v>102</v>
      </c>
      <c r="C511">
        <v>2025</v>
      </c>
      <c r="D511" t="s">
        <v>33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27</v>
      </c>
      <c r="N511">
        <v>5</v>
      </c>
      <c r="O511" t="s">
        <v>35</v>
      </c>
      <c r="P511">
        <v>48</v>
      </c>
      <c r="Q511">
        <v>1847</v>
      </c>
      <c r="R511">
        <v>4</v>
      </c>
      <c r="S511">
        <v>1</v>
      </c>
      <c r="T511" t="s">
        <v>41</v>
      </c>
      <c r="U511" t="s">
        <v>33</v>
      </c>
      <c r="V511">
        <v>12825</v>
      </c>
      <c r="W511">
        <v>3.46</v>
      </c>
      <c r="X511">
        <v>3</v>
      </c>
    </row>
    <row r="512" spans="1:24" x14ac:dyDescent="0.3">
      <c r="A512" t="s">
        <v>42</v>
      </c>
      <c r="B512" t="s">
        <v>71</v>
      </c>
      <c r="C512">
        <v>2023</v>
      </c>
      <c r="D512" t="s">
        <v>56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27</v>
      </c>
      <c r="N512">
        <v>5</v>
      </c>
      <c r="O512" t="s">
        <v>50</v>
      </c>
      <c r="P512">
        <v>21.8</v>
      </c>
      <c r="Q512">
        <v>1500</v>
      </c>
      <c r="R512">
        <v>4</v>
      </c>
      <c r="S512">
        <v>0</v>
      </c>
      <c r="T512" t="s">
        <v>45</v>
      </c>
      <c r="U512" t="s">
        <v>37</v>
      </c>
      <c r="V512">
        <v>135630</v>
      </c>
      <c r="W512">
        <v>3.6</v>
      </c>
      <c r="X512">
        <v>5</v>
      </c>
    </row>
    <row r="513" spans="1:24" x14ac:dyDescent="0.3">
      <c r="A513" t="s">
        <v>24</v>
      </c>
      <c r="B513" t="s">
        <v>75</v>
      </c>
      <c r="C513">
        <v>2020</v>
      </c>
      <c r="D513" t="s">
        <v>44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27</v>
      </c>
      <c r="N513">
        <v>7</v>
      </c>
      <c r="O513" t="s">
        <v>51</v>
      </c>
      <c r="P513">
        <v>16.399999999999999</v>
      </c>
      <c r="Q513">
        <v>1532</v>
      </c>
      <c r="R513">
        <v>4</v>
      </c>
      <c r="S513">
        <v>0</v>
      </c>
      <c r="T513" t="s">
        <v>29</v>
      </c>
      <c r="U513" t="s">
        <v>37</v>
      </c>
      <c r="V513">
        <v>220087</v>
      </c>
      <c r="W513">
        <v>3.39</v>
      </c>
      <c r="X513">
        <v>4</v>
      </c>
    </row>
    <row r="514" spans="1:24" x14ac:dyDescent="0.3">
      <c r="A514" t="s">
        <v>94</v>
      </c>
      <c r="B514" t="s">
        <v>95</v>
      </c>
      <c r="C514">
        <v>2025</v>
      </c>
      <c r="D514" t="s">
        <v>56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34</v>
      </c>
      <c r="N514">
        <v>5</v>
      </c>
      <c r="O514" t="s">
        <v>28</v>
      </c>
      <c r="P514">
        <v>78</v>
      </c>
      <c r="Q514">
        <v>2589</v>
      </c>
      <c r="R514">
        <v>5</v>
      </c>
      <c r="S514">
        <v>1</v>
      </c>
      <c r="T514" t="s">
        <v>41</v>
      </c>
      <c r="U514" t="s">
        <v>33</v>
      </c>
      <c r="V514">
        <v>11173</v>
      </c>
      <c r="W514">
        <v>3.44</v>
      </c>
      <c r="X514">
        <v>4</v>
      </c>
    </row>
    <row r="515" spans="1:24" x14ac:dyDescent="0.3">
      <c r="A515" t="s">
        <v>52</v>
      </c>
      <c r="B515" t="s">
        <v>53</v>
      </c>
      <c r="C515">
        <v>2024</v>
      </c>
      <c r="D515" t="s">
        <v>26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27</v>
      </c>
      <c r="N515">
        <v>5</v>
      </c>
      <c r="O515" t="s">
        <v>40</v>
      </c>
      <c r="P515">
        <v>70.2</v>
      </c>
      <c r="Q515">
        <v>1541</v>
      </c>
      <c r="R515">
        <v>5</v>
      </c>
      <c r="S515">
        <v>2</v>
      </c>
      <c r="T515" t="s">
        <v>29</v>
      </c>
      <c r="U515" t="s">
        <v>30</v>
      </c>
      <c r="V515">
        <v>68987</v>
      </c>
      <c r="W515">
        <v>3.92</v>
      </c>
      <c r="X515">
        <v>6</v>
      </c>
    </row>
    <row r="516" spans="1:24" x14ac:dyDescent="0.3">
      <c r="A516" t="s">
        <v>46</v>
      </c>
      <c r="B516" t="s">
        <v>47</v>
      </c>
      <c r="C516">
        <v>2024</v>
      </c>
      <c r="D516" t="s">
        <v>61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27</v>
      </c>
      <c r="N516">
        <v>5</v>
      </c>
      <c r="O516" t="s">
        <v>51</v>
      </c>
      <c r="P516">
        <v>28.4</v>
      </c>
      <c r="Q516">
        <v>1813</v>
      </c>
      <c r="R516">
        <v>5</v>
      </c>
      <c r="S516">
        <v>3</v>
      </c>
      <c r="T516" t="s">
        <v>41</v>
      </c>
      <c r="U516" t="s">
        <v>37</v>
      </c>
      <c r="V516">
        <v>208877</v>
      </c>
      <c r="W516">
        <v>3.91</v>
      </c>
      <c r="X516">
        <v>5</v>
      </c>
    </row>
    <row r="517" spans="1:24" x14ac:dyDescent="0.3">
      <c r="A517" t="s">
        <v>46</v>
      </c>
      <c r="B517" t="s">
        <v>72</v>
      </c>
      <c r="C517">
        <v>2025</v>
      </c>
      <c r="D517" t="s">
        <v>33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27</v>
      </c>
      <c r="N517">
        <v>5</v>
      </c>
      <c r="O517" t="s">
        <v>28</v>
      </c>
      <c r="P517">
        <v>79.599999999999994</v>
      </c>
      <c r="Q517">
        <v>2145</v>
      </c>
      <c r="R517">
        <v>4</v>
      </c>
      <c r="S517">
        <v>2</v>
      </c>
      <c r="T517" t="s">
        <v>41</v>
      </c>
      <c r="U517" t="s">
        <v>30</v>
      </c>
      <c r="V517">
        <v>223231</v>
      </c>
      <c r="W517">
        <v>3.65</v>
      </c>
      <c r="X517">
        <v>4</v>
      </c>
    </row>
    <row r="518" spans="1:24" x14ac:dyDescent="0.3">
      <c r="A518" t="s">
        <v>24</v>
      </c>
      <c r="B518" t="s">
        <v>25</v>
      </c>
      <c r="C518">
        <v>2026</v>
      </c>
      <c r="D518" t="s">
        <v>56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34</v>
      </c>
      <c r="N518">
        <v>7</v>
      </c>
      <c r="O518" t="s">
        <v>40</v>
      </c>
      <c r="P518">
        <v>77.099999999999994</v>
      </c>
      <c r="Q518">
        <v>1500</v>
      </c>
      <c r="R518">
        <v>4</v>
      </c>
      <c r="S518">
        <v>2</v>
      </c>
      <c r="T518" t="s">
        <v>29</v>
      </c>
      <c r="U518" t="s">
        <v>37</v>
      </c>
      <c r="V518">
        <v>203221</v>
      </c>
      <c r="W518">
        <v>3.33</v>
      </c>
      <c r="X518">
        <v>4</v>
      </c>
    </row>
    <row r="519" spans="1:24" x14ac:dyDescent="0.3">
      <c r="A519" t="s">
        <v>76</v>
      </c>
      <c r="B519" t="s">
        <v>98</v>
      </c>
      <c r="C519">
        <v>2023</v>
      </c>
      <c r="D519" t="s">
        <v>61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34</v>
      </c>
      <c r="N519">
        <v>5</v>
      </c>
      <c r="O519" t="s">
        <v>35</v>
      </c>
      <c r="P519">
        <v>44.5</v>
      </c>
      <c r="Q519">
        <v>1984</v>
      </c>
      <c r="R519">
        <v>5</v>
      </c>
      <c r="S519">
        <v>0</v>
      </c>
      <c r="T519" t="s">
        <v>41</v>
      </c>
      <c r="U519" t="s">
        <v>33</v>
      </c>
      <c r="V519">
        <v>60519</v>
      </c>
      <c r="W519">
        <v>3.36</v>
      </c>
      <c r="X519">
        <v>5</v>
      </c>
    </row>
    <row r="520" spans="1:24" x14ac:dyDescent="0.3">
      <c r="A520" t="s">
        <v>99</v>
      </c>
      <c r="B520" t="s">
        <v>113</v>
      </c>
      <c r="C520">
        <v>2023</v>
      </c>
      <c r="D520" t="s">
        <v>26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27</v>
      </c>
      <c r="N520">
        <v>5</v>
      </c>
      <c r="O520" t="s">
        <v>58</v>
      </c>
      <c r="P520">
        <v>21.8</v>
      </c>
      <c r="Q520">
        <v>1500</v>
      </c>
      <c r="R520">
        <v>5</v>
      </c>
      <c r="S520">
        <v>0</v>
      </c>
      <c r="T520" t="s">
        <v>29</v>
      </c>
      <c r="U520" t="s">
        <v>30</v>
      </c>
      <c r="V520">
        <v>26159</v>
      </c>
      <c r="W520">
        <v>4.2</v>
      </c>
      <c r="X520">
        <v>8</v>
      </c>
    </row>
    <row r="521" spans="1:24" x14ac:dyDescent="0.3">
      <c r="A521" t="s">
        <v>46</v>
      </c>
      <c r="B521" t="s">
        <v>78</v>
      </c>
      <c r="C521">
        <v>2021</v>
      </c>
      <c r="D521" t="s">
        <v>61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27</v>
      </c>
      <c r="N521">
        <v>7</v>
      </c>
      <c r="O521" t="s">
        <v>50</v>
      </c>
      <c r="P521">
        <v>39.700000000000003</v>
      </c>
      <c r="Q521">
        <v>1891</v>
      </c>
      <c r="R521">
        <v>5</v>
      </c>
      <c r="S521">
        <v>2</v>
      </c>
      <c r="T521" t="s">
        <v>41</v>
      </c>
      <c r="U521" t="s">
        <v>66</v>
      </c>
      <c r="V521">
        <v>162791</v>
      </c>
      <c r="W521">
        <v>3.38</v>
      </c>
      <c r="X521">
        <v>6</v>
      </c>
    </row>
    <row r="522" spans="1:24" x14ac:dyDescent="0.3">
      <c r="A522" t="s">
        <v>42</v>
      </c>
      <c r="B522" t="s">
        <v>54</v>
      </c>
      <c r="C522">
        <v>2024</v>
      </c>
      <c r="D522" t="s">
        <v>26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48</v>
      </c>
      <c r="N522">
        <v>5</v>
      </c>
      <c r="O522" t="s">
        <v>28</v>
      </c>
      <c r="P522">
        <v>72.400000000000006</v>
      </c>
      <c r="Q522">
        <v>2631</v>
      </c>
      <c r="R522">
        <v>5</v>
      </c>
      <c r="S522">
        <v>1</v>
      </c>
      <c r="T522" t="s">
        <v>45</v>
      </c>
      <c r="U522" t="s">
        <v>37</v>
      </c>
      <c r="V522">
        <v>56242</v>
      </c>
      <c r="W522">
        <v>3.84</v>
      </c>
      <c r="X522">
        <v>4</v>
      </c>
    </row>
    <row r="523" spans="1:24" x14ac:dyDescent="0.3">
      <c r="A523" t="s">
        <v>24</v>
      </c>
      <c r="B523" t="s">
        <v>70</v>
      </c>
      <c r="C523">
        <v>2024</v>
      </c>
      <c r="D523" t="s">
        <v>61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48</v>
      </c>
      <c r="N523">
        <v>7</v>
      </c>
      <c r="O523" t="s">
        <v>50</v>
      </c>
      <c r="P523">
        <v>18.5</v>
      </c>
      <c r="Q523">
        <v>1771</v>
      </c>
      <c r="R523">
        <v>4</v>
      </c>
      <c r="S523">
        <v>0</v>
      </c>
      <c r="T523" t="s">
        <v>29</v>
      </c>
      <c r="U523" t="s">
        <v>37</v>
      </c>
      <c r="V523">
        <v>209890</v>
      </c>
      <c r="W523">
        <v>3.52</v>
      </c>
      <c r="X523">
        <v>4</v>
      </c>
    </row>
    <row r="524" spans="1:24" x14ac:dyDescent="0.3">
      <c r="A524" t="s">
        <v>59</v>
      </c>
      <c r="B524" t="s">
        <v>111</v>
      </c>
      <c r="C524">
        <v>2024</v>
      </c>
      <c r="D524" t="s">
        <v>33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27</v>
      </c>
      <c r="N524">
        <v>7</v>
      </c>
      <c r="O524" t="s">
        <v>40</v>
      </c>
      <c r="P524">
        <v>69.2</v>
      </c>
      <c r="Q524">
        <v>1768</v>
      </c>
      <c r="R524">
        <v>3</v>
      </c>
      <c r="S524">
        <v>0</v>
      </c>
      <c r="T524" t="s">
        <v>41</v>
      </c>
      <c r="U524" t="s">
        <v>30</v>
      </c>
      <c r="V524">
        <v>26859</v>
      </c>
      <c r="W524">
        <v>3.7</v>
      </c>
      <c r="X524">
        <v>5</v>
      </c>
    </row>
    <row r="525" spans="1:24" x14ac:dyDescent="0.3">
      <c r="A525" t="s">
        <v>52</v>
      </c>
      <c r="B525" t="s">
        <v>62</v>
      </c>
      <c r="C525">
        <v>2026</v>
      </c>
      <c r="D525" t="s">
        <v>33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48</v>
      </c>
      <c r="N525">
        <v>7</v>
      </c>
      <c r="O525" t="s">
        <v>58</v>
      </c>
      <c r="P525">
        <v>15.5</v>
      </c>
      <c r="Q525">
        <v>1500</v>
      </c>
      <c r="R525">
        <v>4</v>
      </c>
      <c r="S525">
        <v>1</v>
      </c>
      <c r="T525" t="s">
        <v>29</v>
      </c>
      <c r="U525" t="s">
        <v>30</v>
      </c>
      <c r="V525">
        <v>42340</v>
      </c>
      <c r="W525">
        <v>3.43</v>
      </c>
      <c r="X525">
        <v>6</v>
      </c>
    </row>
    <row r="526" spans="1:24" x14ac:dyDescent="0.3">
      <c r="A526" t="s">
        <v>52</v>
      </c>
      <c r="B526" t="s">
        <v>62</v>
      </c>
      <c r="C526">
        <v>2025</v>
      </c>
      <c r="D526" t="s">
        <v>61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48</v>
      </c>
      <c r="N526">
        <v>7</v>
      </c>
      <c r="O526" t="s">
        <v>51</v>
      </c>
      <c r="P526">
        <v>38.5</v>
      </c>
      <c r="Q526">
        <v>1656</v>
      </c>
      <c r="R526">
        <v>5</v>
      </c>
      <c r="S526">
        <v>1</v>
      </c>
      <c r="T526" t="s">
        <v>29</v>
      </c>
      <c r="U526" t="s">
        <v>30</v>
      </c>
      <c r="V526">
        <v>49644</v>
      </c>
      <c r="W526">
        <v>3.35</v>
      </c>
      <c r="X526">
        <v>6</v>
      </c>
    </row>
    <row r="527" spans="1:24" x14ac:dyDescent="0.3">
      <c r="A527" t="s">
        <v>68</v>
      </c>
      <c r="B527" t="s">
        <v>109</v>
      </c>
      <c r="C527">
        <v>2025</v>
      </c>
      <c r="D527" t="s">
        <v>61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27</v>
      </c>
      <c r="N527">
        <v>5</v>
      </c>
      <c r="O527" t="s">
        <v>50</v>
      </c>
      <c r="P527">
        <v>24.1</v>
      </c>
      <c r="Q527">
        <v>1500</v>
      </c>
      <c r="R527">
        <v>4</v>
      </c>
      <c r="S527">
        <v>1</v>
      </c>
      <c r="T527" t="s">
        <v>45</v>
      </c>
      <c r="U527" t="s">
        <v>37</v>
      </c>
      <c r="V527">
        <v>138281</v>
      </c>
      <c r="W527">
        <v>3.21</v>
      </c>
      <c r="X527">
        <v>3</v>
      </c>
    </row>
    <row r="528" spans="1:24" x14ac:dyDescent="0.3">
      <c r="A528" t="s">
        <v>24</v>
      </c>
      <c r="B528" t="s">
        <v>70</v>
      </c>
      <c r="C528">
        <v>2026</v>
      </c>
      <c r="D528" t="s">
        <v>61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34</v>
      </c>
      <c r="N528">
        <v>7</v>
      </c>
      <c r="O528" t="s">
        <v>51</v>
      </c>
      <c r="P528">
        <v>34.299999999999997</v>
      </c>
      <c r="Q528">
        <v>1547</v>
      </c>
      <c r="R528">
        <v>5</v>
      </c>
      <c r="S528">
        <v>1</v>
      </c>
      <c r="T528" t="s">
        <v>29</v>
      </c>
      <c r="U528" t="s">
        <v>37</v>
      </c>
      <c r="V528">
        <v>220387</v>
      </c>
      <c r="W528">
        <v>3.14</v>
      </c>
      <c r="X528">
        <v>5</v>
      </c>
    </row>
    <row r="529" spans="1:24" x14ac:dyDescent="0.3">
      <c r="A529" t="s">
        <v>63</v>
      </c>
      <c r="B529" t="s">
        <v>73</v>
      </c>
      <c r="C529">
        <v>2024</v>
      </c>
      <c r="D529" t="s">
        <v>56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27</v>
      </c>
      <c r="N529">
        <v>7</v>
      </c>
      <c r="O529" t="s">
        <v>51</v>
      </c>
      <c r="P529">
        <v>35.4</v>
      </c>
      <c r="Q529">
        <v>1810</v>
      </c>
      <c r="R529">
        <v>5</v>
      </c>
      <c r="S529">
        <v>0</v>
      </c>
      <c r="T529" t="s">
        <v>65</v>
      </c>
      <c r="U529" t="s">
        <v>37</v>
      </c>
      <c r="V529">
        <v>138054</v>
      </c>
      <c r="W529">
        <v>3.39</v>
      </c>
      <c r="X529">
        <v>4</v>
      </c>
    </row>
    <row r="530" spans="1:24" x14ac:dyDescent="0.3">
      <c r="A530" t="s">
        <v>46</v>
      </c>
      <c r="B530" t="s">
        <v>72</v>
      </c>
      <c r="C530">
        <v>2024</v>
      </c>
      <c r="D530" t="s">
        <v>44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48</v>
      </c>
      <c r="N530">
        <v>5</v>
      </c>
      <c r="O530" t="s">
        <v>28</v>
      </c>
      <c r="P530">
        <v>63.3</v>
      </c>
      <c r="Q530">
        <v>2562</v>
      </c>
      <c r="R530">
        <v>4</v>
      </c>
      <c r="S530">
        <v>2</v>
      </c>
      <c r="T530" t="s">
        <v>41</v>
      </c>
      <c r="U530" t="s">
        <v>37</v>
      </c>
      <c r="V530">
        <v>170687</v>
      </c>
      <c r="W530">
        <v>3.94</v>
      </c>
      <c r="X530">
        <v>4</v>
      </c>
    </row>
    <row r="531" spans="1:24" x14ac:dyDescent="0.3">
      <c r="A531" t="s">
        <v>52</v>
      </c>
      <c r="B531" t="s">
        <v>126</v>
      </c>
      <c r="C531">
        <v>2025</v>
      </c>
      <c r="D531" t="s">
        <v>61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27</v>
      </c>
      <c r="N531">
        <v>5</v>
      </c>
      <c r="O531" t="s">
        <v>40</v>
      </c>
      <c r="P531">
        <v>63.3</v>
      </c>
      <c r="Q531">
        <v>1542</v>
      </c>
      <c r="R531">
        <v>5</v>
      </c>
      <c r="S531">
        <v>1</v>
      </c>
      <c r="T531" t="s">
        <v>29</v>
      </c>
      <c r="U531" t="s">
        <v>30</v>
      </c>
      <c r="V531">
        <v>75663</v>
      </c>
      <c r="W531">
        <v>3.56</v>
      </c>
      <c r="X531">
        <v>5</v>
      </c>
    </row>
    <row r="532" spans="1:24" x14ac:dyDescent="0.3">
      <c r="A532" t="s">
        <v>76</v>
      </c>
      <c r="B532" t="s">
        <v>77</v>
      </c>
      <c r="C532">
        <v>2026</v>
      </c>
      <c r="D532" t="s">
        <v>44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48</v>
      </c>
      <c r="N532">
        <v>7</v>
      </c>
      <c r="O532" t="s">
        <v>40</v>
      </c>
      <c r="P532">
        <v>70.2</v>
      </c>
      <c r="Q532">
        <v>1783</v>
      </c>
      <c r="R532">
        <v>4</v>
      </c>
      <c r="S532">
        <v>2</v>
      </c>
      <c r="T532" t="s">
        <v>41</v>
      </c>
      <c r="U532" t="s">
        <v>37</v>
      </c>
      <c r="V532">
        <v>23578</v>
      </c>
      <c r="W532">
        <v>3.93</v>
      </c>
      <c r="X532">
        <v>4</v>
      </c>
    </row>
    <row r="533" spans="1:24" x14ac:dyDescent="0.3">
      <c r="A533" t="s">
        <v>129</v>
      </c>
      <c r="B533" t="s">
        <v>130</v>
      </c>
      <c r="C533">
        <v>2026</v>
      </c>
      <c r="D533" t="s">
        <v>26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48</v>
      </c>
      <c r="N533">
        <v>5</v>
      </c>
      <c r="O533" t="s">
        <v>58</v>
      </c>
      <c r="P533">
        <v>36.5</v>
      </c>
      <c r="Q533">
        <v>1557</v>
      </c>
      <c r="R533">
        <v>5</v>
      </c>
      <c r="S533">
        <v>1</v>
      </c>
      <c r="T533" t="s">
        <v>36</v>
      </c>
      <c r="U533" t="s">
        <v>37</v>
      </c>
      <c r="V533">
        <v>6885</v>
      </c>
      <c r="W533">
        <v>3.78</v>
      </c>
      <c r="X533">
        <v>5</v>
      </c>
    </row>
    <row r="534" spans="1:24" x14ac:dyDescent="0.3">
      <c r="A534" t="s">
        <v>131</v>
      </c>
      <c r="B534" t="s">
        <v>132</v>
      </c>
      <c r="C534">
        <v>2024</v>
      </c>
      <c r="D534" t="s">
        <v>26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27</v>
      </c>
      <c r="N534">
        <v>5</v>
      </c>
      <c r="O534" t="s">
        <v>50</v>
      </c>
      <c r="P534">
        <v>38.5</v>
      </c>
      <c r="Q534">
        <v>1831</v>
      </c>
      <c r="R534">
        <v>5</v>
      </c>
      <c r="S534">
        <v>0</v>
      </c>
      <c r="T534" t="s">
        <v>65</v>
      </c>
      <c r="U534" t="s">
        <v>30</v>
      </c>
      <c r="V534">
        <v>19780</v>
      </c>
      <c r="W534">
        <v>3.36</v>
      </c>
      <c r="X534">
        <v>4</v>
      </c>
    </row>
    <row r="535" spans="1:24" x14ac:dyDescent="0.3">
      <c r="A535" t="s">
        <v>42</v>
      </c>
      <c r="B535" t="s">
        <v>43</v>
      </c>
      <c r="C535">
        <v>2024</v>
      </c>
      <c r="D535" t="s">
        <v>44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34</v>
      </c>
      <c r="N535">
        <v>7</v>
      </c>
      <c r="O535" t="s">
        <v>35</v>
      </c>
      <c r="P535">
        <v>40.6</v>
      </c>
      <c r="Q535">
        <v>2057</v>
      </c>
      <c r="R535">
        <v>5</v>
      </c>
      <c r="S535">
        <v>0</v>
      </c>
      <c r="T535" t="s">
        <v>45</v>
      </c>
      <c r="U535" t="s">
        <v>33</v>
      </c>
      <c r="V535">
        <v>55742</v>
      </c>
      <c r="W535">
        <v>3.56</v>
      </c>
      <c r="X535">
        <v>4</v>
      </c>
    </row>
    <row r="536" spans="1:24" x14ac:dyDescent="0.3">
      <c r="A536" t="s">
        <v>76</v>
      </c>
      <c r="B536" t="s">
        <v>77</v>
      </c>
      <c r="C536">
        <v>2023</v>
      </c>
      <c r="D536" t="s">
        <v>56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27</v>
      </c>
      <c r="N536">
        <v>7</v>
      </c>
      <c r="O536" t="s">
        <v>35</v>
      </c>
      <c r="P536">
        <v>39.700000000000003</v>
      </c>
      <c r="Q536">
        <v>2302</v>
      </c>
      <c r="R536">
        <v>4</v>
      </c>
      <c r="S536">
        <v>0</v>
      </c>
      <c r="T536" t="s">
        <v>41</v>
      </c>
      <c r="U536" t="s">
        <v>33</v>
      </c>
      <c r="V536">
        <v>21067</v>
      </c>
      <c r="W536">
        <v>3.27</v>
      </c>
      <c r="X536">
        <v>3</v>
      </c>
    </row>
    <row r="537" spans="1:24" x14ac:dyDescent="0.3">
      <c r="A537" t="s">
        <v>31</v>
      </c>
      <c r="B537" t="s">
        <v>112</v>
      </c>
      <c r="C537">
        <v>2023</v>
      </c>
      <c r="D537" t="s">
        <v>61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27</v>
      </c>
      <c r="N537">
        <v>7</v>
      </c>
      <c r="O537" t="s">
        <v>50</v>
      </c>
      <c r="P537">
        <v>36.200000000000003</v>
      </c>
      <c r="Q537">
        <v>1552</v>
      </c>
      <c r="R537">
        <v>5</v>
      </c>
      <c r="S537">
        <v>1</v>
      </c>
      <c r="T537" t="s">
        <v>36</v>
      </c>
      <c r="U537" t="s">
        <v>33</v>
      </c>
      <c r="V537">
        <v>15625</v>
      </c>
      <c r="W537">
        <v>3.58</v>
      </c>
      <c r="X537">
        <v>4</v>
      </c>
    </row>
    <row r="538" spans="1:24" x14ac:dyDescent="0.3">
      <c r="A538" t="s">
        <v>52</v>
      </c>
      <c r="B538" t="s">
        <v>97</v>
      </c>
      <c r="C538">
        <v>2024</v>
      </c>
      <c r="D538" t="s">
        <v>26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48</v>
      </c>
      <c r="N538">
        <v>5</v>
      </c>
      <c r="O538" t="s">
        <v>51</v>
      </c>
      <c r="P538">
        <v>24.5</v>
      </c>
      <c r="Q538">
        <v>1729</v>
      </c>
      <c r="R538">
        <v>4</v>
      </c>
      <c r="S538">
        <v>1</v>
      </c>
      <c r="T538" t="s">
        <v>29</v>
      </c>
      <c r="U538" t="s">
        <v>30</v>
      </c>
      <c r="V538">
        <v>20936</v>
      </c>
      <c r="W538">
        <v>4.04</v>
      </c>
      <c r="X538">
        <v>6</v>
      </c>
    </row>
    <row r="539" spans="1:24" x14ac:dyDescent="0.3">
      <c r="A539" t="s">
        <v>63</v>
      </c>
      <c r="B539" t="s">
        <v>107</v>
      </c>
      <c r="C539">
        <v>2025</v>
      </c>
      <c r="D539" t="s">
        <v>61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34</v>
      </c>
      <c r="N539">
        <v>5</v>
      </c>
      <c r="O539" t="s">
        <v>28</v>
      </c>
      <c r="P539">
        <v>59.5</v>
      </c>
      <c r="Q539">
        <v>2509</v>
      </c>
      <c r="R539">
        <v>5</v>
      </c>
      <c r="S539">
        <v>0</v>
      </c>
      <c r="T539" t="s">
        <v>65</v>
      </c>
      <c r="U539" t="s">
        <v>37</v>
      </c>
      <c r="V539">
        <v>185983</v>
      </c>
      <c r="W539">
        <v>3.42</v>
      </c>
      <c r="X539">
        <v>5</v>
      </c>
    </row>
    <row r="540" spans="1:24" x14ac:dyDescent="0.3">
      <c r="A540" t="s">
        <v>24</v>
      </c>
      <c r="B540" t="s">
        <v>74</v>
      </c>
      <c r="C540">
        <v>2025</v>
      </c>
      <c r="D540" t="s">
        <v>56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27</v>
      </c>
      <c r="N540">
        <v>7</v>
      </c>
      <c r="O540" t="s">
        <v>51</v>
      </c>
      <c r="P540">
        <v>36.6</v>
      </c>
      <c r="Q540">
        <v>1883</v>
      </c>
      <c r="R540">
        <v>5</v>
      </c>
      <c r="S540">
        <v>0</v>
      </c>
      <c r="T540" t="s">
        <v>29</v>
      </c>
      <c r="U540" t="s">
        <v>66</v>
      </c>
      <c r="V540">
        <v>289031</v>
      </c>
      <c r="W540">
        <v>3.27</v>
      </c>
      <c r="X540">
        <v>5</v>
      </c>
    </row>
    <row r="541" spans="1:24" x14ac:dyDescent="0.3">
      <c r="A541" t="s">
        <v>46</v>
      </c>
      <c r="B541" t="s">
        <v>57</v>
      </c>
      <c r="C541">
        <v>2023</v>
      </c>
      <c r="D541" t="s">
        <v>26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34</v>
      </c>
      <c r="N541">
        <v>5</v>
      </c>
      <c r="O541" t="s">
        <v>51</v>
      </c>
      <c r="P541">
        <v>35.200000000000003</v>
      </c>
      <c r="Q541">
        <v>1518</v>
      </c>
      <c r="R541">
        <v>4</v>
      </c>
      <c r="S541">
        <v>2</v>
      </c>
      <c r="T541" t="s">
        <v>41</v>
      </c>
      <c r="U541" t="s">
        <v>33</v>
      </c>
      <c r="V541">
        <v>243479</v>
      </c>
      <c r="W541">
        <v>3.78</v>
      </c>
      <c r="X541">
        <v>5</v>
      </c>
    </row>
    <row r="542" spans="1:24" x14ac:dyDescent="0.3">
      <c r="A542" t="s">
        <v>31</v>
      </c>
      <c r="B542" t="s">
        <v>32</v>
      </c>
      <c r="C542">
        <v>2022</v>
      </c>
      <c r="D542" t="s">
        <v>26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48</v>
      </c>
      <c r="N542">
        <v>5</v>
      </c>
      <c r="O542" t="s">
        <v>35</v>
      </c>
      <c r="P542">
        <v>50.7</v>
      </c>
      <c r="Q542">
        <v>2143</v>
      </c>
      <c r="R542">
        <v>5</v>
      </c>
      <c r="S542">
        <v>1</v>
      </c>
      <c r="T542" t="s">
        <v>36</v>
      </c>
      <c r="U542" t="s">
        <v>37</v>
      </c>
      <c r="V542">
        <v>9887</v>
      </c>
      <c r="W542">
        <v>3.39</v>
      </c>
      <c r="X542">
        <v>3</v>
      </c>
    </row>
    <row r="543" spans="1:24" x14ac:dyDescent="0.3">
      <c r="A543" t="s">
        <v>42</v>
      </c>
      <c r="B543" t="s">
        <v>115</v>
      </c>
      <c r="C543">
        <v>2024</v>
      </c>
      <c r="D543" t="s">
        <v>56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48</v>
      </c>
      <c r="N543">
        <v>5</v>
      </c>
      <c r="O543" t="s">
        <v>40</v>
      </c>
      <c r="P543">
        <v>75.2</v>
      </c>
      <c r="Q543">
        <v>1644</v>
      </c>
      <c r="R543">
        <v>5</v>
      </c>
      <c r="S543">
        <v>1</v>
      </c>
      <c r="T543" t="s">
        <v>45</v>
      </c>
      <c r="U543" t="s">
        <v>66</v>
      </c>
      <c r="V543">
        <v>130299</v>
      </c>
      <c r="W543">
        <v>3.2</v>
      </c>
      <c r="X543">
        <v>5</v>
      </c>
    </row>
    <row r="544" spans="1:24" x14ac:dyDescent="0.3">
      <c r="A544" t="s">
        <v>63</v>
      </c>
      <c r="B544" t="s">
        <v>107</v>
      </c>
      <c r="C544">
        <v>2024</v>
      </c>
      <c r="D544" t="s">
        <v>26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48</v>
      </c>
      <c r="N544">
        <v>7</v>
      </c>
      <c r="O544" t="s">
        <v>35</v>
      </c>
      <c r="P544">
        <v>64.3</v>
      </c>
      <c r="Q544">
        <v>2052</v>
      </c>
      <c r="R544">
        <v>4</v>
      </c>
      <c r="S544">
        <v>0</v>
      </c>
      <c r="T544" t="s">
        <v>65</v>
      </c>
      <c r="U544" t="s">
        <v>30</v>
      </c>
      <c r="V544">
        <v>211837</v>
      </c>
      <c r="W544">
        <v>3.58</v>
      </c>
      <c r="X544">
        <v>5</v>
      </c>
    </row>
    <row r="545" spans="1:24" x14ac:dyDescent="0.3">
      <c r="A545" t="s">
        <v>83</v>
      </c>
      <c r="B545" t="s">
        <v>84</v>
      </c>
      <c r="C545">
        <v>2026</v>
      </c>
      <c r="D545" t="s">
        <v>56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27</v>
      </c>
      <c r="N545">
        <v>7</v>
      </c>
      <c r="O545" t="s">
        <v>35</v>
      </c>
      <c r="P545">
        <v>45.9</v>
      </c>
      <c r="Q545">
        <v>2060</v>
      </c>
      <c r="R545">
        <v>4</v>
      </c>
      <c r="S545">
        <v>1</v>
      </c>
      <c r="T545" t="s">
        <v>29</v>
      </c>
      <c r="U545" t="s">
        <v>37</v>
      </c>
      <c r="V545">
        <v>49300</v>
      </c>
      <c r="W545">
        <v>3.02</v>
      </c>
      <c r="X545">
        <v>7</v>
      </c>
    </row>
    <row r="546" spans="1:24" x14ac:dyDescent="0.3">
      <c r="A546" t="s">
        <v>42</v>
      </c>
      <c r="B546" t="s">
        <v>43</v>
      </c>
      <c r="C546">
        <v>2023</v>
      </c>
      <c r="D546" t="s">
        <v>33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34</v>
      </c>
      <c r="N546">
        <v>7</v>
      </c>
      <c r="O546" t="s">
        <v>35</v>
      </c>
      <c r="P546">
        <v>50.1</v>
      </c>
      <c r="Q546">
        <v>1859</v>
      </c>
      <c r="R546">
        <v>3</v>
      </c>
      <c r="S546">
        <v>2</v>
      </c>
      <c r="T546" t="s">
        <v>45</v>
      </c>
      <c r="U546" t="s">
        <v>30</v>
      </c>
      <c r="V546">
        <v>148039</v>
      </c>
      <c r="W546">
        <v>3.37</v>
      </c>
      <c r="X546">
        <v>4</v>
      </c>
    </row>
    <row r="547" spans="1:24" x14ac:dyDescent="0.3">
      <c r="A547" t="s">
        <v>24</v>
      </c>
      <c r="B547" t="s">
        <v>85</v>
      </c>
      <c r="C547">
        <v>2025</v>
      </c>
      <c r="D547" t="s">
        <v>33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27</v>
      </c>
      <c r="N547">
        <v>7</v>
      </c>
      <c r="O547" t="s">
        <v>40</v>
      </c>
      <c r="P547">
        <v>70.2</v>
      </c>
      <c r="Q547">
        <v>1687</v>
      </c>
      <c r="R547">
        <v>5</v>
      </c>
      <c r="S547">
        <v>1</v>
      </c>
      <c r="T547" t="s">
        <v>29</v>
      </c>
      <c r="U547" t="s">
        <v>33</v>
      </c>
      <c r="V547">
        <v>225387</v>
      </c>
      <c r="W547">
        <v>3.43</v>
      </c>
      <c r="X547">
        <v>4</v>
      </c>
    </row>
    <row r="548" spans="1:24" x14ac:dyDescent="0.3">
      <c r="A548" t="s">
        <v>46</v>
      </c>
      <c r="B548" t="s">
        <v>72</v>
      </c>
      <c r="C548">
        <v>2025</v>
      </c>
      <c r="D548" t="s">
        <v>61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27</v>
      </c>
      <c r="N548">
        <v>7</v>
      </c>
      <c r="O548" t="s">
        <v>28</v>
      </c>
      <c r="P548">
        <v>57.9</v>
      </c>
      <c r="Q548">
        <v>2372</v>
      </c>
      <c r="R548">
        <v>4</v>
      </c>
      <c r="S548">
        <v>2</v>
      </c>
      <c r="T548" t="s">
        <v>41</v>
      </c>
      <c r="U548" t="s">
        <v>30</v>
      </c>
      <c r="V548">
        <v>199754</v>
      </c>
      <c r="W548">
        <v>3.28</v>
      </c>
      <c r="X548">
        <v>5</v>
      </c>
    </row>
    <row r="549" spans="1:24" x14ac:dyDescent="0.3">
      <c r="A549" t="s">
        <v>83</v>
      </c>
      <c r="B549" t="s">
        <v>84</v>
      </c>
      <c r="C549">
        <v>2026</v>
      </c>
      <c r="D549" t="s">
        <v>26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48</v>
      </c>
      <c r="N549">
        <v>5</v>
      </c>
      <c r="O549" t="s">
        <v>28</v>
      </c>
      <c r="P549">
        <v>53.7</v>
      </c>
      <c r="Q549">
        <v>2650</v>
      </c>
      <c r="R549">
        <v>5</v>
      </c>
      <c r="S549">
        <v>2</v>
      </c>
      <c r="T549" t="s">
        <v>29</v>
      </c>
      <c r="U549" t="s">
        <v>30</v>
      </c>
      <c r="V549">
        <v>50944</v>
      </c>
      <c r="W549">
        <v>3.38</v>
      </c>
      <c r="X549">
        <v>6</v>
      </c>
    </row>
    <row r="550" spans="1:24" x14ac:dyDescent="0.3">
      <c r="A550" t="s">
        <v>68</v>
      </c>
      <c r="B550" t="s">
        <v>79</v>
      </c>
      <c r="C550">
        <v>2024</v>
      </c>
      <c r="D550" t="s">
        <v>44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48</v>
      </c>
      <c r="N550">
        <v>5</v>
      </c>
      <c r="O550" t="s">
        <v>40</v>
      </c>
      <c r="P550">
        <v>61</v>
      </c>
      <c r="Q550">
        <v>1511</v>
      </c>
      <c r="R550">
        <v>5</v>
      </c>
      <c r="S550">
        <v>0</v>
      </c>
      <c r="T550" t="s">
        <v>45</v>
      </c>
      <c r="U550" t="s">
        <v>33</v>
      </c>
      <c r="V550">
        <v>53893</v>
      </c>
      <c r="W550">
        <v>3.55</v>
      </c>
      <c r="X550">
        <v>3</v>
      </c>
    </row>
    <row r="551" spans="1:24" x14ac:dyDescent="0.3">
      <c r="A551" t="s">
        <v>76</v>
      </c>
      <c r="B551" t="s">
        <v>98</v>
      </c>
      <c r="C551">
        <v>2025</v>
      </c>
      <c r="D551" t="s">
        <v>61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48</v>
      </c>
      <c r="N551">
        <v>7</v>
      </c>
      <c r="O551" t="s">
        <v>51</v>
      </c>
      <c r="P551">
        <v>22</v>
      </c>
      <c r="Q551">
        <v>1592</v>
      </c>
      <c r="R551">
        <v>4</v>
      </c>
      <c r="S551">
        <v>2</v>
      </c>
      <c r="T551" t="s">
        <v>41</v>
      </c>
      <c r="U551" t="s">
        <v>33</v>
      </c>
      <c r="V551">
        <v>24686</v>
      </c>
      <c r="W551">
        <v>3.21</v>
      </c>
      <c r="X551">
        <v>4</v>
      </c>
    </row>
    <row r="552" spans="1:24" x14ac:dyDescent="0.3">
      <c r="A552" t="s">
        <v>68</v>
      </c>
      <c r="B552" t="s">
        <v>90</v>
      </c>
      <c r="C552">
        <v>2026</v>
      </c>
      <c r="D552" t="s">
        <v>44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34</v>
      </c>
      <c r="N552">
        <v>5</v>
      </c>
      <c r="O552" t="s">
        <v>28</v>
      </c>
      <c r="P552">
        <v>67.3</v>
      </c>
      <c r="Q552">
        <v>2653</v>
      </c>
      <c r="R552">
        <v>5</v>
      </c>
      <c r="S552">
        <v>2</v>
      </c>
      <c r="T552" t="s">
        <v>45</v>
      </c>
      <c r="U552" t="s">
        <v>33</v>
      </c>
      <c r="V552">
        <v>126223</v>
      </c>
      <c r="W552">
        <v>3.68</v>
      </c>
      <c r="X552">
        <v>4</v>
      </c>
    </row>
    <row r="553" spans="1:24" x14ac:dyDescent="0.3">
      <c r="A553" t="s">
        <v>52</v>
      </c>
      <c r="B553" t="s">
        <v>103</v>
      </c>
      <c r="C553">
        <v>2026</v>
      </c>
      <c r="D553" t="s">
        <v>61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34</v>
      </c>
      <c r="N553">
        <v>5</v>
      </c>
      <c r="O553" t="s">
        <v>35</v>
      </c>
      <c r="P553">
        <v>59.2</v>
      </c>
      <c r="Q553">
        <v>2160</v>
      </c>
      <c r="R553">
        <v>4</v>
      </c>
      <c r="S553">
        <v>2</v>
      </c>
      <c r="T553" t="s">
        <v>29</v>
      </c>
      <c r="U553" t="s">
        <v>30</v>
      </c>
      <c r="V553">
        <v>54508</v>
      </c>
      <c r="W553">
        <v>3.82</v>
      </c>
      <c r="X553">
        <v>5</v>
      </c>
    </row>
    <row r="554" spans="1:24" x14ac:dyDescent="0.3">
      <c r="A554" t="s">
        <v>42</v>
      </c>
      <c r="B554" t="s">
        <v>54</v>
      </c>
      <c r="C554">
        <v>2023</v>
      </c>
      <c r="D554" t="s">
        <v>33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48</v>
      </c>
      <c r="N554">
        <v>7</v>
      </c>
      <c r="O554" t="s">
        <v>40</v>
      </c>
      <c r="P554">
        <v>79</v>
      </c>
      <c r="Q554">
        <v>1729</v>
      </c>
      <c r="R554">
        <v>5</v>
      </c>
      <c r="S554">
        <v>2</v>
      </c>
      <c r="T554" t="s">
        <v>45</v>
      </c>
      <c r="U554" t="s">
        <v>33</v>
      </c>
      <c r="V554">
        <v>123691</v>
      </c>
      <c r="W554">
        <v>3.45</v>
      </c>
      <c r="X554">
        <v>4</v>
      </c>
    </row>
    <row r="555" spans="1:24" x14ac:dyDescent="0.3">
      <c r="A555" t="s">
        <v>42</v>
      </c>
      <c r="B555" t="s">
        <v>80</v>
      </c>
      <c r="C555">
        <v>2023</v>
      </c>
      <c r="D555" t="s">
        <v>56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34</v>
      </c>
      <c r="N555">
        <v>5</v>
      </c>
      <c r="O555" t="s">
        <v>35</v>
      </c>
      <c r="P555">
        <v>53</v>
      </c>
      <c r="Q555">
        <v>1976</v>
      </c>
      <c r="R555">
        <v>5</v>
      </c>
      <c r="S555">
        <v>0</v>
      </c>
      <c r="T555" t="s">
        <v>45</v>
      </c>
      <c r="U555" t="s">
        <v>37</v>
      </c>
      <c r="V555">
        <v>98868</v>
      </c>
      <c r="W555">
        <v>3.23</v>
      </c>
      <c r="X555">
        <v>3</v>
      </c>
    </row>
    <row r="556" spans="1:24" x14ac:dyDescent="0.3">
      <c r="A556" t="s">
        <v>86</v>
      </c>
      <c r="B556" t="s">
        <v>108</v>
      </c>
      <c r="C556">
        <v>2023</v>
      </c>
      <c r="D556" t="s">
        <v>56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27</v>
      </c>
      <c r="N556">
        <v>5</v>
      </c>
      <c r="O556" t="s">
        <v>50</v>
      </c>
      <c r="P556">
        <v>16.899999999999999</v>
      </c>
      <c r="Q556">
        <v>1834</v>
      </c>
      <c r="R556">
        <v>5</v>
      </c>
      <c r="S556">
        <v>1</v>
      </c>
      <c r="T556" t="s">
        <v>29</v>
      </c>
      <c r="U556" t="s">
        <v>33</v>
      </c>
      <c r="V556">
        <v>70832</v>
      </c>
      <c r="W556">
        <v>3.16</v>
      </c>
      <c r="X556">
        <v>6</v>
      </c>
    </row>
    <row r="557" spans="1:24" x14ac:dyDescent="0.3">
      <c r="A557" t="s">
        <v>24</v>
      </c>
      <c r="B557" t="s">
        <v>70</v>
      </c>
      <c r="C557">
        <v>2024</v>
      </c>
      <c r="D557" t="s">
        <v>61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34</v>
      </c>
      <c r="N557">
        <v>5</v>
      </c>
      <c r="O557" t="s">
        <v>51</v>
      </c>
      <c r="P557">
        <v>19.5</v>
      </c>
      <c r="Q557">
        <v>1684</v>
      </c>
      <c r="R557">
        <v>4</v>
      </c>
      <c r="S557">
        <v>1</v>
      </c>
      <c r="T557" t="s">
        <v>29</v>
      </c>
      <c r="U557" t="s">
        <v>33</v>
      </c>
      <c r="V557">
        <v>259295</v>
      </c>
      <c r="W557">
        <v>3.2</v>
      </c>
      <c r="X557">
        <v>3</v>
      </c>
    </row>
    <row r="558" spans="1:24" x14ac:dyDescent="0.3">
      <c r="A558" t="s">
        <v>46</v>
      </c>
      <c r="B558" t="s">
        <v>57</v>
      </c>
      <c r="C558">
        <v>2025</v>
      </c>
      <c r="D558" t="s">
        <v>56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34</v>
      </c>
      <c r="N558">
        <v>5</v>
      </c>
      <c r="O558" t="s">
        <v>50</v>
      </c>
      <c r="P558">
        <v>27.1</v>
      </c>
      <c r="Q558">
        <v>1882</v>
      </c>
      <c r="R558">
        <v>5</v>
      </c>
      <c r="S558">
        <v>2</v>
      </c>
      <c r="T558" t="s">
        <v>41</v>
      </c>
      <c r="U558" t="s">
        <v>30</v>
      </c>
      <c r="V558">
        <v>160905</v>
      </c>
      <c r="W558">
        <v>3.89</v>
      </c>
      <c r="X558">
        <v>5</v>
      </c>
    </row>
    <row r="559" spans="1:24" x14ac:dyDescent="0.3">
      <c r="A559" t="s">
        <v>46</v>
      </c>
      <c r="B559" t="s">
        <v>49</v>
      </c>
      <c r="C559">
        <v>2024</v>
      </c>
      <c r="D559" t="s">
        <v>61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27</v>
      </c>
      <c r="N559">
        <v>5</v>
      </c>
      <c r="O559" t="s">
        <v>58</v>
      </c>
      <c r="P559">
        <v>16.100000000000001</v>
      </c>
      <c r="Q559">
        <v>1577</v>
      </c>
      <c r="R559">
        <v>4</v>
      </c>
      <c r="S559">
        <v>2</v>
      </c>
      <c r="T559" t="s">
        <v>41</v>
      </c>
      <c r="U559" t="s">
        <v>30</v>
      </c>
      <c r="V559">
        <v>414109</v>
      </c>
      <c r="W559">
        <v>3.55</v>
      </c>
      <c r="X559">
        <v>4</v>
      </c>
    </row>
    <row r="560" spans="1:24" x14ac:dyDescent="0.3">
      <c r="A560" t="s">
        <v>38</v>
      </c>
      <c r="B560" t="s">
        <v>102</v>
      </c>
      <c r="C560">
        <v>2025</v>
      </c>
      <c r="D560" t="s">
        <v>26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27</v>
      </c>
      <c r="N560">
        <v>5</v>
      </c>
      <c r="O560" t="s">
        <v>35</v>
      </c>
      <c r="P560">
        <v>59.7</v>
      </c>
      <c r="Q560">
        <v>1801</v>
      </c>
      <c r="R560">
        <v>3</v>
      </c>
      <c r="S560">
        <v>1</v>
      </c>
      <c r="T560" t="s">
        <v>41</v>
      </c>
      <c r="U560" t="s">
        <v>33</v>
      </c>
      <c r="V560">
        <v>17250</v>
      </c>
      <c r="W560">
        <v>3.59</v>
      </c>
      <c r="X560">
        <v>4</v>
      </c>
    </row>
    <row r="561" spans="1:24" x14ac:dyDescent="0.3">
      <c r="A561" t="s">
        <v>83</v>
      </c>
      <c r="B561" t="s">
        <v>84</v>
      </c>
      <c r="C561">
        <v>2025</v>
      </c>
      <c r="D561" t="s">
        <v>33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48</v>
      </c>
      <c r="N561">
        <v>5</v>
      </c>
      <c r="O561" t="s">
        <v>58</v>
      </c>
      <c r="P561">
        <v>34.200000000000003</v>
      </c>
      <c r="Q561">
        <v>1736</v>
      </c>
      <c r="R561">
        <v>5</v>
      </c>
      <c r="S561">
        <v>2</v>
      </c>
      <c r="T561" t="s">
        <v>29</v>
      </c>
      <c r="U561" t="s">
        <v>30</v>
      </c>
      <c r="V561">
        <v>59946</v>
      </c>
      <c r="W561">
        <v>3.37</v>
      </c>
      <c r="X561">
        <v>7</v>
      </c>
    </row>
    <row r="562" spans="1:24" x14ac:dyDescent="0.3">
      <c r="A562" t="s">
        <v>38</v>
      </c>
      <c r="B562" t="s">
        <v>55</v>
      </c>
      <c r="C562">
        <v>2022</v>
      </c>
      <c r="D562" t="s">
        <v>61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34</v>
      </c>
      <c r="N562">
        <v>7</v>
      </c>
      <c r="O562" t="s">
        <v>58</v>
      </c>
      <c r="P562">
        <v>39.9</v>
      </c>
      <c r="Q562">
        <v>1642</v>
      </c>
      <c r="R562">
        <v>4</v>
      </c>
      <c r="S562">
        <v>0</v>
      </c>
      <c r="T562" t="s">
        <v>41</v>
      </c>
      <c r="U562" t="s">
        <v>37</v>
      </c>
      <c r="V562">
        <v>22694</v>
      </c>
      <c r="W562">
        <v>3.58</v>
      </c>
      <c r="X562">
        <v>4</v>
      </c>
    </row>
    <row r="563" spans="1:24" x14ac:dyDescent="0.3">
      <c r="A563" t="s">
        <v>63</v>
      </c>
      <c r="B563" t="s">
        <v>88</v>
      </c>
      <c r="C563">
        <v>2026</v>
      </c>
      <c r="D563" t="s">
        <v>26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34</v>
      </c>
      <c r="N563">
        <v>5</v>
      </c>
      <c r="O563" t="s">
        <v>58</v>
      </c>
      <c r="P563">
        <v>29.3</v>
      </c>
      <c r="Q563">
        <v>1500</v>
      </c>
      <c r="R563">
        <v>4</v>
      </c>
      <c r="S563">
        <v>0</v>
      </c>
      <c r="T563" t="s">
        <v>65</v>
      </c>
      <c r="U563" t="s">
        <v>33</v>
      </c>
      <c r="V563">
        <v>205278</v>
      </c>
      <c r="W563">
        <v>3.53</v>
      </c>
      <c r="X563">
        <v>3</v>
      </c>
    </row>
    <row r="564" spans="1:24" x14ac:dyDescent="0.3">
      <c r="A564" t="s">
        <v>46</v>
      </c>
      <c r="B564" t="s">
        <v>49</v>
      </c>
      <c r="C564">
        <v>2026</v>
      </c>
      <c r="D564" t="s">
        <v>56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34</v>
      </c>
      <c r="N564">
        <v>5</v>
      </c>
      <c r="O564" t="s">
        <v>58</v>
      </c>
      <c r="P564">
        <v>30</v>
      </c>
      <c r="Q564">
        <v>1767</v>
      </c>
      <c r="R564">
        <v>5</v>
      </c>
      <c r="S564">
        <v>2</v>
      </c>
      <c r="T564" t="s">
        <v>41</v>
      </c>
      <c r="U564" t="s">
        <v>30</v>
      </c>
      <c r="V564">
        <v>457566</v>
      </c>
      <c r="W564">
        <v>3.79</v>
      </c>
      <c r="X564">
        <v>5</v>
      </c>
    </row>
    <row r="565" spans="1:24" x14ac:dyDescent="0.3">
      <c r="A565" t="s">
        <v>46</v>
      </c>
      <c r="B565" t="s">
        <v>72</v>
      </c>
      <c r="C565">
        <v>2026</v>
      </c>
      <c r="D565" t="s">
        <v>56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27</v>
      </c>
      <c r="N565">
        <v>5</v>
      </c>
      <c r="O565" t="s">
        <v>28</v>
      </c>
      <c r="P565">
        <v>72.599999999999994</v>
      </c>
      <c r="Q565">
        <v>2759</v>
      </c>
      <c r="R565">
        <v>5</v>
      </c>
      <c r="S565">
        <v>3</v>
      </c>
      <c r="T565" t="s">
        <v>41</v>
      </c>
      <c r="U565" t="s">
        <v>30</v>
      </c>
      <c r="V565">
        <v>144677</v>
      </c>
      <c r="W565">
        <v>3.86</v>
      </c>
      <c r="X565">
        <v>6</v>
      </c>
    </row>
    <row r="566" spans="1:24" x14ac:dyDescent="0.3">
      <c r="A566" t="s">
        <v>63</v>
      </c>
      <c r="B566" t="s">
        <v>107</v>
      </c>
      <c r="C566">
        <v>2025</v>
      </c>
      <c r="D566" t="s">
        <v>56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34</v>
      </c>
      <c r="N566">
        <v>5</v>
      </c>
      <c r="O566" t="s">
        <v>51</v>
      </c>
      <c r="P566">
        <v>35.5</v>
      </c>
      <c r="Q566">
        <v>1761</v>
      </c>
      <c r="R566">
        <v>5</v>
      </c>
      <c r="S566">
        <v>1</v>
      </c>
      <c r="T566" t="s">
        <v>65</v>
      </c>
      <c r="U566" t="s">
        <v>37</v>
      </c>
      <c r="V566">
        <v>211394</v>
      </c>
      <c r="W566">
        <v>3.74</v>
      </c>
      <c r="X566">
        <v>3</v>
      </c>
    </row>
    <row r="567" spans="1:24" x14ac:dyDescent="0.3">
      <c r="A567" t="s">
        <v>42</v>
      </c>
      <c r="B567" t="s">
        <v>80</v>
      </c>
      <c r="C567">
        <v>2026</v>
      </c>
      <c r="D567" t="s">
        <v>44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27</v>
      </c>
      <c r="N567">
        <v>5</v>
      </c>
      <c r="O567" t="s">
        <v>35</v>
      </c>
      <c r="P567">
        <v>42.9</v>
      </c>
      <c r="Q567">
        <v>2341</v>
      </c>
      <c r="R567">
        <v>5</v>
      </c>
      <c r="S567">
        <v>0</v>
      </c>
      <c r="T567" t="s">
        <v>45</v>
      </c>
      <c r="U567" t="s">
        <v>37</v>
      </c>
      <c r="V567">
        <v>92798</v>
      </c>
      <c r="W567">
        <v>3.66</v>
      </c>
      <c r="X567">
        <v>3</v>
      </c>
    </row>
    <row r="568" spans="1:24" x14ac:dyDescent="0.3">
      <c r="A568" t="s">
        <v>24</v>
      </c>
      <c r="B568" t="s">
        <v>74</v>
      </c>
      <c r="C568">
        <v>2023</v>
      </c>
      <c r="D568" t="s">
        <v>33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27</v>
      </c>
      <c r="N568">
        <v>7</v>
      </c>
      <c r="O568" t="s">
        <v>28</v>
      </c>
      <c r="P568">
        <v>70.7</v>
      </c>
      <c r="Q568">
        <v>2532</v>
      </c>
      <c r="R568">
        <v>3</v>
      </c>
      <c r="S568">
        <v>0</v>
      </c>
      <c r="T568" t="s">
        <v>29</v>
      </c>
      <c r="U568" t="s">
        <v>33</v>
      </c>
      <c r="V568">
        <v>280958</v>
      </c>
      <c r="W568">
        <v>3.26</v>
      </c>
      <c r="X568">
        <v>5</v>
      </c>
    </row>
    <row r="569" spans="1:24" x14ac:dyDescent="0.3">
      <c r="A569" t="s">
        <v>24</v>
      </c>
      <c r="B569" t="s">
        <v>75</v>
      </c>
      <c r="C569">
        <v>2025</v>
      </c>
      <c r="D569" t="s">
        <v>44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34</v>
      </c>
      <c r="N569">
        <v>7</v>
      </c>
      <c r="O569" t="s">
        <v>28</v>
      </c>
      <c r="P569">
        <v>78.8</v>
      </c>
      <c r="Q569">
        <v>2544</v>
      </c>
      <c r="R569">
        <v>4</v>
      </c>
      <c r="S569">
        <v>0</v>
      </c>
      <c r="T569" t="s">
        <v>29</v>
      </c>
      <c r="U569" t="s">
        <v>33</v>
      </c>
      <c r="V569">
        <v>232457</v>
      </c>
      <c r="W569">
        <v>3.53</v>
      </c>
      <c r="X569">
        <v>3</v>
      </c>
    </row>
    <row r="570" spans="1:24" x14ac:dyDescent="0.3">
      <c r="A570" t="s">
        <v>86</v>
      </c>
      <c r="B570" t="s">
        <v>105</v>
      </c>
      <c r="C570">
        <v>2025</v>
      </c>
      <c r="D570" t="s">
        <v>56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27</v>
      </c>
      <c r="N570">
        <v>5</v>
      </c>
      <c r="O570" t="s">
        <v>58</v>
      </c>
      <c r="P570">
        <v>21.5</v>
      </c>
      <c r="Q570">
        <v>1500</v>
      </c>
      <c r="R570">
        <v>3</v>
      </c>
      <c r="S570">
        <v>1</v>
      </c>
      <c r="T570" t="s">
        <v>29</v>
      </c>
      <c r="U570" t="s">
        <v>33</v>
      </c>
      <c r="V570">
        <v>69627</v>
      </c>
      <c r="W570">
        <v>3.71</v>
      </c>
      <c r="X570">
        <v>7</v>
      </c>
    </row>
    <row r="571" spans="1:24" x14ac:dyDescent="0.3">
      <c r="A571" t="s">
        <v>63</v>
      </c>
      <c r="B571" t="s">
        <v>96</v>
      </c>
      <c r="C571">
        <v>2026</v>
      </c>
      <c r="D571" t="s">
        <v>56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27</v>
      </c>
      <c r="N571">
        <v>7</v>
      </c>
      <c r="O571" t="s">
        <v>28</v>
      </c>
      <c r="P571">
        <v>59.1</v>
      </c>
      <c r="Q571">
        <v>2166</v>
      </c>
      <c r="R571">
        <v>4</v>
      </c>
      <c r="S571">
        <v>1</v>
      </c>
      <c r="T571" t="s">
        <v>65</v>
      </c>
      <c r="U571" t="s">
        <v>66</v>
      </c>
      <c r="V571">
        <v>225478</v>
      </c>
      <c r="W571">
        <v>3.58</v>
      </c>
      <c r="X571">
        <v>5</v>
      </c>
    </row>
    <row r="572" spans="1:24" x14ac:dyDescent="0.3">
      <c r="A572" t="s">
        <v>68</v>
      </c>
      <c r="B572" t="s">
        <v>106</v>
      </c>
      <c r="C572">
        <v>2023</v>
      </c>
      <c r="D572" t="s">
        <v>44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48</v>
      </c>
      <c r="N572">
        <v>5</v>
      </c>
      <c r="O572" t="s">
        <v>51</v>
      </c>
      <c r="P572">
        <v>25.8</v>
      </c>
      <c r="Q572">
        <v>1500</v>
      </c>
      <c r="R572">
        <v>5</v>
      </c>
      <c r="S572">
        <v>0</v>
      </c>
      <c r="T572" t="s">
        <v>45</v>
      </c>
      <c r="U572" t="s">
        <v>37</v>
      </c>
      <c r="V572">
        <v>110986</v>
      </c>
      <c r="W572">
        <v>3.76</v>
      </c>
      <c r="X572">
        <v>4</v>
      </c>
    </row>
    <row r="573" spans="1:24" x14ac:dyDescent="0.3">
      <c r="A573" t="s">
        <v>76</v>
      </c>
      <c r="B573" t="s">
        <v>77</v>
      </c>
      <c r="C573">
        <v>2025</v>
      </c>
      <c r="D573" t="s">
        <v>56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27</v>
      </c>
      <c r="N573">
        <v>5</v>
      </c>
      <c r="O573" t="s">
        <v>51</v>
      </c>
      <c r="P573">
        <v>16</v>
      </c>
      <c r="Q573">
        <v>1500</v>
      </c>
      <c r="R573">
        <v>5</v>
      </c>
      <c r="S573">
        <v>2</v>
      </c>
      <c r="T573" t="s">
        <v>41</v>
      </c>
      <c r="U573" t="s">
        <v>66</v>
      </c>
      <c r="V573">
        <v>21264</v>
      </c>
      <c r="W573">
        <v>3.57</v>
      </c>
      <c r="X573">
        <v>5</v>
      </c>
    </row>
    <row r="574" spans="1:24" x14ac:dyDescent="0.3">
      <c r="A574" t="s">
        <v>24</v>
      </c>
      <c r="B574" t="s">
        <v>70</v>
      </c>
      <c r="C574">
        <v>2024</v>
      </c>
      <c r="D574" t="s">
        <v>44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34</v>
      </c>
      <c r="N574">
        <v>7</v>
      </c>
      <c r="O574" t="s">
        <v>28</v>
      </c>
      <c r="P574">
        <v>78.7</v>
      </c>
      <c r="Q574">
        <v>2596</v>
      </c>
      <c r="R574">
        <v>4</v>
      </c>
      <c r="S574">
        <v>0</v>
      </c>
      <c r="T574" t="s">
        <v>29</v>
      </c>
      <c r="U574" t="s">
        <v>33</v>
      </c>
      <c r="V574">
        <v>219503</v>
      </c>
      <c r="W574">
        <v>3.66</v>
      </c>
      <c r="X574">
        <v>3</v>
      </c>
    </row>
    <row r="575" spans="1:24" x14ac:dyDescent="0.3">
      <c r="A575" t="s">
        <v>83</v>
      </c>
      <c r="B575" t="s">
        <v>84</v>
      </c>
      <c r="C575">
        <v>2025</v>
      </c>
      <c r="D575" t="s">
        <v>61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27</v>
      </c>
      <c r="N575">
        <v>5</v>
      </c>
      <c r="O575" t="s">
        <v>50</v>
      </c>
      <c r="P575">
        <v>24.8</v>
      </c>
      <c r="Q575">
        <v>1729</v>
      </c>
      <c r="R575">
        <v>5</v>
      </c>
      <c r="S575">
        <v>1</v>
      </c>
      <c r="T575" t="s">
        <v>29</v>
      </c>
      <c r="U575" t="s">
        <v>37</v>
      </c>
      <c r="V575">
        <v>32771</v>
      </c>
      <c r="W575">
        <v>3.55</v>
      </c>
      <c r="X575">
        <v>5</v>
      </c>
    </row>
    <row r="576" spans="1:24" x14ac:dyDescent="0.3">
      <c r="A576" t="s">
        <v>52</v>
      </c>
      <c r="B576" t="s">
        <v>53</v>
      </c>
      <c r="C576">
        <v>2024</v>
      </c>
      <c r="D576" t="s">
        <v>26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27</v>
      </c>
      <c r="N576">
        <v>5</v>
      </c>
      <c r="O576" t="s">
        <v>28</v>
      </c>
      <c r="P576">
        <v>71.5</v>
      </c>
      <c r="Q576">
        <v>2775</v>
      </c>
      <c r="R576">
        <v>4</v>
      </c>
      <c r="S576">
        <v>1</v>
      </c>
      <c r="T576" t="s">
        <v>29</v>
      </c>
      <c r="U576" t="s">
        <v>30</v>
      </c>
      <c r="V576">
        <v>47072</v>
      </c>
      <c r="W576">
        <v>4.1399999999999997</v>
      </c>
      <c r="X576">
        <v>7</v>
      </c>
    </row>
    <row r="577" spans="1:24" x14ac:dyDescent="0.3">
      <c r="A577" t="s">
        <v>31</v>
      </c>
      <c r="B577" t="s">
        <v>32</v>
      </c>
      <c r="C577">
        <v>2020</v>
      </c>
      <c r="D577" t="s">
        <v>56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48</v>
      </c>
      <c r="N577">
        <v>5</v>
      </c>
      <c r="O577" t="s">
        <v>35</v>
      </c>
      <c r="P577">
        <v>43.1</v>
      </c>
      <c r="Q577">
        <v>1792</v>
      </c>
      <c r="R577">
        <v>4</v>
      </c>
      <c r="S577">
        <v>0</v>
      </c>
      <c r="T577" t="s">
        <v>36</v>
      </c>
      <c r="U577" t="s">
        <v>37</v>
      </c>
      <c r="V577">
        <v>28709</v>
      </c>
      <c r="W577">
        <v>3.17</v>
      </c>
      <c r="X577">
        <v>4</v>
      </c>
    </row>
    <row r="578" spans="1:24" x14ac:dyDescent="0.3">
      <c r="A578" t="s">
        <v>46</v>
      </c>
      <c r="B578" t="s">
        <v>72</v>
      </c>
      <c r="C578">
        <v>2024</v>
      </c>
      <c r="D578" t="s">
        <v>26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48</v>
      </c>
      <c r="N578">
        <v>5</v>
      </c>
      <c r="O578" t="s">
        <v>28</v>
      </c>
      <c r="P578">
        <v>64.599999999999994</v>
      </c>
      <c r="Q578">
        <v>2391</v>
      </c>
      <c r="R578">
        <v>5</v>
      </c>
      <c r="S578">
        <v>2</v>
      </c>
      <c r="T578" t="s">
        <v>41</v>
      </c>
      <c r="U578" t="s">
        <v>33</v>
      </c>
      <c r="V578">
        <v>230110</v>
      </c>
      <c r="W578">
        <v>4</v>
      </c>
      <c r="X578">
        <v>5</v>
      </c>
    </row>
    <row r="579" spans="1:24" x14ac:dyDescent="0.3">
      <c r="A579" t="s">
        <v>94</v>
      </c>
      <c r="B579" t="s">
        <v>133</v>
      </c>
      <c r="C579">
        <v>2025</v>
      </c>
      <c r="D579" t="s">
        <v>61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48</v>
      </c>
      <c r="N579">
        <v>4</v>
      </c>
      <c r="O579" t="s">
        <v>28</v>
      </c>
      <c r="P579">
        <v>67.099999999999994</v>
      </c>
      <c r="Q579">
        <v>2866</v>
      </c>
      <c r="R579">
        <v>4</v>
      </c>
      <c r="S579">
        <v>0</v>
      </c>
      <c r="T579" t="s">
        <v>41</v>
      </c>
      <c r="U579" t="s">
        <v>33</v>
      </c>
      <c r="V579">
        <v>14022</v>
      </c>
      <c r="W579">
        <v>3.14</v>
      </c>
      <c r="X579">
        <v>6</v>
      </c>
    </row>
    <row r="580" spans="1:24" x14ac:dyDescent="0.3">
      <c r="A580" t="s">
        <v>68</v>
      </c>
      <c r="B580" t="s">
        <v>79</v>
      </c>
      <c r="C580">
        <v>2025</v>
      </c>
      <c r="D580" t="s">
        <v>61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34</v>
      </c>
      <c r="N580">
        <v>5</v>
      </c>
      <c r="O580" t="s">
        <v>58</v>
      </c>
      <c r="P580">
        <v>18.5</v>
      </c>
      <c r="Q580">
        <v>1585</v>
      </c>
      <c r="R580">
        <v>3</v>
      </c>
      <c r="S580">
        <v>0</v>
      </c>
      <c r="T580" t="s">
        <v>45</v>
      </c>
      <c r="U580" t="s">
        <v>37</v>
      </c>
      <c r="V580">
        <v>91894</v>
      </c>
      <c r="W580">
        <v>3.21</v>
      </c>
      <c r="X580">
        <v>4</v>
      </c>
    </row>
    <row r="581" spans="1:24" x14ac:dyDescent="0.3">
      <c r="A581" t="s">
        <v>63</v>
      </c>
      <c r="B581" t="s">
        <v>64</v>
      </c>
      <c r="C581">
        <v>2021</v>
      </c>
      <c r="D581" t="s">
        <v>61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27</v>
      </c>
      <c r="N581">
        <v>5</v>
      </c>
      <c r="O581" t="s">
        <v>58</v>
      </c>
      <c r="P581">
        <v>24.9</v>
      </c>
      <c r="Q581">
        <v>1547</v>
      </c>
      <c r="R581">
        <v>4</v>
      </c>
      <c r="S581">
        <v>1</v>
      </c>
      <c r="T581" t="s">
        <v>65</v>
      </c>
      <c r="U581" t="s">
        <v>33</v>
      </c>
      <c r="V581">
        <v>227938</v>
      </c>
      <c r="W581">
        <v>3.21</v>
      </c>
      <c r="X581">
        <v>4</v>
      </c>
    </row>
    <row r="582" spans="1:24" x14ac:dyDescent="0.3">
      <c r="A582" t="s">
        <v>68</v>
      </c>
      <c r="B582" t="s">
        <v>79</v>
      </c>
      <c r="C582">
        <v>2025</v>
      </c>
      <c r="D582" t="s">
        <v>61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34</v>
      </c>
      <c r="N582">
        <v>5</v>
      </c>
      <c r="O582" t="s">
        <v>58</v>
      </c>
      <c r="P582">
        <v>21.9</v>
      </c>
      <c r="Q582">
        <v>1500</v>
      </c>
      <c r="R582">
        <v>5</v>
      </c>
      <c r="S582">
        <v>1</v>
      </c>
      <c r="T582" t="s">
        <v>45</v>
      </c>
      <c r="U582" t="s">
        <v>33</v>
      </c>
      <c r="V582">
        <v>69074</v>
      </c>
      <c r="W582">
        <v>3.3</v>
      </c>
      <c r="X582">
        <v>4</v>
      </c>
    </row>
    <row r="583" spans="1:24" x14ac:dyDescent="0.3">
      <c r="A583" t="s">
        <v>134</v>
      </c>
      <c r="B583">
        <v>3</v>
      </c>
      <c r="C583">
        <v>2024</v>
      </c>
      <c r="D583" t="s">
        <v>33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48</v>
      </c>
      <c r="N583">
        <v>5</v>
      </c>
      <c r="O583" t="s">
        <v>51</v>
      </c>
      <c r="P583">
        <v>27.3</v>
      </c>
      <c r="Q583">
        <v>1500</v>
      </c>
      <c r="R583">
        <v>4</v>
      </c>
      <c r="S583">
        <v>2</v>
      </c>
      <c r="T583" t="s">
        <v>123</v>
      </c>
      <c r="U583" t="s">
        <v>33</v>
      </c>
      <c r="V583">
        <v>3904</v>
      </c>
      <c r="W583">
        <v>3.65</v>
      </c>
      <c r="X583">
        <v>4</v>
      </c>
    </row>
    <row r="584" spans="1:24" x14ac:dyDescent="0.3">
      <c r="A584" t="s">
        <v>68</v>
      </c>
      <c r="B584" t="s">
        <v>90</v>
      </c>
      <c r="C584">
        <v>2024</v>
      </c>
      <c r="D584" t="s">
        <v>33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27</v>
      </c>
      <c r="N584">
        <v>5</v>
      </c>
      <c r="O584" t="s">
        <v>50</v>
      </c>
      <c r="P584">
        <v>31.2</v>
      </c>
      <c r="Q584">
        <v>1595</v>
      </c>
      <c r="R584">
        <v>5</v>
      </c>
      <c r="S584">
        <v>0</v>
      </c>
      <c r="T584" t="s">
        <v>45</v>
      </c>
      <c r="U584" t="s">
        <v>37</v>
      </c>
      <c r="V584">
        <v>129173</v>
      </c>
      <c r="W584">
        <v>3</v>
      </c>
      <c r="X584">
        <v>3</v>
      </c>
    </row>
    <row r="585" spans="1:24" x14ac:dyDescent="0.3">
      <c r="A585" t="s">
        <v>63</v>
      </c>
      <c r="B585" t="s">
        <v>73</v>
      </c>
      <c r="C585">
        <v>2023</v>
      </c>
      <c r="D585" t="s">
        <v>61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34</v>
      </c>
      <c r="N585">
        <v>5</v>
      </c>
      <c r="O585" t="s">
        <v>50</v>
      </c>
      <c r="P585">
        <v>38.9</v>
      </c>
      <c r="Q585">
        <v>1764</v>
      </c>
      <c r="R585">
        <v>4</v>
      </c>
      <c r="S585">
        <v>1</v>
      </c>
      <c r="T585" t="s">
        <v>65</v>
      </c>
      <c r="U585" t="s">
        <v>33</v>
      </c>
      <c r="V585">
        <v>198624</v>
      </c>
      <c r="W585">
        <v>3.14</v>
      </c>
      <c r="X585">
        <v>3</v>
      </c>
    </row>
    <row r="586" spans="1:24" x14ac:dyDescent="0.3">
      <c r="A586" t="s">
        <v>83</v>
      </c>
      <c r="B586" t="s">
        <v>114</v>
      </c>
      <c r="C586">
        <v>2023</v>
      </c>
      <c r="D586" t="s">
        <v>61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27</v>
      </c>
      <c r="N586">
        <v>5</v>
      </c>
      <c r="O586" t="s">
        <v>50</v>
      </c>
      <c r="P586">
        <v>16.399999999999999</v>
      </c>
      <c r="Q586">
        <v>1511</v>
      </c>
      <c r="R586">
        <v>5</v>
      </c>
      <c r="S586">
        <v>1</v>
      </c>
      <c r="T586" t="s">
        <v>29</v>
      </c>
      <c r="U586" t="s">
        <v>30</v>
      </c>
      <c r="V586">
        <v>52016</v>
      </c>
      <c r="W586">
        <v>3.3</v>
      </c>
      <c r="X586">
        <v>5</v>
      </c>
    </row>
    <row r="587" spans="1:24" x14ac:dyDescent="0.3">
      <c r="A587" t="s">
        <v>63</v>
      </c>
      <c r="B587" t="s">
        <v>64</v>
      </c>
      <c r="C587">
        <v>2026</v>
      </c>
      <c r="D587" t="s">
        <v>61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27</v>
      </c>
      <c r="N587">
        <v>7</v>
      </c>
      <c r="O587" t="s">
        <v>58</v>
      </c>
      <c r="P587">
        <v>31.9</v>
      </c>
      <c r="Q587">
        <v>1545</v>
      </c>
      <c r="R587">
        <v>3</v>
      </c>
      <c r="S587">
        <v>2</v>
      </c>
      <c r="T587" t="s">
        <v>65</v>
      </c>
      <c r="U587" t="s">
        <v>33</v>
      </c>
      <c r="V587">
        <v>230330</v>
      </c>
      <c r="W587">
        <v>3.4</v>
      </c>
      <c r="X587">
        <v>4</v>
      </c>
    </row>
    <row r="588" spans="1:24" x14ac:dyDescent="0.3">
      <c r="A588" t="s">
        <v>46</v>
      </c>
      <c r="B588" t="s">
        <v>47</v>
      </c>
      <c r="C588">
        <v>2024</v>
      </c>
      <c r="D588" t="s">
        <v>33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27</v>
      </c>
      <c r="N588">
        <v>5</v>
      </c>
      <c r="O588" t="s">
        <v>51</v>
      </c>
      <c r="P588">
        <v>30.2</v>
      </c>
      <c r="Q588">
        <v>1747</v>
      </c>
      <c r="R588">
        <v>3</v>
      </c>
      <c r="S588">
        <v>2</v>
      </c>
      <c r="T588" t="s">
        <v>41</v>
      </c>
      <c r="U588" t="s">
        <v>30</v>
      </c>
      <c r="V588">
        <v>238934</v>
      </c>
      <c r="W588">
        <v>3.62</v>
      </c>
      <c r="X588">
        <v>5</v>
      </c>
    </row>
    <row r="589" spans="1:24" x14ac:dyDescent="0.3">
      <c r="A589" t="s">
        <v>46</v>
      </c>
      <c r="B589" t="s">
        <v>72</v>
      </c>
      <c r="C589">
        <v>2025</v>
      </c>
      <c r="D589" t="s">
        <v>33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48</v>
      </c>
      <c r="N589">
        <v>7</v>
      </c>
      <c r="O589" t="s">
        <v>28</v>
      </c>
      <c r="P589">
        <v>79.099999999999994</v>
      </c>
      <c r="Q589">
        <v>2220</v>
      </c>
      <c r="R589">
        <v>4</v>
      </c>
      <c r="S589">
        <v>2</v>
      </c>
      <c r="T589" t="s">
        <v>41</v>
      </c>
      <c r="U589" t="s">
        <v>30</v>
      </c>
      <c r="V589">
        <v>241443</v>
      </c>
      <c r="W589">
        <v>3.82</v>
      </c>
      <c r="X589">
        <v>6</v>
      </c>
    </row>
    <row r="590" spans="1:24" x14ac:dyDescent="0.3">
      <c r="A590" t="s">
        <v>46</v>
      </c>
      <c r="B590" t="s">
        <v>47</v>
      </c>
      <c r="C590">
        <v>2022</v>
      </c>
      <c r="D590" t="s">
        <v>33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27</v>
      </c>
      <c r="N590">
        <v>5</v>
      </c>
      <c r="O590" t="s">
        <v>28</v>
      </c>
      <c r="P590">
        <v>78.2</v>
      </c>
      <c r="Q590">
        <v>2148</v>
      </c>
      <c r="R590">
        <v>5</v>
      </c>
      <c r="S590">
        <v>2</v>
      </c>
      <c r="T590" t="s">
        <v>41</v>
      </c>
      <c r="U590" t="s">
        <v>33</v>
      </c>
      <c r="V590">
        <v>245609</v>
      </c>
      <c r="W590">
        <v>3.71</v>
      </c>
      <c r="X590">
        <v>4</v>
      </c>
    </row>
    <row r="591" spans="1:24" x14ac:dyDescent="0.3">
      <c r="A591" t="s">
        <v>46</v>
      </c>
      <c r="B591" t="s">
        <v>57</v>
      </c>
      <c r="C591">
        <v>2024</v>
      </c>
      <c r="D591" t="s">
        <v>61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48</v>
      </c>
      <c r="N591">
        <v>7</v>
      </c>
      <c r="O591" t="s">
        <v>58</v>
      </c>
      <c r="P591">
        <v>24.8</v>
      </c>
      <c r="Q591">
        <v>1603</v>
      </c>
      <c r="R591">
        <v>5</v>
      </c>
      <c r="S591">
        <v>2</v>
      </c>
      <c r="T591" t="s">
        <v>41</v>
      </c>
      <c r="U591" t="s">
        <v>30</v>
      </c>
      <c r="V591">
        <v>220563</v>
      </c>
      <c r="W591">
        <v>3.46</v>
      </c>
      <c r="X591">
        <v>5</v>
      </c>
    </row>
    <row r="592" spans="1:24" x14ac:dyDescent="0.3">
      <c r="A592" t="s">
        <v>46</v>
      </c>
      <c r="B592" t="s">
        <v>49</v>
      </c>
      <c r="C592">
        <v>2025</v>
      </c>
      <c r="D592" t="s">
        <v>26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27</v>
      </c>
      <c r="N592">
        <v>5</v>
      </c>
      <c r="O592" t="s">
        <v>35</v>
      </c>
      <c r="P592">
        <v>58.9</v>
      </c>
      <c r="Q592">
        <v>1942</v>
      </c>
      <c r="R592">
        <v>4</v>
      </c>
      <c r="S592">
        <v>2</v>
      </c>
      <c r="T592" t="s">
        <v>41</v>
      </c>
      <c r="U592" t="s">
        <v>30</v>
      </c>
      <c r="V592">
        <v>406719</v>
      </c>
      <c r="W592">
        <v>4.12</v>
      </c>
      <c r="X592">
        <v>5</v>
      </c>
    </row>
    <row r="593" spans="1:24" x14ac:dyDescent="0.3">
      <c r="A593" t="s">
        <v>83</v>
      </c>
      <c r="B593" t="s">
        <v>84</v>
      </c>
      <c r="C593">
        <v>2024</v>
      </c>
      <c r="D593" t="s">
        <v>44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34</v>
      </c>
      <c r="N593">
        <v>7</v>
      </c>
      <c r="O593" t="s">
        <v>50</v>
      </c>
      <c r="P593">
        <v>38.1</v>
      </c>
      <c r="Q593">
        <v>1500</v>
      </c>
      <c r="R593">
        <v>5</v>
      </c>
      <c r="S593">
        <v>1</v>
      </c>
      <c r="T593" t="s">
        <v>29</v>
      </c>
      <c r="U593" t="s">
        <v>30</v>
      </c>
      <c r="V593">
        <v>51591</v>
      </c>
      <c r="W593">
        <v>3.87</v>
      </c>
      <c r="X593">
        <v>6</v>
      </c>
    </row>
    <row r="594" spans="1:24" x14ac:dyDescent="0.3">
      <c r="A594" t="s">
        <v>46</v>
      </c>
      <c r="B594" t="s">
        <v>78</v>
      </c>
      <c r="C594">
        <v>2025</v>
      </c>
      <c r="D594" t="s">
        <v>56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27</v>
      </c>
      <c r="N594">
        <v>7</v>
      </c>
      <c r="O594" t="s">
        <v>35</v>
      </c>
      <c r="P594">
        <v>66.099999999999994</v>
      </c>
      <c r="Q594">
        <v>1861</v>
      </c>
      <c r="R594">
        <v>5</v>
      </c>
      <c r="S594">
        <v>3</v>
      </c>
      <c r="T594" t="s">
        <v>41</v>
      </c>
      <c r="U594" t="s">
        <v>37</v>
      </c>
      <c r="V594">
        <v>202664</v>
      </c>
      <c r="W594">
        <v>3.79</v>
      </c>
      <c r="X594">
        <v>5</v>
      </c>
    </row>
    <row r="595" spans="1:24" x14ac:dyDescent="0.3">
      <c r="A595" t="s">
        <v>63</v>
      </c>
      <c r="B595" t="s">
        <v>96</v>
      </c>
      <c r="C595">
        <v>2024</v>
      </c>
      <c r="D595" t="s">
        <v>44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27</v>
      </c>
      <c r="N595">
        <v>7</v>
      </c>
      <c r="O595" t="s">
        <v>35</v>
      </c>
      <c r="P595">
        <v>45.2</v>
      </c>
      <c r="Q595">
        <v>1687</v>
      </c>
      <c r="R595">
        <v>5</v>
      </c>
      <c r="S595">
        <v>0</v>
      </c>
      <c r="T595" t="s">
        <v>65</v>
      </c>
      <c r="U595" t="s">
        <v>37</v>
      </c>
      <c r="V595">
        <v>241420</v>
      </c>
      <c r="W595">
        <v>3.72</v>
      </c>
      <c r="X595">
        <v>3</v>
      </c>
    </row>
    <row r="596" spans="1:24" x14ac:dyDescent="0.3">
      <c r="A596" t="s">
        <v>86</v>
      </c>
      <c r="B596" t="s">
        <v>108</v>
      </c>
      <c r="C596">
        <v>2025</v>
      </c>
      <c r="D596" t="s">
        <v>61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27</v>
      </c>
      <c r="N596">
        <v>5</v>
      </c>
      <c r="O596" t="s">
        <v>50</v>
      </c>
      <c r="P596">
        <v>21.6</v>
      </c>
      <c r="Q596">
        <v>1589</v>
      </c>
      <c r="R596">
        <v>4</v>
      </c>
      <c r="S596">
        <v>1</v>
      </c>
      <c r="T596" t="s">
        <v>29</v>
      </c>
      <c r="U596" t="s">
        <v>30</v>
      </c>
      <c r="V596">
        <v>27623</v>
      </c>
      <c r="W596">
        <v>3.34</v>
      </c>
      <c r="X596">
        <v>7</v>
      </c>
    </row>
    <row r="597" spans="1:24" x14ac:dyDescent="0.3">
      <c r="A597" t="s">
        <v>68</v>
      </c>
      <c r="B597" t="s">
        <v>79</v>
      </c>
      <c r="C597">
        <v>2026</v>
      </c>
      <c r="D597" t="s">
        <v>44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34</v>
      </c>
      <c r="N597">
        <v>5</v>
      </c>
      <c r="O597" t="s">
        <v>58</v>
      </c>
      <c r="P597">
        <v>16.2</v>
      </c>
      <c r="Q597">
        <v>1500</v>
      </c>
      <c r="R597">
        <v>4</v>
      </c>
      <c r="S597">
        <v>1</v>
      </c>
      <c r="T597" t="s">
        <v>45</v>
      </c>
      <c r="U597" t="s">
        <v>33</v>
      </c>
      <c r="V597">
        <v>64997</v>
      </c>
      <c r="W597">
        <v>3.42</v>
      </c>
      <c r="X597">
        <v>4</v>
      </c>
    </row>
    <row r="598" spans="1:24" x14ac:dyDescent="0.3">
      <c r="A598" t="s">
        <v>83</v>
      </c>
      <c r="B598" t="s">
        <v>114</v>
      </c>
      <c r="C598">
        <v>2025</v>
      </c>
      <c r="D598" t="s">
        <v>33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27</v>
      </c>
      <c r="N598">
        <v>5</v>
      </c>
      <c r="O598" t="s">
        <v>28</v>
      </c>
      <c r="P598">
        <v>60</v>
      </c>
      <c r="Q598">
        <v>2846</v>
      </c>
      <c r="R598">
        <v>5</v>
      </c>
      <c r="S598">
        <v>1</v>
      </c>
      <c r="T598" t="s">
        <v>29</v>
      </c>
      <c r="U598" t="s">
        <v>33</v>
      </c>
      <c r="V598">
        <v>32509</v>
      </c>
      <c r="W598">
        <v>3.24</v>
      </c>
      <c r="X598">
        <v>5</v>
      </c>
    </row>
    <row r="599" spans="1:24" x14ac:dyDescent="0.3">
      <c r="A599" t="s">
        <v>46</v>
      </c>
      <c r="B599" t="s">
        <v>49</v>
      </c>
      <c r="C599">
        <v>2025</v>
      </c>
      <c r="D599" t="s">
        <v>61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48</v>
      </c>
      <c r="N599">
        <v>7</v>
      </c>
      <c r="O599" t="s">
        <v>58</v>
      </c>
      <c r="P599">
        <v>29.6</v>
      </c>
      <c r="Q599">
        <v>2009</v>
      </c>
      <c r="R599">
        <v>4</v>
      </c>
      <c r="S599">
        <v>2</v>
      </c>
      <c r="T599" t="s">
        <v>41</v>
      </c>
      <c r="U599" t="s">
        <v>33</v>
      </c>
      <c r="V599">
        <v>499717</v>
      </c>
      <c r="W599">
        <v>3.42</v>
      </c>
      <c r="X599">
        <v>5</v>
      </c>
    </row>
    <row r="600" spans="1:24" x14ac:dyDescent="0.3">
      <c r="A600" t="s">
        <v>46</v>
      </c>
      <c r="B600" t="s">
        <v>49</v>
      </c>
      <c r="C600">
        <v>2021</v>
      </c>
      <c r="D600" t="s">
        <v>61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34</v>
      </c>
      <c r="N600">
        <v>5</v>
      </c>
      <c r="O600" t="s">
        <v>51</v>
      </c>
      <c r="P600">
        <v>34.200000000000003</v>
      </c>
      <c r="Q600">
        <v>1578</v>
      </c>
      <c r="R600">
        <v>3</v>
      </c>
      <c r="S600">
        <v>3</v>
      </c>
      <c r="T600" t="s">
        <v>41</v>
      </c>
      <c r="U600" t="s">
        <v>37</v>
      </c>
      <c r="V600">
        <v>483023</v>
      </c>
      <c r="W600">
        <v>3.69</v>
      </c>
      <c r="X600">
        <v>5</v>
      </c>
    </row>
    <row r="601" spans="1:24" x14ac:dyDescent="0.3">
      <c r="A601" t="s">
        <v>46</v>
      </c>
      <c r="B601" t="s">
        <v>47</v>
      </c>
      <c r="C601">
        <v>2025</v>
      </c>
      <c r="D601" t="s">
        <v>33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48</v>
      </c>
      <c r="N601">
        <v>5</v>
      </c>
      <c r="O601" t="s">
        <v>28</v>
      </c>
      <c r="P601">
        <v>51.2</v>
      </c>
      <c r="Q601">
        <v>2538</v>
      </c>
      <c r="R601">
        <v>5</v>
      </c>
      <c r="S601">
        <v>2</v>
      </c>
      <c r="T601" t="s">
        <v>41</v>
      </c>
      <c r="U601" t="s">
        <v>37</v>
      </c>
      <c r="V601">
        <v>170776</v>
      </c>
      <c r="W601">
        <v>3.98</v>
      </c>
      <c r="X601">
        <v>6</v>
      </c>
    </row>
    <row r="602" spans="1:24" x14ac:dyDescent="0.3">
      <c r="A602" t="s">
        <v>46</v>
      </c>
      <c r="B602" t="s">
        <v>57</v>
      </c>
      <c r="C602">
        <v>2026</v>
      </c>
      <c r="D602" t="s">
        <v>44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34</v>
      </c>
      <c r="N602">
        <v>7</v>
      </c>
      <c r="O602" t="s">
        <v>50</v>
      </c>
      <c r="P602">
        <v>17.100000000000001</v>
      </c>
      <c r="Q602">
        <v>1589</v>
      </c>
      <c r="R602">
        <v>5</v>
      </c>
      <c r="S602">
        <v>2</v>
      </c>
      <c r="T602" t="s">
        <v>41</v>
      </c>
      <c r="U602" t="s">
        <v>30</v>
      </c>
      <c r="V602">
        <v>200607</v>
      </c>
      <c r="W602">
        <v>3.97</v>
      </c>
      <c r="X602">
        <v>4</v>
      </c>
    </row>
    <row r="603" spans="1:24" x14ac:dyDescent="0.3">
      <c r="A603" t="s">
        <v>63</v>
      </c>
      <c r="B603" t="s">
        <v>64</v>
      </c>
      <c r="C603">
        <v>2020</v>
      </c>
      <c r="D603" t="s">
        <v>44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34</v>
      </c>
      <c r="N603">
        <v>5</v>
      </c>
      <c r="O603" t="s">
        <v>51</v>
      </c>
      <c r="P603">
        <v>30.4</v>
      </c>
      <c r="Q603">
        <v>1511</v>
      </c>
      <c r="R603">
        <v>4</v>
      </c>
      <c r="S603">
        <v>0</v>
      </c>
      <c r="T603" t="s">
        <v>65</v>
      </c>
      <c r="U603" t="s">
        <v>37</v>
      </c>
      <c r="V603">
        <v>158941</v>
      </c>
      <c r="W603">
        <v>3.72</v>
      </c>
      <c r="X603">
        <v>4</v>
      </c>
    </row>
    <row r="604" spans="1:24" x14ac:dyDescent="0.3">
      <c r="A604" t="s">
        <v>46</v>
      </c>
      <c r="B604" t="s">
        <v>78</v>
      </c>
      <c r="C604">
        <v>2022</v>
      </c>
      <c r="D604" t="s">
        <v>26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48</v>
      </c>
      <c r="N604">
        <v>5</v>
      </c>
      <c r="O604" t="s">
        <v>28</v>
      </c>
      <c r="P604">
        <v>59.1</v>
      </c>
      <c r="Q604">
        <v>2882</v>
      </c>
      <c r="R604">
        <v>3</v>
      </c>
      <c r="S604">
        <v>2</v>
      </c>
      <c r="T604" t="s">
        <v>41</v>
      </c>
      <c r="U604" t="s">
        <v>33</v>
      </c>
      <c r="V604">
        <v>108652</v>
      </c>
      <c r="W604">
        <v>4.1100000000000003</v>
      </c>
      <c r="X604">
        <v>4</v>
      </c>
    </row>
    <row r="605" spans="1:24" x14ac:dyDescent="0.3">
      <c r="A605" t="s">
        <v>46</v>
      </c>
      <c r="B605" t="s">
        <v>49</v>
      </c>
      <c r="C605">
        <v>2025</v>
      </c>
      <c r="D605" t="s">
        <v>61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27</v>
      </c>
      <c r="N605">
        <v>5</v>
      </c>
      <c r="O605" t="s">
        <v>50</v>
      </c>
      <c r="P605">
        <v>25.4</v>
      </c>
      <c r="Q605">
        <v>1500</v>
      </c>
      <c r="R605">
        <v>4</v>
      </c>
      <c r="S605">
        <v>2</v>
      </c>
      <c r="T605" t="s">
        <v>41</v>
      </c>
      <c r="U605" t="s">
        <v>30</v>
      </c>
      <c r="V605">
        <v>444103</v>
      </c>
      <c r="W605">
        <v>3.49</v>
      </c>
      <c r="X605">
        <v>5</v>
      </c>
    </row>
    <row r="606" spans="1:24" x14ac:dyDescent="0.3">
      <c r="A606" t="s">
        <v>46</v>
      </c>
      <c r="B606" t="s">
        <v>47</v>
      </c>
      <c r="C606">
        <v>2025</v>
      </c>
      <c r="D606" t="s">
        <v>61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48</v>
      </c>
      <c r="N606">
        <v>7</v>
      </c>
      <c r="O606" t="s">
        <v>50</v>
      </c>
      <c r="P606">
        <v>18</v>
      </c>
      <c r="Q606">
        <v>1500</v>
      </c>
      <c r="R606">
        <v>3</v>
      </c>
      <c r="S606">
        <v>2</v>
      </c>
      <c r="T606" t="s">
        <v>41</v>
      </c>
      <c r="U606" t="s">
        <v>33</v>
      </c>
      <c r="V606">
        <v>156028</v>
      </c>
      <c r="W606">
        <v>3.89</v>
      </c>
      <c r="X606">
        <v>4</v>
      </c>
    </row>
    <row r="607" spans="1:24" x14ac:dyDescent="0.3">
      <c r="A607" t="s">
        <v>68</v>
      </c>
      <c r="B607" t="s">
        <v>106</v>
      </c>
      <c r="C607">
        <v>2025</v>
      </c>
      <c r="D607" t="s">
        <v>56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34</v>
      </c>
      <c r="N607">
        <v>5</v>
      </c>
      <c r="O607" t="s">
        <v>28</v>
      </c>
      <c r="P607">
        <v>54.8</v>
      </c>
      <c r="Q607">
        <v>2777</v>
      </c>
      <c r="R607">
        <v>4</v>
      </c>
      <c r="S607">
        <v>0</v>
      </c>
      <c r="T607" t="s">
        <v>45</v>
      </c>
      <c r="U607" t="s">
        <v>37</v>
      </c>
      <c r="V607">
        <v>124929</v>
      </c>
      <c r="W607">
        <v>3.43</v>
      </c>
      <c r="X607">
        <v>4</v>
      </c>
    </row>
    <row r="608" spans="1:24" x14ac:dyDescent="0.3">
      <c r="A608" t="s">
        <v>63</v>
      </c>
      <c r="B608" t="s">
        <v>88</v>
      </c>
      <c r="C608">
        <v>2026</v>
      </c>
      <c r="D608" t="s">
        <v>61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27</v>
      </c>
      <c r="N608">
        <v>7</v>
      </c>
      <c r="O608" t="s">
        <v>51</v>
      </c>
      <c r="P608">
        <v>34.200000000000003</v>
      </c>
      <c r="Q608">
        <v>1642</v>
      </c>
      <c r="R608">
        <v>4</v>
      </c>
      <c r="S608">
        <v>1</v>
      </c>
      <c r="T608" t="s">
        <v>65</v>
      </c>
      <c r="U608" t="s">
        <v>37</v>
      </c>
      <c r="V608">
        <v>217748</v>
      </c>
      <c r="W608">
        <v>3.05</v>
      </c>
      <c r="X608">
        <v>5</v>
      </c>
    </row>
    <row r="609" spans="1:24" x14ac:dyDescent="0.3">
      <c r="A609" t="s">
        <v>24</v>
      </c>
      <c r="B609" t="s">
        <v>75</v>
      </c>
      <c r="C609">
        <v>2023</v>
      </c>
      <c r="D609" t="s">
        <v>26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27</v>
      </c>
      <c r="N609">
        <v>7</v>
      </c>
      <c r="O609" t="s">
        <v>50</v>
      </c>
      <c r="P609">
        <v>36.4</v>
      </c>
      <c r="Q609">
        <v>1606</v>
      </c>
      <c r="R609">
        <v>5</v>
      </c>
      <c r="S609">
        <v>2</v>
      </c>
      <c r="T609" t="s">
        <v>29</v>
      </c>
      <c r="U609" t="s">
        <v>37</v>
      </c>
      <c r="V609">
        <v>209760</v>
      </c>
      <c r="W609">
        <v>3.52</v>
      </c>
      <c r="X609">
        <v>3</v>
      </c>
    </row>
    <row r="610" spans="1:24" x14ac:dyDescent="0.3">
      <c r="A610" t="s">
        <v>68</v>
      </c>
      <c r="B610" t="s">
        <v>79</v>
      </c>
      <c r="C610">
        <v>2025</v>
      </c>
      <c r="D610" t="s">
        <v>26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27</v>
      </c>
      <c r="N610">
        <v>5</v>
      </c>
      <c r="O610" t="s">
        <v>35</v>
      </c>
      <c r="P610">
        <v>68.7</v>
      </c>
      <c r="Q610">
        <v>2249</v>
      </c>
      <c r="R610">
        <v>5</v>
      </c>
      <c r="S610">
        <v>1</v>
      </c>
      <c r="T610" t="s">
        <v>45</v>
      </c>
      <c r="U610" t="s">
        <v>30</v>
      </c>
      <c r="V610">
        <v>92278</v>
      </c>
      <c r="W610">
        <v>3.9</v>
      </c>
      <c r="X610">
        <v>3</v>
      </c>
    </row>
    <row r="611" spans="1:24" x14ac:dyDescent="0.3">
      <c r="A611" t="s">
        <v>38</v>
      </c>
      <c r="B611" t="s">
        <v>39</v>
      </c>
      <c r="C611">
        <v>2023</v>
      </c>
      <c r="D611" t="s">
        <v>56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34</v>
      </c>
      <c r="N611">
        <v>7</v>
      </c>
      <c r="O611" t="s">
        <v>35</v>
      </c>
      <c r="P611">
        <v>57.5</v>
      </c>
      <c r="Q611">
        <v>2174</v>
      </c>
      <c r="R611">
        <v>5</v>
      </c>
      <c r="S611">
        <v>0</v>
      </c>
      <c r="T611" t="s">
        <v>41</v>
      </c>
      <c r="U611" t="s">
        <v>37</v>
      </c>
      <c r="V611">
        <v>19280</v>
      </c>
      <c r="W611">
        <v>3.34</v>
      </c>
      <c r="X611">
        <v>3</v>
      </c>
    </row>
    <row r="612" spans="1:24" x14ac:dyDescent="0.3">
      <c r="A612" t="s">
        <v>46</v>
      </c>
      <c r="B612" t="s">
        <v>57</v>
      </c>
      <c r="C612">
        <v>2023</v>
      </c>
      <c r="D612" t="s">
        <v>44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27</v>
      </c>
      <c r="N612">
        <v>7</v>
      </c>
      <c r="O612" t="s">
        <v>51</v>
      </c>
      <c r="P612">
        <v>38</v>
      </c>
      <c r="Q612">
        <v>1852</v>
      </c>
      <c r="R612">
        <v>5</v>
      </c>
      <c r="S612">
        <v>2</v>
      </c>
      <c r="T612" t="s">
        <v>41</v>
      </c>
      <c r="U612" t="s">
        <v>33</v>
      </c>
      <c r="V612">
        <v>233601</v>
      </c>
      <c r="W612">
        <v>3.61</v>
      </c>
      <c r="X612">
        <v>5</v>
      </c>
    </row>
    <row r="613" spans="1:24" x14ac:dyDescent="0.3">
      <c r="A613" t="s">
        <v>76</v>
      </c>
      <c r="B613" t="s">
        <v>77</v>
      </c>
      <c r="C613">
        <v>2024</v>
      </c>
      <c r="D613" t="s">
        <v>33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27</v>
      </c>
      <c r="N613">
        <v>7</v>
      </c>
      <c r="O613" t="s">
        <v>50</v>
      </c>
      <c r="P613">
        <v>20.7</v>
      </c>
      <c r="Q613">
        <v>1832</v>
      </c>
      <c r="R613">
        <v>3</v>
      </c>
      <c r="S613">
        <v>1</v>
      </c>
      <c r="T613" t="s">
        <v>41</v>
      </c>
      <c r="U613" t="s">
        <v>33</v>
      </c>
      <c r="V613">
        <v>75873</v>
      </c>
      <c r="W613">
        <v>3.24</v>
      </c>
      <c r="X613">
        <v>5</v>
      </c>
    </row>
    <row r="614" spans="1:24" x14ac:dyDescent="0.3">
      <c r="A614" t="s">
        <v>83</v>
      </c>
      <c r="B614" t="s">
        <v>84</v>
      </c>
      <c r="C614">
        <v>2024</v>
      </c>
      <c r="D614" t="s">
        <v>56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34</v>
      </c>
      <c r="N614">
        <v>7</v>
      </c>
      <c r="O614" t="s">
        <v>58</v>
      </c>
      <c r="P614">
        <v>23.5</v>
      </c>
      <c r="Q614">
        <v>1500</v>
      </c>
      <c r="R614">
        <v>5</v>
      </c>
      <c r="S614">
        <v>1</v>
      </c>
      <c r="T614" t="s">
        <v>29</v>
      </c>
      <c r="U614" t="s">
        <v>33</v>
      </c>
      <c r="V614">
        <v>74771</v>
      </c>
      <c r="W614">
        <v>3.09</v>
      </c>
      <c r="X614">
        <v>6</v>
      </c>
    </row>
    <row r="615" spans="1:24" x14ac:dyDescent="0.3">
      <c r="A615" t="s">
        <v>46</v>
      </c>
      <c r="B615" t="s">
        <v>49</v>
      </c>
      <c r="C615">
        <v>2025</v>
      </c>
      <c r="D615" t="s">
        <v>44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48</v>
      </c>
      <c r="N615">
        <v>5</v>
      </c>
      <c r="O615" t="s">
        <v>35</v>
      </c>
      <c r="P615">
        <v>43</v>
      </c>
      <c r="Q615">
        <v>2400</v>
      </c>
      <c r="R615">
        <v>5</v>
      </c>
      <c r="S615">
        <v>2</v>
      </c>
      <c r="T615" t="s">
        <v>41</v>
      </c>
      <c r="U615" t="s">
        <v>66</v>
      </c>
      <c r="V615">
        <v>476519</v>
      </c>
      <c r="W615">
        <v>3.86</v>
      </c>
      <c r="X615">
        <v>5</v>
      </c>
    </row>
    <row r="616" spans="1:24" x14ac:dyDescent="0.3">
      <c r="A616" t="s">
        <v>86</v>
      </c>
      <c r="B616" t="s">
        <v>87</v>
      </c>
      <c r="C616">
        <v>2025</v>
      </c>
      <c r="D616" t="s">
        <v>56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34</v>
      </c>
      <c r="N616">
        <v>5</v>
      </c>
      <c r="O616" t="s">
        <v>58</v>
      </c>
      <c r="P616">
        <v>24.9</v>
      </c>
      <c r="Q616">
        <v>1712</v>
      </c>
      <c r="R616">
        <v>4</v>
      </c>
      <c r="S616">
        <v>2</v>
      </c>
      <c r="T616" t="s">
        <v>29</v>
      </c>
      <c r="U616" t="s">
        <v>33</v>
      </c>
      <c r="V616">
        <v>62437</v>
      </c>
      <c r="W616">
        <v>3.52</v>
      </c>
      <c r="X616">
        <v>8</v>
      </c>
    </row>
    <row r="617" spans="1:24" x14ac:dyDescent="0.3">
      <c r="A617" t="s">
        <v>94</v>
      </c>
      <c r="B617" t="s">
        <v>120</v>
      </c>
      <c r="C617">
        <v>2025</v>
      </c>
      <c r="D617" t="s">
        <v>44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27</v>
      </c>
      <c r="N617">
        <v>5</v>
      </c>
      <c r="O617" t="s">
        <v>35</v>
      </c>
      <c r="P617">
        <v>63.1</v>
      </c>
      <c r="Q617">
        <v>2353</v>
      </c>
      <c r="R617">
        <v>5</v>
      </c>
      <c r="S617">
        <v>0</v>
      </c>
      <c r="T617" t="s">
        <v>41</v>
      </c>
      <c r="U617" t="s">
        <v>30</v>
      </c>
      <c r="V617">
        <v>25421</v>
      </c>
      <c r="W617">
        <v>3.88</v>
      </c>
      <c r="X617">
        <v>4</v>
      </c>
    </row>
    <row r="618" spans="1:24" x14ac:dyDescent="0.3">
      <c r="A618" t="s">
        <v>46</v>
      </c>
      <c r="B618" t="s">
        <v>78</v>
      </c>
      <c r="C618">
        <v>2023</v>
      </c>
      <c r="D618" t="s">
        <v>61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34</v>
      </c>
      <c r="N618">
        <v>5</v>
      </c>
      <c r="O618" t="s">
        <v>35</v>
      </c>
      <c r="P618">
        <v>62.7</v>
      </c>
      <c r="Q618">
        <v>1838</v>
      </c>
      <c r="R618">
        <v>3</v>
      </c>
      <c r="S618">
        <v>2</v>
      </c>
      <c r="T618" t="s">
        <v>41</v>
      </c>
      <c r="U618" t="s">
        <v>37</v>
      </c>
      <c r="V618">
        <v>124556</v>
      </c>
      <c r="W618">
        <v>3.97</v>
      </c>
      <c r="X618">
        <v>4</v>
      </c>
    </row>
    <row r="619" spans="1:24" x14ac:dyDescent="0.3">
      <c r="A619" t="s">
        <v>63</v>
      </c>
      <c r="B619" t="s">
        <v>96</v>
      </c>
      <c r="C619">
        <v>2025</v>
      </c>
      <c r="D619" t="s">
        <v>56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34</v>
      </c>
      <c r="N619">
        <v>5</v>
      </c>
      <c r="O619" t="s">
        <v>40</v>
      </c>
      <c r="P619">
        <v>71.900000000000006</v>
      </c>
      <c r="Q619">
        <v>1500</v>
      </c>
      <c r="R619">
        <v>4</v>
      </c>
      <c r="S619">
        <v>0</v>
      </c>
      <c r="T619" t="s">
        <v>65</v>
      </c>
      <c r="U619" t="s">
        <v>66</v>
      </c>
      <c r="V619">
        <v>165718</v>
      </c>
      <c r="W619">
        <v>3.4</v>
      </c>
      <c r="X619">
        <v>4</v>
      </c>
    </row>
    <row r="620" spans="1:24" x14ac:dyDescent="0.3">
      <c r="A620" t="s">
        <v>76</v>
      </c>
      <c r="B620" t="s">
        <v>98</v>
      </c>
      <c r="C620">
        <v>2026</v>
      </c>
      <c r="D620" t="s">
        <v>56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48</v>
      </c>
      <c r="N620">
        <v>5</v>
      </c>
      <c r="O620" t="s">
        <v>50</v>
      </c>
      <c r="P620">
        <v>22.3</v>
      </c>
      <c r="Q620">
        <v>1668</v>
      </c>
      <c r="R620">
        <v>5</v>
      </c>
      <c r="S620">
        <v>1</v>
      </c>
      <c r="T620" t="s">
        <v>41</v>
      </c>
      <c r="U620" t="s">
        <v>37</v>
      </c>
      <c r="V620">
        <v>64449</v>
      </c>
      <c r="W620">
        <v>3.39</v>
      </c>
      <c r="X620">
        <v>5</v>
      </c>
    </row>
    <row r="621" spans="1:24" x14ac:dyDescent="0.3">
      <c r="A621" t="s">
        <v>38</v>
      </c>
      <c r="B621" t="s">
        <v>55</v>
      </c>
      <c r="C621">
        <v>2025</v>
      </c>
      <c r="D621" t="s">
        <v>61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34</v>
      </c>
      <c r="N621">
        <v>7</v>
      </c>
      <c r="O621" t="s">
        <v>35</v>
      </c>
      <c r="P621">
        <v>35.299999999999997</v>
      </c>
      <c r="Q621">
        <v>1903</v>
      </c>
      <c r="R621">
        <v>5</v>
      </c>
      <c r="S621">
        <v>2</v>
      </c>
      <c r="T621" t="s">
        <v>41</v>
      </c>
      <c r="U621" t="s">
        <v>37</v>
      </c>
      <c r="V621">
        <v>16439</v>
      </c>
      <c r="W621">
        <v>3.05</v>
      </c>
      <c r="X621">
        <v>4</v>
      </c>
    </row>
    <row r="622" spans="1:24" x14ac:dyDescent="0.3">
      <c r="A622" t="s">
        <v>46</v>
      </c>
      <c r="B622" t="s">
        <v>47</v>
      </c>
      <c r="C622">
        <v>2025</v>
      </c>
      <c r="D622" t="s">
        <v>33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27</v>
      </c>
      <c r="N622">
        <v>5</v>
      </c>
      <c r="O622" t="s">
        <v>58</v>
      </c>
      <c r="P622">
        <v>36.700000000000003</v>
      </c>
      <c r="Q622">
        <v>1557</v>
      </c>
      <c r="R622">
        <v>5</v>
      </c>
      <c r="S622">
        <v>2</v>
      </c>
      <c r="T622" t="s">
        <v>41</v>
      </c>
      <c r="U622" t="s">
        <v>30</v>
      </c>
      <c r="V622">
        <v>203592</v>
      </c>
      <c r="W622">
        <v>3.49</v>
      </c>
      <c r="X622">
        <v>5</v>
      </c>
    </row>
    <row r="623" spans="1:24" x14ac:dyDescent="0.3">
      <c r="A623" t="s">
        <v>63</v>
      </c>
      <c r="B623" t="s">
        <v>107</v>
      </c>
      <c r="C623">
        <v>2024</v>
      </c>
      <c r="D623" t="s">
        <v>26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27</v>
      </c>
      <c r="N623">
        <v>5</v>
      </c>
      <c r="O623" t="s">
        <v>50</v>
      </c>
      <c r="P623">
        <v>27.9</v>
      </c>
      <c r="Q623">
        <v>1638</v>
      </c>
      <c r="R623">
        <v>5</v>
      </c>
      <c r="S623">
        <v>0</v>
      </c>
      <c r="T623" t="s">
        <v>65</v>
      </c>
      <c r="U623" t="s">
        <v>37</v>
      </c>
      <c r="V623">
        <v>139526</v>
      </c>
      <c r="W623">
        <v>3.84</v>
      </c>
      <c r="X623">
        <v>5</v>
      </c>
    </row>
    <row r="624" spans="1:24" x14ac:dyDescent="0.3">
      <c r="A624" t="s">
        <v>24</v>
      </c>
      <c r="B624" t="s">
        <v>25</v>
      </c>
      <c r="C624">
        <v>2025</v>
      </c>
      <c r="D624" t="s">
        <v>61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27</v>
      </c>
      <c r="N624">
        <v>5</v>
      </c>
      <c r="O624" t="s">
        <v>58</v>
      </c>
      <c r="P624">
        <v>34.4</v>
      </c>
      <c r="Q624">
        <v>1500</v>
      </c>
      <c r="R624">
        <v>5</v>
      </c>
      <c r="S624">
        <v>1</v>
      </c>
      <c r="T624" t="s">
        <v>29</v>
      </c>
      <c r="U624" t="s">
        <v>37</v>
      </c>
      <c r="V624">
        <v>220284</v>
      </c>
      <c r="W624">
        <v>3.29</v>
      </c>
      <c r="X624">
        <v>4</v>
      </c>
    </row>
    <row r="625" spans="1:24" x14ac:dyDescent="0.3">
      <c r="A625" t="s">
        <v>68</v>
      </c>
      <c r="B625" t="s">
        <v>79</v>
      </c>
      <c r="C625">
        <v>2025</v>
      </c>
      <c r="D625" t="s">
        <v>56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48</v>
      </c>
      <c r="N625">
        <v>5</v>
      </c>
      <c r="O625" t="s">
        <v>35</v>
      </c>
      <c r="P625">
        <v>68.599999999999994</v>
      </c>
      <c r="Q625">
        <v>1992</v>
      </c>
      <c r="R625">
        <v>3</v>
      </c>
      <c r="S625">
        <v>0</v>
      </c>
      <c r="T625" t="s">
        <v>45</v>
      </c>
      <c r="U625" t="s">
        <v>37</v>
      </c>
      <c r="V625">
        <v>75225</v>
      </c>
      <c r="W625">
        <v>3.06</v>
      </c>
      <c r="X625">
        <v>5</v>
      </c>
    </row>
    <row r="626" spans="1:24" x14ac:dyDescent="0.3">
      <c r="A626" t="s">
        <v>42</v>
      </c>
      <c r="B626" t="s">
        <v>80</v>
      </c>
      <c r="C626">
        <v>2023</v>
      </c>
      <c r="D626" t="s">
        <v>56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34</v>
      </c>
      <c r="N626">
        <v>5</v>
      </c>
      <c r="O626" t="s">
        <v>35</v>
      </c>
      <c r="P626">
        <v>56.5</v>
      </c>
      <c r="Q626">
        <v>1815</v>
      </c>
      <c r="R626">
        <v>4</v>
      </c>
      <c r="S626">
        <v>1</v>
      </c>
      <c r="T626" t="s">
        <v>45</v>
      </c>
      <c r="U626" t="s">
        <v>33</v>
      </c>
      <c r="V626">
        <v>115671</v>
      </c>
      <c r="W626">
        <v>3.43</v>
      </c>
      <c r="X626">
        <v>4</v>
      </c>
    </row>
    <row r="627" spans="1:24" x14ac:dyDescent="0.3">
      <c r="A627" t="s">
        <v>24</v>
      </c>
      <c r="B627" t="s">
        <v>85</v>
      </c>
      <c r="C627">
        <v>2026</v>
      </c>
      <c r="D627" t="s">
        <v>61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48</v>
      </c>
      <c r="N627">
        <v>7</v>
      </c>
      <c r="O627" t="s">
        <v>40</v>
      </c>
      <c r="P627">
        <v>67.099999999999994</v>
      </c>
      <c r="Q627">
        <v>1542</v>
      </c>
      <c r="R627">
        <v>5</v>
      </c>
      <c r="S627">
        <v>1</v>
      </c>
      <c r="T627" t="s">
        <v>29</v>
      </c>
      <c r="U627" t="s">
        <v>37</v>
      </c>
      <c r="V627">
        <v>299992</v>
      </c>
      <c r="W627">
        <v>3.38</v>
      </c>
      <c r="X627">
        <v>4</v>
      </c>
    </row>
    <row r="628" spans="1:24" x14ac:dyDescent="0.3">
      <c r="A628" t="s">
        <v>68</v>
      </c>
      <c r="B628" t="s">
        <v>79</v>
      </c>
      <c r="C628">
        <v>2023</v>
      </c>
      <c r="D628" t="s">
        <v>61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48</v>
      </c>
      <c r="N628">
        <v>7</v>
      </c>
      <c r="O628" t="s">
        <v>40</v>
      </c>
      <c r="P628">
        <v>77.2</v>
      </c>
      <c r="Q628">
        <v>1709</v>
      </c>
      <c r="R628">
        <v>4</v>
      </c>
      <c r="S628">
        <v>0</v>
      </c>
      <c r="T628" t="s">
        <v>45</v>
      </c>
      <c r="U628" t="s">
        <v>33</v>
      </c>
      <c r="V628">
        <v>139935</v>
      </c>
      <c r="W628">
        <v>3.2</v>
      </c>
      <c r="X628">
        <v>3</v>
      </c>
    </row>
    <row r="629" spans="1:24" x14ac:dyDescent="0.3">
      <c r="A629" t="s">
        <v>38</v>
      </c>
      <c r="B629" t="s">
        <v>55</v>
      </c>
      <c r="C629">
        <v>2026</v>
      </c>
      <c r="D629" t="s">
        <v>61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48</v>
      </c>
      <c r="N629">
        <v>7</v>
      </c>
      <c r="O629" t="s">
        <v>28</v>
      </c>
      <c r="P629">
        <v>71.900000000000006</v>
      </c>
      <c r="Q629">
        <v>2378</v>
      </c>
      <c r="R629">
        <v>5</v>
      </c>
      <c r="S629">
        <v>0</v>
      </c>
      <c r="T629" t="s">
        <v>41</v>
      </c>
      <c r="U629" t="s">
        <v>37</v>
      </c>
      <c r="V629">
        <v>11602</v>
      </c>
      <c r="W629">
        <v>3.26</v>
      </c>
      <c r="X629">
        <v>4</v>
      </c>
    </row>
    <row r="630" spans="1:24" x14ac:dyDescent="0.3">
      <c r="A630" t="s">
        <v>46</v>
      </c>
      <c r="B630" t="s">
        <v>57</v>
      </c>
      <c r="C630">
        <v>2025</v>
      </c>
      <c r="D630" t="s">
        <v>61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34</v>
      </c>
      <c r="N630">
        <v>7</v>
      </c>
      <c r="O630" t="s">
        <v>58</v>
      </c>
      <c r="P630">
        <v>37.799999999999997</v>
      </c>
      <c r="Q630">
        <v>1513</v>
      </c>
      <c r="R630">
        <v>5</v>
      </c>
      <c r="S630">
        <v>3</v>
      </c>
      <c r="T630" t="s">
        <v>41</v>
      </c>
      <c r="U630" t="s">
        <v>33</v>
      </c>
      <c r="V630">
        <v>148099</v>
      </c>
      <c r="W630">
        <v>3.93</v>
      </c>
      <c r="X630">
        <v>6</v>
      </c>
    </row>
    <row r="631" spans="1:24" x14ac:dyDescent="0.3">
      <c r="A631" t="s">
        <v>63</v>
      </c>
      <c r="B631" t="s">
        <v>67</v>
      </c>
      <c r="C631">
        <v>2025</v>
      </c>
      <c r="D631" t="s">
        <v>44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27</v>
      </c>
      <c r="N631">
        <v>5</v>
      </c>
      <c r="O631" t="s">
        <v>28</v>
      </c>
      <c r="P631">
        <v>68.2</v>
      </c>
      <c r="Q631">
        <v>2527</v>
      </c>
      <c r="R631">
        <v>3</v>
      </c>
      <c r="S631">
        <v>1</v>
      </c>
      <c r="T631" t="s">
        <v>65</v>
      </c>
      <c r="U631" t="s">
        <v>33</v>
      </c>
      <c r="V631">
        <v>204628</v>
      </c>
      <c r="W631">
        <v>3.58</v>
      </c>
      <c r="X631">
        <v>3</v>
      </c>
    </row>
    <row r="632" spans="1:24" x14ac:dyDescent="0.3">
      <c r="A632" t="s">
        <v>38</v>
      </c>
      <c r="B632" t="s">
        <v>101</v>
      </c>
      <c r="C632">
        <v>2021</v>
      </c>
      <c r="D632" t="s">
        <v>61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48</v>
      </c>
      <c r="N632">
        <v>5</v>
      </c>
      <c r="O632" t="s">
        <v>40</v>
      </c>
      <c r="P632">
        <v>64.7</v>
      </c>
      <c r="Q632">
        <v>1615</v>
      </c>
      <c r="R632">
        <v>5</v>
      </c>
      <c r="S632">
        <v>0</v>
      </c>
      <c r="T632" t="s">
        <v>41</v>
      </c>
      <c r="U632" t="s">
        <v>37</v>
      </c>
      <c r="V632">
        <v>22786</v>
      </c>
      <c r="W632">
        <v>3.51</v>
      </c>
      <c r="X632">
        <v>4</v>
      </c>
    </row>
    <row r="633" spans="1:24" x14ac:dyDescent="0.3">
      <c r="A633" t="s">
        <v>86</v>
      </c>
      <c r="B633" t="s">
        <v>108</v>
      </c>
      <c r="C633">
        <v>2023</v>
      </c>
      <c r="D633" t="s">
        <v>61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27</v>
      </c>
      <c r="N633">
        <v>5</v>
      </c>
      <c r="O633" t="s">
        <v>40</v>
      </c>
      <c r="P633">
        <v>72.2</v>
      </c>
      <c r="Q633">
        <v>1632</v>
      </c>
      <c r="R633">
        <v>4</v>
      </c>
      <c r="S633">
        <v>1</v>
      </c>
      <c r="T633" t="s">
        <v>29</v>
      </c>
      <c r="U633" t="s">
        <v>37</v>
      </c>
      <c r="V633">
        <v>25175</v>
      </c>
      <c r="W633">
        <v>3.27</v>
      </c>
      <c r="X633">
        <v>6</v>
      </c>
    </row>
    <row r="634" spans="1:24" x14ac:dyDescent="0.3">
      <c r="A634" t="s">
        <v>68</v>
      </c>
      <c r="B634" t="s">
        <v>69</v>
      </c>
      <c r="C634">
        <v>2024</v>
      </c>
      <c r="D634" t="s">
        <v>44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34</v>
      </c>
      <c r="N634">
        <v>7</v>
      </c>
      <c r="O634" t="s">
        <v>40</v>
      </c>
      <c r="P634">
        <v>72.599999999999994</v>
      </c>
      <c r="Q634">
        <v>1741</v>
      </c>
      <c r="R634">
        <v>4</v>
      </c>
      <c r="S634">
        <v>0</v>
      </c>
      <c r="T634" t="s">
        <v>45</v>
      </c>
      <c r="U634" t="s">
        <v>33</v>
      </c>
      <c r="V634">
        <v>59668</v>
      </c>
      <c r="W634">
        <v>3.91</v>
      </c>
      <c r="X634">
        <v>3</v>
      </c>
    </row>
    <row r="635" spans="1:24" x14ac:dyDescent="0.3">
      <c r="A635" t="s">
        <v>68</v>
      </c>
      <c r="B635" t="s">
        <v>106</v>
      </c>
      <c r="C635">
        <v>2022</v>
      </c>
      <c r="D635" t="s">
        <v>26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27</v>
      </c>
      <c r="N635">
        <v>5</v>
      </c>
      <c r="O635" t="s">
        <v>58</v>
      </c>
      <c r="P635">
        <v>37</v>
      </c>
      <c r="Q635">
        <v>1500</v>
      </c>
      <c r="R635">
        <v>5</v>
      </c>
      <c r="S635">
        <v>1</v>
      </c>
      <c r="T635" t="s">
        <v>45</v>
      </c>
      <c r="U635" t="s">
        <v>33</v>
      </c>
      <c r="V635">
        <v>72070</v>
      </c>
      <c r="W635">
        <v>3.48</v>
      </c>
      <c r="X635">
        <v>4</v>
      </c>
    </row>
    <row r="636" spans="1:24" x14ac:dyDescent="0.3">
      <c r="A636" t="s">
        <v>46</v>
      </c>
      <c r="B636" t="s">
        <v>49</v>
      </c>
      <c r="C636">
        <v>2025</v>
      </c>
      <c r="D636" t="s">
        <v>44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48</v>
      </c>
      <c r="N636">
        <v>5</v>
      </c>
      <c r="O636" t="s">
        <v>50</v>
      </c>
      <c r="P636">
        <v>37.5</v>
      </c>
      <c r="Q636">
        <v>1742</v>
      </c>
      <c r="R636">
        <v>4</v>
      </c>
      <c r="S636">
        <v>3</v>
      </c>
      <c r="T636" t="s">
        <v>41</v>
      </c>
      <c r="U636" t="s">
        <v>37</v>
      </c>
      <c r="V636">
        <v>427732</v>
      </c>
      <c r="W636">
        <v>4.21</v>
      </c>
      <c r="X636">
        <v>4</v>
      </c>
    </row>
    <row r="637" spans="1:24" x14ac:dyDescent="0.3">
      <c r="A637" t="s">
        <v>24</v>
      </c>
      <c r="B637" t="s">
        <v>70</v>
      </c>
      <c r="C637">
        <v>2025</v>
      </c>
      <c r="D637" t="s">
        <v>26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27</v>
      </c>
      <c r="N637">
        <v>5</v>
      </c>
      <c r="O637" t="s">
        <v>51</v>
      </c>
      <c r="P637">
        <v>37.299999999999997</v>
      </c>
      <c r="Q637">
        <v>1500</v>
      </c>
      <c r="R637">
        <v>4</v>
      </c>
      <c r="S637">
        <v>1</v>
      </c>
      <c r="T637" t="s">
        <v>29</v>
      </c>
      <c r="U637" t="s">
        <v>33</v>
      </c>
      <c r="V637">
        <v>206750</v>
      </c>
      <c r="W637">
        <v>3.64</v>
      </c>
      <c r="X637">
        <v>3</v>
      </c>
    </row>
    <row r="638" spans="1:24" x14ac:dyDescent="0.3">
      <c r="A638" t="s">
        <v>68</v>
      </c>
      <c r="B638" t="s">
        <v>109</v>
      </c>
      <c r="C638">
        <v>2024</v>
      </c>
      <c r="D638" t="s">
        <v>33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27</v>
      </c>
      <c r="N638">
        <v>7</v>
      </c>
      <c r="O638" t="s">
        <v>50</v>
      </c>
      <c r="P638">
        <v>18.5</v>
      </c>
      <c r="Q638">
        <v>1548</v>
      </c>
      <c r="R638">
        <v>5</v>
      </c>
      <c r="S638">
        <v>0</v>
      </c>
      <c r="T638" t="s">
        <v>45</v>
      </c>
      <c r="U638" t="s">
        <v>37</v>
      </c>
      <c r="V638">
        <v>143645</v>
      </c>
      <c r="W638">
        <v>3.36</v>
      </c>
      <c r="X638">
        <v>4</v>
      </c>
    </row>
    <row r="639" spans="1:24" x14ac:dyDescent="0.3">
      <c r="A639" t="s">
        <v>63</v>
      </c>
      <c r="B639" t="s">
        <v>96</v>
      </c>
      <c r="C639">
        <v>2025</v>
      </c>
      <c r="D639" t="s">
        <v>56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34</v>
      </c>
      <c r="N639">
        <v>7</v>
      </c>
      <c r="O639" t="s">
        <v>50</v>
      </c>
      <c r="P639">
        <v>15.2</v>
      </c>
      <c r="Q639">
        <v>1600</v>
      </c>
      <c r="R639">
        <v>4</v>
      </c>
      <c r="S639">
        <v>0</v>
      </c>
      <c r="T639" t="s">
        <v>65</v>
      </c>
      <c r="U639" t="s">
        <v>37</v>
      </c>
      <c r="V639">
        <v>212512</v>
      </c>
      <c r="W639">
        <v>3.12</v>
      </c>
      <c r="X639">
        <v>3</v>
      </c>
    </row>
    <row r="640" spans="1:24" x14ac:dyDescent="0.3">
      <c r="A640" t="s">
        <v>63</v>
      </c>
      <c r="B640" t="s">
        <v>73</v>
      </c>
      <c r="C640">
        <v>2024</v>
      </c>
      <c r="D640" t="s">
        <v>56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48</v>
      </c>
      <c r="N640">
        <v>5</v>
      </c>
      <c r="O640" t="s">
        <v>58</v>
      </c>
      <c r="P640">
        <v>18.399999999999999</v>
      </c>
      <c r="Q640">
        <v>1597</v>
      </c>
      <c r="R640">
        <v>5</v>
      </c>
      <c r="S640">
        <v>0</v>
      </c>
      <c r="T640" t="s">
        <v>65</v>
      </c>
      <c r="U640" t="s">
        <v>33</v>
      </c>
      <c r="V640">
        <v>121424</v>
      </c>
      <c r="W640">
        <v>3.25</v>
      </c>
      <c r="X640">
        <v>3</v>
      </c>
    </row>
    <row r="641" spans="1:24" x14ac:dyDescent="0.3">
      <c r="A641" t="s">
        <v>24</v>
      </c>
      <c r="B641" t="s">
        <v>74</v>
      </c>
      <c r="C641">
        <v>2023</v>
      </c>
      <c r="D641" t="s">
        <v>26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34</v>
      </c>
      <c r="N641">
        <v>7</v>
      </c>
      <c r="O641" t="s">
        <v>58</v>
      </c>
      <c r="P641">
        <v>30.5</v>
      </c>
      <c r="Q641">
        <v>1792</v>
      </c>
      <c r="R641">
        <v>4</v>
      </c>
      <c r="S641">
        <v>0</v>
      </c>
      <c r="T641" t="s">
        <v>29</v>
      </c>
      <c r="U641" t="s">
        <v>37</v>
      </c>
      <c r="V641">
        <v>298301</v>
      </c>
      <c r="W641">
        <v>3.59</v>
      </c>
      <c r="X641">
        <v>3</v>
      </c>
    </row>
    <row r="642" spans="1:24" x14ac:dyDescent="0.3">
      <c r="A642" t="s">
        <v>46</v>
      </c>
      <c r="B642" t="s">
        <v>47</v>
      </c>
      <c r="C642">
        <v>2024</v>
      </c>
      <c r="D642" t="s">
        <v>44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48</v>
      </c>
      <c r="N642">
        <v>5</v>
      </c>
      <c r="O642" t="s">
        <v>51</v>
      </c>
      <c r="P642">
        <v>29.7</v>
      </c>
      <c r="Q642">
        <v>1536</v>
      </c>
      <c r="R642">
        <v>5</v>
      </c>
      <c r="S642">
        <v>2</v>
      </c>
      <c r="T642" t="s">
        <v>41</v>
      </c>
      <c r="U642" t="s">
        <v>33</v>
      </c>
      <c r="V642">
        <v>201869</v>
      </c>
      <c r="W642">
        <v>3.99</v>
      </c>
      <c r="X642">
        <v>5</v>
      </c>
    </row>
    <row r="643" spans="1:24" x14ac:dyDescent="0.3">
      <c r="A643" t="s">
        <v>63</v>
      </c>
      <c r="B643" t="s">
        <v>82</v>
      </c>
      <c r="C643">
        <v>2021</v>
      </c>
      <c r="D643" t="s">
        <v>33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27</v>
      </c>
      <c r="N643">
        <v>5</v>
      </c>
      <c r="O643" t="s">
        <v>35</v>
      </c>
      <c r="P643">
        <v>55.1</v>
      </c>
      <c r="Q643">
        <v>2155</v>
      </c>
      <c r="R643">
        <v>4</v>
      </c>
      <c r="S643">
        <v>1</v>
      </c>
      <c r="T643" t="s">
        <v>65</v>
      </c>
      <c r="U643" t="s">
        <v>66</v>
      </c>
      <c r="V643">
        <v>173134</v>
      </c>
      <c r="W643">
        <v>3.1</v>
      </c>
      <c r="X643">
        <v>4</v>
      </c>
    </row>
    <row r="644" spans="1:24" x14ac:dyDescent="0.3">
      <c r="A644" t="s">
        <v>63</v>
      </c>
      <c r="B644" t="s">
        <v>67</v>
      </c>
      <c r="C644">
        <v>2023</v>
      </c>
      <c r="D644" t="s">
        <v>26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48</v>
      </c>
      <c r="N644">
        <v>5</v>
      </c>
      <c r="O644" t="s">
        <v>58</v>
      </c>
      <c r="P644">
        <v>38.9</v>
      </c>
      <c r="Q644">
        <v>1665</v>
      </c>
      <c r="R644">
        <v>4</v>
      </c>
      <c r="S644">
        <v>0</v>
      </c>
      <c r="T644" t="s">
        <v>65</v>
      </c>
      <c r="U644" t="s">
        <v>37</v>
      </c>
      <c r="V644">
        <v>207361</v>
      </c>
      <c r="W644">
        <v>3.74</v>
      </c>
      <c r="X644">
        <v>4</v>
      </c>
    </row>
    <row r="645" spans="1:24" x14ac:dyDescent="0.3">
      <c r="A645" t="s">
        <v>63</v>
      </c>
      <c r="B645" t="s">
        <v>67</v>
      </c>
      <c r="C645">
        <v>2022</v>
      </c>
      <c r="D645" t="s">
        <v>33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48</v>
      </c>
      <c r="N645">
        <v>5</v>
      </c>
      <c r="O645" t="s">
        <v>35</v>
      </c>
      <c r="P645">
        <v>37.799999999999997</v>
      </c>
      <c r="Q645">
        <v>1887</v>
      </c>
      <c r="R645">
        <v>5</v>
      </c>
      <c r="S645">
        <v>1</v>
      </c>
      <c r="T645" t="s">
        <v>65</v>
      </c>
      <c r="U645" t="s">
        <v>30</v>
      </c>
      <c r="V645">
        <v>201045</v>
      </c>
      <c r="W645">
        <v>3.64</v>
      </c>
      <c r="X645">
        <v>3</v>
      </c>
    </row>
    <row r="646" spans="1:24" x14ac:dyDescent="0.3">
      <c r="A646" t="s">
        <v>46</v>
      </c>
      <c r="B646" t="s">
        <v>47</v>
      </c>
      <c r="C646">
        <v>2025</v>
      </c>
      <c r="D646" t="s">
        <v>33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48</v>
      </c>
      <c r="N646">
        <v>5</v>
      </c>
      <c r="O646" t="s">
        <v>51</v>
      </c>
      <c r="P646">
        <v>21.2</v>
      </c>
      <c r="Q646">
        <v>1756</v>
      </c>
      <c r="R646">
        <v>5</v>
      </c>
      <c r="S646">
        <v>3</v>
      </c>
      <c r="T646" t="s">
        <v>41</v>
      </c>
      <c r="U646" t="s">
        <v>30</v>
      </c>
      <c r="V646">
        <v>245844</v>
      </c>
      <c r="W646">
        <v>3.7</v>
      </c>
      <c r="X646">
        <v>5</v>
      </c>
    </row>
    <row r="647" spans="1:24" x14ac:dyDescent="0.3">
      <c r="A647" t="s">
        <v>86</v>
      </c>
      <c r="B647" t="s">
        <v>108</v>
      </c>
      <c r="C647">
        <v>2024</v>
      </c>
      <c r="D647" t="s">
        <v>61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48</v>
      </c>
      <c r="N647">
        <v>7</v>
      </c>
      <c r="O647" t="s">
        <v>35</v>
      </c>
      <c r="P647">
        <v>53.4</v>
      </c>
      <c r="Q647">
        <v>2242</v>
      </c>
      <c r="R647">
        <v>5</v>
      </c>
      <c r="S647">
        <v>2</v>
      </c>
      <c r="T647" t="s">
        <v>29</v>
      </c>
      <c r="U647" t="s">
        <v>37</v>
      </c>
      <c r="V647">
        <v>41240</v>
      </c>
      <c r="W647">
        <v>3.53</v>
      </c>
      <c r="X647">
        <v>8</v>
      </c>
    </row>
    <row r="648" spans="1:24" x14ac:dyDescent="0.3">
      <c r="A648" t="s">
        <v>42</v>
      </c>
      <c r="B648" t="s">
        <v>115</v>
      </c>
      <c r="C648">
        <v>2024</v>
      </c>
      <c r="D648" t="s">
        <v>26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48</v>
      </c>
      <c r="N648">
        <v>7</v>
      </c>
      <c r="O648" t="s">
        <v>50</v>
      </c>
      <c r="P648">
        <v>23.8</v>
      </c>
      <c r="Q648">
        <v>1907</v>
      </c>
      <c r="R648">
        <v>4</v>
      </c>
      <c r="S648">
        <v>2</v>
      </c>
      <c r="T648" t="s">
        <v>45</v>
      </c>
      <c r="U648" t="s">
        <v>33</v>
      </c>
      <c r="V648">
        <v>86275</v>
      </c>
      <c r="W648">
        <v>3.61</v>
      </c>
      <c r="X648">
        <v>3</v>
      </c>
    </row>
    <row r="649" spans="1:24" x14ac:dyDescent="0.3">
      <c r="A649" t="s">
        <v>83</v>
      </c>
      <c r="B649" t="s">
        <v>104</v>
      </c>
      <c r="C649">
        <v>2023</v>
      </c>
      <c r="D649" t="s">
        <v>56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34</v>
      </c>
      <c r="N649">
        <v>7</v>
      </c>
      <c r="O649" t="s">
        <v>58</v>
      </c>
      <c r="P649">
        <v>27.3</v>
      </c>
      <c r="Q649">
        <v>1509</v>
      </c>
      <c r="R649">
        <v>5</v>
      </c>
      <c r="S649">
        <v>2</v>
      </c>
      <c r="T649" t="s">
        <v>29</v>
      </c>
      <c r="U649" t="s">
        <v>33</v>
      </c>
      <c r="V649">
        <v>22686</v>
      </c>
      <c r="W649">
        <v>3</v>
      </c>
      <c r="X649">
        <v>7</v>
      </c>
    </row>
    <row r="650" spans="1:24" x14ac:dyDescent="0.3">
      <c r="A650" t="s">
        <v>76</v>
      </c>
      <c r="B650" t="s">
        <v>77</v>
      </c>
      <c r="C650">
        <v>2023</v>
      </c>
      <c r="D650" t="s">
        <v>33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27</v>
      </c>
      <c r="N650">
        <v>7</v>
      </c>
      <c r="O650" t="s">
        <v>58</v>
      </c>
      <c r="P650">
        <v>15.4</v>
      </c>
      <c r="Q650">
        <v>1576</v>
      </c>
      <c r="R650">
        <v>5</v>
      </c>
      <c r="S650">
        <v>1</v>
      </c>
      <c r="T650" t="s">
        <v>41</v>
      </c>
      <c r="U650" t="s">
        <v>37</v>
      </c>
      <c r="V650">
        <v>52208</v>
      </c>
      <c r="W650">
        <v>3.39</v>
      </c>
      <c r="X650">
        <v>4</v>
      </c>
    </row>
    <row r="651" spans="1:24" x14ac:dyDescent="0.3">
      <c r="A651" t="s">
        <v>68</v>
      </c>
      <c r="B651" t="s">
        <v>79</v>
      </c>
      <c r="C651">
        <v>2024</v>
      </c>
      <c r="D651" t="s">
        <v>61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34</v>
      </c>
      <c r="N651">
        <v>7</v>
      </c>
      <c r="O651" t="s">
        <v>35</v>
      </c>
      <c r="P651">
        <v>41.7</v>
      </c>
      <c r="Q651">
        <v>1827</v>
      </c>
      <c r="R651">
        <v>5</v>
      </c>
      <c r="S651">
        <v>1</v>
      </c>
      <c r="T651" t="s">
        <v>45</v>
      </c>
      <c r="U651" t="s">
        <v>37</v>
      </c>
      <c r="V651">
        <v>85467</v>
      </c>
      <c r="W651">
        <v>3.29</v>
      </c>
      <c r="X651">
        <v>5</v>
      </c>
    </row>
    <row r="652" spans="1:24" x14ac:dyDescent="0.3">
      <c r="A652" t="s">
        <v>46</v>
      </c>
      <c r="B652" t="s">
        <v>47</v>
      </c>
      <c r="C652">
        <v>2023</v>
      </c>
      <c r="D652" t="s">
        <v>61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34</v>
      </c>
      <c r="N652">
        <v>5</v>
      </c>
      <c r="O652" t="s">
        <v>50</v>
      </c>
      <c r="P652">
        <v>24.7</v>
      </c>
      <c r="Q652">
        <v>1779</v>
      </c>
      <c r="R652">
        <v>4</v>
      </c>
      <c r="S652">
        <v>3</v>
      </c>
      <c r="T652" t="s">
        <v>41</v>
      </c>
      <c r="U652" t="s">
        <v>30</v>
      </c>
      <c r="V652">
        <v>165942</v>
      </c>
      <c r="W652">
        <v>3.71</v>
      </c>
      <c r="X652">
        <v>5</v>
      </c>
    </row>
    <row r="653" spans="1:24" x14ac:dyDescent="0.3">
      <c r="A653" t="s">
        <v>68</v>
      </c>
      <c r="B653" t="s">
        <v>109</v>
      </c>
      <c r="C653">
        <v>2024</v>
      </c>
      <c r="D653" t="s">
        <v>56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34</v>
      </c>
      <c r="N653">
        <v>5</v>
      </c>
      <c r="O653" t="s">
        <v>40</v>
      </c>
      <c r="P653">
        <v>65.599999999999994</v>
      </c>
      <c r="Q653">
        <v>1663</v>
      </c>
      <c r="R653">
        <v>4</v>
      </c>
      <c r="S653">
        <v>2</v>
      </c>
      <c r="T653" t="s">
        <v>45</v>
      </c>
      <c r="U653" t="s">
        <v>37</v>
      </c>
      <c r="V653">
        <v>117101</v>
      </c>
      <c r="W653">
        <v>3.46</v>
      </c>
      <c r="X653">
        <v>4</v>
      </c>
    </row>
    <row r="654" spans="1:24" x14ac:dyDescent="0.3">
      <c r="A654" t="s">
        <v>42</v>
      </c>
      <c r="B654" t="s">
        <v>54</v>
      </c>
      <c r="C654">
        <v>2021</v>
      </c>
      <c r="D654" t="s">
        <v>33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48</v>
      </c>
      <c r="N654">
        <v>5</v>
      </c>
      <c r="O654" t="s">
        <v>40</v>
      </c>
      <c r="P654">
        <v>71.2</v>
      </c>
      <c r="Q654">
        <v>1660</v>
      </c>
      <c r="R654">
        <v>4</v>
      </c>
      <c r="S654">
        <v>0</v>
      </c>
      <c r="T654" t="s">
        <v>45</v>
      </c>
      <c r="U654" t="s">
        <v>30</v>
      </c>
      <c r="V654">
        <v>89918</v>
      </c>
      <c r="W654">
        <v>3.29</v>
      </c>
      <c r="X654">
        <v>4</v>
      </c>
    </row>
    <row r="655" spans="1:24" x14ac:dyDescent="0.3">
      <c r="A655" t="s">
        <v>38</v>
      </c>
      <c r="B655" t="s">
        <v>55</v>
      </c>
      <c r="C655">
        <v>2022</v>
      </c>
      <c r="D655" t="s">
        <v>44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34</v>
      </c>
      <c r="N655">
        <v>5</v>
      </c>
      <c r="O655" t="s">
        <v>40</v>
      </c>
      <c r="P655">
        <v>66.900000000000006</v>
      </c>
      <c r="Q655">
        <v>1708</v>
      </c>
      <c r="R655">
        <v>5</v>
      </c>
      <c r="S655">
        <v>2</v>
      </c>
      <c r="T655" t="s">
        <v>41</v>
      </c>
      <c r="U655" t="s">
        <v>37</v>
      </c>
      <c r="V655">
        <v>18445</v>
      </c>
      <c r="W655">
        <v>3.56</v>
      </c>
      <c r="X655">
        <v>4</v>
      </c>
    </row>
    <row r="656" spans="1:24" x14ac:dyDescent="0.3">
      <c r="A656" t="s">
        <v>24</v>
      </c>
      <c r="B656" t="s">
        <v>25</v>
      </c>
      <c r="C656">
        <v>2025</v>
      </c>
      <c r="D656" t="s">
        <v>26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48</v>
      </c>
      <c r="N656">
        <v>7</v>
      </c>
      <c r="O656" t="s">
        <v>40</v>
      </c>
      <c r="P656">
        <v>67.8</v>
      </c>
      <c r="Q656">
        <v>1781</v>
      </c>
      <c r="R656">
        <v>3</v>
      </c>
      <c r="S656">
        <v>0</v>
      </c>
      <c r="T656" t="s">
        <v>29</v>
      </c>
      <c r="U656" t="s">
        <v>37</v>
      </c>
      <c r="V656">
        <v>241176</v>
      </c>
      <c r="W656">
        <v>3.98</v>
      </c>
      <c r="X656">
        <v>3</v>
      </c>
    </row>
    <row r="657" spans="1:24" x14ac:dyDescent="0.3">
      <c r="A657" t="s">
        <v>46</v>
      </c>
      <c r="B657" t="s">
        <v>72</v>
      </c>
      <c r="C657">
        <v>2024</v>
      </c>
      <c r="D657" t="s">
        <v>26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48</v>
      </c>
      <c r="N657">
        <v>7</v>
      </c>
      <c r="O657" t="s">
        <v>28</v>
      </c>
      <c r="P657">
        <v>67.400000000000006</v>
      </c>
      <c r="Q657">
        <v>2274</v>
      </c>
      <c r="R657">
        <v>4</v>
      </c>
      <c r="S657">
        <v>3</v>
      </c>
      <c r="T657" t="s">
        <v>41</v>
      </c>
      <c r="U657" t="s">
        <v>30</v>
      </c>
      <c r="V657">
        <v>239165</v>
      </c>
      <c r="W657">
        <v>4.2699999999999996</v>
      </c>
      <c r="X657">
        <v>5</v>
      </c>
    </row>
    <row r="658" spans="1:24" x14ac:dyDescent="0.3">
      <c r="A658" t="s">
        <v>63</v>
      </c>
      <c r="B658" t="s">
        <v>82</v>
      </c>
      <c r="C658">
        <v>2025</v>
      </c>
      <c r="D658" t="s">
        <v>61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27</v>
      </c>
      <c r="N658">
        <v>7</v>
      </c>
      <c r="O658" t="s">
        <v>58</v>
      </c>
      <c r="P658">
        <v>39.5</v>
      </c>
      <c r="Q658">
        <v>1698</v>
      </c>
      <c r="R658">
        <v>4</v>
      </c>
      <c r="S658">
        <v>1</v>
      </c>
      <c r="T658" t="s">
        <v>65</v>
      </c>
      <c r="U658" t="s">
        <v>66</v>
      </c>
      <c r="V658">
        <v>210399</v>
      </c>
      <c r="W658">
        <v>3.56</v>
      </c>
      <c r="X658">
        <v>4</v>
      </c>
    </row>
    <row r="659" spans="1:24" x14ac:dyDescent="0.3">
      <c r="A659" t="s">
        <v>24</v>
      </c>
      <c r="B659" t="s">
        <v>25</v>
      </c>
      <c r="C659">
        <v>2023</v>
      </c>
      <c r="D659" t="s">
        <v>56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34</v>
      </c>
      <c r="N659">
        <v>5</v>
      </c>
      <c r="O659" t="s">
        <v>58</v>
      </c>
      <c r="P659">
        <v>30.7</v>
      </c>
      <c r="Q659">
        <v>1500</v>
      </c>
      <c r="R659">
        <v>5</v>
      </c>
      <c r="S659">
        <v>0</v>
      </c>
      <c r="T659" t="s">
        <v>29</v>
      </c>
      <c r="U659" t="s">
        <v>66</v>
      </c>
      <c r="V659">
        <v>272903</v>
      </c>
      <c r="W659">
        <v>3.24</v>
      </c>
      <c r="X659">
        <v>3</v>
      </c>
    </row>
    <row r="660" spans="1:24" x14ac:dyDescent="0.3">
      <c r="A660" t="s">
        <v>83</v>
      </c>
      <c r="B660" t="s">
        <v>104</v>
      </c>
      <c r="C660">
        <v>2026</v>
      </c>
      <c r="D660" t="s">
        <v>61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48</v>
      </c>
      <c r="N660">
        <v>7</v>
      </c>
      <c r="O660" t="s">
        <v>40</v>
      </c>
      <c r="P660">
        <v>66</v>
      </c>
      <c r="Q660">
        <v>1641</v>
      </c>
      <c r="R660">
        <v>4</v>
      </c>
      <c r="S660">
        <v>1</v>
      </c>
      <c r="T660" t="s">
        <v>29</v>
      </c>
      <c r="U660" t="s">
        <v>30</v>
      </c>
      <c r="V660">
        <v>20689</v>
      </c>
      <c r="W660">
        <v>3.65</v>
      </c>
      <c r="X660">
        <v>7</v>
      </c>
    </row>
    <row r="661" spans="1:24" x14ac:dyDescent="0.3">
      <c r="A661" t="s">
        <v>42</v>
      </c>
      <c r="B661" t="s">
        <v>43</v>
      </c>
      <c r="C661">
        <v>2024</v>
      </c>
      <c r="D661" t="s">
        <v>61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48</v>
      </c>
      <c r="N661">
        <v>5</v>
      </c>
      <c r="O661" t="s">
        <v>35</v>
      </c>
      <c r="P661">
        <v>55.4</v>
      </c>
      <c r="Q661">
        <v>2177</v>
      </c>
      <c r="R661">
        <v>4</v>
      </c>
      <c r="S661">
        <v>0</v>
      </c>
      <c r="T661" t="s">
        <v>45</v>
      </c>
      <c r="U661" t="s">
        <v>37</v>
      </c>
      <c r="V661">
        <v>135755</v>
      </c>
      <c r="W661">
        <v>3.26</v>
      </c>
      <c r="X661">
        <v>4</v>
      </c>
    </row>
    <row r="662" spans="1:24" x14ac:dyDescent="0.3">
      <c r="A662" t="s">
        <v>24</v>
      </c>
      <c r="B662" t="s">
        <v>85</v>
      </c>
      <c r="C662">
        <v>2024</v>
      </c>
      <c r="D662" t="s">
        <v>56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48</v>
      </c>
      <c r="N662">
        <v>7</v>
      </c>
      <c r="O662" t="s">
        <v>35</v>
      </c>
      <c r="P662">
        <v>68.2</v>
      </c>
      <c r="Q662">
        <v>2030</v>
      </c>
      <c r="R662">
        <v>5</v>
      </c>
      <c r="S662">
        <v>1</v>
      </c>
      <c r="T662" t="s">
        <v>29</v>
      </c>
      <c r="U662" t="s">
        <v>33</v>
      </c>
      <c r="V662">
        <v>287315</v>
      </c>
      <c r="W662">
        <v>3.19</v>
      </c>
      <c r="X662">
        <v>3</v>
      </c>
    </row>
    <row r="663" spans="1:24" x14ac:dyDescent="0.3">
      <c r="A663" t="s">
        <v>99</v>
      </c>
      <c r="B663" t="s">
        <v>100</v>
      </c>
      <c r="C663">
        <v>2023</v>
      </c>
      <c r="D663" t="s">
        <v>44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34</v>
      </c>
      <c r="N663">
        <v>7</v>
      </c>
      <c r="O663" t="s">
        <v>50</v>
      </c>
      <c r="P663">
        <v>25.3</v>
      </c>
      <c r="Q663">
        <v>1829</v>
      </c>
      <c r="R663">
        <v>3</v>
      </c>
      <c r="S663">
        <v>0</v>
      </c>
      <c r="T663" t="s">
        <v>29</v>
      </c>
      <c r="U663" t="s">
        <v>30</v>
      </c>
      <c r="V663">
        <v>9428</v>
      </c>
      <c r="W663">
        <v>3.64</v>
      </c>
      <c r="X663">
        <v>8</v>
      </c>
    </row>
    <row r="664" spans="1:24" x14ac:dyDescent="0.3">
      <c r="A664" t="s">
        <v>42</v>
      </c>
      <c r="B664" t="s">
        <v>54</v>
      </c>
      <c r="C664">
        <v>2023</v>
      </c>
      <c r="D664" t="s">
        <v>61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34</v>
      </c>
      <c r="N664">
        <v>7</v>
      </c>
      <c r="O664" t="s">
        <v>50</v>
      </c>
      <c r="P664">
        <v>33.200000000000003</v>
      </c>
      <c r="Q664">
        <v>1795</v>
      </c>
      <c r="R664">
        <v>4</v>
      </c>
      <c r="S664">
        <v>0</v>
      </c>
      <c r="T664" t="s">
        <v>45</v>
      </c>
      <c r="U664" t="s">
        <v>37</v>
      </c>
      <c r="V664">
        <v>121472</v>
      </c>
      <c r="W664">
        <v>3.23</v>
      </c>
      <c r="X664">
        <v>4</v>
      </c>
    </row>
    <row r="665" spans="1:24" x14ac:dyDescent="0.3">
      <c r="A665" t="s">
        <v>63</v>
      </c>
      <c r="B665" t="s">
        <v>64</v>
      </c>
      <c r="C665">
        <v>2023</v>
      </c>
      <c r="D665" t="s">
        <v>56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34</v>
      </c>
      <c r="N665">
        <v>7</v>
      </c>
      <c r="O665" t="s">
        <v>50</v>
      </c>
      <c r="P665">
        <v>32.1</v>
      </c>
      <c r="Q665">
        <v>1500</v>
      </c>
      <c r="R665">
        <v>4</v>
      </c>
      <c r="S665">
        <v>0</v>
      </c>
      <c r="T665" t="s">
        <v>65</v>
      </c>
      <c r="U665" t="s">
        <v>37</v>
      </c>
      <c r="V665">
        <v>203886</v>
      </c>
      <c r="W665">
        <v>3.06</v>
      </c>
      <c r="X665">
        <v>3</v>
      </c>
    </row>
    <row r="666" spans="1:24" x14ac:dyDescent="0.3">
      <c r="A666" t="s">
        <v>46</v>
      </c>
      <c r="B666" t="s">
        <v>72</v>
      </c>
      <c r="C666">
        <v>2022</v>
      </c>
      <c r="D666" t="s">
        <v>26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48</v>
      </c>
      <c r="N666">
        <v>5</v>
      </c>
      <c r="O666" t="s">
        <v>28</v>
      </c>
      <c r="P666">
        <v>75.099999999999994</v>
      </c>
      <c r="Q666">
        <v>2605</v>
      </c>
      <c r="R666">
        <v>4</v>
      </c>
      <c r="S666">
        <v>2</v>
      </c>
      <c r="T666" t="s">
        <v>41</v>
      </c>
      <c r="U666" t="s">
        <v>30</v>
      </c>
      <c r="V666">
        <v>172224</v>
      </c>
      <c r="W666">
        <v>4.09</v>
      </c>
      <c r="X666">
        <v>4</v>
      </c>
    </row>
    <row r="667" spans="1:24" x14ac:dyDescent="0.3">
      <c r="A667" t="s">
        <v>46</v>
      </c>
      <c r="B667" t="s">
        <v>57</v>
      </c>
      <c r="C667">
        <v>2025</v>
      </c>
      <c r="D667" t="s">
        <v>26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27</v>
      </c>
      <c r="N667">
        <v>7</v>
      </c>
      <c r="O667" t="s">
        <v>50</v>
      </c>
      <c r="P667">
        <v>34.700000000000003</v>
      </c>
      <c r="Q667">
        <v>1588</v>
      </c>
      <c r="R667">
        <v>4</v>
      </c>
      <c r="S667">
        <v>2</v>
      </c>
      <c r="T667" t="s">
        <v>41</v>
      </c>
      <c r="U667" t="s">
        <v>33</v>
      </c>
      <c r="V667">
        <v>244941</v>
      </c>
      <c r="W667">
        <v>3.69</v>
      </c>
      <c r="X667">
        <v>5</v>
      </c>
    </row>
    <row r="668" spans="1:24" x14ac:dyDescent="0.3">
      <c r="A668" t="s">
        <v>63</v>
      </c>
      <c r="B668" t="s">
        <v>96</v>
      </c>
      <c r="C668">
        <v>2023</v>
      </c>
      <c r="D668" t="s">
        <v>33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27</v>
      </c>
      <c r="N668">
        <v>5</v>
      </c>
      <c r="O668" t="s">
        <v>28</v>
      </c>
      <c r="P668">
        <v>74</v>
      </c>
      <c r="Q668">
        <v>2356</v>
      </c>
      <c r="R668">
        <v>5</v>
      </c>
      <c r="S668">
        <v>1</v>
      </c>
      <c r="T668" t="s">
        <v>65</v>
      </c>
      <c r="U668" t="s">
        <v>33</v>
      </c>
      <c r="V668">
        <v>238674</v>
      </c>
      <c r="W668">
        <v>3.59</v>
      </c>
      <c r="X668">
        <v>4</v>
      </c>
    </row>
    <row r="669" spans="1:24" x14ac:dyDescent="0.3">
      <c r="A669" t="s">
        <v>46</v>
      </c>
      <c r="B669" t="s">
        <v>49</v>
      </c>
      <c r="C669">
        <v>2022</v>
      </c>
      <c r="D669" t="s">
        <v>56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34</v>
      </c>
      <c r="N669">
        <v>5</v>
      </c>
      <c r="O669" t="s">
        <v>51</v>
      </c>
      <c r="P669">
        <v>23</v>
      </c>
      <c r="Q669">
        <v>1503</v>
      </c>
      <c r="R669">
        <v>5</v>
      </c>
      <c r="S669">
        <v>2</v>
      </c>
      <c r="T669" t="s">
        <v>41</v>
      </c>
      <c r="U669" t="s">
        <v>33</v>
      </c>
      <c r="V669">
        <v>455317</v>
      </c>
      <c r="W669">
        <v>3.27</v>
      </c>
      <c r="X669">
        <v>6</v>
      </c>
    </row>
    <row r="670" spans="1:24" x14ac:dyDescent="0.3">
      <c r="A670" t="s">
        <v>46</v>
      </c>
      <c r="B670" t="s">
        <v>57</v>
      </c>
      <c r="C670">
        <v>2025</v>
      </c>
      <c r="D670" t="s">
        <v>26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48</v>
      </c>
      <c r="N670">
        <v>5</v>
      </c>
      <c r="O670" t="s">
        <v>35</v>
      </c>
      <c r="P670">
        <v>61.5</v>
      </c>
      <c r="Q670">
        <v>2369</v>
      </c>
      <c r="R670">
        <v>5</v>
      </c>
      <c r="S670">
        <v>3</v>
      </c>
      <c r="T670" t="s">
        <v>41</v>
      </c>
      <c r="U670" t="s">
        <v>30</v>
      </c>
      <c r="V670">
        <v>108193</v>
      </c>
      <c r="W670">
        <v>3.98</v>
      </c>
      <c r="X670">
        <v>5</v>
      </c>
    </row>
    <row r="671" spans="1:24" x14ac:dyDescent="0.3">
      <c r="A671" t="s">
        <v>63</v>
      </c>
      <c r="B671" t="s">
        <v>64</v>
      </c>
      <c r="C671">
        <v>2024</v>
      </c>
      <c r="D671" t="s">
        <v>56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27</v>
      </c>
      <c r="N671">
        <v>7</v>
      </c>
      <c r="O671" t="s">
        <v>50</v>
      </c>
      <c r="P671">
        <v>33.700000000000003</v>
      </c>
      <c r="Q671">
        <v>1739</v>
      </c>
      <c r="R671">
        <v>5</v>
      </c>
      <c r="S671">
        <v>1</v>
      </c>
      <c r="T671" t="s">
        <v>65</v>
      </c>
      <c r="U671" t="s">
        <v>66</v>
      </c>
      <c r="V671">
        <v>191198</v>
      </c>
      <c r="W671">
        <v>3.48</v>
      </c>
      <c r="X671">
        <v>5</v>
      </c>
    </row>
    <row r="672" spans="1:24" x14ac:dyDescent="0.3">
      <c r="A672" t="s">
        <v>46</v>
      </c>
      <c r="B672" t="s">
        <v>49</v>
      </c>
      <c r="C672">
        <v>2026</v>
      </c>
      <c r="D672" t="s">
        <v>56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34</v>
      </c>
      <c r="N672">
        <v>7</v>
      </c>
      <c r="O672" t="s">
        <v>58</v>
      </c>
      <c r="P672">
        <v>17.399999999999999</v>
      </c>
      <c r="Q672">
        <v>1500</v>
      </c>
      <c r="R672">
        <v>5</v>
      </c>
      <c r="S672">
        <v>2</v>
      </c>
      <c r="T672" t="s">
        <v>41</v>
      </c>
      <c r="U672" t="s">
        <v>30</v>
      </c>
      <c r="V672">
        <v>463970</v>
      </c>
      <c r="W672">
        <v>3.62</v>
      </c>
      <c r="X672">
        <v>6</v>
      </c>
    </row>
    <row r="673" spans="1:24" x14ac:dyDescent="0.3">
      <c r="A673" t="s">
        <v>86</v>
      </c>
      <c r="B673" t="s">
        <v>105</v>
      </c>
      <c r="C673">
        <v>2025</v>
      </c>
      <c r="D673" t="s">
        <v>56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34</v>
      </c>
      <c r="N673">
        <v>5</v>
      </c>
      <c r="O673" t="s">
        <v>58</v>
      </c>
      <c r="P673">
        <v>30</v>
      </c>
      <c r="Q673">
        <v>1500</v>
      </c>
      <c r="R673">
        <v>5</v>
      </c>
      <c r="S673">
        <v>1</v>
      </c>
      <c r="T673" t="s">
        <v>29</v>
      </c>
      <c r="U673" t="s">
        <v>33</v>
      </c>
      <c r="V673">
        <v>22856</v>
      </c>
      <c r="W673">
        <v>3.44</v>
      </c>
      <c r="X673">
        <v>7</v>
      </c>
    </row>
    <row r="674" spans="1:24" x14ac:dyDescent="0.3">
      <c r="A674" t="s">
        <v>46</v>
      </c>
      <c r="B674" t="s">
        <v>78</v>
      </c>
      <c r="C674">
        <v>2023</v>
      </c>
      <c r="D674" t="s">
        <v>26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34</v>
      </c>
      <c r="N674">
        <v>5</v>
      </c>
      <c r="O674" t="s">
        <v>58</v>
      </c>
      <c r="P674">
        <v>36.6</v>
      </c>
      <c r="Q674">
        <v>1535</v>
      </c>
      <c r="R674">
        <v>4</v>
      </c>
      <c r="S674">
        <v>2</v>
      </c>
      <c r="T674" t="s">
        <v>41</v>
      </c>
      <c r="U674" t="s">
        <v>33</v>
      </c>
      <c r="V674">
        <v>103295</v>
      </c>
      <c r="W674">
        <v>3.51</v>
      </c>
      <c r="X674">
        <v>6</v>
      </c>
    </row>
    <row r="675" spans="1:24" x14ac:dyDescent="0.3">
      <c r="A675" t="s">
        <v>68</v>
      </c>
      <c r="B675" t="s">
        <v>90</v>
      </c>
      <c r="C675">
        <v>2024</v>
      </c>
      <c r="D675" t="s">
        <v>56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34</v>
      </c>
      <c r="N675">
        <v>7</v>
      </c>
      <c r="O675" t="s">
        <v>50</v>
      </c>
      <c r="P675">
        <v>24</v>
      </c>
      <c r="Q675">
        <v>1538</v>
      </c>
      <c r="R675">
        <v>3</v>
      </c>
      <c r="S675">
        <v>0</v>
      </c>
      <c r="T675" t="s">
        <v>45</v>
      </c>
      <c r="U675" t="s">
        <v>66</v>
      </c>
      <c r="V675">
        <v>89552</v>
      </c>
      <c r="W675">
        <v>3.4</v>
      </c>
      <c r="X675">
        <v>5</v>
      </c>
    </row>
    <row r="676" spans="1:24" x14ac:dyDescent="0.3">
      <c r="A676" t="s">
        <v>24</v>
      </c>
      <c r="B676" t="s">
        <v>74</v>
      </c>
      <c r="C676">
        <v>2025</v>
      </c>
      <c r="D676" t="s">
        <v>61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34</v>
      </c>
      <c r="N676">
        <v>7</v>
      </c>
      <c r="O676" t="s">
        <v>35</v>
      </c>
      <c r="P676">
        <v>66.5</v>
      </c>
      <c r="Q676">
        <v>1837</v>
      </c>
      <c r="R676">
        <v>5</v>
      </c>
      <c r="S676">
        <v>0</v>
      </c>
      <c r="T676" t="s">
        <v>29</v>
      </c>
      <c r="U676" t="s">
        <v>33</v>
      </c>
      <c r="V676">
        <v>299914</v>
      </c>
      <c r="W676">
        <v>3.54</v>
      </c>
      <c r="X676">
        <v>4</v>
      </c>
    </row>
    <row r="677" spans="1:24" x14ac:dyDescent="0.3">
      <c r="A677" t="s">
        <v>134</v>
      </c>
      <c r="B677">
        <v>4</v>
      </c>
      <c r="C677">
        <v>2025</v>
      </c>
      <c r="D677" t="s">
        <v>61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27</v>
      </c>
      <c r="N677">
        <v>5</v>
      </c>
      <c r="O677" t="s">
        <v>50</v>
      </c>
      <c r="P677">
        <v>33.200000000000003</v>
      </c>
      <c r="Q677">
        <v>1818</v>
      </c>
      <c r="R677">
        <v>5</v>
      </c>
      <c r="S677">
        <v>0</v>
      </c>
      <c r="T677" t="s">
        <v>123</v>
      </c>
      <c r="U677" t="s">
        <v>33</v>
      </c>
      <c r="V677">
        <v>7428</v>
      </c>
      <c r="W677">
        <v>3.03</v>
      </c>
      <c r="X677">
        <v>4</v>
      </c>
    </row>
    <row r="678" spans="1:24" x14ac:dyDescent="0.3">
      <c r="A678" t="s">
        <v>46</v>
      </c>
      <c r="B678" t="s">
        <v>57</v>
      </c>
      <c r="C678">
        <v>2025</v>
      </c>
      <c r="D678" t="s">
        <v>56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34</v>
      </c>
      <c r="N678">
        <v>7</v>
      </c>
      <c r="O678" t="s">
        <v>40</v>
      </c>
      <c r="P678">
        <v>79.5</v>
      </c>
      <c r="Q678">
        <v>1535</v>
      </c>
      <c r="R678">
        <v>5</v>
      </c>
      <c r="S678">
        <v>2</v>
      </c>
      <c r="T678" t="s">
        <v>41</v>
      </c>
      <c r="U678" t="s">
        <v>66</v>
      </c>
      <c r="V678">
        <v>173989</v>
      </c>
      <c r="W678">
        <v>4.17</v>
      </c>
      <c r="X678">
        <v>6</v>
      </c>
    </row>
    <row r="679" spans="1:24" x14ac:dyDescent="0.3">
      <c r="A679" t="s">
        <v>24</v>
      </c>
      <c r="B679" t="s">
        <v>85</v>
      </c>
      <c r="C679">
        <v>2026</v>
      </c>
      <c r="D679" t="s">
        <v>44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48</v>
      </c>
      <c r="N679">
        <v>7</v>
      </c>
      <c r="O679" t="s">
        <v>40</v>
      </c>
      <c r="P679">
        <v>69.5</v>
      </c>
      <c r="Q679">
        <v>1604</v>
      </c>
      <c r="R679">
        <v>4</v>
      </c>
      <c r="S679">
        <v>1</v>
      </c>
      <c r="T679" t="s">
        <v>29</v>
      </c>
      <c r="U679" t="s">
        <v>37</v>
      </c>
      <c r="V679">
        <v>290062</v>
      </c>
      <c r="W679">
        <v>3.77</v>
      </c>
      <c r="X679">
        <v>4</v>
      </c>
    </row>
    <row r="680" spans="1:24" x14ac:dyDescent="0.3">
      <c r="A680" t="s">
        <v>59</v>
      </c>
      <c r="B680" t="s">
        <v>60</v>
      </c>
      <c r="C680">
        <v>2025</v>
      </c>
      <c r="D680" t="s">
        <v>33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27</v>
      </c>
      <c r="N680">
        <v>7</v>
      </c>
      <c r="O680" t="s">
        <v>51</v>
      </c>
      <c r="P680">
        <v>30.8</v>
      </c>
      <c r="Q680">
        <v>1735</v>
      </c>
      <c r="R680">
        <v>5</v>
      </c>
      <c r="S680">
        <v>1</v>
      </c>
      <c r="T680" t="s">
        <v>41</v>
      </c>
      <c r="U680" t="s">
        <v>33</v>
      </c>
      <c r="V680">
        <v>2336</v>
      </c>
      <c r="W680">
        <v>3.5</v>
      </c>
      <c r="X680">
        <v>5</v>
      </c>
    </row>
    <row r="681" spans="1:24" x14ac:dyDescent="0.3">
      <c r="A681" t="s">
        <v>52</v>
      </c>
      <c r="B681" t="s">
        <v>62</v>
      </c>
      <c r="C681">
        <v>2024</v>
      </c>
      <c r="D681" t="s">
        <v>56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48</v>
      </c>
      <c r="N681">
        <v>5</v>
      </c>
      <c r="O681" t="s">
        <v>28</v>
      </c>
      <c r="P681">
        <v>69.400000000000006</v>
      </c>
      <c r="Q681">
        <v>2466</v>
      </c>
      <c r="R681">
        <v>4</v>
      </c>
      <c r="S681">
        <v>1</v>
      </c>
      <c r="T681" t="s">
        <v>29</v>
      </c>
      <c r="U681" t="s">
        <v>33</v>
      </c>
      <c r="V681">
        <v>46123</v>
      </c>
      <c r="W681">
        <v>3.85</v>
      </c>
      <c r="X681">
        <v>5</v>
      </c>
    </row>
    <row r="682" spans="1:24" x14ac:dyDescent="0.3">
      <c r="A682" t="s">
        <v>76</v>
      </c>
      <c r="B682" t="s">
        <v>81</v>
      </c>
      <c r="C682">
        <v>2024</v>
      </c>
      <c r="D682" t="s">
        <v>33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27</v>
      </c>
      <c r="N682">
        <v>5</v>
      </c>
      <c r="O682" t="s">
        <v>50</v>
      </c>
      <c r="P682">
        <v>22.8</v>
      </c>
      <c r="Q682">
        <v>1998</v>
      </c>
      <c r="R682">
        <v>3</v>
      </c>
      <c r="S682">
        <v>1</v>
      </c>
      <c r="T682" t="s">
        <v>41</v>
      </c>
      <c r="U682" t="s">
        <v>33</v>
      </c>
      <c r="V682">
        <v>49332</v>
      </c>
      <c r="W682">
        <v>3.58</v>
      </c>
      <c r="X682">
        <v>4</v>
      </c>
    </row>
    <row r="683" spans="1:24" x14ac:dyDescent="0.3">
      <c r="A683" t="s">
        <v>63</v>
      </c>
      <c r="B683" t="s">
        <v>96</v>
      </c>
      <c r="C683">
        <v>2024</v>
      </c>
      <c r="D683" t="s">
        <v>56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34</v>
      </c>
      <c r="N683">
        <v>5</v>
      </c>
      <c r="O683" t="s">
        <v>50</v>
      </c>
      <c r="P683">
        <v>28</v>
      </c>
      <c r="Q683">
        <v>1522</v>
      </c>
      <c r="R683">
        <v>5</v>
      </c>
      <c r="S683">
        <v>0</v>
      </c>
      <c r="T683" t="s">
        <v>65</v>
      </c>
      <c r="U683" t="s">
        <v>66</v>
      </c>
      <c r="V683">
        <v>118103</v>
      </c>
      <c r="W683">
        <v>3.49</v>
      </c>
      <c r="X683">
        <v>4</v>
      </c>
    </row>
    <row r="684" spans="1:24" x14ac:dyDescent="0.3">
      <c r="A684" t="s">
        <v>46</v>
      </c>
      <c r="B684" t="s">
        <v>72</v>
      </c>
      <c r="C684">
        <v>2022</v>
      </c>
      <c r="D684" t="s">
        <v>26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27</v>
      </c>
      <c r="N684">
        <v>5</v>
      </c>
      <c r="O684" t="s">
        <v>28</v>
      </c>
      <c r="P684">
        <v>70.2</v>
      </c>
      <c r="Q684">
        <v>2610</v>
      </c>
      <c r="R684">
        <v>5</v>
      </c>
      <c r="S684">
        <v>2</v>
      </c>
      <c r="T684" t="s">
        <v>41</v>
      </c>
      <c r="U684" t="s">
        <v>37</v>
      </c>
      <c r="V684">
        <v>220959</v>
      </c>
      <c r="W684">
        <v>4</v>
      </c>
      <c r="X684">
        <v>5</v>
      </c>
    </row>
    <row r="685" spans="1:24" x14ac:dyDescent="0.3">
      <c r="A685" t="s">
        <v>83</v>
      </c>
      <c r="B685" t="s">
        <v>116</v>
      </c>
      <c r="C685">
        <v>2024</v>
      </c>
      <c r="D685" t="s">
        <v>44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34</v>
      </c>
      <c r="N685">
        <v>5</v>
      </c>
      <c r="O685" t="s">
        <v>58</v>
      </c>
      <c r="P685">
        <v>22.8</v>
      </c>
      <c r="Q685">
        <v>1527</v>
      </c>
      <c r="R685">
        <v>4</v>
      </c>
      <c r="S685">
        <v>2</v>
      </c>
      <c r="T685" t="s">
        <v>29</v>
      </c>
      <c r="U685" t="s">
        <v>33</v>
      </c>
      <c r="V685">
        <v>68789</v>
      </c>
      <c r="W685">
        <v>3.44</v>
      </c>
      <c r="X685">
        <v>6</v>
      </c>
    </row>
    <row r="686" spans="1:24" x14ac:dyDescent="0.3">
      <c r="A686" t="s">
        <v>94</v>
      </c>
      <c r="B686" t="s">
        <v>120</v>
      </c>
      <c r="C686">
        <v>2025</v>
      </c>
      <c r="D686" t="s">
        <v>26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34</v>
      </c>
      <c r="N686">
        <v>7</v>
      </c>
      <c r="O686" t="s">
        <v>50</v>
      </c>
      <c r="P686">
        <v>29.3</v>
      </c>
      <c r="Q686">
        <v>1500</v>
      </c>
      <c r="R686">
        <v>4</v>
      </c>
      <c r="S686">
        <v>1</v>
      </c>
      <c r="T686" t="s">
        <v>41</v>
      </c>
      <c r="U686" t="s">
        <v>30</v>
      </c>
      <c r="V686">
        <v>26219</v>
      </c>
      <c r="W686">
        <v>4.08</v>
      </c>
      <c r="X686">
        <v>6</v>
      </c>
    </row>
    <row r="687" spans="1:24" x14ac:dyDescent="0.3">
      <c r="A687" t="s">
        <v>42</v>
      </c>
      <c r="B687" t="s">
        <v>115</v>
      </c>
      <c r="C687">
        <v>2025</v>
      </c>
      <c r="D687" t="s">
        <v>26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27</v>
      </c>
      <c r="N687">
        <v>5</v>
      </c>
      <c r="O687" t="s">
        <v>28</v>
      </c>
      <c r="P687">
        <v>63.5</v>
      </c>
      <c r="Q687">
        <v>2775</v>
      </c>
      <c r="R687">
        <v>5</v>
      </c>
      <c r="S687">
        <v>0</v>
      </c>
      <c r="T687" t="s">
        <v>45</v>
      </c>
      <c r="U687" t="s">
        <v>30</v>
      </c>
      <c r="V687">
        <v>56222</v>
      </c>
      <c r="W687">
        <v>3.63</v>
      </c>
      <c r="X687">
        <v>5</v>
      </c>
    </row>
    <row r="688" spans="1:24" x14ac:dyDescent="0.3">
      <c r="A688" t="s">
        <v>42</v>
      </c>
      <c r="B688" t="s">
        <v>71</v>
      </c>
      <c r="C688">
        <v>2026</v>
      </c>
      <c r="D688" t="s">
        <v>44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34</v>
      </c>
      <c r="N688">
        <v>7</v>
      </c>
      <c r="O688" t="s">
        <v>35</v>
      </c>
      <c r="P688">
        <v>67.400000000000006</v>
      </c>
      <c r="Q688">
        <v>1906</v>
      </c>
      <c r="R688">
        <v>3</v>
      </c>
      <c r="S688">
        <v>1</v>
      </c>
      <c r="T688" t="s">
        <v>45</v>
      </c>
      <c r="U688" t="s">
        <v>37</v>
      </c>
      <c r="V688">
        <v>112175</v>
      </c>
      <c r="W688">
        <v>3.57</v>
      </c>
      <c r="X688">
        <v>4</v>
      </c>
    </row>
    <row r="689" spans="1:24" x14ac:dyDescent="0.3">
      <c r="A689" t="s">
        <v>63</v>
      </c>
      <c r="B689" t="s">
        <v>96</v>
      </c>
      <c r="C689">
        <v>2025</v>
      </c>
      <c r="D689" t="s">
        <v>61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48</v>
      </c>
      <c r="N689">
        <v>5</v>
      </c>
      <c r="O689" t="s">
        <v>58</v>
      </c>
      <c r="P689">
        <v>18</v>
      </c>
      <c r="Q689">
        <v>1566</v>
      </c>
      <c r="R689">
        <v>5</v>
      </c>
      <c r="S689">
        <v>0</v>
      </c>
      <c r="T689" t="s">
        <v>65</v>
      </c>
      <c r="U689" t="s">
        <v>37</v>
      </c>
      <c r="V689">
        <v>196546</v>
      </c>
      <c r="W689">
        <v>3.22</v>
      </c>
      <c r="X689">
        <v>5</v>
      </c>
    </row>
    <row r="690" spans="1:24" x14ac:dyDescent="0.3">
      <c r="A690" t="s">
        <v>76</v>
      </c>
      <c r="B690" t="s">
        <v>81</v>
      </c>
      <c r="C690">
        <v>2023</v>
      </c>
      <c r="D690" t="s">
        <v>61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34</v>
      </c>
      <c r="N690">
        <v>5</v>
      </c>
      <c r="O690" t="s">
        <v>28</v>
      </c>
      <c r="P690">
        <v>79.099999999999994</v>
      </c>
      <c r="Q690">
        <v>3000</v>
      </c>
      <c r="R690">
        <v>3</v>
      </c>
      <c r="S690">
        <v>1</v>
      </c>
      <c r="T690" t="s">
        <v>41</v>
      </c>
      <c r="U690" t="s">
        <v>37</v>
      </c>
      <c r="V690">
        <v>49683</v>
      </c>
      <c r="W690">
        <v>3.43</v>
      </c>
      <c r="X690">
        <v>4</v>
      </c>
    </row>
    <row r="691" spans="1:24" x14ac:dyDescent="0.3">
      <c r="A691" t="s">
        <v>46</v>
      </c>
      <c r="B691" t="s">
        <v>57</v>
      </c>
      <c r="C691">
        <v>2025</v>
      </c>
      <c r="D691" t="s">
        <v>61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34</v>
      </c>
      <c r="N691">
        <v>5</v>
      </c>
      <c r="O691" t="s">
        <v>58</v>
      </c>
      <c r="P691">
        <v>26.8</v>
      </c>
      <c r="Q691">
        <v>1500</v>
      </c>
      <c r="R691">
        <v>4</v>
      </c>
      <c r="S691">
        <v>2</v>
      </c>
      <c r="T691" t="s">
        <v>41</v>
      </c>
      <c r="U691" t="s">
        <v>37</v>
      </c>
      <c r="V691">
        <v>180408</v>
      </c>
      <c r="W691">
        <v>3.58</v>
      </c>
      <c r="X691">
        <v>5</v>
      </c>
    </row>
    <row r="692" spans="1:24" x14ac:dyDescent="0.3">
      <c r="A692" t="s">
        <v>63</v>
      </c>
      <c r="B692" t="s">
        <v>96</v>
      </c>
      <c r="C692">
        <v>2023</v>
      </c>
      <c r="D692" t="s">
        <v>44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48</v>
      </c>
      <c r="N692">
        <v>7</v>
      </c>
      <c r="O692" t="s">
        <v>28</v>
      </c>
      <c r="P692">
        <v>52.9</v>
      </c>
      <c r="Q692">
        <v>2502</v>
      </c>
      <c r="R692">
        <v>5</v>
      </c>
      <c r="S692">
        <v>1</v>
      </c>
      <c r="T692" t="s">
        <v>65</v>
      </c>
      <c r="U692" t="s">
        <v>33</v>
      </c>
      <c r="V692">
        <v>154361</v>
      </c>
      <c r="W692">
        <v>3.89</v>
      </c>
      <c r="X692">
        <v>4</v>
      </c>
    </row>
    <row r="693" spans="1:24" x14ac:dyDescent="0.3">
      <c r="A693" t="s">
        <v>24</v>
      </c>
      <c r="B693" t="s">
        <v>25</v>
      </c>
      <c r="C693">
        <v>2024</v>
      </c>
      <c r="D693" t="s">
        <v>56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34</v>
      </c>
      <c r="N693">
        <v>7</v>
      </c>
      <c r="O693" t="s">
        <v>40</v>
      </c>
      <c r="P693">
        <v>66.8</v>
      </c>
      <c r="Q693">
        <v>1591</v>
      </c>
      <c r="R693">
        <v>5</v>
      </c>
      <c r="S693">
        <v>0</v>
      </c>
      <c r="T693" t="s">
        <v>29</v>
      </c>
      <c r="U693" t="s">
        <v>33</v>
      </c>
      <c r="V693">
        <v>214102</v>
      </c>
      <c r="W693">
        <v>3.4</v>
      </c>
      <c r="X693">
        <v>5</v>
      </c>
    </row>
    <row r="694" spans="1:24" x14ac:dyDescent="0.3">
      <c r="A694" t="s">
        <v>68</v>
      </c>
      <c r="B694" t="s">
        <v>79</v>
      </c>
      <c r="C694">
        <v>2025</v>
      </c>
      <c r="D694" t="s">
        <v>33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27</v>
      </c>
      <c r="N694">
        <v>5</v>
      </c>
      <c r="O694" t="s">
        <v>40</v>
      </c>
      <c r="P694">
        <v>64.099999999999994</v>
      </c>
      <c r="Q694">
        <v>1602</v>
      </c>
      <c r="R694">
        <v>3</v>
      </c>
      <c r="S694">
        <v>0</v>
      </c>
      <c r="T694" t="s">
        <v>45</v>
      </c>
      <c r="U694" t="s">
        <v>33</v>
      </c>
      <c r="V694">
        <v>143294</v>
      </c>
      <c r="W694">
        <v>3.17</v>
      </c>
      <c r="X694">
        <v>4</v>
      </c>
    </row>
    <row r="695" spans="1:24" x14ac:dyDescent="0.3">
      <c r="A695" t="s">
        <v>63</v>
      </c>
      <c r="B695" t="s">
        <v>82</v>
      </c>
      <c r="C695">
        <v>2021</v>
      </c>
      <c r="D695" t="s">
        <v>26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34</v>
      </c>
      <c r="N695">
        <v>7</v>
      </c>
      <c r="O695" t="s">
        <v>58</v>
      </c>
      <c r="P695">
        <v>35.9</v>
      </c>
      <c r="Q695">
        <v>1500</v>
      </c>
      <c r="R695">
        <v>5</v>
      </c>
      <c r="S695">
        <v>1</v>
      </c>
      <c r="T695" t="s">
        <v>65</v>
      </c>
      <c r="U695" t="s">
        <v>33</v>
      </c>
      <c r="V695">
        <v>145646</v>
      </c>
      <c r="W695">
        <v>4.13</v>
      </c>
      <c r="X695">
        <v>4</v>
      </c>
    </row>
    <row r="696" spans="1:24" x14ac:dyDescent="0.3">
      <c r="A696" t="s">
        <v>46</v>
      </c>
      <c r="B696" t="s">
        <v>47</v>
      </c>
      <c r="C696">
        <v>2026</v>
      </c>
      <c r="D696" t="s">
        <v>61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34</v>
      </c>
      <c r="N696">
        <v>7</v>
      </c>
      <c r="O696" t="s">
        <v>35</v>
      </c>
      <c r="P696">
        <v>57.6</v>
      </c>
      <c r="Q696">
        <v>2416</v>
      </c>
      <c r="R696">
        <v>4</v>
      </c>
      <c r="S696">
        <v>2</v>
      </c>
      <c r="T696" t="s">
        <v>41</v>
      </c>
      <c r="U696" t="s">
        <v>30</v>
      </c>
      <c r="V696">
        <v>120535</v>
      </c>
      <c r="W696">
        <v>3.74</v>
      </c>
      <c r="X696">
        <v>4</v>
      </c>
    </row>
    <row r="697" spans="1:24" x14ac:dyDescent="0.3">
      <c r="A697" t="s">
        <v>42</v>
      </c>
      <c r="B697" t="s">
        <v>43</v>
      </c>
      <c r="C697">
        <v>2025</v>
      </c>
      <c r="D697" t="s">
        <v>44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48</v>
      </c>
      <c r="N697">
        <v>5</v>
      </c>
      <c r="O697" t="s">
        <v>35</v>
      </c>
      <c r="P697">
        <v>40.5</v>
      </c>
      <c r="Q697">
        <v>2061</v>
      </c>
      <c r="R697">
        <v>4</v>
      </c>
      <c r="S697">
        <v>2</v>
      </c>
      <c r="T697" t="s">
        <v>45</v>
      </c>
      <c r="U697" t="s">
        <v>37</v>
      </c>
      <c r="V697">
        <v>66783</v>
      </c>
      <c r="W697">
        <v>3.42</v>
      </c>
      <c r="X697">
        <v>4</v>
      </c>
    </row>
    <row r="698" spans="1:24" x14ac:dyDescent="0.3">
      <c r="A698" t="s">
        <v>63</v>
      </c>
      <c r="B698" t="s">
        <v>67</v>
      </c>
      <c r="C698">
        <v>2023</v>
      </c>
      <c r="D698" t="s">
        <v>44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27</v>
      </c>
      <c r="N698">
        <v>5</v>
      </c>
      <c r="O698" t="s">
        <v>40</v>
      </c>
      <c r="P698">
        <v>74</v>
      </c>
      <c r="Q698">
        <v>1616</v>
      </c>
      <c r="R698">
        <v>5</v>
      </c>
      <c r="S698">
        <v>1</v>
      </c>
      <c r="T698" t="s">
        <v>65</v>
      </c>
      <c r="U698" t="s">
        <v>37</v>
      </c>
      <c r="V698">
        <v>200483</v>
      </c>
      <c r="W698">
        <v>3.75</v>
      </c>
      <c r="X698">
        <v>4</v>
      </c>
    </row>
    <row r="699" spans="1:24" x14ac:dyDescent="0.3">
      <c r="A699" t="s">
        <v>42</v>
      </c>
      <c r="B699" t="s">
        <v>80</v>
      </c>
      <c r="C699">
        <v>2021</v>
      </c>
      <c r="D699" t="s">
        <v>44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27</v>
      </c>
      <c r="N699">
        <v>5</v>
      </c>
      <c r="O699" t="s">
        <v>35</v>
      </c>
      <c r="P699">
        <v>57.2</v>
      </c>
      <c r="Q699">
        <v>2142</v>
      </c>
      <c r="R699">
        <v>5</v>
      </c>
      <c r="S699">
        <v>2</v>
      </c>
      <c r="T699" t="s">
        <v>45</v>
      </c>
      <c r="U699" t="s">
        <v>37</v>
      </c>
      <c r="V699">
        <v>116742</v>
      </c>
      <c r="W699">
        <v>3.9</v>
      </c>
      <c r="X699">
        <v>5</v>
      </c>
    </row>
    <row r="700" spans="1:24" x14ac:dyDescent="0.3">
      <c r="A700" t="s">
        <v>46</v>
      </c>
      <c r="B700" t="s">
        <v>57</v>
      </c>
      <c r="C700">
        <v>2025</v>
      </c>
      <c r="D700" t="s">
        <v>44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34</v>
      </c>
      <c r="N700">
        <v>5</v>
      </c>
      <c r="O700" t="s">
        <v>28</v>
      </c>
      <c r="P700">
        <v>69.3</v>
      </c>
      <c r="Q700">
        <v>2123</v>
      </c>
      <c r="R700">
        <v>4</v>
      </c>
      <c r="S700">
        <v>2</v>
      </c>
      <c r="T700" t="s">
        <v>41</v>
      </c>
      <c r="U700" t="s">
        <v>33</v>
      </c>
      <c r="V700">
        <v>161378</v>
      </c>
      <c r="W700">
        <v>4</v>
      </c>
      <c r="X700">
        <v>6</v>
      </c>
    </row>
    <row r="701" spans="1:24" x14ac:dyDescent="0.3">
      <c r="A701" t="s">
        <v>68</v>
      </c>
      <c r="B701" t="s">
        <v>106</v>
      </c>
      <c r="C701">
        <v>2024</v>
      </c>
      <c r="D701" t="s">
        <v>33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27</v>
      </c>
      <c r="N701">
        <v>5</v>
      </c>
      <c r="O701" t="s">
        <v>50</v>
      </c>
      <c r="P701">
        <v>17.5</v>
      </c>
      <c r="Q701">
        <v>1865</v>
      </c>
      <c r="R701">
        <v>4</v>
      </c>
      <c r="S701">
        <v>1</v>
      </c>
      <c r="T701" t="s">
        <v>45</v>
      </c>
      <c r="U701" t="s">
        <v>37</v>
      </c>
      <c r="V701">
        <v>133250</v>
      </c>
      <c r="W701">
        <v>3.71</v>
      </c>
      <c r="X701">
        <v>4</v>
      </c>
    </row>
    <row r="702" spans="1:24" x14ac:dyDescent="0.3">
      <c r="A702" t="s">
        <v>68</v>
      </c>
      <c r="B702" t="s">
        <v>106</v>
      </c>
      <c r="C702">
        <v>2025</v>
      </c>
      <c r="D702" t="s">
        <v>44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48</v>
      </c>
      <c r="N702">
        <v>5</v>
      </c>
      <c r="O702" t="s">
        <v>51</v>
      </c>
      <c r="P702">
        <v>18.399999999999999</v>
      </c>
      <c r="Q702">
        <v>1805</v>
      </c>
      <c r="R702">
        <v>5</v>
      </c>
      <c r="S702">
        <v>0</v>
      </c>
      <c r="T702" t="s">
        <v>45</v>
      </c>
      <c r="U702" t="s">
        <v>37</v>
      </c>
      <c r="V702">
        <v>108288</v>
      </c>
      <c r="W702">
        <v>3.54</v>
      </c>
      <c r="X702">
        <v>4</v>
      </c>
    </row>
    <row r="703" spans="1:24" x14ac:dyDescent="0.3">
      <c r="A703" t="s">
        <v>46</v>
      </c>
      <c r="B703" t="s">
        <v>57</v>
      </c>
      <c r="C703">
        <v>2025</v>
      </c>
      <c r="D703" t="s">
        <v>56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34</v>
      </c>
      <c r="N703">
        <v>5</v>
      </c>
      <c r="O703" t="s">
        <v>35</v>
      </c>
      <c r="P703">
        <v>60.9</v>
      </c>
      <c r="Q703">
        <v>2154</v>
      </c>
      <c r="R703">
        <v>4</v>
      </c>
      <c r="S703">
        <v>3</v>
      </c>
      <c r="T703" t="s">
        <v>41</v>
      </c>
      <c r="U703" t="s">
        <v>33</v>
      </c>
      <c r="V703">
        <v>134937</v>
      </c>
      <c r="W703">
        <v>3.58</v>
      </c>
      <c r="X703">
        <v>5</v>
      </c>
    </row>
    <row r="704" spans="1:24" x14ac:dyDescent="0.3">
      <c r="A704" t="s">
        <v>63</v>
      </c>
      <c r="B704" t="s">
        <v>82</v>
      </c>
      <c r="C704">
        <v>2024</v>
      </c>
      <c r="D704" t="s">
        <v>61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34</v>
      </c>
      <c r="N704">
        <v>7</v>
      </c>
      <c r="O704" t="s">
        <v>51</v>
      </c>
      <c r="P704">
        <v>19.399999999999999</v>
      </c>
      <c r="Q704">
        <v>1666</v>
      </c>
      <c r="R704">
        <v>4</v>
      </c>
      <c r="S704">
        <v>0</v>
      </c>
      <c r="T704" t="s">
        <v>65</v>
      </c>
      <c r="U704" t="s">
        <v>33</v>
      </c>
      <c r="V704">
        <v>173863</v>
      </c>
      <c r="W704">
        <v>3.01</v>
      </c>
      <c r="X704">
        <v>5</v>
      </c>
    </row>
    <row r="705" spans="1:24" x14ac:dyDescent="0.3">
      <c r="A705" t="s">
        <v>46</v>
      </c>
      <c r="B705" t="s">
        <v>47</v>
      </c>
      <c r="C705">
        <v>2024</v>
      </c>
      <c r="D705" t="s">
        <v>44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34</v>
      </c>
      <c r="N705">
        <v>5</v>
      </c>
      <c r="O705" t="s">
        <v>50</v>
      </c>
      <c r="P705">
        <v>20.8</v>
      </c>
      <c r="Q705">
        <v>1657</v>
      </c>
      <c r="R705">
        <v>4</v>
      </c>
      <c r="S705">
        <v>3</v>
      </c>
      <c r="T705" t="s">
        <v>41</v>
      </c>
      <c r="U705" t="s">
        <v>37</v>
      </c>
      <c r="V705">
        <v>136524</v>
      </c>
      <c r="W705">
        <v>4.42</v>
      </c>
      <c r="X705">
        <v>6</v>
      </c>
    </row>
    <row r="706" spans="1:24" x14ac:dyDescent="0.3">
      <c r="A706" t="s">
        <v>46</v>
      </c>
      <c r="B706" t="s">
        <v>72</v>
      </c>
      <c r="C706">
        <v>2025</v>
      </c>
      <c r="D706" t="s">
        <v>33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27</v>
      </c>
      <c r="N706">
        <v>5</v>
      </c>
      <c r="O706" t="s">
        <v>28</v>
      </c>
      <c r="P706">
        <v>67.5</v>
      </c>
      <c r="Q706">
        <v>2776</v>
      </c>
      <c r="R706">
        <v>5</v>
      </c>
      <c r="S706">
        <v>2</v>
      </c>
      <c r="T706" t="s">
        <v>41</v>
      </c>
      <c r="U706" t="s">
        <v>30</v>
      </c>
      <c r="V706">
        <v>208796</v>
      </c>
      <c r="W706">
        <v>3.95</v>
      </c>
      <c r="X706">
        <v>5</v>
      </c>
    </row>
    <row r="707" spans="1:24" x14ac:dyDescent="0.3">
      <c r="A707" t="s">
        <v>121</v>
      </c>
      <c r="B707" t="s">
        <v>135</v>
      </c>
      <c r="C707">
        <v>2026</v>
      </c>
      <c r="D707" t="s">
        <v>44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34</v>
      </c>
      <c r="N707">
        <v>5</v>
      </c>
      <c r="O707" t="s">
        <v>35</v>
      </c>
      <c r="P707">
        <v>41.7</v>
      </c>
      <c r="Q707">
        <v>2235</v>
      </c>
      <c r="R707">
        <v>4</v>
      </c>
      <c r="S707">
        <v>0</v>
      </c>
      <c r="T707" t="s">
        <v>123</v>
      </c>
      <c r="U707" t="s">
        <v>33</v>
      </c>
      <c r="V707">
        <v>22605</v>
      </c>
      <c r="W707">
        <v>3.33</v>
      </c>
      <c r="X707">
        <v>3</v>
      </c>
    </row>
    <row r="708" spans="1:24" x14ac:dyDescent="0.3">
      <c r="A708" t="s">
        <v>63</v>
      </c>
      <c r="B708" t="s">
        <v>67</v>
      </c>
      <c r="C708">
        <v>2023</v>
      </c>
      <c r="D708" t="s">
        <v>56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34</v>
      </c>
      <c r="N708">
        <v>7</v>
      </c>
      <c r="O708" t="s">
        <v>50</v>
      </c>
      <c r="P708">
        <v>28.5</v>
      </c>
      <c r="Q708">
        <v>1500</v>
      </c>
      <c r="R708">
        <v>4</v>
      </c>
      <c r="S708">
        <v>2</v>
      </c>
      <c r="T708" t="s">
        <v>65</v>
      </c>
      <c r="U708" t="s">
        <v>37</v>
      </c>
      <c r="V708">
        <v>222794</v>
      </c>
      <c r="W708">
        <v>3.15</v>
      </c>
      <c r="X708">
        <v>4</v>
      </c>
    </row>
    <row r="709" spans="1:24" x14ac:dyDescent="0.3">
      <c r="A709" t="s">
        <v>76</v>
      </c>
      <c r="B709" t="s">
        <v>81</v>
      </c>
      <c r="C709">
        <v>2025</v>
      </c>
      <c r="D709" t="s">
        <v>61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34</v>
      </c>
      <c r="N709">
        <v>5</v>
      </c>
      <c r="O709" t="s">
        <v>40</v>
      </c>
      <c r="P709">
        <v>65.400000000000006</v>
      </c>
      <c r="Q709">
        <v>1526</v>
      </c>
      <c r="R709">
        <v>4</v>
      </c>
      <c r="S709">
        <v>2</v>
      </c>
      <c r="T709" t="s">
        <v>41</v>
      </c>
      <c r="U709" t="s">
        <v>37</v>
      </c>
      <c r="V709">
        <v>34530</v>
      </c>
      <c r="W709">
        <v>3.75</v>
      </c>
      <c r="X709">
        <v>4</v>
      </c>
    </row>
    <row r="710" spans="1:24" x14ac:dyDescent="0.3">
      <c r="A710" t="s">
        <v>63</v>
      </c>
      <c r="B710" t="s">
        <v>82</v>
      </c>
      <c r="C710">
        <v>2021</v>
      </c>
      <c r="D710" t="s">
        <v>56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48</v>
      </c>
      <c r="N710">
        <v>7</v>
      </c>
      <c r="O710" t="s">
        <v>50</v>
      </c>
      <c r="P710">
        <v>18.7</v>
      </c>
      <c r="Q710">
        <v>1500</v>
      </c>
      <c r="R710">
        <v>4</v>
      </c>
      <c r="S710">
        <v>0</v>
      </c>
      <c r="T710" t="s">
        <v>65</v>
      </c>
      <c r="U710" t="s">
        <v>37</v>
      </c>
      <c r="V710">
        <v>132992</v>
      </c>
      <c r="W710">
        <v>3.34</v>
      </c>
      <c r="X710">
        <v>4</v>
      </c>
    </row>
    <row r="711" spans="1:24" x14ac:dyDescent="0.3">
      <c r="A711" t="s">
        <v>83</v>
      </c>
      <c r="B711" t="s">
        <v>84</v>
      </c>
      <c r="C711">
        <v>2022</v>
      </c>
      <c r="D711" t="s">
        <v>44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27</v>
      </c>
      <c r="N711">
        <v>5</v>
      </c>
      <c r="O711" t="s">
        <v>58</v>
      </c>
      <c r="P711">
        <v>18.5</v>
      </c>
      <c r="Q711">
        <v>1500</v>
      </c>
      <c r="R711">
        <v>5</v>
      </c>
      <c r="S711">
        <v>1</v>
      </c>
      <c r="T711" t="s">
        <v>29</v>
      </c>
      <c r="U711" t="s">
        <v>30</v>
      </c>
      <c r="V711">
        <v>58674</v>
      </c>
      <c r="W711">
        <v>3.4</v>
      </c>
      <c r="X711">
        <v>5</v>
      </c>
    </row>
    <row r="712" spans="1:24" x14ac:dyDescent="0.3">
      <c r="A712" t="s">
        <v>38</v>
      </c>
      <c r="B712" t="s">
        <v>101</v>
      </c>
      <c r="C712">
        <v>2025</v>
      </c>
      <c r="D712" t="s">
        <v>56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48</v>
      </c>
      <c r="N712">
        <v>7</v>
      </c>
      <c r="O712" t="s">
        <v>50</v>
      </c>
      <c r="P712">
        <v>27</v>
      </c>
      <c r="Q712">
        <v>1852</v>
      </c>
      <c r="R712">
        <v>4</v>
      </c>
      <c r="S712">
        <v>2</v>
      </c>
      <c r="T712" t="s">
        <v>41</v>
      </c>
      <c r="U712" t="s">
        <v>37</v>
      </c>
      <c r="V712">
        <v>16274</v>
      </c>
      <c r="W712">
        <v>3.18</v>
      </c>
      <c r="X712">
        <v>4</v>
      </c>
    </row>
    <row r="713" spans="1:24" x14ac:dyDescent="0.3">
      <c r="A713" t="s">
        <v>42</v>
      </c>
      <c r="B713" t="s">
        <v>115</v>
      </c>
      <c r="C713">
        <v>2024</v>
      </c>
      <c r="D713" t="s">
        <v>61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48</v>
      </c>
      <c r="N713">
        <v>5</v>
      </c>
      <c r="O713" t="s">
        <v>58</v>
      </c>
      <c r="P713">
        <v>38.700000000000003</v>
      </c>
      <c r="Q713">
        <v>1504</v>
      </c>
      <c r="R713">
        <v>4</v>
      </c>
      <c r="S713">
        <v>0</v>
      </c>
      <c r="T713" t="s">
        <v>45</v>
      </c>
      <c r="U713" t="s">
        <v>33</v>
      </c>
      <c r="V713">
        <v>72998</v>
      </c>
      <c r="W713">
        <v>3.35</v>
      </c>
      <c r="X713">
        <v>4</v>
      </c>
    </row>
    <row r="714" spans="1:24" x14ac:dyDescent="0.3">
      <c r="A714" t="s">
        <v>68</v>
      </c>
      <c r="B714" t="s">
        <v>90</v>
      </c>
      <c r="C714">
        <v>2022</v>
      </c>
      <c r="D714" t="s">
        <v>44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27</v>
      </c>
      <c r="N714">
        <v>5</v>
      </c>
      <c r="O714" t="s">
        <v>51</v>
      </c>
      <c r="P714">
        <v>29.8</v>
      </c>
      <c r="Q714">
        <v>1778</v>
      </c>
      <c r="R714">
        <v>5</v>
      </c>
      <c r="S714">
        <v>2</v>
      </c>
      <c r="T714" t="s">
        <v>45</v>
      </c>
      <c r="U714" t="s">
        <v>33</v>
      </c>
      <c r="V714">
        <v>100096</v>
      </c>
      <c r="W714">
        <v>3.57</v>
      </c>
      <c r="X714">
        <v>4</v>
      </c>
    </row>
    <row r="715" spans="1:24" x14ac:dyDescent="0.3">
      <c r="A715" t="s">
        <v>24</v>
      </c>
      <c r="B715" t="s">
        <v>70</v>
      </c>
      <c r="C715">
        <v>2024</v>
      </c>
      <c r="D715" t="s">
        <v>26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34</v>
      </c>
      <c r="N715">
        <v>7</v>
      </c>
      <c r="O715" t="s">
        <v>28</v>
      </c>
      <c r="P715">
        <v>78</v>
      </c>
      <c r="Q715">
        <v>2339</v>
      </c>
      <c r="R715">
        <v>5</v>
      </c>
      <c r="S715">
        <v>0</v>
      </c>
      <c r="T715" t="s">
        <v>29</v>
      </c>
      <c r="U715" t="s">
        <v>33</v>
      </c>
      <c r="V715">
        <v>260956</v>
      </c>
      <c r="W715">
        <v>3.68</v>
      </c>
      <c r="X715">
        <v>4</v>
      </c>
    </row>
    <row r="716" spans="1:24" x14ac:dyDescent="0.3">
      <c r="A716" t="s">
        <v>63</v>
      </c>
      <c r="B716" t="s">
        <v>88</v>
      </c>
      <c r="C716">
        <v>2025</v>
      </c>
      <c r="D716" t="s">
        <v>56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27</v>
      </c>
      <c r="N716">
        <v>5</v>
      </c>
      <c r="O716" t="s">
        <v>40</v>
      </c>
      <c r="P716">
        <v>71.2</v>
      </c>
      <c r="Q716">
        <v>1500</v>
      </c>
      <c r="R716">
        <v>5</v>
      </c>
      <c r="S716">
        <v>0</v>
      </c>
      <c r="T716" t="s">
        <v>65</v>
      </c>
      <c r="U716" t="s">
        <v>66</v>
      </c>
      <c r="V716">
        <v>183226</v>
      </c>
      <c r="W716">
        <v>3.75</v>
      </c>
      <c r="X716">
        <v>4</v>
      </c>
    </row>
    <row r="717" spans="1:24" x14ac:dyDescent="0.3">
      <c r="A717" t="s">
        <v>94</v>
      </c>
      <c r="B717" t="s">
        <v>128</v>
      </c>
      <c r="C717">
        <v>2026</v>
      </c>
      <c r="D717" t="s">
        <v>61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48</v>
      </c>
      <c r="N717">
        <v>5</v>
      </c>
      <c r="O717" t="s">
        <v>51</v>
      </c>
      <c r="P717">
        <v>28</v>
      </c>
      <c r="Q717">
        <v>1649</v>
      </c>
      <c r="R717">
        <v>5</v>
      </c>
      <c r="S717">
        <v>0</v>
      </c>
      <c r="T717" t="s">
        <v>41</v>
      </c>
      <c r="U717" t="s">
        <v>33</v>
      </c>
      <c r="V717">
        <v>21561</v>
      </c>
      <c r="W717">
        <v>3.72</v>
      </c>
      <c r="X717">
        <v>5</v>
      </c>
    </row>
    <row r="718" spans="1:24" x14ac:dyDescent="0.3">
      <c r="A718" t="s">
        <v>52</v>
      </c>
      <c r="B718" t="s">
        <v>62</v>
      </c>
      <c r="C718">
        <v>2023</v>
      </c>
      <c r="D718" t="s">
        <v>44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27</v>
      </c>
      <c r="N718">
        <v>7</v>
      </c>
      <c r="O718" t="s">
        <v>28</v>
      </c>
      <c r="P718">
        <v>65.8</v>
      </c>
      <c r="Q718">
        <v>2651</v>
      </c>
      <c r="R718">
        <v>5</v>
      </c>
      <c r="S718">
        <v>1</v>
      </c>
      <c r="T718" t="s">
        <v>29</v>
      </c>
      <c r="U718" t="s">
        <v>30</v>
      </c>
      <c r="V718">
        <v>29039</v>
      </c>
      <c r="W718">
        <v>3.99</v>
      </c>
      <c r="X718">
        <v>8</v>
      </c>
    </row>
    <row r="719" spans="1:24" x14ac:dyDescent="0.3">
      <c r="A719" t="s">
        <v>59</v>
      </c>
      <c r="B719" t="s">
        <v>60</v>
      </c>
      <c r="C719">
        <v>2026</v>
      </c>
      <c r="D719" t="s">
        <v>56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34</v>
      </c>
      <c r="N719">
        <v>5</v>
      </c>
      <c r="O719" t="s">
        <v>51</v>
      </c>
      <c r="P719">
        <v>33.299999999999997</v>
      </c>
      <c r="Q719">
        <v>1746</v>
      </c>
      <c r="R719">
        <v>4</v>
      </c>
      <c r="S719">
        <v>2</v>
      </c>
      <c r="T719" t="s">
        <v>41</v>
      </c>
      <c r="U719" t="s">
        <v>33</v>
      </c>
      <c r="V719">
        <v>28442</v>
      </c>
      <c r="W719">
        <v>3.61</v>
      </c>
      <c r="X719">
        <v>5</v>
      </c>
    </row>
    <row r="720" spans="1:24" x14ac:dyDescent="0.3">
      <c r="A720" t="s">
        <v>46</v>
      </c>
      <c r="B720" t="s">
        <v>47</v>
      </c>
      <c r="C720">
        <v>2025</v>
      </c>
      <c r="D720" t="s">
        <v>33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27</v>
      </c>
      <c r="N720">
        <v>7</v>
      </c>
      <c r="O720" t="s">
        <v>58</v>
      </c>
      <c r="P720">
        <v>24.8</v>
      </c>
      <c r="Q720">
        <v>1593</v>
      </c>
      <c r="R720">
        <v>4</v>
      </c>
      <c r="S720">
        <v>2</v>
      </c>
      <c r="T720" t="s">
        <v>41</v>
      </c>
      <c r="U720" t="s">
        <v>30</v>
      </c>
      <c r="V720">
        <v>106799</v>
      </c>
      <c r="W720">
        <v>3.65</v>
      </c>
      <c r="X720">
        <v>5</v>
      </c>
    </row>
    <row r="721" spans="1:24" x14ac:dyDescent="0.3">
      <c r="A721" t="s">
        <v>38</v>
      </c>
      <c r="B721" t="s">
        <v>39</v>
      </c>
      <c r="C721">
        <v>2024</v>
      </c>
      <c r="D721" t="s">
        <v>61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48</v>
      </c>
      <c r="N721">
        <v>7</v>
      </c>
      <c r="O721" t="s">
        <v>28</v>
      </c>
      <c r="P721">
        <v>64</v>
      </c>
      <c r="Q721">
        <v>2655</v>
      </c>
      <c r="R721">
        <v>5</v>
      </c>
      <c r="S721">
        <v>2</v>
      </c>
      <c r="T721" t="s">
        <v>41</v>
      </c>
      <c r="U721" t="s">
        <v>37</v>
      </c>
      <c r="V721">
        <v>22516</v>
      </c>
      <c r="W721">
        <v>3.7</v>
      </c>
      <c r="X721">
        <v>4</v>
      </c>
    </row>
    <row r="722" spans="1:24" x14ac:dyDescent="0.3">
      <c r="A722" t="s">
        <v>92</v>
      </c>
      <c r="B722" t="s">
        <v>93</v>
      </c>
      <c r="C722">
        <v>2025</v>
      </c>
      <c r="D722" t="s">
        <v>61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27</v>
      </c>
      <c r="N722">
        <v>7</v>
      </c>
      <c r="O722" t="s">
        <v>28</v>
      </c>
      <c r="P722">
        <v>60.4</v>
      </c>
      <c r="Q722">
        <v>2579</v>
      </c>
      <c r="R722">
        <v>5</v>
      </c>
      <c r="S722">
        <v>0</v>
      </c>
      <c r="T722" t="s">
        <v>65</v>
      </c>
      <c r="U722" t="s">
        <v>33</v>
      </c>
      <c r="V722">
        <v>21427</v>
      </c>
      <c r="W722">
        <v>3</v>
      </c>
      <c r="X722">
        <v>3</v>
      </c>
    </row>
    <row r="723" spans="1:24" x14ac:dyDescent="0.3">
      <c r="A723" t="s">
        <v>46</v>
      </c>
      <c r="B723" t="s">
        <v>78</v>
      </c>
      <c r="C723">
        <v>2022</v>
      </c>
      <c r="D723" t="s">
        <v>61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34</v>
      </c>
      <c r="N723">
        <v>5</v>
      </c>
      <c r="O723" t="s">
        <v>58</v>
      </c>
      <c r="P723">
        <v>32.799999999999997</v>
      </c>
      <c r="Q723">
        <v>1627</v>
      </c>
      <c r="R723">
        <v>5</v>
      </c>
      <c r="S723">
        <v>2</v>
      </c>
      <c r="T723" t="s">
        <v>41</v>
      </c>
      <c r="U723" t="s">
        <v>37</v>
      </c>
      <c r="V723">
        <v>112809</v>
      </c>
      <c r="W723">
        <v>3.72</v>
      </c>
      <c r="X723">
        <v>5</v>
      </c>
    </row>
    <row r="724" spans="1:24" x14ac:dyDescent="0.3">
      <c r="A724" t="s">
        <v>46</v>
      </c>
      <c r="B724" t="s">
        <v>72</v>
      </c>
      <c r="C724">
        <v>2026</v>
      </c>
      <c r="D724" t="s">
        <v>56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48</v>
      </c>
      <c r="N724">
        <v>5</v>
      </c>
      <c r="O724" t="s">
        <v>28</v>
      </c>
      <c r="P724">
        <v>58.6</v>
      </c>
      <c r="Q724">
        <v>2449</v>
      </c>
      <c r="R724">
        <v>3</v>
      </c>
      <c r="S724">
        <v>2</v>
      </c>
      <c r="T724" t="s">
        <v>41</v>
      </c>
      <c r="U724" t="s">
        <v>30</v>
      </c>
      <c r="V724">
        <v>118722</v>
      </c>
      <c r="W724">
        <v>3.89</v>
      </c>
      <c r="X724">
        <v>5</v>
      </c>
    </row>
    <row r="725" spans="1:24" x14ac:dyDescent="0.3">
      <c r="A725" t="s">
        <v>38</v>
      </c>
      <c r="B725" t="s">
        <v>118</v>
      </c>
      <c r="C725">
        <v>2024</v>
      </c>
      <c r="D725" t="s">
        <v>26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27</v>
      </c>
      <c r="N725">
        <v>5</v>
      </c>
      <c r="O725" t="s">
        <v>58</v>
      </c>
      <c r="P725">
        <v>36</v>
      </c>
      <c r="Q725">
        <v>1500</v>
      </c>
      <c r="R725">
        <v>4</v>
      </c>
      <c r="S725">
        <v>1</v>
      </c>
      <c r="T725" t="s">
        <v>41</v>
      </c>
      <c r="U725" t="s">
        <v>33</v>
      </c>
      <c r="V725">
        <v>26479</v>
      </c>
      <c r="W725">
        <v>3.38</v>
      </c>
      <c r="X725">
        <v>3</v>
      </c>
    </row>
    <row r="726" spans="1:24" x14ac:dyDescent="0.3">
      <c r="A726" t="s">
        <v>42</v>
      </c>
      <c r="B726" t="s">
        <v>115</v>
      </c>
      <c r="C726">
        <v>2026</v>
      </c>
      <c r="D726" t="s">
        <v>56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27</v>
      </c>
      <c r="N726">
        <v>5</v>
      </c>
      <c r="O726" t="s">
        <v>58</v>
      </c>
      <c r="P726">
        <v>19.5</v>
      </c>
      <c r="Q726">
        <v>1918</v>
      </c>
      <c r="R726">
        <v>4</v>
      </c>
      <c r="S726">
        <v>1</v>
      </c>
      <c r="T726" t="s">
        <v>45</v>
      </c>
      <c r="U726" t="s">
        <v>33</v>
      </c>
      <c r="V726">
        <v>95119</v>
      </c>
      <c r="W726">
        <v>3.3</v>
      </c>
      <c r="X726">
        <v>4</v>
      </c>
    </row>
    <row r="727" spans="1:24" x14ac:dyDescent="0.3">
      <c r="A727" t="s">
        <v>52</v>
      </c>
      <c r="B727" t="s">
        <v>103</v>
      </c>
      <c r="C727">
        <v>2024</v>
      </c>
      <c r="D727" t="s">
        <v>26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27</v>
      </c>
      <c r="N727">
        <v>5</v>
      </c>
      <c r="O727" t="s">
        <v>28</v>
      </c>
      <c r="P727">
        <v>71.7</v>
      </c>
      <c r="Q727">
        <v>2315</v>
      </c>
      <c r="R727">
        <v>4</v>
      </c>
      <c r="S727">
        <v>2</v>
      </c>
      <c r="T727" t="s">
        <v>29</v>
      </c>
      <c r="U727" t="s">
        <v>30</v>
      </c>
      <c r="V727">
        <v>68804</v>
      </c>
      <c r="W727">
        <v>3.85</v>
      </c>
      <c r="X727">
        <v>6</v>
      </c>
    </row>
    <row r="728" spans="1:24" x14ac:dyDescent="0.3">
      <c r="A728" t="s">
        <v>46</v>
      </c>
      <c r="B728" t="s">
        <v>49</v>
      </c>
      <c r="C728">
        <v>2025</v>
      </c>
      <c r="D728" t="s">
        <v>44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48</v>
      </c>
      <c r="N728">
        <v>5</v>
      </c>
      <c r="O728" t="s">
        <v>28</v>
      </c>
      <c r="P728">
        <v>60.6</v>
      </c>
      <c r="Q728">
        <v>2443</v>
      </c>
      <c r="R728">
        <v>5</v>
      </c>
      <c r="S728">
        <v>2</v>
      </c>
      <c r="T728" t="s">
        <v>41</v>
      </c>
      <c r="U728" t="s">
        <v>33</v>
      </c>
      <c r="V728">
        <v>401761</v>
      </c>
      <c r="W728">
        <v>4.12</v>
      </c>
      <c r="X728">
        <v>4</v>
      </c>
    </row>
    <row r="729" spans="1:24" x14ac:dyDescent="0.3">
      <c r="A729" t="s">
        <v>76</v>
      </c>
      <c r="B729" t="s">
        <v>91</v>
      </c>
      <c r="C729">
        <v>2025</v>
      </c>
      <c r="D729" t="s">
        <v>44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34</v>
      </c>
      <c r="N729">
        <v>4</v>
      </c>
      <c r="O729" t="s">
        <v>28</v>
      </c>
      <c r="P729">
        <v>66.599999999999994</v>
      </c>
      <c r="Q729">
        <v>2590</v>
      </c>
      <c r="R729">
        <v>4</v>
      </c>
      <c r="S729">
        <v>0</v>
      </c>
      <c r="T729" t="s">
        <v>41</v>
      </c>
      <c r="U729" t="s">
        <v>37</v>
      </c>
      <c r="V729">
        <v>59310</v>
      </c>
      <c r="W729">
        <v>3.42</v>
      </c>
      <c r="X729">
        <v>4</v>
      </c>
    </row>
    <row r="730" spans="1:24" x14ac:dyDescent="0.3">
      <c r="A730" t="s">
        <v>46</v>
      </c>
      <c r="B730" t="s">
        <v>49</v>
      </c>
      <c r="C730">
        <v>2023</v>
      </c>
      <c r="D730" t="s">
        <v>61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27</v>
      </c>
      <c r="N730">
        <v>7</v>
      </c>
      <c r="O730" t="s">
        <v>51</v>
      </c>
      <c r="P730">
        <v>31.6</v>
      </c>
      <c r="Q730">
        <v>1500</v>
      </c>
      <c r="R730">
        <v>5</v>
      </c>
      <c r="S730">
        <v>2</v>
      </c>
      <c r="T730" t="s">
        <v>41</v>
      </c>
      <c r="U730" t="s">
        <v>37</v>
      </c>
      <c r="V730">
        <v>490497</v>
      </c>
      <c r="W730">
        <v>3.93</v>
      </c>
      <c r="X730">
        <v>6</v>
      </c>
    </row>
    <row r="731" spans="1:24" x14ac:dyDescent="0.3">
      <c r="A731" t="s">
        <v>46</v>
      </c>
      <c r="B731" t="s">
        <v>78</v>
      </c>
      <c r="C731">
        <v>2025</v>
      </c>
      <c r="D731" t="s">
        <v>44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34</v>
      </c>
      <c r="N731">
        <v>5</v>
      </c>
      <c r="O731" t="s">
        <v>40</v>
      </c>
      <c r="P731">
        <v>79.3</v>
      </c>
      <c r="Q731">
        <v>1571</v>
      </c>
      <c r="R731">
        <v>4</v>
      </c>
      <c r="S731">
        <v>2</v>
      </c>
      <c r="T731" t="s">
        <v>41</v>
      </c>
      <c r="U731" t="s">
        <v>33</v>
      </c>
      <c r="V731">
        <v>226342</v>
      </c>
      <c r="W731">
        <v>3.56</v>
      </c>
      <c r="X731">
        <v>5</v>
      </c>
    </row>
    <row r="732" spans="1:24" x14ac:dyDescent="0.3">
      <c r="A732" t="s">
        <v>46</v>
      </c>
      <c r="B732" t="s">
        <v>78</v>
      </c>
      <c r="C732">
        <v>2024</v>
      </c>
      <c r="D732" t="s">
        <v>61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48</v>
      </c>
      <c r="N732">
        <v>7</v>
      </c>
      <c r="O732" t="s">
        <v>50</v>
      </c>
      <c r="P732">
        <v>34.799999999999997</v>
      </c>
      <c r="Q732">
        <v>1620</v>
      </c>
      <c r="R732">
        <v>4</v>
      </c>
      <c r="S732">
        <v>2</v>
      </c>
      <c r="T732" t="s">
        <v>41</v>
      </c>
      <c r="U732" t="s">
        <v>30</v>
      </c>
      <c r="V732">
        <v>243623</v>
      </c>
      <c r="W732">
        <v>3.24</v>
      </c>
      <c r="X732">
        <v>6</v>
      </c>
    </row>
    <row r="733" spans="1:24" x14ac:dyDescent="0.3">
      <c r="A733" t="s">
        <v>76</v>
      </c>
      <c r="B733" t="s">
        <v>91</v>
      </c>
      <c r="C733">
        <v>2020</v>
      </c>
      <c r="D733" t="s">
        <v>44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34</v>
      </c>
      <c r="N733">
        <v>2</v>
      </c>
      <c r="O733" t="s">
        <v>28</v>
      </c>
      <c r="P733">
        <v>54.9</v>
      </c>
      <c r="Q733">
        <v>2624</v>
      </c>
      <c r="R733">
        <v>5</v>
      </c>
      <c r="S733">
        <v>0</v>
      </c>
      <c r="T733" t="s">
        <v>41</v>
      </c>
      <c r="U733" t="s">
        <v>33</v>
      </c>
      <c r="V733">
        <v>25258</v>
      </c>
      <c r="W733">
        <v>3.54</v>
      </c>
      <c r="X733">
        <v>4</v>
      </c>
    </row>
    <row r="734" spans="1:24" x14ac:dyDescent="0.3">
      <c r="A734" t="s">
        <v>83</v>
      </c>
      <c r="B734" t="s">
        <v>89</v>
      </c>
      <c r="C734">
        <v>2026</v>
      </c>
      <c r="D734" t="s">
        <v>61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34</v>
      </c>
      <c r="N734">
        <v>5</v>
      </c>
      <c r="O734" t="s">
        <v>51</v>
      </c>
      <c r="P734">
        <v>18</v>
      </c>
      <c r="Q734">
        <v>1500</v>
      </c>
      <c r="R734">
        <v>3</v>
      </c>
      <c r="S734">
        <v>1</v>
      </c>
      <c r="T734" t="s">
        <v>29</v>
      </c>
      <c r="U734" t="s">
        <v>37</v>
      </c>
      <c r="V734">
        <v>61611</v>
      </c>
      <c r="W734">
        <v>3.24</v>
      </c>
      <c r="X734">
        <v>6</v>
      </c>
    </row>
    <row r="735" spans="1:24" x14ac:dyDescent="0.3">
      <c r="A735" t="s">
        <v>68</v>
      </c>
      <c r="B735" t="s">
        <v>69</v>
      </c>
      <c r="C735">
        <v>2023</v>
      </c>
      <c r="D735" t="s">
        <v>44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27</v>
      </c>
      <c r="N735">
        <v>5</v>
      </c>
      <c r="O735" t="s">
        <v>35</v>
      </c>
      <c r="P735">
        <v>61.4</v>
      </c>
      <c r="Q735">
        <v>2484</v>
      </c>
      <c r="R735">
        <v>4</v>
      </c>
      <c r="S735">
        <v>1</v>
      </c>
      <c r="T735" t="s">
        <v>45</v>
      </c>
      <c r="U735" t="s">
        <v>37</v>
      </c>
      <c r="V735">
        <v>128695</v>
      </c>
      <c r="W735">
        <v>3.64</v>
      </c>
      <c r="X735">
        <v>4</v>
      </c>
    </row>
    <row r="736" spans="1:24" x14ac:dyDescent="0.3">
      <c r="A736" t="s">
        <v>24</v>
      </c>
      <c r="B736" t="s">
        <v>25</v>
      </c>
      <c r="C736">
        <v>2026</v>
      </c>
      <c r="D736" t="s">
        <v>33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48</v>
      </c>
      <c r="N736">
        <v>7</v>
      </c>
      <c r="O736" t="s">
        <v>50</v>
      </c>
      <c r="P736">
        <v>37.1</v>
      </c>
      <c r="Q736">
        <v>1500</v>
      </c>
      <c r="R736">
        <v>5</v>
      </c>
      <c r="S736">
        <v>0</v>
      </c>
      <c r="T736" t="s">
        <v>29</v>
      </c>
      <c r="U736" t="s">
        <v>37</v>
      </c>
      <c r="V736">
        <v>296123</v>
      </c>
      <c r="W736">
        <v>3.65</v>
      </c>
      <c r="X736">
        <v>3</v>
      </c>
    </row>
    <row r="737" spans="1:24" x14ac:dyDescent="0.3">
      <c r="A737" t="s">
        <v>86</v>
      </c>
      <c r="B737" t="s">
        <v>87</v>
      </c>
      <c r="C737">
        <v>2023</v>
      </c>
      <c r="D737" t="s">
        <v>56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48</v>
      </c>
      <c r="N737">
        <v>5</v>
      </c>
      <c r="O737" t="s">
        <v>58</v>
      </c>
      <c r="P737">
        <v>19.600000000000001</v>
      </c>
      <c r="Q737">
        <v>1806</v>
      </c>
      <c r="R737">
        <v>4</v>
      </c>
      <c r="S737">
        <v>1</v>
      </c>
      <c r="T737" t="s">
        <v>29</v>
      </c>
      <c r="U737" t="s">
        <v>33</v>
      </c>
      <c r="V737">
        <v>63429</v>
      </c>
      <c r="W737">
        <v>3.38</v>
      </c>
      <c r="X737">
        <v>5</v>
      </c>
    </row>
    <row r="738" spans="1:24" x14ac:dyDescent="0.3">
      <c r="A738" t="s">
        <v>24</v>
      </c>
      <c r="B738" t="s">
        <v>85</v>
      </c>
      <c r="C738">
        <v>2024</v>
      </c>
      <c r="D738" t="s">
        <v>44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34</v>
      </c>
      <c r="N738">
        <v>7</v>
      </c>
      <c r="O738" t="s">
        <v>51</v>
      </c>
      <c r="P738">
        <v>33.1</v>
      </c>
      <c r="Q738">
        <v>1738</v>
      </c>
      <c r="R738">
        <v>5</v>
      </c>
      <c r="S738">
        <v>0</v>
      </c>
      <c r="T738" t="s">
        <v>29</v>
      </c>
      <c r="U738" t="s">
        <v>37</v>
      </c>
      <c r="V738">
        <v>247190</v>
      </c>
      <c r="W738">
        <v>3.68</v>
      </c>
      <c r="X738">
        <v>4</v>
      </c>
    </row>
    <row r="739" spans="1:24" x14ac:dyDescent="0.3">
      <c r="A739" t="s">
        <v>76</v>
      </c>
      <c r="B739" t="s">
        <v>81</v>
      </c>
      <c r="C739">
        <v>2024</v>
      </c>
      <c r="D739" t="s">
        <v>61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27</v>
      </c>
      <c r="N739">
        <v>7</v>
      </c>
      <c r="O739" t="s">
        <v>35</v>
      </c>
      <c r="P739">
        <v>69.5</v>
      </c>
      <c r="Q739">
        <v>2108</v>
      </c>
      <c r="R739">
        <v>4</v>
      </c>
      <c r="S739">
        <v>0</v>
      </c>
      <c r="T739" t="s">
        <v>41</v>
      </c>
      <c r="U739" t="s">
        <v>37</v>
      </c>
      <c r="V739">
        <v>34857</v>
      </c>
      <c r="W739">
        <v>3.47</v>
      </c>
      <c r="X739">
        <v>3</v>
      </c>
    </row>
    <row r="740" spans="1:24" x14ac:dyDescent="0.3">
      <c r="A740" t="s">
        <v>24</v>
      </c>
      <c r="B740" t="s">
        <v>75</v>
      </c>
      <c r="C740">
        <v>2025</v>
      </c>
      <c r="D740" t="s">
        <v>44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34</v>
      </c>
      <c r="N740">
        <v>5</v>
      </c>
      <c r="O740" t="s">
        <v>40</v>
      </c>
      <c r="P740">
        <v>77.2</v>
      </c>
      <c r="Q740">
        <v>2045</v>
      </c>
      <c r="R740">
        <v>4</v>
      </c>
      <c r="S740">
        <v>1</v>
      </c>
      <c r="T740" t="s">
        <v>29</v>
      </c>
      <c r="U740" t="s">
        <v>30</v>
      </c>
      <c r="V740">
        <v>235887</v>
      </c>
      <c r="W740">
        <v>3.78</v>
      </c>
      <c r="X740">
        <v>5</v>
      </c>
    </row>
    <row r="741" spans="1:24" x14ac:dyDescent="0.3">
      <c r="A741" t="s">
        <v>24</v>
      </c>
      <c r="B741" t="s">
        <v>75</v>
      </c>
      <c r="C741">
        <v>2025</v>
      </c>
      <c r="D741" t="s">
        <v>44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48</v>
      </c>
      <c r="N741">
        <v>5</v>
      </c>
      <c r="O741" t="s">
        <v>51</v>
      </c>
      <c r="P741">
        <v>32.1</v>
      </c>
      <c r="Q741">
        <v>1540</v>
      </c>
      <c r="R741">
        <v>4</v>
      </c>
      <c r="S741">
        <v>0</v>
      </c>
      <c r="T741" t="s">
        <v>29</v>
      </c>
      <c r="U741" t="s">
        <v>33</v>
      </c>
      <c r="V741">
        <v>292071</v>
      </c>
      <c r="W741">
        <v>3.47</v>
      </c>
      <c r="X741">
        <v>4</v>
      </c>
    </row>
    <row r="742" spans="1:24" x14ac:dyDescent="0.3">
      <c r="A742" t="s">
        <v>68</v>
      </c>
      <c r="B742" t="s">
        <v>109</v>
      </c>
      <c r="C742">
        <v>2025</v>
      </c>
      <c r="D742" t="s">
        <v>44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48</v>
      </c>
      <c r="N742">
        <v>7</v>
      </c>
      <c r="O742" t="s">
        <v>51</v>
      </c>
      <c r="P742">
        <v>31.9</v>
      </c>
      <c r="Q742">
        <v>1543</v>
      </c>
      <c r="R742">
        <v>5</v>
      </c>
      <c r="S742">
        <v>2</v>
      </c>
      <c r="T742" t="s">
        <v>45</v>
      </c>
      <c r="U742" t="s">
        <v>33</v>
      </c>
      <c r="V742">
        <v>132543</v>
      </c>
      <c r="W742">
        <v>3.49</v>
      </c>
      <c r="X742">
        <v>4</v>
      </c>
    </row>
    <row r="743" spans="1:24" x14ac:dyDescent="0.3">
      <c r="A743" t="s">
        <v>63</v>
      </c>
      <c r="B743" t="s">
        <v>67</v>
      </c>
      <c r="C743">
        <v>2024</v>
      </c>
      <c r="D743" t="s">
        <v>44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27</v>
      </c>
      <c r="N743">
        <v>7</v>
      </c>
      <c r="O743" t="s">
        <v>58</v>
      </c>
      <c r="P743">
        <v>22.9</v>
      </c>
      <c r="Q743">
        <v>1500</v>
      </c>
      <c r="R743">
        <v>5</v>
      </c>
      <c r="S743">
        <v>1</v>
      </c>
      <c r="T743" t="s">
        <v>65</v>
      </c>
      <c r="U743" t="s">
        <v>37</v>
      </c>
      <c r="V743">
        <v>234710</v>
      </c>
      <c r="W743">
        <v>3.53</v>
      </c>
      <c r="X743">
        <v>5</v>
      </c>
    </row>
    <row r="744" spans="1:24" x14ac:dyDescent="0.3">
      <c r="A744" t="s">
        <v>38</v>
      </c>
      <c r="B744" t="s">
        <v>118</v>
      </c>
      <c r="C744">
        <v>2022</v>
      </c>
      <c r="D744" t="s">
        <v>56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34</v>
      </c>
      <c r="N744">
        <v>7</v>
      </c>
      <c r="O744" t="s">
        <v>40</v>
      </c>
      <c r="P744">
        <v>76.5</v>
      </c>
      <c r="Q744">
        <v>1622</v>
      </c>
      <c r="R744">
        <v>5</v>
      </c>
      <c r="S744">
        <v>0</v>
      </c>
      <c r="T744" t="s">
        <v>41</v>
      </c>
      <c r="U744" t="s">
        <v>37</v>
      </c>
      <c r="V744">
        <v>29407</v>
      </c>
      <c r="W744">
        <v>3.09</v>
      </c>
      <c r="X744">
        <v>4</v>
      </c>
    </row>
    <row r="745" spans="1:24" x14ac:dyDescent="0.3">
      <c r="A745" t="s">
        <v>68</v>
      </c>
      <c r="B745" t="s">
        <v>90</v>
      </c>
      <c r="C745">
        <v>2025</v>
      </c>
      <c r="D745" t="s">
        <v>61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27</v>
      </c>
      <c r="N745">
        <v>5</v>
      </c>
      <c r="O745" t="s">
        <v>40</v>
      </c>
      <c r="P745">
        <v>77.900000000000006</v>
      </c>
      <c r="Q745">
        <v>1500</v>
      </c>
      <c r="R745">
        <v>5</v>
      </c>
      <c r="S745">
        <v>0</v>
      </c>
      <c r="T745" t="s">
        <v>45</v>
      </c>
      <c r="U745" t="s">
        <v>37</v>
      </c>
      <c r="V745">
        <v>55296</v>
      </c>
      <c r="W745">
        <v>3.41</v>
      </c>
      <c r="X745">
        <v>4</v>
      </c>
    </row>
    <row r="746" spans="1:24" x14ac:dyDescent="0.3">
      <c r="A746" t="s">
        <v>63</v>
      </c>
      <c r="B746" t="s">
        <v>96</v>
      </c>
      <c r="C746">
        <v>2025</v>
      </c>
      <c r="D746" t="s">
        <v>44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34</v>
      </c>
      <c r="N746">
        <v>7</v>
      </c>
      <c r="O746" t="s">
        <v>51</v>
      </c>
      <c r="P746">
        <v>35.299999999999997</v>
      </c>
      <c r="Q746">
        <v>1702</v>
      </c>
      <c r="R746">
        <v>4</v>
      </c>
      <c r="S746">
        <v>2</v>
      </c>
      <c r="T746" t="s">
        <v>65</v>
      </c>
      <c r="U746" t="s">
        <v>66</v>
      </c>
      <c r="V746">
        <v>185360</v>
      </c>
      <c r="W746">
        <v>3.79</v>
      </c>
      <c r="X746">
        <v>3</v>
      </c>
    </row>
    <row r="747" spans="1:24" x14ac:dyDescent="0.3">
      <c r="A747" t="s">
        <v>86</v>
      </c>
      <c r="B747" t="s">
        <v>105</v>
      </c>
      <c r="C747">
        <v>2023</v>
      </c>
      <c r="D747" t="s">
        <v>56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27</v>
      </c>
      <c r="N747">
        <v>5</v>
      </c>
      <c r="O747" t="s">
        <v>58</v>
      </c>
      <c r="P747">
        <v>39.700000000000003</v>
      </c>
      <c r="Q747">
        <v>1652</v>
      </c>
      <c r="R747">
        <v>4</v>
      </c>
      <c r="S747">
        <v>1</v>
      </c>
      <c r="T747" t="s">
        <v>29</v>
      </c>
      <c r="U747" t="s">
        <v>30</v>
      </c>
      <c r="V747">
        <v>46342</v>
      </c>
      <c r="W747">
        <v>3.62</v>
      </c>
      <c r="X747">
        <v>5</v>
      </c>
    </row>
    <row r="748" spans="1:24" x14ac:dyDescent="0.3">
      <c r="A748" t="s">
        <v>24</v>
      </c>
      <c r="B748" t="s">
        <v>25</v>
      </c>
      <c r="C748">
        <v>2025</v>
      </c>
      <c r="D748" t="s">
        <v>56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34</v>
      </c>
      <c r="N748">
        <v>5</v>
      </c>
      <c r="O748" t="s">
        <v>58</v>
      </c>
      <c r="P748">
        <v>23</v>
      </c>
      <c r="Q748">
        <v>1849</v>
      </c>
      <c r="R748">
        <v>5</v>
      </c>
      <c r="S748">
        <v>1</v>
      </c>
      <c r="T748" t="s">
        <v>29</v>
      </c>
      <c r="U748" t="s">
        <v>33</v>
      </c>
      <c r="V748">
        <v>228265</v>
      </c>
      <c r="W748">
        <v>3.75</v>
      </c>
      <c r="X748">
        <v>3</v>
      </c>
    </row>
    <row r="749" spans="1:24" x14ac:dyDescent="0.3">
      <c r="A749" t="s">
        <v>42</v>
      </c>
      <c r="B749" t="s">
        <v>115</v>
      </c>
      <c r="C749">
        <v>2025</v>
      </c>
      <c r="D749" t="s">
        <v>56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27</v>
      </c>
      <c r="N749">
        <v>7</v>
      </c>
      <c r="O749" t="s">
        <v>51</v>
      </c>
      <c r="P749">
        <v>34.299999999999997</v>
      </c>
      <c r="Q749">
        <v>1500</v>
      </c>
      <c r="R749">
        <v>4</v>
      </c>
      <c r="S749">
        <v>1</v>
      </c>
      <c r="T749" t="s">
        <v>45</v>
      </c>
      <c r="U749" t="s">
        <v>66</v>
      </c>
      <c r="V749">
        <v>124108</v>
      </c>
      <c r="W749">
        <v>3.31</v>
      </c>
      <c r="X749">
        <v>4</v>
      </c>
    </row>
    <row r="750" spans="1:24" x14ac:dyDescent="0.3">
      <c r="A750" t="s">
        <v>86</v>
      </c>
      <c r="B750" t="s">
        <v>105</v>
      </c>
      <c r="C750">
        <v>2023</v>
      </c>
      <c r="D750" t="s">
        <v>33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27</v>
      </c>
      <c r="N750">
        <v>5</v>
      </c>
      <c r="O750" t="s">
        <v>28</v>
      </c>
      <c r="P750">
        <v>56</v>
      </c>
      <c r="Q750">
        <v>2616</v>
      </c>
      <c r="R750">
        <v>5</v>
      </c>
      <c r="S750">
        <v>2</v>
      </c>
      <c r="T750" t="s">
        <v>29</v>
      </c>
      <c r="U750" t="s">
        <v>33</v>
      </c>
      <c r="V750">
        <v>36637</v>
      </c>
      <c r="W750">
        <v>3.22</v>
      </c>
      <c r="X750">
        <v>7</v>
      </c>
    </row>
    <row r="751" spans="1:24" x14ac:dyDescent="0.3">
      <c r="A751" t="s">
        <v>83</v>
      </c>
      <c r="B751" t="s">
        <v>114</v>
      </c>
      <c r="C751">
        <v>2024</v>
      </c>
      <c r="D751" t="s">
        <v>56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27</v>
      </c>
      <c r="N751">
        <v>7</v>
      </c>
      <c r="O751" t="s">
        <v>35</v>
      </c>
      <c r="P751">
        <v>57.5</v>
      </c>
      <c r="Q751">
        <v>1949</v>
      </c>
      <c r="R751">
        <v>5</v>
      </c>
      <c r="S751">
        <v>2</v>
      </c>
      <c r="T751" t="s">
        <v>29</v>
      </c>
      <c r="U751" t="s">
        <v>33</v>
      </c>
      <c r="V751">
        <v>61102</v>
      </c>
      <c r="W751">
        <v>3.24</v>
      </c>
      <c r="X751">
        <v>7</v>
      </c>
    </row>
    <row r="752" spans="1:24" x14ac:dyDescent="0.3">
      <c r="A752" t="s">
        <v>46</v>
      </c>
      <c r="B752" t="s">
        <v>47</v>
      </c>
      <c r="C752">
        <v>2025</v>
      </c>
      <c r="D752" t="s">
        <v>44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48</v>
      </c>
      <c r="N752">
        <v>5</v>
      </c>
      <c r="O752" t="s">
        <v>51</v>
      </c>
      <c r="P752">
        <v>37.6</v>
      </c>
      <c r="Q752">
        <v>1636</v>
      </c>
      <c r="R752">
        <v>3</v>
      </c>
      <c r="S752">
        <v>2</v>
      </c>
      <c r="T752" t="s">
        <v>41</v>
      </c>
      <c r="U752" t="s">
        <v>37</v>
      </c>
      <c r="V752">
        <v>182729</v>
      </c>
      <c r="W752">
        <v>3.94</v>
      </c>
      <c r="X752">
        <v>6</v>
      </c>
    </row>
    <row r="753" spans="1:24" x14ac:dyDescent="0.3">
      <c r="A753" t="s">
        <v>92</v>
      </c>
      <c r="B753" t="s">
        <v>110</v>
      </c>
      <c r="C753">
        <v>2023</v>
      </c>
      <c r="D753" t="s">
        <v>61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34</v>
      </c>
      <c r="N753">
        <v>5</v>
      </c>
      <c r="O753" t="s">
        <v>50</v>
      </c>
      <c r="P753">
        <v>34.1</v>
      </c>
      <c r="Q753">
        <v>1846</v>
      </c>
      <c r="R753">
        <v>5</v>
      </c>
      <c r="S753">
        <v>0</v>
      </c>
      <c r="T753" t="s">
        <v>65</v>
      </c>
      <c r="U753" t="s">
        <v>33</v>
      </c>
      <c r="V753">
        <v>24026</v>
      </c>
      <c r="W753">
        <v>3.35</v>
      </c>
      <c r="X753">
        <v>4</v>
      </c>
    </row>
    <row r="754" spans="1:24" x14ac:dyDescent="0.3">
      <c r="A754" t="s">
        <v>83</v>
      </c>
      <c r="B754" t="s">
        <v>89</v>
      </c>
      <c r="C754">
        <v>2023</v>
      </c>
      <c r="D754" t="s">
        <v>33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27</v>
      </c>
      <c r="N754">
        <v>5</v>
      </c>
      <c r="O754" t="s">
        <v>28</v>
      </c>
      <c r="P754">
        <v>80</v>
      </c>
      <c r="Q754">
        <v>2454</v>
      </c>
      <c r="R754">
        <v>5</v>
      </c>
      <c r="S754">
        <v>2</v>
      </c>
      <c r="T754" t="s">
        <v>29</v>
      </c>
      <c r="U754" t="s">
        <v>33</v>
      </c>
      <c r="V754">
        <v>68670</v>
      </c>
      <c r="W754">
        <v>3.23</v>
      </c>
      <c r="X754">
        <v>6</v>
      </c>
    </row>
    <row r="755" spans="1:24" x14ac:dyDescent="0.3">
      <c r="A755" t="s">
        <v>63</v>
      </c>
      <c r="B755" t="s">
        <v>64</v>
      </c>
      <c r="C755">
        <v>2024</v>
      </c>
      <c r="D755" t="s">
        <v>56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34</v>
      </c>
      <c r="N755">
        <v>7</v>
      </c>
      <c r="O755" t="s">
        <v>50</v>
      </c>
      <c r="P755">
        <v>18.600000000000001</v>
      </c>
      <c r="Q755">
        <v>1500</v>
      </c>
      <c r="R755">
        <v>4</v>
      </c>
      <c r="S755">
        <v>0</v>
      </c>
      <c r="T755" t="s">
        <v>65</v>
      </c>
      <c r="U755" t="s">
        <v>66</v>
      </c>
      <c r="V755">
        <v>194535</v>
      </c>
      <c r="W755">
        <v>3.33</v>
      </c>
      <c r="X755">
        <v>4</v>
      </c>
    </row>
    <row r="756" spans="1:24" x14ac:dyDescent="0.3">
      <c r="A756" t="s">
        <v>46</v>
      </c>
      <c r="B756" t="s">
        <v>47</v>
      </c>
      <c r="C756">
        <v>2025</v>
      </c>
      <c r="D756" t="s">
        <v>56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48</v>
      </c>
      <c r="N756">
        <v>5</v>
      </c>
      <c r="O756" t="s">
        <v>50</v>
      </c>
      <c r="P756">
        <v>35.799999999999997</v>
      </c>
      <c r="Q756">
        <v>1862</v>
      </c>
      <c r="R756">
        <v>5</v>
      </c>
      <c r="S756">
        <v>2</v>
      </c>
      <c r="T756" t="s">
        <v>41</v>
      </c>
      <c r="U756" t="s">
        <v>37</v>
      </c>
      <c r="V756">
        <v>132702</v>
      </c>
      <c r="W756">
        <v>3.97</v>
      </c>
      <c r="X756">
        <v>6</v>
      </c>
    </row>
    <row r="757" spans="1:24" x14ac:dyDescent="0.3">
      <c r="A757" t="s">
        <v>76</v>
      </c>
      <c r="B757" t="s">
        <v>91</v>
      </c>
      <c r="C757">
        <v>2025</v>
      </c>
      <c r="D757" t="s">
        <v>61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34</v>
      </c>
      <c r="N757">
        <v>2</v>
      </c>
      <c r="O757" t="s">
        <v>28</v>
      </c>
      <c r="P757">
        <v>59.3</v>
      </c>
      <c r="Q757">
        <v>2632</v>
      </c>
      <c r="R757">
        <v>4</v>
      </c>
      <c r="S757">
        <v>1</v>
      </c>
      <c r="T757" t="s">
        <v>41</v>
      </c>
      <c r="U757" t="s">
        <v>33</v>
      </c>
      <c r="V757">
        <v>29813</v>
      </c>
      <c r="W757">
        <v>3.63</v>
      </c>
      <c r="X757">
        <v>3</v>
      </c>
    </row>
    <row r="758" spans="1:24" x14ac:dyDescent="0.3">
      <c r="A758" t="s">
        <v>83</v>
      </c>
      <c r="B758" t="s">
        <v>104</v>
      </c>
      <c r="C758">
        <v>2021</v>
      </c>
      <c r="D758" t="s">
        <v>26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27</v>
      </c>
      <c r="N758">
        <v>5</v>
      </c>
      <c r="O758" t="s">
        <v>50</v>
      </c>
      <c r="P758">
        <v>32.700000000000003</v>
      </c>
      <c r="Q758">
        <v>1612</v>
      </c>
      <c r="R758">
        <v>3</v>
      </c>
      <c r="S758">
        <v>1</v>
      </c>
      <c r="T758" t="s">
        <v>29</v>
      </c>
      <c r="U758" t="s">
        <v>30</v>
      </c>
      <c r="V758">
        <v>61194</v>
      </c>
      <c r="W758">
        <v>3.64</v>
      </c>
      <c r="X758">
        <v>6</v>
      </c>
    </row>
    <row r="759" spans="1:24" x14ac:dyDescent="0.3">
      <c r="A759" t="s">
        <v>68</v>
      </c>
      <c r="B759" t="s">
        <v>69</v>
      </c>
      <c r="C759">
        <v>2025</v>
      </c>
      <c r="D759" t="s">
        <v>61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34</v>
      </c>
      <c r="N759">
        <v>5</v>
      </c>
      <c r="O759" t="s">
        <v>58</v>
      </c>
      <c r="P759">
        <v>26.3</v>
      </c>
      <c r="Q759">
        <v>1542</v>
      </c>
      <c r="R759">
        <v>4</v>
      </c>
      <c r="S759">
        <v>2</v>
      </c>
      <c r="T759" t="s">
        <v>45</v>
      </c>
      <c r="U759" t="s">
        <v>66</v>
      </c>
      <c r="V759">
        <v>74203</v>
      </c>
      <c r="W759">
        <v>3.74</v>
      </c>
      <c r="X759">
        <v>4</v>
      </c>
    </row>
    <row r="760" spans="1:24" x14ac:dyDescent="0.3">
      <c r="A760" t="s">
        <v>86</v>
      </c>
      <c r="B760" t="s">
        <v>87</v>
      </c>
      <c r="C760">
        <v>2026</v>
      </c>
      <c r="D760" t="s">
        <v>33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48</v>
      </c>
      <c r="N760">
        <v>5</v>
      </c>
      <c r="O760" t="s">
        <v>35</v>
      </c>
      <c r="P760">
        <v>39.5</v>
      </c>
      <c r="Q760">
        <v>2084</v>
      </c>
      <c r="R760">
        <v>4</v>
      </c>
      <c r="S760">
        <v>1</v>
      </c>
      <c r="T760" t="s">
        <v>29</v>
      </c>
      <c r="U760" t="s">
        <v>30</v>
      </c>
      <c r="V760">
        <v>68624</v>
      </c>
      <c r="W760">
        <v>3.78</v>
      </c>
      <c r="X760">
        <v>7</v>
      </c>
    </row>
    <row r="761" spans="1:24" x14ac:dyDescent="0.3">
      <c r="A761" t="s">
        <v>76</v>
      </c>
      <c r="B761" t="s">
        <v>98</v>
      </c>
      <c r="C761">
        <v>2023</v>
      </c>
      <c r="D761" t="s">
        <v>61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27</v>
      </c>
      <c r="N761">
        <v>7</v>
      </c>
      <c r="O761" t="s">
        <v>58</v>
      </c>
      <c r="P761">
        <v>26.7</v>
      </c>
      <c r="Q761">
        <v>1767</v>
      </c>
      <c r="R761">
        <v>3</v>
      </c>
      <c r="S761">
        <v>1</v>
      </c>
      <c r="T761" t="s">
        <v>41</v>
      </c>
      <c r="U761" t="s">
        <v>37</v>
      </c>
      <c r="V761">
        <v>37998</v>
      </c>
      <c r="W761">
        <v>3.47</v>
      </c>
      <c r="X761">
        <v>3</v>
      </c>
    </row>
    <row r="762" spans="1:24" x14ac:dyDescent="0.3">
      <c r="A762" t="s">
        <v>46</v>
      </c>
      <c r="B762" t="s">
        <v>78</v>
      </c>
      <c r="C762">
        <v>2025</v>
      </c>
      <c r="D762" t="s">
        <v>61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48</v>
      </c>
      <c r="N762">
        <v>5</v>
      </c>
      <c r="O762" t="s">
        <v>58</v>
      </c>
      <c r="P762">
        <v>20.399999999999999</v>
      </c>
      <c r="Q762">
        <v>1640</v>
      </c>
      <c r="R762">
        <v>4</v>
      </c>
      <c r="S762">
        <v>2</v>
      </c>
      <c r="T762" t="s">
        <v>41</v>
      </c>
      <c r="U762" t="s">
        <v>33</v>
      </c>
      <c r="V762">
        <v>135577</v>
      </c>
      <c r="W762">
        <v>3.78</v>
      </c>
      <c r="X762">
        <v>5</v>
      </c>
    </row>
    <row r="763" spans="1:24" x14ac:dyDescent="0.3">
      <c r="A763" t="s">
        <v>63</v>
      </c>
      <c r="B763" t="s">
        <v>88</v>
      </c>
      <c r="C763">
        <v>2026</v>
      </c>
      <c r="D763" t="s">
        <v>44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48</v>
      </c>
      <c r="N763">
        <v>7</v>
      </c>
      <c r="O763" t="s">
        <v>28</v>
      </c>
      <c r="P763">
        <v>56.9</v>
      </c>
      <c r="Q763">
        <v>2517</v>
      </c>
      <c r="R763">
        <v>5</v>
      </c>
      <c r="S763">
        <v>0</v>
      </c>
      <c r="T763" t="s">
        <v>65</v>
      </c>
      <c r="U763" t="s">
        <v>33</v>
      </c>
      <c r="V763">
        <v>133159</v>
      </c>
      <c r="W763">
        <v>3.42</v>
      </c>
      <c r="X763">
        <v>4</v>
      </c>
    </row>
    <row r="764" spans="1:24" x14ac:dyDescent="0.3">
      <c r="A764" t="s">
        <v>63</v>
      </c>
      <c r="B764" t="s">
        <v>67</v>
      </c>
      <c r="C764">
        <v>2026</v>
      </c>
      <c r="D764" t="s">
        <v>26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27</v>
      </c>
      <c r="N764">
        <v>7</v>
      </c>
      <c r="O764" t="s">
        <v>40</v>
      </c>
      <c r="P764">
        <v>68.8</v>
      </c>
      <c r="Q764">
        <v>1500</v>
      </c>
      <c r="R764">
        <v>4</v>
      </c>
      <c r="S764">
        <v>2</v>
      </c>
      <c r="T764" t="s">
        <v>65</v>
      </c>
      <c r="U764" t="s">
        <v>30</v>
      </c>
      <c r="V764">
        <v>116675</v>
      </c>
      <c r="W764">
        <v>4.1900000000000004</v>
      </c>
      <c r="X764">
        <v>4</v>
      </c>
    </row>
    <row r="765" spans="1:24" x14ac:dyDescent="0.3">
      <c r="A765" t="s">
        <v>38</v>
      </c>
      <c r="B765" t="s">
        <v>102</v>
      </c>
      <c r="C765">
        <v>2026</v>
      </c>
      <c r="D765" t="s">
        <v>33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48</v>
      </c>
      <c r="N765">
        <v>5</v>
      </c>
      <c r="O765" t="s">
        <v>35</v>
      </c>
      <c r="P765">
        <v>65.3</v>
      </c>
      <c r="Q765">
        <v>2230</v>
      </c>
      <c r="R765">
        <v>3</v>
      </c>
      <c r="S765">
        <v>0</v>
      </c>
      <c r="T765" t="s">
        <v>41</v>
      </c>
      <c r="U765" t="s">
        <v>33</v>
      </c>
      <c r="V765">
        <v>15310</v>
      </c>
      <c r="W765">
        <v>3.75</v>
      </c>
      <c r="X765">
        <v>4</v>
      </c>
    </row>
    <row r="766" spans="1:24" x14ac:dyDescent="0.3">
      <c r="A766" t="s">
        <v>46</v>
      </c>
      <c r="B766" t="s">
        <v>72</v>
      </c>
      <c r="C766">
        <v>2022</v>
      </c>
      <c r="D766" t="s">
        <v>56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34</v>
      </c>
      <c r="N766">
        <v>5</v>
      </c>
      <c r="O766" t="s">
        <v>28</v>
      </c>
      <c r="P766">
        <v>64</v>
      </c>
      <c r="Q766">
        <v>2568</v>
      </c>
      <c r="R766">
        <v>4</v>
      </c>
      <c r="S766">
        <v>2</v>
      </c>
      <c r="T766" t="s">
        <v>41</v>
      </c>
      <c r="U766" t="s">
        <v>33</v>
      </c>
      <c r="V766">
        <v>132378</v>
      </c>
      <c r="W766">
        <v>4.12</v>
      </c>
      <c r="X766">
        <v>5</v>
      </c>
    </row>
    <row r="767" spans="1:24" x14ac:dyDescent="0.3">
      <c r="A767" t="s">
        <v>42</v>
      </c>
      <c r="B767" t="s">
        <v>43</v>
      </c>
      <c r="C767">
        <v>2023</v>
      </c>
      <c r="D767" t="s">
        <v>33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48</v>
      </c>
      <c r="N767">
        <v>7</v>
      </c>
      <c r="O767" t="s">
        <v>35</v>
      </c>
      <c r="P767">
        <v>44.7</v>
      </c>
      <c r="Q767">
        <v>1956</v>
      </c>
      <c r="R767">
        <v>5</v>
      </c>
      <c r="S767">
        <v>0</v>
      </c>
      <c r="T767" t="s">
        <v>45</v>
      </c>
      <c r="U767" t="s">
        <v>37</v>
      </c>
      <c r="V767">
        <v>144832</v>
      </c>
      <c r="W767">
        <v>3.14</v>
      </c>
      <c r="X767">
        <v>4</v>
      </c>
    </row>
    <row r="768" spans="1:24" x14ac:dyDescent="0.3">
      <c r="A768" t="s">
        <v>76</v>
      </c>
      <c r="B768" t="s">
        <v>91</v>
      </c>
      <c r="C768">
        <v>2025</v>
      </c>
      <c r="D768" t="s">
        <v>33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27</v>
      </c>
      <c r="N768">
        <v>2</v>
      </c>
      <c r="O768" t="s">
        <v>28</v>
      </c>
      <c r="P768">
        <v>59.1</v>
      </c>
      <c r="Q768">
        <v>2675</v>
      </c>
      <c r="R768">
        <v>4</v>
      </c>
      <c r="S768">
        <v>1</v>
      </c>
      <c r="T768" t="s">
        <v>41</v>
      </c>
      <c r="U768" t="s">
        <v>37</v>
      </c>
      <c r="V768">
        <v>57644</v>
      </c>
      <c r="W768">
        <v>3.48</v>
      </c>
      <c r="X768">
        <v>4</v>
      </c>
    </row>
    <row r="769" spans="1:24" x14ac:dyDescent="0.3">
      <c r="A769" t="s">
        <v>86</v>
      </c>
      <c r="B769" t="s">
        <v>108</v>
      </c>
      <c r="C769">
        <v>2025</v>
      </c>
      <c r="D769" t="s">
        <v>61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27</v>
      </c>
      <c r="N769">
        <v>7</v>
      </c>
      <c r="O769" t="s">
        <v>40</v>
      </c>
      <c r="P769">
        <v>74.2</v>
      </c>
      <c r="Q769">
        <v>1500</v>
      </c>
      <c r="R769">
        <v>4</v>
      </c>
      <c r="S769">
        <v>2</v>
      </c>
      <c r="T769" t="s">
        <v>29</v>
      </c>
      <c r="U769" t="s">
        <v>30</v>
      </c>
      <c r="V769">
        <v>21563</v>
      </c>
      <c r="W769">
        <v>3.5</v>
      </c>
      <c r="X769">
        <v>6</v>
      </c>
    </row>
    <row r="770" spans="1:24" x14ac:dyDescent="0.3">
      <c r="A770" t="s">
        <v>63</v>
      </c>
      <c r="B770" t="s">
        <v>67</v>
      </c>
      <c r="C770">
        <v>2026</v>
      </c>
      <c r="D770" t="s">
        <v>44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48</v>
      </c>
      <c r="N770">
        <v>5</v>
      </c>
      <c r="O770" t="s">
        <v>40</v>
      </c>
      <c r="P770">
        <v>64.3</v>
      </c>
      <c r="Q770">
        <v>1680</v>
      </c>
      <c r="R770">
        <v>5</v>
      </c>
      <c r="S770">
        <v>1</v>
      </c>
      <c r="T770" t="s">
        <v>65</v>
      </c>
      <c r="U770" t="s">
        <v>30</v>
      </c>
      <c r="V770">
        <v>219672</v>
      </c>
      <c r="W770">
        <v>3.59</v>
      </c>
      <c r="X770">
        <v>3</v>
      </c>
    </row>
    <row r="771" spans="1:24" x14ac:dyDescent="0.3">
      <c r="A771" t="s">
        <v>76</v>
      </c>
      <c r="B771" t="s">
        <v>91</v>
      </c>
      <c r="C771">
        <v>2026</v>
      </c>
      <c r="D771" t="s">
        <v>33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48</v>
      </c>
      <c r="N771">
        <v>2</v>
      </c>
      <c r="O771" t="s">
        <v>28</v>
      </c>
      <c r="P771">
        <v>75.900000000000006</v>
      </c>
      <c r="Q771">
        <v>2262</v>
      </c>
      <c r="R771">
        <v>5</v>
      </c>
      <c r="S771">
        <v>0</v>
      </c>
      <c r="T771" t="s">
        <v>41</v>
      </c>
      <c r="U771" t="s">
        <v>33</v>
      </c>
      <c r="V771">
        <v>70819</v>
      </c>
      <c r="W771">
        <v>3.48</v>
      </c>
      <c r="X771">
        <v>4</v>
      </c>
    </row>
    <row r="772" spans="1:24" x14ac:dyDescent="0.3">
      <c r="A772" t="s">
        <v>46</v>
      </c>
      <c r="B772" t="s">
        <v>72</v>
      </c>
      <c r="C772">
        <v>2024</v>
      </c>
      <c r="D772" t="s">
        <v>44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27</v>
      </c>
      <c r="N772">
        <v>5</v>
      </c>
      <c r="O772" t="s">
        <v>28</v>
      </c>
      <c r="P772">
        <v>77.7</v>
      </c>
      <c r="Q772">
        <v>2504</v>
      </c>
      <c r="R772">
        <v>5</v>
      </c>
      <c r="S772">
        <v>3</v>
      </c>
      <c r="T772" t="s">
        <v>41</v>
      </c>
      <c r="U772" t="s">
        <v>33</v>
      </c>
      <c r="V772">
        <v>192430</v>
      </c>
      <c r="W772">
        <v>3.74</v>
      </c>
      <c r="X772">
        <v>6</v>
      </c>
    </row>
    <row r="773" spans="1:24" x14ac:dyDescent="0.3">
      <c r="A773" t="s">
        <v>52</v>
      </c>
      <c r="B773" t="s">
        <v>103</v>
      </c>
      <c r="C773">
        <v>2025</v>
      </c>
      <c r="D773" t="s">
        <v>44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34</v>
      </c>
      <c r="N773">
        <v>7</v>
      </c>
      <c r="O773" t="s">
        <v>40</v>
      </c>
      <c r="P773">
        <v>67.3</v>
      </c>
      <c r="Q773">
        <v>1677</v>
      </c>
      <c r="R773">
        <v>3</v>
      </c>
      <c r="S773">
        <v>1</v>
      </c>
      <c r="T773" t="s">
        <v>29</v>
      </c>
      <c r="U773" t="s">
        <v>33</v>
      </c>
      <c r="V773">
        <v>37695</v>
      </c>
      <c r="W773">
        <v>3.9</v>
      </c>
      <c r="X773">
        <v>5</v>
      </c>
    </row>
    <row r="774" spans="1:24" x14ac:dyDescent="0.3">
      <c r="A774" t="s">
        <v>46</v>
      </c>
      <c r="B774" t="s">
        <v>47</v>
      </c>
      <c r="C774">
        <v>2023</v>
      </c>
      <c r="D774" t="s">
        <v>61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48</v>
      </c>
      <c r="N774">
        <v>5</v>
      </c>
      <c r="O774" t="s">
        <v>40</v>
      </c>
      <c r="P774">
        <v>66.8</v>
      </c>
      <c r="Q774">
        <v>1724</v>
      </c>
      <c r="R774">
        <v>5</v>
      </c>
      <c r="S774">
        <v>3</v>
      </c>
      <c r="T774" t="s">
        <v>41</v>
      </c>
      <c r="U774" t="s">
        <v>30</v>
      </c>
      <c r="V774">
        <v>212365</v>
      </c>
      <c r="W774">
        <v>3.61</v>
      </c>
      <c r="X774">
        <v>5</v>
      </c>
    </row>
    <row r="775" spans="1:24" x14ac:dyDescent="0.3">
      <c r="A775" t="s">
        <v>24</v>
      </c>
      <c r="B775" t="s">
        <v>75</v>
      </c>
      <c r="C775">
        <v>2025</v>
      </c>
      <c r="D775" t="s">
        <v>44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34</v>
      </c>
      <c r="N775">
        <v>5</v>
      </c>
      <c r="O775" t="s">
        <v>58</v>
      </c>
      <c r="P775">
        <v>20.9</v>
      </c>
      <c r="Q775">
        <v>1549</v>
      </c>
      <c r="R775">
        <v>5</v>
      </c>
      <c r="S775">
        <v>0</v>
      </c>
      <c r="T775" t="s">
        <v>29</v>
      </c>
      <c r="U775" t="s">
        <v>33</v>
      </c>
      <c r="V775">
        <v>254291</v>
      </c>
      <c r="W775">
        <v>3.6</v>
      </c>
      <c r="X775">
        <v>3</v>
      </c>
    </row>
    <row r="776" spans="1:24" x14ac:dyDescent="0.3">
      <c r="A776" t="s">
        <v>76</v>
      </c>
      <c r="B776" t="s">
        <v>98</v>
      </c>
      <c r="C776">
        <v>2025</v>
      </c>
      <c r="D776" t="s">
        <v>56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48</v>
      </c>
      <c r="N776">
        <v>5</v>
      </c>
      <c r="O776" t="s">
        <v>28</v>
      </c>
      <c r="P776">
        <v>74.5</v>
      </c>
      <c r="Q776">
        <v>2587</v>
      </c>
      <c r="R776">
        <v>4</v>
      </c>
      <c r="S776">
        <v>0</v>
      </c>
      <c r="T776" t="s">
        <v>41</v>
      </c>
      <c r="U776" t="s">
        <v>66</v>
      </c>
      <c r="V776">
        <v>49546</v>
      </c>
      <c r="W776">
        <v>3.24</v>
      </c>
      <c r="X776">
        <v>3</v>
      </c>
    </row>
    <row r="777" spans="1:24" x14ac:dyDescent="0.3">
      <c r="A777" t="s">
        <v>46</v>
      </c>
      <c r="B777" t="s">
        <v>57</v>
      </c>
      <c r="C777">
        <v>2023</v>
      </c>
      <c r="D777" t="s">
        <v>33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48</v>
      </c>
      <c r="N777">
        <v>7</v>
      </c>
      <c r="O777" t="s">
        <v>50</v>
      </c>
      <c r="P777">
        <v>22.8</v>
      </c>
      <c r="Q777">
        <v>1754</v>
      </c>
      <c r="R777">
        <v>4</v>
      </c>
      <c r="S777">
        <v>2</v>
      </c>
      <c r="T777" t="s">
        <v>41</v>
      </c>
      <c r="U777" t="s">
        <v>37</v>
      </c>
      <c r="V777">
        <v>138801</v>
      </c>
      <c r="W777">
        <v>3.7</v>
      </c>
      <c r="X777">
        <v>5</v>
      </c>
    </row>
    <row r="778" spans="1:24" x14ac:dyDescent="0.3">
      <c r="A778" t="s">
        <v>63</v>
      </c>
      <c r="B778" t="s">
        <v>88</v>
      </c>
      <c r="C778">
        <v>2023</v>
      </c>
      <c r="D778" t="s">
        <v>44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34</v>
      </c>
      <c r="N778">
        <v>7</v>
      </c>
      <c r="O778" t="s">
        <v>28</v>
      </c>
      <c r="P778">
        <v>70.3</v>
      </c>
      <c r="Q778">
        <v>2608</v>
      </c>
      <c r="R778">
        <v>5</v>
      </c>
      <c r="S778">
        <v>0</v>
      </c>
      <c r="T778" t="s">
        <v>65</v>
      </c>
      <c r="U778" t="s">
        <v>33</v>
      </c>
      <c r="V778">
        <v>207644</v>
      </c>
      <c r="W778">
        <v>3.65</v>
      </c>
      <c r="X778">
        <v>3</v>
      </c>
    </row>
    <row r="779" spans="1:24" x14ac:dyDescent="0.3">
      <c r="A779" t="s">
        <v>38</v>
      </c>
      <c r="B779" t="s">
        <v>55</v>
      </c>
      <c r="C779">
        <v>2024</v>
      </c>
      <c r="D779" t="s">
        <v>33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27</v>
      </c>
      <c r="N779">
        <v>7</v>
      </c>
      <c r="O779" t="s">
        <v>50</v>
      </c>
      <c r="P779">
        <v>27.2</v>
      </c>
      <c r="Q779">
        <v>1500</v>
      </c>
      <c r="R779">
        <v>5</v>
      </c>
      <c r="S779">
        <v>1</v>
      </c>
      <c r="T779" t="s">
        <v>41</v>
      </c>
      <c r="U779" t="s">
        <v>33</v>
      </c>
      <c r="V779">
        <v>20253</v>
      </c>
      <c r="W779">
        <v>3.14</v>
      </c>
      <c r="X779">
        <v>3</v>
      </c>
    </row>
    <row r="780" spans="1:24" x14ac:dyDescent="0.3">
      <c r="A780" t="s">
        <v>38</v>
      </c>
      <c r="B780" t="s">
        <v>118</v>
      </c>
      <c r="C780">
        <v>2024</v>
      </c>
      <c r="D780" t="s">
        <v>61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34</v>
      </c>
      <c r="N780">
        <v>7</v>
      </c>
      <c r="O780" t="s">
        <v>35</v>
      </c>
      <c r="P780">
        <v>55.2</v>
      </c>
      <c r="Q780">
        <v>1989</v>
      </c>
      <c r="R780">
        <v>4</v>
      </c>
      <c r="S780">
        <v>0</v>
      </c>
      <c r="T780" t="s">
        <v>41</v>
      </c>
      <c r="U780" t="s">
        <v>37</v>
      </c>
      <c r="V780">
        <v>27695</v>
      </c>
      <c r="W780">
        <v>3.08</v>
      </c>
      <c r="X780">
        <v>4</v>
      </c>
    </row>
    <row r="781" spans="1:24" x14ac:dyDescent="0.3">
      <c r="A781" t="s">
        <v>83</v>
      </c>
      <c r="B781" t="s">
        <v>116</v>
      </c>
      <c r="C781">
        <v>2022</v>
      </c>
      <c r="D781" t="s">
        <v>56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34</v>
      </c>
      <c r="N781">
        <v>7</v>
      </c>
      <c r="O781" t="s">
        <v>40</v>
      </c>
      <c r="P781">
        <v>79.900000000000006</v>
      </c>
      <c r="Q781">
        <v>1500</v>
      </c>
      <c r="R781">
        <v>5</v>
      </c>
      <c r="S781">
        <v>1</v>
      </c>
      <c r="T781" t="s">
        <v>29</v>
      </c>
      <c r="U781" t="s">
        <v>33</v>
      </c>
      <c r="V781">
        <v>35030</v>
      </c>
      <c r="W781">
        <v>3.42</v>
      </c>
      <c r="X781">
        <v>6</v>
      </c>
    </row>
    <row r="782" spans="1:24" x14ac:dyDescent="0.3">
      <c r="A782" t="s">
        <v>38</v>
      </c>
      <c r="B782" t="s">
        <v>101</v>
      </c>
      <c r="C782">
        <v>2025</v>
      </c>
      <c r="D782" t="s">
        <v>61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48</v>
      </c>
      <c r="N782">
        <v>7</v>
      </c>
      <c r="O782" t="s">
        <v>50</v>
      </c>
      <c r="P782">
        <v>37.700000000000003</v>
      </c>
      <c r="Q782">
        <v>1722</v>
      </c>
      <c r="R782">
        <v>4</v>
      </c>
      <c r="S782">
        <v>1</v>
      </c>
      <c r="T782" t="s">
        <v>41</v>
      </c>
      <c r="U782" t="s">
        <v>66</v>
      </c>
      <c r="V782">
        <v>19509</v>
      </c>
      <c r="W782">
        <v>3.46</v>
      </c>
      <c r="X782">
        <v>3</v>
      </c>
    </row>
    <row r="783" spans="1:24" x14ac:dyDescent="0.3">
      <c r="A783" t="s">
        <v>42</v>
      </c>
      <c r="B783" t="s">
        <v>115</v>
      </c>
      <c r="C783">
        <v>2026</v>
      </c>
      <c r="D783" t="s">
        <v>33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48</v>
      </c>
      <c r="N783">
        <v>7</v>
      </c>
      <c r="O783" t="s">
        <v>51</v>
      </c>
      <c r="P783">
        <v>19.8</v>
      </c>
      <c r="Q783">
        <v>1500</v>
      </c>
      <c r="R783">
        <v>3</v>
      </c>
      <c r="S783">
        <v>0</v>
      </c>
      <c r="T783" t="s">
        <v>45</v>
      </c>
      <c r="U783" t="s">
        <v>33</v>
      </c>
      <c r="V783">
        <v>103637</v>
      </c>
      <c r="W783">
        <v>3.28</v>
      </c>
      <c r="X783">
        <v>4</v>
      </c>
    </row>
    <row r="784" spans="1:24" x14ac:dyDescent="0.3">
      <c r="A784" t="s">
        <v>63</v>
      </c>
      <c r="B784" t="s">
        <v>67</v>
      </c>
      <c r="C784">
        <v>2025</v>
      </c>
      <c r="D784" t="s">
        <v>26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27</v>
      </c>
      <c r="N784">
        <v>5</v>
      </c>
      <c r="O784" t="s">
        <v>50</v>
      </c>
      <c r="P784">
        <v>25.2</v>
      </c>
      <c r="Q784">
        <v>1500</v>
      </c>
      <c r="R784">
        <v>5</v>
      </c>
      <c r="S784">
        <v>0</v>
      </c>
      <c r="T784" t="s">
        <v>65</v>
      </c>
      <c r="U784" t="s">
        <v>33</v>
      </c>
      <c r="V784">
        <v>172031</v>
      </c>
      <c r="W784">
        <v>3.92</v>
      </c>
      <c r="X784">
        <v>3</v>
      </c>
    </row>
    <row r="785" spans="1:24" x14ac:dyDescent="0.3">
      <c r="A785" t="s">
        <v>63</v>
      </c>
      <c r="B785" t="s">
        <v>88</v>
      </c>
      <c r="C785">
        <v>2026</v>
      </c>
      <c r="D785" t="s">
        <v>61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48</v>
      </c>
      <c r="N785">
        <v>5</v>
      </c>
      <c r="O785" t="s">
        <v>28</v>
      </c>
      <c r="P785">
        <v>72.8</v>
      </c>
      <c r="Q785">
        <v>2840</v>
      </c>
      <c r="R785">
        <v>5</v>
      </c>
      <c r="S785">
        <v>0</v>
      </c>
      <c r="T785" t="s">
        <v>65</v>
      </c>
      <c r="U785" t="s">
        <v>33</v>
      </c>
      <c r="V785">
        <v>121433</v>
      </c>
      <c r="W785">
        <v>3.41</v>
      </c>
      <c r="X785">
        <v>4</v>
      </c>
    </row>
    <row r="786" spans="1:24" x14ac:dyDescent="0.3">
      <c r="A786" t="s">
        <v>46</v>
      </c>
      <c r="B786" t="s">
        <v>47</v>
      </c>
      <c r="C786">
        <v>2024</v>
      </c>
      <c r="D786" t="s">
        <v>33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27</v>
      </c>
      <c r="N786">
        <v>5</v>
      </c>
      <c r="O786" t="s">
        <v>50</v>
      </c>
      <c r="P786">
        <v>15.4</v>
      </c>
      <c r="Q786">
        <v>2086</v>
      </c>
      <c r="R786">
        <v>4</v>
      </c>
      <c r="S786">
        <v>2</v>
      </c>
      <c r="T786" t="s">
        <v>41</v>
      </c>
      <c r="U786" t="s">
        <v>30</v>
      </c>
      <c r="V786">
        <v>241741</v>
      </c>
      <c r="W786">
        <v>3.75</v>
      </c>
      <c r="X786">
        <v>5</v>
      </c>
    </row>
    <row r="787" spans="1:24" x14ac:dyDescent="0.3">
      <c r="A787" t="s">
        <v>86</v>
      </c>
      <c r="B787" t="s">
        <v>105</v>
      </c>
      <c r="C787">
        <v>2024</v>
      </c>
      <c r="D787" t="s">
        <v>33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34</v>
      </c>
      <c r="N787">
        <v>5</v>
      </c>
      <c r="O787" t="s">
        <v>51</v>
      </c>
      <c r="P787">
        <v>39.5</v>
      </c>
      <c r="Q787">
        <v>1500</v>
      </c>
      <c r="R787">
        <v>5</v>
      </c>
      <c r="S787">
        <v>2</v>
      </c>
      <c r="T787" t="s">
        <v>29</v>
      </c>
      <c r="U787" t="s">
        <v>30</v>
      </c>
      <c r="V787">
        <v>22361</v>
      </c>
      <c r="W787">
        <v>3.64</v>
      </c>
      <c r="X787">
        <v>7</v>
      </c>
    </row>
    <row r="788" spans="1:24" x14ac:dyDescent="0.3">
      <c r="A788" t="s">
        <v>42</v>
      </c>
      <c r="B788" t="s">
        <v>71</v>
      </c>
      <c r="C788">
        <v>2022</v>
      </c>
      <c r="D788" t="s">
        <v>61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34</v>
      </c>
      <c r="N788">
        <v>5</v>
      </c>
      <c r="O788" t="s">
        <v>50</v>
      </c>
      <c r="P788">
        <v>18</v>
      </c>
      <c r="Q788">
        <v>1570</v>
      </c>
      <c r="R788">
        <v>4</v>
      </c>
      <c r="S788">
        <v>0</v>
      </c>
      <c r="T788" t="s">
        <v>45</v>
      </c>
      <c r="U788" t="s">
        <v>37</v>
      </c>
      <c r="V788">
        <v>92917</v>
      </c>
      <c r="W788">
        <v>3.02</v>
      </c>
      <c r="X788">
        <v>4</v>
      </c>
    </row>
    <row r="789" spans="1:24" x14ac:dyDescent="0.3">
      <c r="A789" t="s">
        <v>24</v>
      </c>
      <c r="B789" t="s">
        <v>74</v>
      </c>
      <c r="C789">
        <v>2022</v>
      </c>
      <c r="D789" t="s">
        <v>33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27</v>
      </c>
      <c r="N789">
        <v>5</v>
      </c>
      <c r="O789" t="s">
        <v>28</v>
      </c>
      <c r="P789">
        <v>74</v>
      </c>
      <c r="Q789">
        <v>2426</v>
      </c>
      <c r="R789">
        <v>5</v>
      </c>
      <c r="S789">
        <v>0</v>
      </c>
      <c r="T789" t="s">
        <v>29</v>
      </c>
      <c r="U789" t="s">
        <v>33</v>
      </c>
      <c r="V789">
        <v>266134</v>
      </c>
      <c r="W789">
        <v>3.28</v>
      </c>
      <c r="X789">
        <v>4</v>
      </c>
    </row>
    <row r="790" spans="1:24" x14ac:dyDescent="0.3">
      <c r="A790" t="s">
        <v>68</v>
      </c>
      <c r="B790" t="s">
        <v>90</v>
      </c>
      <c r="C790">
        <v>2025</v>
      </c>
      <c r="D790" t="s">
        <v>26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27</v>
      </c>
      <c r="N790">
        <v>7</v>
      </c>
      <c r="O790" t="s">
        <v>51</v>
      </c>
      <c r="P790">
        <v>25.2</v>
      </c>
      <c r="Q790">
        <v>1627</v>
      </c>
      <c r="R790">
        <v>4</v>
      </c>
      <c r="S790">
        <v>1</v>
      </c>
      <c r="T790" t="s">
        <v>45</v>
      </c>
      <c r="U790" t="s">
        <v>33</v>
      </c>
      <c r="V790">
        <v>124589</v>
      </c>
      <c r="W790">
        <v>3.85</v>
      </c>
      <c r="X790">
        <v>4</v>
      </c>
    </row>
    <row r="791" spans="1:24" x14ac:dyDescent="0.3">
      <c r="A791" t="s">
        <v>31</v>
      </c>
      <c r="B791" t="s">
        <v>32</v>
      </c>
      <c r="C791">
        <v>2025</v>
      </c>
      <c r="D791" t="s">
        <v>44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34</v>
      </c>
      <c r="N791">
        <v>5</v>
      </c>
      <c r="O791" t="s">
        <v>35</v>
      </c>
      <c r="P791">
        <v>60.4</v>
      </c>
      <c r="Q791">
        <v>1969</v>
      </c>
      <c r="R791">
        <v>5</v>
      </c>
      <c r="S791">
        <v>1</v>
      </c>
      <c r="T791" t="s">
        <v>36</v>
      </c>
      <c r="U791" t="s">
        <v>33</v>
      </c>
      <c r="V791">
        <v>15914</v>
      </c>
      <c r="W791">
        <v>3.93</v>
      </c>
      <c r="X791">
        <v>4</v>
      </c>
    </row>
    <row r="792" spans="1:24" x14ac:dyDescent="0.3">
      <c r="A792" t="s">
        <v>46</v>
      </c>
      <c r="B792" t="s">
        <v>49</v>
      </c>
      <c r="C792">
        <v>2026</v>
      </c>
      <c r="D792" t="s">
        <v>61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34</v>
      </c>
      <c r="N792">
        <v>7</v>
      </c>
      <c r="O792" t="s">
        <v>58</v>
      </c>
      <c r="P792">
        <v>31.8</v>
      </c>
      <c r="Q792">
        <v>1541</v>
      </c>
      <c r="R792">
        <v>5</v>
      </c>
      <c r="S792">
        <v>2</v>
      </c>
      <c r="T792" t="s">
        <v>41</v>
      </c>
      <c r="U792" t="s">
        <v>30</v>
      </c>
      <c r="V792">
        <v>410211</v>
      </c>
      <c r="W792">
        <v>3.81</v>
      </c>
      <c r="X792">
        <v>5</v>
      </c>
    </row>
    <row r="793" spans="1:24" x14ac:dyDescent="0.3">
      <c r="A793" t="s">
        <v>42</v>
      </c>
      <c r="B793" t="s">
        <v>80</v>
      </c>
      <c r="C793">
        <v>2024</v>
      </c>
      <c r="D793" t="s">
        <v>56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27</v>
      </c>
      <c r="N793">
        <v>7</v>
      </c>
      <c r="O793" t="s">
        <v>35</v>
      </c>
      <c r="P793">
        <v>60.1</v>
      </c>
      <c r="Q793">
        <v>2343</v>
      </c>
      <c r="R793">
        <v>4</v>
      </c>
      <c r="S793">
        <v>0</v>
      </c>
      <c r="T793" t="s">
        <v>45</v>
      </c>
      <c r="U793" t="s">
        <v>37</v>
      </c>
      <c r="V793">
        <v>96649</v>
      </c>
      <c r="W793">
        <v>3.22</v>
      </c>
      <c r="X793">
        <v>5</v>
      </c>
    </row>
    <row r="794" spans="1:24" x14ac:dyDescent="0.3">
      <c r="A794" t="s">
        <v>68</v>
      </c>
      <c r="B794" t="s">
        <v>106</v>
      </c>
      <c r="C794">
        <v>2026</v>
      </c>
      <c r="D794" t="s">
        <v>61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34</v>
      </c>
      <c r="N794">
        <v>5</v>
      </c>
      <c r="O794" t="s">
        <v>35</v>
      </c>
      <c r="P794">
        <v>41.2</v>
      </c>
      <c r="Q794">
        <v>2085</v>
      </c>
      <c r="R794">
        <v>4</v>
      </c>
      <c r="S794">
        <v>0</v>
      </c>
      <c r="T794" t="s">
        <v>45</v>
      </c>
      <c r="U794" t="s">
        <v>37</v>
      </c>
      <c r="V794">
        <v>83698</v>
      </c>
      <c r="W794">
        <v>3.17</v>
      </c>
      <c r="X794">
        <v>5</v>
      </c>
    </row>
    <row r="795" spans="1:24" x14ac:dyDescent="0.3">
      <c r="A795" t="s">
        <v>42</v>
      </c>
      <c r="B795" t="s">
        <v>43</v>
      </c>
      <c r="C795">
        <v>2025</v>
      </c>
      <c r="D795" t="s">
        <v>33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34</v>
      </c>
      <c r="N795">
        <v>5</v>
      </c>
      <c r="O795" t="s">
        <v>35</v>
      </c>
      <c r="P795">
        <v>46.6</v>
      </c>
      <c r="Q795">
        <v>1980</v>
      </c>
      <c r="R795">
        <v>4</v>
      </c>
      <c r="S795">
        <v>0</v>
      </c>
      <c r="T795" t="s">
        <v>45</v>
      </c>
      <c r="U795" t="s">
        <v>33</v>
      </c>
      <c r="V795">
        <v>86432</v>
      </c>
      <c r="W795">
        <v>3.41</v>
      </c>
      <c r="X795">
        <v>5</v>
      </c>
    </row>
    <row r="796" spans="1:24" x14ac:dyDescent="0.3">
      <c r="A796" t="s">
        <v>46</v>
      </c>
      <c r="B796" t="s">
        <v>47</v>
      </c>
      <c r="C796">
        <v>2024</v>
      </c>
      <c r="D796" t="s">
        <v>33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48</v>
      </c>
      <c r="N796">
        <v>7</v>
      </c>
      <c r="O796" t="s">
        <v>50</v>
      </c>
      <c r="P796">
        <v>32.1</v>
      </c>
      <c r="Q796">
        <v>1604</v>
      </c>
      <c r="R796">
        <v>5</v>
      </c>
      <c r="S796">
        <v>3</v>
      </c>
      <c r="T796" t="s">
        <v>41</v>
      </c>
      <c r="U796" t="s">
        <v>33</v>
      </c>
      <c r="V796">
        <v>249410</v>
      </c>
      <c r="W796">
        <v>3.51</v>
      </c>
      <c r="X796">
        <v>6</v>
      </c>
    </row>
    <row r="797" spans="1:24" x14ac:dyDescent="0.3">
      <c r="A797" t="s">
        <v>52</v>
      </c>
      <c r="B797" t="s">
        <v>103</v>
      </c>
      <c r="C797">
        <v>2025</v>
      </c>
      <c r="D797" t="s">
        <v>33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27</v>
      </c>
      <c r="N797">
        <v>5</v>
      </c>
      <c r="O797" t="s">
        <v>40</v>
      </c>
      <c r="P797">
        <v>73.7</v>
      </c>
      <c r="Q797">
        <v>1882</v>
      </c>
      <c r="R797">
        <v>5</v>
      </c>
      <c r="S797">
        <v>2</v>
      </c>
      <c r="T797" t="s">
        <v>29</v>
      </c>
      <c r="U797" t="s">
        <v>30</v>
      </c>
      <c r="V797">
        <v>22636</v>
      </c>
      <c r="W797">
        <v>3.82</v>
      </c>
      <c r="X797">
        <v>6</v>
      </c>
    </row>
    <row r="798" spans="1:24" x14ac:dyDescent="0.3">
      <c r="A798" t="s">
        <v>94</v>
      </c>
      <c r="B798" t="s">
        <v>95</v>
      </c>
      <c r="C798">
        <v>2025</v>
      </c>
      <c r="D798" t="s">
        <v>26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27</v>
      </c>
      <c r="N798">
        <v>5</v>
      </c>
      <c r="O798" t="s">
        <v>50</v>
      </c>
      <c r="P798">
        <v>39.1</v>
      </c>
      <c r="Q798">
        <v>1853</v>
      </c>
      <c r="R798">
        <v>5</v>
      </c>
      <c r="S798">
        <v>1</v>
      </c>
      <c r="T798" t="s">
        <v>41</v>
      </c>
      <c r="U798" t="s">
        <v>30</v>
      </c>
      <c r="V798">
        <v>19234</v>
      </c>
      <c r="W798">
        <v>3.75</v>
      </c>
      <c r="X798">
        <v>4</v>
      </c>
    </row>
    <row r="799" spans="1:24" x14ac:dyDescent="0.3">
      <c r="A799" t="s">
        <v>42</v>
      </c>
      <c r="B799" t="s">
        <v>54</v>
      </c>
      <c r="C799">
        <v>2025</v>
      </c>
      <c r="D799" t="s">
        <v>33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27</v>
      </c>
      <c r="N799">
        <v>7</v>
      </c>
      <c r="O799" t="s">
        <v>40</v>
      </c>
      <c r="P799">
        <v>74.400000000000006</v>
      </c>
      <c r="Q799">
        <v>1655</v>
      </c>
      <c r="R799">
        <v>4</v>
      </c>
      <c r="S799">
        <v>0</v>
      </c>
      <c r="T799" t="s">
        <v>45</v>
      </c>
      <c r="U799" t="s">
        <v>30</v>
      </c>
      <c r="V799">
        <v>139588</v>
      </c>
      <c r="W799">
        <v>3.58</v>
      </c>
      <c r="X799">
        <v>4</v>
      </c>
    </row>
    <row r="800" spans="1:24" x14ac:dyDescent="0.3">
      <c r="A800" t="s">
        <v>38</v>
      </c>
      <c r="B800" t="s">
        <v>118</v>
      </c>
      <c r="C800">
        <v>2024</v>
      </c>
      <c r="D800" t="s">
        <v>56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34</v>
      </c>
      <c r="N800">
        <v>5</v>
      </c>
      <c r="O800" t="s">
        <v>35</v>
      </c>
      <c r="P800">
        <v>57.3</v>
      </c>
      <c r="Q800">
        <v>2124</v>
      </c>
      <c r="R800">
        <v>4</v>
      </c>
      <c r="S800">
        <v>0</v>
      </c>
      <c r="T800" t="s">
        <v>41</v>
      </c>
      <c r="U800" t="s">
        <v>66</v>
      </c>
      <c r="V800">
        <v>2373</v>
      </c>
      <c r="W800">
        <v>3.27</v>
      </c>
      <c r="X800">
        <v>3</v>
      </c>
    </row>
    <row r="801" spans="1:24" x14ac:dyDescent="0.3">
      <c r="A801" t="s">
        <v>94</v>
      </c>
      <c r="B801" t="s">
        <v>95</v>
      </c>
      <c r="C801">
        <v>2025</v>
      </c>
      <c r="D801" t="s">
        <v>56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48</v>
      </c>
      <c r="N801">
        <v>5</v>
      </c>
      <c r="O801" t="s">
        <v>35</v>
      </c>
      <c r="P801">
        <v>53.7</v>
      </c>
      <c r="Q801">
        <v>1833</v>
      </c>
      <c r="R801">
        <v>5</v>
      </c>
      <c r="S801">
        <v>2</v>
      </c>
      <c r="T801" t="s">
        <v>41</v>
      </c>
      <c r="U801" t="s">
        <v>33</v>
      </c>
      <c r="V801">
        <v>25139</v>
      </c>
      <c r="W801">
        <v>3.32</v>
      </c>
      <c r="X801">
        <v>4</v>
      </c>
    </row>
    <row r="802" spans="1:24" x14ac:dyDescent="0.3">
      <c r="A802" t="s">
        <v>38</v>
      </c>
      <c r="B802" t="s">
        <v>39</v>
      </c>
      <c r="C802">
        <v>2023</v>
      </c>
      <c r="D802" t="s">
        <v>56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27</v>
      </c>
      <c r="N802">
        <v>7</v>
      </c>
      <c r="O802" t="s">
        <v>51</v>
      </c>
      <c r="P802">
        <v>20.5</v>
      </c>
      <c r="Q802">
        <v>1586</v>
      </c>
      <c r="R802">
        <v>4</v>
      </c>
      <c r="S802">
        <v>0</v>
      </c>
      <c r="T802" t="s">
        <v>41</v>
      </c>
      <c r="U802" t="s">
        <v>37</v>
      </c>
      <c r="V802">
        <v>15584</v>
      </c>
      <c r="W802">
        <v>3.31</v>
      </c>
      <c r="X802">
        <v>4</v>
      </c>
    </row>
    <row r="803" spans="1:24" x14ac:dyDescent="0.3">
      <c r="A803" t="s">
        <v>46</v>
      </c>
      <c r="B803" t="s">
        <v>47</v>
      </c>
      <c r="C803">
        <v>2025</v>
      </c>
      <c r="D803" t="s">
        <v>56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34</v>
      </c>
      <c r="N803">
        <v>7</v>
      </c>
      <c r="O803" t="s">
        <v>58</v>
      </c>
      <c r="P803">
        <v>37.299999999999997</v>
      </c>
      <c r="Q803">
        <v>1674</v>
      </c>
      <c r="R803">
        <v>5</v>
      </c>
      <c r="S803">
        <v>2</v>
      </c>
      <c r="T803" t="s">
        <v>41</v>
      </c>
      <c r="U803" t="s">
        <v>37</v>
      </c>
      <c r="V803">
        <v>113015</v>
      </c>
      <c r="W803">
        <v>3.93</v>
      </c>
      <c r="X803">
        <v>5</v>
      </c>
    </row>
    <row r="804" spans="1:24" x14ac:dyDescent="0.3">
      <c r="A804" t="s">
        <v>42</v>
      </c>
      <c r="B804" t="s">
        <v>43</v>
      </c>
      <c r="C804">
        <v>2024</v>
      </c>
      <c r="D804" t="s">
        <v>33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27</v>
      </c>
      <c r="N804">
        <v>5</v>
      </c>
      <c r="O804" t="s">
        <v>35</v>
      </c>
      <c r="P804">
        <v>36.9</v>
      </c>
      <c r="Q804">
        <v>1586</v>
      </c>
      <c r="R804">
        <v>5</v>
      </c>
      <c r="S804">
        <v>0</v>
      </c>
      <c r="T804" t="s">
        <v>45</v>
      </c>
      <c r="U804" t="s">
        <v>33</v>
      </c>
      <c r="V804">
        <v>78422</v>
      </c>
      <c r="W804">
        <v>3.48</v>
      </c>
      <c r="X804">
        <v>5</v>
      </c>
    </row>
    <row r="805" spans="1:24" x14ac:dyDescent="0.3">
      <c r="A805" t="s">
        <v>42</v>
      </c>
      <c r="B805" t="s">
        <v>43</v>
      </c>
      <c r="C805">
        <v>2026</v>
      </c>
      <c r="D805" t="s">
        <v>56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48</v>
      </c>
      <c r="N805">
        <v>5</v>
      </c>
      <c r="O805" t="s">
        <v>35</v>
      </c>
      <c r="P805">
        <v>46.5</v>
      </c>
      <c r="Q805">
        <v>1686</v>
      </c>
      <c r="R805">
        <v>5</v>
      </c>
      <c r="S805">
        <v>0</v>
      </c>
      <c r="T805" t="s">
        <v>45</v>
      </c>
      <c r="U805" t="s">
        <v>33</v>
      </c>
      <c r="V805">
        <v>52716</v>
      </c>
      <c r="W805">
        <v>3</v>
      </c>
      <c r="X805">
        <v>4</v>
      </c>
    </row>
    <row r="806" spans="1:24" x14ac:dyDescent="0.3">
      <c r="A806" t="s">
        <v>24</v>
      </c>
      <c r="B806" t="s">
        <v>75</v>
      </c>
      <c r="C806">
        <v>2024</v>
      </c>
      <c r="D806" t="s">
        <v>26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27</v>
      </c>
      <c r="N806">
        <v>5</v>
      </c>
      <c r="O806" t="s">
        <v>35</v>
      </c>
      <c r="P806">
        <v>50.4</v>
      </c>
      <c r="Q806">
        <v>2218</v>
      </c>
      <c r="R806">
        <v>4</v>
      </c>
      <c r="S806">
        <v>0</v>
      </c>
      <c r="T806" t="s">
        <v>29</v>
      </c>
      <c r="U806" t="s">
        <v>33</v>
      </c>
      <c r="V806">
        <v>202441</v>
      </c>
      <c r="W806">
        <v>3.2</v>
      </c>
      <c r="X806">
        <v>3</v>
      </c>
    </row>
    <row r="807" spans="1:24" x14ac:dyDescent="0.3">
      <c r="A807" t="s">
        <v>38</v>
      </c>
      <c r="B807" t="s">
        <v>101</v>
      </c>
      <c r="C807">
        <v>2024</v>
      </c>
      <c r="D807" t="s">
        <v>61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34</v>
      </c>
      <c r="N807">
        <v>7</v>
      </c>
      <c r="O807" t="s">
        <v>28</v>
      </c>
      <c r="P807">
        <v>51</v>
      </c>
      <c r="Q807">
        <v>2854</v>
      </c>
      <c r="R807">
        <v>5</v>
      </c>
      <c r="S807">
        <v>1</v>
      </c>
      <c r="T807" t="s">
        <v>41</v>
      </c>
      <c r="U807" t="s">
        <v>37</v>
      </c>
      <c r="V807">
        <v>28957</v>
      </c>
      <c r="W807">
        <v>3.15</v>
      </c>
      <c r="X807">
        <v>4</v>
      </c>
    </row>
    <row r="808" spans="1:24" x14ac:dyDescent="0.3">
      <c r="A808" t="s">
        <v>92</v>
      </c>
      <c r="B808" t="s">
        <v>119</v>
      </c>
      <c r="C808">
        <v>2024</v>
      </c>
      <c r="D808" t="s">
        <v>44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48</v>
      </c>
      <c r="N808">
        <v>5</v>
      </c>
      <c r="O808" t="s">
        <v>35</v>
      </c>
      <c r="P808">
        <v>63.5</v>
      </c>
      <c r="Q808">
        <v>1845</v>
      </c>
      <c r="R808">
        <v>4</v>
      </c>
      <c r="S808">
        <v>2</v>
      </c>
      <c r="T808" t="s">
        <v>65</v>
      </c>
      <c r="U808" t="s">
        <v>33</v>
      </c>
      <c r="V808">
        <v>27479</v>
      </c>
      <c r="W808">
        <v>3.57</v>
      </c>
      <c r="X808">
        <v>4</v>
      </c>
    </row>
    <row r="809" spans="1:24" x14ac:dyDescent="0.3">
      <c r="A809" t="s">
        <v>94</v>
      </c>
      <c r="B809" t="s">
        <v>120</v>
      </c>
      <c r="C809">
        <v>2026</v>
      </c>
      <c r="D809" t="s">
        <v>44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27</v>
      </c>
      <c r="N809">
        <v>7</v>
      </c>
      <c r="O809" t="s">
        <v>35</v>
      </c>
      <c r="P809">
        <v>58.8</v>
      </c>
      <c r="Q809">
        <v>2158</v>
      </c>
      <c r="R809">
        <v>3</v>
      </c>
      <c r="S809">
        <v>0</v>
      </c>
      <c r="T809" t="s">
        <v>41</v>
      </c>
      <c r="U809" t="s">
        <v>33</v>
      </c>
      <c r="V809">
        <v>20133</v>
      </c>
      <c r="W809">
        <v>3.71</v>
      </c>
      <c r="X809">
        <v>6</v>
      </c>
    </row>
    <row r="810" spans="1:24" x14ac:dyDescent="0.3">
      <c r="A810" t="s">
        <v>24</v>
      </c>
      <c r="B810" t="s">
        <v>25</v>
      </c>
      <c r="C810">
        <v>2025</v>
      </c>
      <c r="D810" t="s">
        <v>33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27</v>
      </c>
      <c r="N810">
        <v>5</v>
      </c>
      <c r="O810" t="s">
        <v>51</v>
      </c>
      <c r="P810">
        <v>20.5</v>
      </c>
      <c r="Q810">
        <v>1619</v>
      </c>
      <c r="R810">
        <v>4</v>
      </c>
      <c r="S810">
        <v>0</v>
      </c>
      <c r="T810" t="s">
        <v>29</v>
      </c>
      <c r="U810" t="s">
        <v>37</v>
      </c>
      <c r="V810">
        <v>299882</v>
      </c>
      <c r="W810">
        <v>3.61</v>
      </c>
      <c r="X810">
        <v>3</v>
      </c>
    </row>
    <row r="811" spans="1:24" x14ac:dyDescent="0.3">
      <c r="A811" t="s">
        <v>46</v>
      </c>
      <c r="B811" t="s">
        <v>49</v>
      </c>
      <c r="C811">
        <v>2023</v>
      </c>
      <c r="D811" t="s">
        <v>61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48</v>
      </c>
      <c r="N811">
        <v>7</v>
      </c>
      <c r="O811" t="s">
        <v>35</v>
      </c>
      <c r="P811">
        <v>47.3</v>
      </c>
      <c r="Q811">
        <v>1900</v>
      </c>
      <c r="R811">
        <v>5</v>
      </c>
      <c r="S811">
        <v>2</v>
      </c>
      <c r="T811" t="s">
        <v>41</v>
      </c>
      <c r="U811" t="s">
        <v>30</v>
      </c>
      <c r="V811">
        <v>472436</v>
      </c>
      <c r="W811">
        <v>3.4</v>
      </c>
      <c r="X811">
        <v>4</v>
      </c>
    </row>
    <row r="812" spans="1:24" x14ac:dyDescent="0.3">
      <c r="A812" t="s">
        <v>99</v>
      </c>
      <c r="B812" t="s">
        <v>100</v>
      </c>
      <c r="C812">
        <v>2025</v>
      </c>
      <c r="D812" t="s">
        <v>61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27</v>
      </c>
      <c r="N812">
        <v>7</v>
      </c>
      <c r="O812" t="s">
        <v>51</v>
      </c>
      <c r="P812">
        <v>17.2</v>
      </c>
      <c r="Q812">
        <v>1665</v>
      </c>
      <c r="R812">
        <v>4</v>
      </c>
      <c r="S812">
        <v>0</v>
      </c>
      <c r="T812" t="s">
        <v>29</v>
      </c>
      <c r="U812" t="s">
        <v>30</v>
      </c>
      <c r="V812">
        <v>21608</v>
      </c>
      <c r="W812">
        <v>3.85</v>
      </c>
      <c r="X812">
        <v>6</v>
      </c>
    </row>
    <row r="813" spans="1:24" x14ac:dyDescent="0.3">
      <c r="A813" t="s">
        <v>52</v>
      </c>
      <c r="B813" t="s">
        <v>62</v>
      </c>
      <c r="C813">
        <v>2025</v>
      </c>
      <c r="D813" t="s">
        <v>44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27</v>
      </c>
      <c r="N813">
        <v>5</v>
      </c>
      <c r="O813" t="s">
        <v>51</v>
      </c>
      <c r="P813">
        <v>31.6</v>
      </c>
      <c r="Q813">
        <v>1500</v>
      </c>
      <c r="R813">
        <v>5</v>
      </c>
      <c r="S813">
        <v>2</v>
      </c>
      <c r="T813" t="s">
        <v>29</v>
      </c>
      <c r="U813" t="s">
        <v>33</v>
      </c>
      <c r="V813">
        <v>48573</v>
      </c>
      <c r="W813">
        <v>3.82</v>
      </c>
      <c r="X813">
        <v>5</v>
      </c>
    </row>
    <row r="814" spans="1:24" x14ac:dyDescent="0.3">
      <c r="A814" t="s">
        <v>46</v>
      </c>
      <c r="B814" t="s">
        <v>57</v>
      </c>
      <c r="C814">
        <v>2021</v>
      </c>
      <c r="D814" t="s">
        <v>33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27</v>
      </c>
      <c r="N814">
        <v>5</v>
      </c>
      <c r="O814" t="s">
        <v>40</v>
      </c>
      <c r="P814">
        <v>65.7</v>
      </c>
      <c r="Q814">
        <v>1524</v>
      </c>
      <c r="R814">
        <v>4</v>
      </c>
      <c r="S814">
        <v>2</v>
      </c>
      <c r="T814" t="s">
        <v>41</v>
      </c>
      <c r="U814" t="s">
        <v>30</v>
      </c>
      <c r="V814">
        <v>201131</v>
      </c>
      <c r="W814">
        <v>3.9</v>
      </c>
      <c r="X814">
        <v>5</v>
      </c>
    </row>
    <row r="815" spans="1:24" x14ac:dyDescent="0.3">
      <c r="A815" t="s">
        <v>94</v>
      </c>
      <c r="B815" t="s">
        <v>120</v>
      </c>
      <c r="C815">
        <v>2025</v>
      </c>
      <c r="D815" t="s">
        <v>56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27</v>
      </c>
      <c r="N815">
        <v>7</v>
      </c>
      <c r="O815" t="s">
        <v>28</v>
      </c>
      <c r="P815">
        <v>67.2</v>
      </c>
      <c r="Q815">
        <v>2460</v>
      </c>
      <c r="R815">
        <v>5</v>
      </c>
      <c r="S815">
        <v>0</v>
      </c>
      <c r="T815" t="s">
        <v>41</v>
      </c>
      <c r="U815" t="s">
        <v>33</v>
      </c>
      <c r="V815">
        <v>21177</v>
      </c>
      <c r="W815">
        <v>3.42</v>
      </c>
      <c r="X815">
        <v>5</v>
      </c>
    </row>
    <row r="816" spans="1:24" x14ac:dyDescent="0.3">
      <c r="A816" t="s">
        <v>52</v>
      </c>
      <c r="B816" t="s">
        <v>97</v>
      </c>
      <c r="C816">
        <v>2026</v>
      </c>
      <c r="D816" t="s">
        <v>33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27</v>
      </c>
      <c r="N816">
        <v>5</v>
      </c>
      <c r="O816" t="s">
        <v>40</v>
      </c>
      <c r="P816">
        <v>60.1</v>
      </c>
      <c r="Q816">
        <v>1500</v>
      </c>
      <c r="R816">
        <v>5</v>
      </c>
      <c r="S816">
        <v>1</v>
      </c>
      <c r="T816" t="s">
        <v>29</v>
      </c>
      <c r="U816" t="s">
        <v>30</v>
      </c>
      <c r="V816">
        <v>37405</v>
      </c>
      <c r="W816">
        <v>3.71</v>
      </c>
      <c r="X816">
        <v>6</v>
      </c>
    </row>
    <row r="817" spans="1:24" x14ac:dyDescent="0.3">
      <c r="A817" t="s">
        <v>68</v>
      </c>
      <c r="B817" t="s">
        <v>109</v>
      </c>
      <c r="C817">
        <v>2025</v>
      </c>
      <c r="D817" t="s">
        <v>61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34</v>
      </c>
      <c r="N817">
        <v>5</v>
      </c>
      <c r="O817" t="s">
        <v>28</v>
      </c>
      <c r="P817">
        <v>79.5</v>
      </c>
      <c r="Q817">
        <v>2516</v>
      </c>
      <c r="R817">
        <v>3</v>
      </c>
      <c r="S817">
        <v>1</v>
      </c>
      <c r="T817" t="s">
        <v>45</v>
      </c>
      <c r="U817" t="s">
        <v>66</v>
      </c>
      <c r="V817">
        <v>76614</v>
      </c>
      <c r="W817">
        <v>3.55</v>
      </c>
      <c r="X817">
        <v>3</v>
      </c>
    </row>
    <row r="818" spans="1:24" x14ac:dyDescent="0.3">
      <c r="A818" t="s">
        <v>42</v>
      </c>
      <c r="B818" t="s">
        <v>54</v>
      </c>
      <c r="C818">
        <v>2024</v>
      </c>
      <c r="D818" t="s">
        <v>26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27</v>
      </c>
      <c r="N818">
        <v>5</v>
      </c>
      <c r="O818" t="s">
        <v>51</v>
      </c>
      <c r="P818">
        <v>25</v>
      </c>
      <c r="Q818">
        <v>1629</v>
      </c>
      <c r="R818">
        <v>4</v>
      </c>
      <c r="S818">
        <v>0</v>
      </c>
      <c r="T818" t="s">
        <v>45</v>
      </c>
      <c r="U818" t="s">
        <v>33</v>
      </c>
      <c r="V818">
        <v>93663</v>
      </c>
      <c r="W818">
        <v>3.44</v>
      </c>
      <c r="X818">
        <v>3</v>
      </c>
    </row>
    <row r="819" spans="1:24" x14ac:dyDescent="0.3">
      <c r="A819" t="s">
        <v>24</v>
      </c>
      <c r="B819" t="s">
        <v>25</v>
      </c>
      <c r="C819">
        <v>2026</v>
      </c>
      <c r="D819" t="s">
        <v>44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34</v>
      </c>
      <c r="N819">
        <v>5</v>
      </c>
      <c r="O819" t="s">
        <v>50</v>
      </c>
      <c r="P819">
        <v>29.9</v>
      </c>
      <c r="Q819">
        <v>1500</v>
      </c>
      <c r="R819">
        <v>4</v>
      </c>
      <c r="S819">
        <v>0</v>
      </c>
      <c r="T819" t="s">
        <v>29</v>
      </c>
      <c r="U819" t="s">
        <v>37</v>
      </c>
      <c r="V819">
        <v>252676</v>
      </c>
      <c r="W819">
        <v>3.68</v>
      </c>
      <c r="X819">
        <v>5</v>
      </c>
    </row>
    <row r="820" spans="1:24" x14ac:dyDescent="0.3">
      <c r="A820" t="s">
        <v>46</v>
      </c>
      <c r="B820" t="s">
        <v>78</v>
      </c>
      <c r="C820">
        <v>2022</v>
      </c>
      <c r="D820" t="s">
        <v>61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34</v>
      </c>
      <c r="N820">
        <v>5</v>
      </c>
      <c r="O820" t="s">
        <v>50</v>
      </c>
      <c r="P820">
        <v>24.2</v>
      </c>
      <c r="Q820">
        <v>1500</v>
      </c>
      <c r="R820">
        <v>4</v>
      </c>
      <c r="S820">
        <v>2</v>
      </c>
      <c r="T820" t="s">
        <v>41</v>
      </c>
      <c r="U820" t="s">
        <v>33</v>
      </c>
      <c r="V820">
        <v>144367</v>
      </c>
      <c r="W820">
        <v>3.63</v>
      </c>
      <c r="X820">
        <v>5</v>
      </c>
    </row>
    <row r="821" spans="1:24" x14ac:dyDescent="0.3">
      <c r="A821" t="s">
        <v>63</v>
      </c>
      <c r="B821" t="s">
        <v>88</v>
      </c>
      <c r="C821">
        <v>2024</v>
      </c>
      <c r="D821" t="s">
        <v>61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27</v>
      </c>
      <c r="N821">
        <v>7</v>
      </c>
      <c r="O821" t="s">
        <v>40</v>
      </c>
      <c r="P821">
        <v>60.4</v>
      </c>
      <c r="Q821">
        <v>1921</v>
      </c>
      <c r="R821">
        <v>4</v>
      </c>
      <c r="S821">
        <v>0</v>
      </c>
      <c r="T821" t="s">
        <v>65</v>
      </c>
      <c r="U821" t="s">
        <v>33</v>
      </c>
      <c r="V821">
        <v>234001</v>
      </c>
      <c r="W821">
        <v>3.55</v>
      </c>
      <c r="X821">
        <v>4</v>
      </c>
    </row>
    <row r="822" spans="1:24" x14ac:dyDescent="0.3">
      <c r="A822" t="s">
        <v>76</v>
      </c>
      <c r="B822" t="s">
        <v>98</v>
      </c>
      <c r="C822">
        <v>2023</v>
      </c>
      <c r="D822" t="s">
        <v>26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48</v>
      </c>
      <c r="N822">
        <v>5</v>
      </c>
      <c r="O822" t="s">
        <v>40</v>
      </c>
      <c r="P822">
        <v>70.099999999999994</v>
      </c>
      <c r="Q822">
        <v>1650</v>
      </c>
      <c r="R822">
        <v>4</v>
      </c>
      <c r="S822">
        <v>1</v>
      </c>
      <c r="T822" t="s">
        <v>41</v>
      </c>
      <c r="U822" t="s">
        <v>33</v>
      </c>
      <c r="V822">
        <v>51688</v>
      </c>
      <c r="W822">
        <v>3.3</v>
      </c>
      <c r="X822">
        <v>3</v>
      </c>
    </row>
    <row r="823" spans="1:24" x14ac:dyDescent="0.3">
      <c r="A823" t="s">
        <v>46</v>
      </c>
      <c r="B823" t="s">
        <v>72</v>
      </c>
      <c r="C823">
        <v>2022</v>
      </c>
      <c r="D823" t="s">
        <v>33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27</v>
      </c>
      <c r="N823">
        <v>5</v>
      </c>
      <c r="O823" t="s">
        <v>28</v>
      </c>
      <c r="P823">
        <v>78.2</v>
      </c>
      <c r="Q823">
        <v>1876</v>
      </c>
      <c r="R823">
        <v>5</v>
      </c>
      <c r="S823">
        <v>2</v>
      </c>
      <c r="T823" t="s">
        <v>41</v>
      </c>
      <c r="U823" t="s">
        <v>30</v>
      </c>
      <c r="V823">
        <v>148718</v>
      </c>
      <c r="W823">
        <v>3.67</v>
      </c>
      <c r="X823">
        <v>6</v>
      </c>
    </row>
    <row r="824" spans="1:24" x14ac:dyDescent="0.3">
      <c r="A824" t="s">
        <v>63</v>
      </c>
      <c r="B824" t="s">
        <v>73</v>
      </c>
      <c r="C824">
        <v>2023</v>
      </c>
      <c r="D824" t="s">
        <v>44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48</v>
      </c>
      <c r="N824">
        <v>7</v>
      </c>
      <c r="O824" t="s">
        <v>51</v>
      </c>
      <c r="P824">
        <v>29.7</v>
      </c>
      <c r="Q824">
        <v>1693</v>
      </c>
      <c r="R824">
        <v>4</v>
      </c>
      <c r="S824">
        <v>1</v>
      </c>
      <c r="T824" t="s">
        <v>65</v>
      </c>
      <c r="U824" t="s">
        <v>37</v>
      </c>
      <c r="V824">
        <v>187463</v>
      </c>
      <c r="W824">
        <v>3.67</v>
      </c>
      <c r="X824">
        <v>3</v>
      </c>
    </row>
    <row r="825" spans="1:24" x14ac:dyDescent="0.3">
      <c r="A825" t="s">
        <v>24</v>
      </c>
      <c r="B825" t="s">
        <v>85</v>
      </c>
      <c r="C825">
        <v>2024</v>
      </c>
      <c r="D825" t="s">
        <v>44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48</v>
      </c>
      <c r="N825">
        <v>7</v>
      </c>
      <c r="O825" t="s">
        <v>28</v>
      </c>
      <c r="P825">
        <v>71.8</v>
      </c>
      <c r="Q825">
        <v>2639</v>
      </c>
      <c r="R825">
        <v>5</v>
      </c>
      <c r="S825">
        <v>1</v>
      </c>
      <c r="T825" t="s">
        <v>29</v>
      </c>
      <c r="U825" t="s">
        <v>37</v>
      </c>
      <c r="V825">
        <v>270498</v>
      </c>
      <c r="W825">
        <v>3.37</v>
      </c>
      <c r="X825">
        <v>3</v>
      </c>
    </row>
    <row r="826" spans="1:24" x14ac:dyDescent="0.3">
      <c r="A826" t="s">
        <v>68</v>
      </c>
      <c r="B826" t="s">
        <v>106</v>
      </c>
      <c r="C826">
        <v>2025</v>
      </c>
      <c r="D826" t="s">
        <v>44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34</v>
      </c>
      <c r="N826">
        <v>5</v>
      </c>
      <c r="O826" t="s">
        <v>58</v>
      </c>
      <c r="P826">
        <v>22.8</v>
      </c>
      <c r="Q826">
        <v>1672</v>
      </c>
      <c r="R826">
        <v>3</v>
      </c>
      <c r="S826">
        <v>1</v>
      </c>
      <c r="T826" t="s">
        <v>45</v>
      </c>
      <c r="U826" t="s">
        <v>37</v>
      </c>
      <c r="V826">
        <v>54316</v>
      </c>
      <c r="W826">
        <v>3.5</v>
      </c>
      <c r="X826">
        <v>5</v>
      </c>
    </row>
    <row r="827" spans="1:24" x14ac:dyDescent="0.3">
      <c r="A827" t="s">
        <v>94</v>
      </c>
      <c r="B827" t="s">
        <v>128</v>
      </c>
      <c r="C827">
        <v>2022</v>
      </c>
      <c r="D827" t="s">
        <v>56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48</v>
      </c>
      <c r="N827">
        <v>7</v>
      </c>
      <c r="O827" t="s">
        <v>35</v>
      </c>
      <c r="P827">
        <v>46.2</v>
      </c>
      <c r="Q827">
        <v>2128</v>
      </c>
      <c r="R827">
        <v>5</v>
      </c>
      <c r="S827">
        <v>1</v>
      </c>
      <c r="T827" t="s">
        <v>41</v>
      </c>
      <c r="U827" t="s">
        <v>37</v>
      </c>
      <c r="V827">
        <v>3522</v>
      </c>
      <c r="W827">
        <v>3.26</v>
      </c>
      <c r="X827">
        <v>5</v>
      </c>
    </row>
    <row r="828" spans="1:24" x14ac:dyDescent="0.3">
      <c r="A828" t="s">
        <v>63</v>
      </c>
      <c r="B828" t="s">
        <v>67</v>
      </c>
      <c r="C828">
        <v>2022</v>
      </c>
      <c r="D828" t="s">
        <v>56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48</v>
      </c>
      <c r="N828">
        <v>5</v>
      </c>
      <c r="O828" t="s">
        <v>50</v>
      </c>
      <c r="P828">
        <v>37.1</v>
      </c>
      <c r="Q828">
        <v>1781</v>
      </c>
      <c r="R828">
        <v>5</v>
      </c>
      <c r="S828">
        <v>0</v>
      </c>
      <c r="T828" t="s">
        <v>65</v>
      </c>
      <c r="U828" t="s">
        <v>66</v>
      </c>
      <c r="V828">
        <v>233873</v>
      </c>
      <c r="W828">
        <v>3.28</v>
      </c>
      <c r="X828">
        <v>3</v>
      </c>
    </row>
    <row r="829" spans="1:24" x14ac:dyDescent="0.3">
      <c r="A829" t="s">
        <v>63</v>
      </c>
      <c r="B829" t="s">
        <v>67</v>
      </c>
      <c r="C829">
        <v>2025</v>
      </c>
      <c r="D829" t="s">
        <v>44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34</v>
      </c>
      <c r="N829">
        <v>7</v>
      </c>
      <c r="O829" t="s">
        <v>50</v>
      </c>
      <c r="P829">
        <v>27.1</v>
      </c>
      <c r="Q829">
        <v>1842</v>
      </c>
      <c r="R829">
        <v>5</v>
      </c>
      <c r="S829">
        <v>1</v>
      </c>
      <c r="T829" t="s">
        <v>65</v>
      </c>
      <c r="U829" t="s">
        <v>33</v>
      </c>
      <c r="V829">
        <v>190865</v>
      </c>
      <c r="W829">
        <v>3.32</v>
      </c>
      <c r="X829">
        <v>3</v>
      </c>
    </row>
    <row r="830" spans="1:24" x14ac:dyDescent="0.3">
      <c r="A830" t="s">
        <v>38</v>
      </c>
      <c r="B830" t="s">
        <v>39</v>
      </c>
      <c r="C830">
        <v>2025</v>
      </c>
      <c r="D830" t="s">
        <v>56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27</v>
      </c>
      <c r="N830">
        <v>7</v>
      </c>
      <c r="O830" t="s">
        <v>50</v>
      </c>
      <c r="P830">
        <v>24.1</v>
      </c>
      <c r="Q830">
        <v>1720</v>
      </c>
      <c r="R830">
        <v>5</v>
      </c>
      <c r="S830">
        <v>0</v>
      </c>
      <c r="T830" t="s">
        <v>41</v>
      </c>
      <c r="U830" t="s">
        <v>37</v>
      </c>
      <c r="V830">
        <v>12934</v>
      </c>
      <c r="W830">
        <v>3.42</v>
      </c>
      <c r="X830">
        <v>5</v>
      </c>
    </row>
    <row r="831" spans="1:24" x14ac:dyDescent="0.3">
      <c r="A831" t="s">
        <v>24</v>
      </c>
      <c r="B831" t="s">
        <v>74</v>
      </c>
      <c r="C831">
        <v>2023</v>
      </c>
      <c r="D831" t="s">
        <v>26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48</v>
      </c>
      <c r="N831">
        <v>5</v>
      </c>
      <c r="O831" t="s">
        <v>51</v>
      </c>
      <c r="P831">
        <v>38.700000000000003</v>
      </c>
      <c r="Q831">
        <v>1826</v>
      </c>
      <c r="R831">
        <v>3</v>
      </c>
      <c r="S831">
        <v>0</v>
      </c>
      <c r="T831" t="s">
        <v>29</v>
      </c>
      <c r="U831" t="s">
        <v>37</v>
      </c>
      <c r="V831">
        <v>290103</v>
      </c>
      <c r="W831">
        <v>3.66</v>
      </c>
      <c r="X831">
        <v>5</v>
      </c>
    </row>
    <row r="832" spans="1:24" x14ac:dyDescent="0.3">
      <c r="A832" t="s">
        <v>63</v>
      </c>
      <c r="B832" t="s">
        <v>67</v>
      </c>
      <c r="C832">
        <v>2026</v>
      </c>
      <c r="D832" t="s">
        <v>26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48</v>
      </c>
      <c r="N832">
        <v>7</v>
      </c>
      <c r="O832" t="s">
        <v>51</v>
      </c>
      <c r="P832">
        <v>20.7</v>
      </c>
      <c r="Q832">
        <v>1500</v>
      </c>
      <c r="R832">
        <v>3</v>
      </c>
      <c r="S832">
        <v>0</v>
      </c>
      <c r="T832" t="s">
        <v>65</v>
      </c>
      <c r="U832" t="s">
        <v>66</v>
      </c>
      <c r="V832">
        <v>219100</v>
      </c>
      <c r="W832">
        <v>4.1900000000000004</v>
      </c>
      <c r="X832">
        <v>5</v>
      </c>
    </row>
    <row r="833" spans="1:24" x14ac:dyDescent="0.3">
      <c r="A833" t="s">
        <v>24</v>
      </c>
      <c r="B833" t="s">
        <v>85</v>
      </c>
      <c r="C833">
        <v>2026</v>
      </c>
      <c r="D833" t="s">
        <v>61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27</v>
      </c>
      <c r="N833">
        <v>5</v>
      </c>
      <c r="O833" t="s">
        <v>28</v>
      </c>
      <c r="P833">
        <v>53.2</v>
      </c>
      <c r="Q833">
        <v>2437</v>
      </c>
      <c r="R833">
        <v>5</v>
      </c>
      <c r="S833">
        <v>0</v>
      </c>
      <c r="T833" t="s">
        <v>29</v>
      </c>
      <c r="U833" t="s">
        <v>66</v>
      </c>
      <c r="V833">
        <v>207337</v>
      </c>
      <c r="W833">
        <v>3.62</v>
      </c>
      <c r="X833">
        <v>5</v>
      </c>
    </row>
    <row r="834" spans="1:24" x14ac:dyDescent="0.3">
      <c r="A834" t="s">
        <v>46</v>
      </c>
      <c r="B834" t="s">
        <v>57</v>
      </c>
      <c r="C834">
        <v>2025</v>
      </c>
      <c r="D834" t="s">
        <v>26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34</v>
      </c>
      <c r="N834">
        <v>7</v>
      </c>
      <c r="O834" t="s">
        <v>51</v>
      </c>
      <c r="P834">
        <v>33.5</v>
      </c>
      <c r="Q834">
        <v>1685</v>
      </c>
      <c r="R834">
        <v>5</v>
      </c>
      <c r="S834">
        <v>3</v>
      </c>
      <c r="T834" t="s">
        <v>41</v>
      </c>
      <c r="U834" t="s">
        <v>33</v>
      </c>
      <c r="V834">
        <v>245974</v>
      </c>
      <c r="W834">
        <v>4.2300000000000004</v>
      </c>
      <c r="X834">
        <v>5</v>
      </c>
    </row>
    <row r="835" spans="1:24" x14ac:dyDescent="0.3">
      <c r="A835" t="s">
        <v>46</v>
      </c>
      <c r="B835" t="s">
        <v>72</v>
      </c>
      <c r="C835">
        <v>2025</v>
      </c>
      <c r="D835" t="s">
        <v>61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34</v>
      </c>
      <c r="N835">
        <v>7</v>
      </c>
      <c r="O835" t="s">
        <v>28</v>
      </c>
      <c r="P835">
        <v>52.1</v>
      </c>
      <c r="Q835">
        <v>2708</v>
      </c>
      <c r="R835">
        <v>3</v>
      </c>
      <c r="S835">
        <v>2</v>
      </c>
      <c r="T835" t="s">
        <v>41</v>
      </c>
      <c r="U835" t="s">
        <v>37</v>
      </c>
      <c r="V835">
        <v>132800</v>
      </c>
      <c r="W835">
        <v>3.35</v>
      </c>
      <c r="X835">
        <v>5</v>
      </c>
    </row>
    <row r="836" spans="1:24" x14ac:dyDescent="0.3">
      <c r="A836" t="s">
        <v>68</v>
      </c>
      <c r="B836" t="s">
        <v>106</v>
      </c>
      <c r="C836">
        <v>2025</v>
      </c>
      <c r="D836" t="s">
        <v>56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34</v>
      </c>
      <c r="N836">
        <v>7</v>
      </c>
      <c r="O836" t="s">
        <v>35</v>
      </c>
      <c r="P836">
        <v>60.5</v>
      </c>
      <c r="Q836">
        <v>2317</v>
      </c>
      <c r="R836">
        <v>5</v>
      </c>
      <c r="S836">
        <v>0</v>
      </c>
      <c r="T836" t="s">
        <v>45</v>
      </c>
      <c r="U836" t="s">
        <v>33</v>
      </c>
      <c r="V836">
        <v>109721</v>
      </c>
      <c r="W836">
        <v>3.31</v>
      </c>
      <c r="X836">
        <v>5</v>
      </c>
    </row>
    <row r="837" spans="1:24" x14ac:dyDescent="0.3">
      <c r="A837" t="s">
        <v>24</v>
      </c>
      <c r="B837" t="s">
        <v>75</v>
      </c>
      <c r="C837">
        <v>2021</v>
      </c>
      <c r="D837" t="s">
        <v>44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48</v>
      </c>
      <c r="N837">
        <v>5</v>
      </c>
      <c r="O837" t="s">
        <v>28</v>
      </c>
      <c r="P837">
        <v>71.900000000000006</v>
      </c>
      <c r="Q837">
        <v>2363</v>
      </c>
      <c r="R837">
        <v>5</v>
      </c>
      <c r="S837">
        <v>2</v>
      </c>
      <c r="T837" t="s">
        <v>29</v>
      </c>
      <c r="U837" t="s">
        <v>33</v>
      </c>
      <c r="V837">
        <v>249899</v>
      </c>
      <c r="W837">
        <v>3.71</v>
      </c>
      <c r="X837">
        <v>4</v>
      </c>
    </row>
    <row r="838" spans="1:24" x14ac:dyDescent="0.3">
      <c r="A838" t="s">
        <v>94</v>
      </c>
      <c r="B838" t="s">
        <v>128</v>
      </c>
      <c r="C838">
        <v>2026</v>
      </c>
      <c r="D838" t="s">
        <v>33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48</v>
      </c>
      <c r="N838">
        <v>5</v>
      </c>
      <c r="O838" t="s">
        <v>58</v>
      </c>
      <c r="P838">
        <v>37.6</v>
      </c>
      <c r="Q838">
        <v>1664</v>
      </c>
      <c r="R838">
        <v>5</v>
      </c>
      <c r="S838">
        <v>1</v>
      </c>
      <c r="T838" t="s">
        <v>41</v>
      </c>
      <c r="U838" t="s">
        <v>30</v>
      </c>
      <c r="V838">
        <v>26386</v>
      </c>
      <c r="W838">
        <v>3.24</v>
      </c>
      <c r="X838">
        <v>6</v>
      </c>
    </row>
    <row r="839" spans="1:24" x14ac:dyDescent="0.3">
      <c r="A839" t="s">
        <v>24</v>
      </c>
      <c r="B839" t="s">
        <v>70</v>
      </c>
      <c r="C839">
        <v>2024</v>
      </c>
      <c r="D839" t="s">
        <v>26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27</v>
      </c>
      <c r="N839">
        <v>7</v>
      </c>
      <c r="O839" t="s">
        <v>28</v>
      </c>
      <c r="P839">
        <v>57.8</v>
      </c>
      <c r="Q839">
        <v>2464</v>
      </c>
      <c r="R839">
        <v>5</v>
      </c>
      <c r="S839">
        <v>0</v>
      </c>
      <c r="T839" t="s">
        <v>29</v>
      </c>
      <c r="U839" t="s">
        <v>30</v>
      </c>
      <c r="V839">
        <v>230069</v>
      </c>
      <c r="W839">
        <v>3.24</v>
      </c>
      <c r="X839">
        <v>4</v>
      </c>
    </row>
    <row r="840" spans="1:24" x14ac:dyDescent="0.3">
      <c r="A840" t="s">
        <v>42</v>
      </c>
      <c r="B840" t="s">
        <v>54</v>
      </c>
      <c r="C840">
        <v>2025</v>
      </c>
      <c r="D840" t="s">
        <v>33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48</v>
      </c>
      <c r="N840">
        <v>5</v>
      </c>
      <c r="O840" t="s">
        <v>28</v>
      </c>
      <c r="P840">
        <v>66.3</v>
      </c>
      <c r="Q840">
        <v>2102</v>
      </c>
      <c r="R840">
        <v>5</v>
      </c>
      <c r="S840">
        <v>0</v>
      </c>
      <c r="T840" t="s">
        <v>45</v>
      </c>
      <c r="U840" t="s">
        <v>37</v>
      </c>
      <c r="V840">
        <v>135916</v>
      </c>
      <c r="W840">
        <v>3.12</v>
      </c>
      <c r="X840">
        <v>4</v>
      </c>
    </row>
    <row r="841" spans="1:24" x14ac:dyDescent="0.3">
      <c r="A841" t="s">
        <v>83</v>
      </c>
      <c r="B841" t="s">
        <v>84</v>
      </c>
      <c r="C841">
        <v>2023</v>
      </c>
      <c r="D841" t="s">
        <v>56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48</v>
      </c>
      <c r="N841">
        <v>5</v>
      </c>
      <c r="O841" t="s">
        <v>28</v>
      </c>
      <c r="P841">
        <v>78.599999999999994</v>
      </c>
      <c r="Q841">
        <v>2470</v>
      </c>
      <c r="R841">
        <v>4</v>
      </c>
      <c r="S841">
        <v>1</v>
      </c>
      <c r="T841" t="s">
        <v>29</v>
      </c>
      <c r="U841" t="s">
        <v>33</v>
      </c>
      <c r="V841">
        <v>72062</v>
      </c>
      <c r="W841">
        <v>3.37</v>
      </c>
      <c r="X841">
        <v>6</v>
      </c>
    </row>
    <row r="842" spans="1:24" x14ac:dyDescent="0.3">
      <c r="A842" t="s">
        <v>46</v>
      </c>
      <c r="B842" t="s">
        <v>47</v>
      </c>
      <c r="C842">
        <v>2023</v>
      </c>
      <c r="D842" t="s">
        <v>26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48</v>
      </c>
      <c r="N842">
        <v>7</v>
      </c>
      <c r="O842" t="s">
        <v>50</v>
      </c>
      <c r="P842">
        <v>15.1</v>
      </c>
      <c r="Q842">
        <v>1567</v>
      </c>
      <c r="R842">
        <v>5</v>
      </c>
      <c r="S842">
        <v>2</v>
      </c>
      <c r="T842" t="s">
        <v>41</v>
      </c>
      <c r="U842" t="s">
        <v>30</v>
      </c>
      <c r="V842">
        <v>223587</v>
      </c>
      <c r="W842">
        <v>3.94</v>
      </c>
      <c r="X842">
        <v>4</v>
      </c>
    </row>
    <row r="843" spans="1:24" x14ac:dyDescent="0.3">
      <c r="A843" t="s">
        <v>83</v>
      </c>
      <c r="B843" t="s">
        <v>89</v>
      </c>
      <c r="C843">
        <v>2025</v>
      </c>
      <c r="D843" t="s">
        <v>56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34</v>
      </c>
      <c r="N843">
        <v>5</v>
      </c>
      <c r="O843" t="s">
        <v>40</v>
      </c>
      <c r="P843">
        <v>60.1</v>
      </c>
      <c r="Q843">
        <v>1564</v>
      </c>
      <c r="R843">
        <v>4</v>
      </c>
      <c r="S843">
        <v>2</v>
      </c>
      <c r="T843" t="s">
        <v>29</v>
      </c>
      <c r="U843" t="s">
        <v>33</v>
      </c>
      <c r="V843">
        <v>71204</v>
      </c>
      <c r="W843">
        <v>3.55</v>
      </c>
      <c r="X843">
        <v>7</v>
      </c>
    </row>
    <row r="844" spans="1:24" x14ac:dyDescent="0.3">
      <c r="A844" t="s">
        <v>46</v>
      </c>
      <c r="B844" t="s">
        <v>72</v>
      </c>
      <c r="C844">
        <v>2022</v>
      </c>
      <c r="D844" t="s">
        <v>44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34</v>
      </c>
      <c r="N844">
        <v>5</v>
      </c>
      <c r="O844" t="s">
        <v>28</v>
      </c>
      <c r="P844">
        <v>66</v>
      </c>
      <c r="Q844">
        <v>2476</v>
      </c>
      <c r="R844">
        <v>5</v>
      </c>
      <c r="S844">
        <v>2</v>
      </c>
      <c r="T844" t="s">
        <v>41</v>
      </c>
      <c r="U844" t="s">
        <v>33</v>
      </c>
      <c r="V844">
        <v>124977</v>
      </c>
      <c r="W844">
        <v>3.96</v>
      </c>
      <c r="X844">
        <v>5</v>
      </c>
    </row>
    <row r="845" spans="1:24" x14ac:dyDescent="0.3">
      <c r="A845" t="s">
        <v>31</v>
      </c>
      <c r="B845" t="s">
        <v>32</v>
      </c>
      <c r="C845">
        <v>2023</v>
      </c>
      <c r="D845" t="s">
        <v>33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48</v>
      </c>
      <c r="N845">
        <v>7</v>
      </c>
      <c r="O845" t="s">
        <v>35</v>
      </c>
      <c r="P845">
        <v>40</v>
      </c>
      <c r="Q845">
        <v>2088</v>
      </c>
      <c r="R845">
        <v>5</v>
      </c>
      <c r="S845">
        <v>0</v>
      </c>
      <c r="T845" t="s">
        <v>36</v>
      </c>
      <c r="U845" t="s">
        <v>37</v>
      </c>
      <c r="V845">
        <v>7110</v>
      </c>
      <c r="W845">
        <v>3.56</v>
      </c>
      <c r="X845">
        <v>4</v>
      </c>
    </row>
    <row r="846" spans="1:24" x14ac:dyDescent="0.3">
      <c r="A846" t="s">
        <v>46</v>
      </c>
      <c r="B846" t="s">
        <v>57</v>
      </c>
      <c r="C846">
        <v>2024</v>
      </c>
      <c r="D846" t="s">
        <v>26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48</v>
      </c>
      <c r="N846">
        <v>5</v>
      </c>
      <c r="O846" t="s">
        <v>58</v>
      </c>
      <c r="P846">
        <v>35.799999999999997</v>
      </c>
      <c r="Q846">
        <v>1500</v>
      </c>
      <c r="R846">
        <v>4</v>
      </c>
      <c r="S846">
        <v>3</v>
      </c>
      <c r="T846" t="s">
        <v>41</v>
      </c>
      <c r="U846" t="s">
        <v>33</v>
      </c>
      <c r="V846">
        <v>153891</v>
      </c>
      <c r="W846">
        <v>3.65</v>
      </c>
      <c r="X846">
        <v>4</v>
      </c>
    </row>
    <row r="847" spans="1:24" x14ac:dyDescent="0.3">
      <c r="A847" t="s">
        <v>24</v>
      </c>
      <c r="B847" t="s">
        <v>70</v>
      </c>
      <c r="C847">
        <v>2025</v>
      </c>
      <c r="D847" t="s">
        <v>56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48</v>
      </c>
      <c r="N847">
        <v>5</v>
      </c>
      <c r="O847" t="s">
        <v>51</v>
      </c>
      <c r="P847">
        <v>26</v>
      </c>
      <c r="Q847">
        <v>1649</v>
      </c>
      <c r="R847">
        <v>5</v>
      </c>
      <c r="S847">
        <v>0</v>
      </c>
      <c r="T847" t="s">
        <v>29</v>
      </c>
      <c r="U847" t="s">
        <v>33</v>
      </c>
      <c r="V847">
        <v>200182</v>
      </c>
      <c r="W847">
        <v>3.41</v>
      </c>
      <c r="X847">
        <v>4</v>
      </c>
    </row>
    <row r="848" spans="1:24" x14ac:dyDescent="0.3">
      <c r="A848" t="s">
        <v>46</v>
      </c>
      <c r="B848" t="s">
        <v>57</v>
      </c>
      <c r="C848">
        <v>2021</v>
      </c>
      <c r="D848" t="s">
        <v>56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27</v>
      </c>
      <c r="N848">
        <v>7</v>
      </c>
      <c r="O848" t="s">
        <v>28</v>
      </c>
      <c r="P848">
        <v>78.2</v>
      </c>
      <c r="Q848">
        <v>2219</v>
      </c>
      <c r="R848">
        <v>4</v>
      </c>
      <c r="S848">
        <v>3</v>
      </c>
      <c r="T848" t="s">
        <v>41</v>
      </c>
      <c r="U848" t="s">
        <v>30</v>
      </c>
      <c r="V848">
        <v>117148</v>
      </c>
      <c r="W848">
        <v>3.95</v>
      </c>
      <c r="X848">
        <v>5</v>
      </c>
    </row>
    <row r="849" spans="1:24" x14ac:dyDescent="0.3">
      <c r="A849" t="s">
        <v>131</v>
      </c>
      <c r="B849" t="s">
        <v>132</v>
      </c>
      <c r="C849">
        <v>2024</v>
      </c>
      <c r="D849" t="s">
        <v>26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48</v>
      </c>
      <c r="N849">
        <v>5</v>
      </c>
      <c r="O849" t="s">
        <v>35</v>
      </c>
      <c r="P849">
        <v>50.9</v>
      </c>
      <c r="Q849">
        <v>2328</v>
      </c>
      <c r="R849">
        <v>3</v>
      </c>
      <c r="S849">
        <v>0</v>
      </c>
      <c r="T849" t="s">
        <v>65</v>
      </c>
      <c r="U849" t="s">
        <v>30</v>
      </c>
      <c r="V849">
        <v>8357</v>
      </c>
      <c r="W849">
        <v>3.71</v>
      </c>
      <c r="X849">
        <v>5</v>
      </c>
    </row>
    <row r="850" spans="1:24" x14ac:dyDescent="0.3">
      <c r="A850" t="s">
        <v>68</v>
      </c>
      <c r="B850" t="s">
        <v>69</v>
      </c>
      <c r="C850">
        <v>2024</v>
      </c>
      <c r="D850" t="s">
        <v>26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27</v>
      </c>
      <c r="N850">
        <v>5</v>
      </c>
      <c r="O850" t="s">
        <v>40</v>
      </c>
      <c r="P850">
        <v>77.7</v>
      </c>
      <c r="Q850">
        <v>1707</v>
      </c>
      <c r="R850">
        <v>4</v>
      </c>
      <c r="S850">
        <v>1</v>
      </c>
      <c r="T850" t="s">
        <v>45</v>
      </c>
      <c r="U850" t="s">
        <v>37</v>
      </c>
      <c r="V850">
        <v>71109</v>
      </c>
      <c r="W850">
        <v>3.49</v>
      </c>
      <c r="X850">
        <v>5</v>
      </c>
    </row>
    <row r="851" spans="1:24" x14ac:dyDescent="0.3">
      <c r="A851" t="s">
        <v>42</v>
      </c>
      <c r="B851" t="s">
        <v>115</v>
      </c>
      <c r="C851">
        <v>2025</v>
      </c>
      <c r="D851" t="s">
        <v>56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48</v>
      </c>
      <c r="N851">
        <v>7</v>
      </c>
      <c r="O851" t="s">
        <v>51</v>
      </c>
      <c r="P851">
        <v>25.8</v>
      </c>
      <c r="Q851">
        <v>1638</v>
      </c>
      <c r="R851">
        <v>4</v>
      </c>
      <c r="S851">
        <v>1</v>
      </c>
      <c r="T851" t="s">
        <v>45</v>
      </c>
      <c r="U851" t="s">
        <v>37</v>
      </c>
      <c r="V851">
        <v>105178</v>
      </c>
      <c r="W851">
        <v>3.37</v>
      </c>
      <c r="X851">
        <v>4</v>
      </c>
    </row>
    <row r="852" spans="1:24" x14ac:dyDescent="0.3">
      <c r="A852" t="s">
        <v>46</v>
      </c>
      <c r="B852" t="s">
        <v>47</v>
      </c>
      <c r="C852">
        <v>2021</v>
      </c>
      <c r="D852" t="s">
        <v>61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48</v>
      </c>
      <c r="N852">
        <v>5</v>
      </c>
      <c r="O852" t="s">
        <v>50</v>
      </c>
      <c r="P852">
        <v>27.6</v>
      </c>
      <c r="Q852">
        <v>1500</v>
      </c>
      <c r="R852">
        <v>5</v>
      </c>
      <c r="S852">
        <v>3</v>
      </c>
      <c r="T852" t="s">
        <v>41</v>
      </c>
      <c r="U852" t="s">
        <v>66</v>
      </c>
      <c r="V852">
        <v>132068</v>
      </c>
      <c r="W852">
        <v>3.73</v>
      </c>
      <c r="X852">
        <v>4</v>
      </c>
    </row>
    <row r="853" spans="1:24" x14ac:dyDescent="0.3">
      <c r="A853" t="s">
        <v>38</v>
      </c>
      <c r="B853" t="s">
        <v>55</v>
      </c>
      <c r="C853">
        <v>2024</v>
      </c>
      <c r="D853" t="s">
        <v>56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34</v>
      </c>
      <c r="N853">
        <v>5</v>
      </c>
      <c r="O853" t="s">
        <v>58</v>
      </c>
      <c r="P853">
        <v>22.4</v>
      </c>
      <c r="Q853">
        <v>1754</v>
      </c>
      <c r="R853">
        <v>5</v>
      </c>
      <c r="S853">
        <v>1</v>
      </c>
      <c r="T853" t="s">
        <v>41</v>
      </c>
      <c r="U853" t="s">
        <v>37</v>
      </c>
      <c r="V853">
        <v>22110</v>
      </c>
      <c r="W853">
        <v>3.62</v>
      </c>
      <c r="X853">
        <v>3</v>
      </c>
    </row>
    <row r="854" spans="1:24" x14ac:dyDescent="0.3">
      <c r="A854" t="s">
        <v>63</v>
      </c>
      <c r="B854" t="s">
        <v>107</v>
      </c>
      <c r="C854">
        <v>2024</v>
      </c>
      <c r="D854" t="s">
        <v>56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34</v>
      </c>
      <c r="N854">
        <v>7</v>
      </c>
      <c r="O854" t="s">
        <v>50</v>
      </c>
      <c r="P854">
        <v>36.4</v>
      </c>
      <c r="Q854">
        <v>1788</v>
      </c>
      <c r="R854">
        <v>4</v>
      </c>
      <c r="S854">
        <v>0</v>
      </c>
      <c r="T854" t="s">
        <v>65</v>
      </c>
      <c r="U854" t="s">
        <v>66</v>
      </c>
      <c r="V854">
        <v>212740</v>
      </c>
      <c r="W854">
        <v>3.54</v>
      </c>
      <c r="X854">
        <v>4</v>
      </c>
    </row>
    <row r="855" spans="1:24" x14ac:dyDescent="0.3">
      <c r="A855" t="s">
        <v>86</v>
      </c>
      <c r="B855" t="s">
        <v>117</v>
      </c>
      <c r="C855">
        <v>2026</v>
      </c>
      <c r="D855" t="s">
        <v>26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48</v>
      </c>
      <c r="N855">
        <v>7</v>
      </c>
      <c r="O855" t="s">
        <v>58</v>
      </c>
      <c r="P855">
        <v>16.600000000000001</v>
      </c>
      <c r="Q855">
        <v>1500</v>
      </c>
      <c r="R855">
        <v>5</v>
      </c>
      <c r="S855">
        <v>2</v>
      </c>
      <c r="T855" t="s">
        <v>29</v>
      </c>
      <c r="U855" t="s">
        <v>30</v>
      </c>
      <c r="V855">
        <v>31112</v>
      </c>
      <c r="W855">
        <v>3.43</v>
      </c>
      <c r="X855">
        <v>6</v>
      </c>
    </row>
    <row r="856" spans="1:24" x14ac:dyDescent="0.3">
      <c r="A856" t="s">
        <v>63</v>
      </c>
      <c r="B856" t="s">
        <v>64</v>
      </c>
      <c r="C856">
        <v>2021</v>
      </c>
      <c r="D856" t="s">
        <v>56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48</v>
      </c>
      <c r="N856">
        <v>5</v>
      </c>
      <c r="O856" t="s">
        <v>40</v>
      </c>
      <c r="P856">
        <v>62.5</v>
      </c>
      <c r="Q856">
        <v>1599</v>
      </c>
      <c r="R856">
        <v>4</v>
      </c>
      <c r="S856">
        <v>1</v>
      </c>
      <c r="T856" t="s">
        <v>65</v>
      </c>
      <c r="U856" t="s">
        <v>37</v>
      </c>
      <c r="V856">
        <v>162990</v>
      </c>
      <c r="W856">
        <v>3.75</v>
      </c>
      <c r="X856">
        <v>3</v>
      </c>
    </row>
    <row r="857" spans="1:24" x14ac:dyDescent="0.3">
      <c r="A857" t="s">
        <v>46</v>
      </c>
      <c r="B857" t="s">
        <v>49</v>
      </c>
      <c r="C857">
        <v>2022</v>
      </c>
      <c r="D857" t="s">
        <v>44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48</v>
      </c>
      <c r="N857">
        <v>5</v>
      </c>
      <c r="O857" t="s">
        <v>28</v>
      </c>
      <c r="P857">
        <v>71.8</v>
      </c>
      <c r="Q857">
        <v>2329</v>
      </c>
      <c r="R857">
        <v>5</v>
      </c>
      <c r="S857">
        <v>3</v>
      </c>
      <c r="T857" t="s">
        <v>41</v>
      </c>
      <c r="U857" t="s">
        <v>37</v>
      </c>
      <c r="V857">
        <v>424786</v>
      </c>
      <c r="W857">
        <v>4.1399999999999997</v>
      </c>
      <c r="X857">
        <v>4</v>
      </c>
    </row>
    <row r="858" spans="1:24" x14ac:dyDescent="0.3">
      <c r="A858" t="s">
        <v>46</v>
      </c>
      <c r="B858" t="s">
        <v>78</v>
      </c>
      <c r="C858">
        <v>2024</v>
      </c>
      <c r="D858" t="s">
        <v>26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27</v>
      </c>
      <c r="N858">
        <v>5</v>
      </c>
      <c r="O858" t="s">
        <v>51</v>
      </c>
      <c r="P858">
        <v>24</v>
      </c>
      <c r="Q858">
        <v>1771</v>
      </c>
      <c r="R858">
        <v>4</v>
      </c>
      <c r="S858">
        <v>2</v>
      </c>
      <c r="T858" t="s">
        <v>41</v>
      </c>
      <c r="U858" t="s">
        <v>33</v>
      </c>
      <c r="V858">
        <v>189429</v>
      </c>
      <c r="W858">
        <v>4.03</v>
      </c>
      <c r="X858">
        <v>6</v>
      </c>
    </row>
    <row r="859" spans="1:24" x14ac:dyDescent="0.3">
      <c r="A859" t="s">
        <v>68</v>
      </c>
      <c r="B859" t="s">
        <v>106</v>
      </c>
      <c r="C859">
        <v>2025</v>
      </c>
      <c r="D859" t="s">
        <v>56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48</v>
      </c>
      <c r="N859">
        <v>5</v>
      </c>
      <c r="O859" t="s">
        <v>28</v>
      </c>
      <c r="P859">
        <v>65.5</v>
      </c>
      <c r="Q859">
        <v>2726</v>
      </c>
      <c r="R859">
        <v>4</v>
      </c>
      <c r="S859">
        <v>1</v>
      </c>
      <c r="T859" t="s">
        <v>45</v>
      </c>
      <c r="U859" t="s">
        <v>37</v>
      </c>
      <c r="V859">
        <v>58564</v>
      </c>
      <c r="W859">
        <v>3.62</v>
      </c>
      <c r="X859">
        <v>3</v>
      </c>
    </row>
    <row r="860" spans="1:24" x14ac:dyDescent="0.3">
      <c r="A860" t="s">
        <v>42</v>
      </c>
      <c r="B860" t="s">
        <v>54</v>
      </c>
      <c r="C860">
        <v>2026</v>
      </c>
      <c r="D860" t="s">
        <v>26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27</v>
      </c>
      <c r="N860">
        <v>5</v>
      </c>
      <c r="O860" t="s">
        <v>51</v>
      </c>
      <c r="P860">
        <v>24.1</v>
      </c>
      <c r="Q860">
        <v>1738</v>
      </c>
      <c r="R860">
        <v>5</v>
      </c>
      <c r="S860">
        <v>0</v>
      </c>
      <c r="T860" t="s">
        <v>45</v>
      </c>
      <c r="U860" t="s">
        <v>30</v>
      </c>
      <c r="V860">
        <v>62032</v>
      </c>
      <c r="W860">
        <v>3.56</v>
      </c>
      <c r="X860">
        <v>3</v>
      </c>
    </row>
    <row r="861" spans="1:24" x14ac:dyDescent="0.3">
      <c r="A861" t="s">
        <v>46</v>
      </c>
      <c r="B861" t="s">
        <v>72</v>
      </c>
      <c r="C861">
        <v>2023</v>
      </c>
      <c r="D861" t="s">
        <v>61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34</v>
      </c>
      <c r="N861">
        <v>7</v>
      </c>
      <c r="O861" t="s">
        <v>28</v>
      </c>
      <c r="P861">
        <v>53</v>
      </c>
      <c r="Q861">
        <v>2535</v>
      </c>
      <c r="R861">
        <v>5</v>
      </c>
      <c r="S861">
        <v>2</v>
      </c>
      <c r="T861" t="s">
        <v>41</v>
      </c>
      <c r="U861" t="s">
        <v>37</v>
      </c>
      <c r="V861">
        <v>139628</v>
      </c>
      <c r="W861">
        <v>3.17</v>
      </c>
      <c r="X861">
        <v>5</v>
      </c>
    </row>
    <row r="862" spans="1:24" x14ac:dyDescent="0.3">
      <c r="A862" t="s">
        <v>76</v>
      </c>
      <c r="B862" t="s">
        <v>98</v>
      </c>
      <c r="C862">
        <v>2025</v>
      </c>
      <c r="D862" t="s">
        <v>26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34</v>
      </c>
      <c r="N862">
        <v>5</v>
      </c>
      <c r="O862" t="s">
        <v>51</v>
      </c>
      <c r="P862">
        <v>24.4</v>
      </c>
      <c r="Q862">
        <v>1701</v>
      </c>
      <c r="R862">
        <v>5</v>
      </c>
      <c r="S862">
        <v>0</v>
      </c>
      <c r="T862" t="s">
        <v>41</v>
      </c>
      <c r="U862" t="s">
        <v>30</v>
      </c>
      <c r="V862">
        <v>49209</v>
      </c>
      <c r="W862">
        <v>3.4</v>
      </c>
      <c r="X862">
        <v>3</v>
      </c>
    </row>
    <row r="863" spans="1:24" x14ac:dyDescent="0.3">
      <c r="A863" t="s">
        <v>24</v>
      </c>
      <c r="B863" t="s">
        <v>85</v>
      </c>
      <c r="C863">
        <v>2026</v>
      </c>
      <c r="D863" t="s">
        <v>56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27</v>
      </c>
      <c r="N863">
        <v>7</v>
      </c>
      <c r="O863" t="s">
        <v>50</v>
      </c>
      <c r="P863">
        <v>16.600000000000001</v>
      </c>
      <c r="Q863">
        <v>1500</v>
      </c>
      <c r="R863">
        <v>4</v>
      </c>
      <c r="S863">
        <v>0</v>
      </c>
      <c r="T863" t="s">
        <v>29</v>
      </c>
      <c r="U863" t="s">
        <v>37</v>
      </c>
      <c r="V863">
        <v>257294</v>
      </c>
      <c r="W863">
        <v>3.13</v>
      </c>
      <c r="X863">
        <v>4</v>
      </c>
    </row>
    <row r="864" spans="1:24" x14ac:dyDescent="0.3">
      <c r="A864" t="s">
        <v>68</v>
      </c>
      <c r="B864" t="s">
        <v>90</v>
      </c>
      <c r="C864">
        <v>2025</v>
      </c>
      <c r="D864" t="s">
        <v>44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48</v>
      </c>
      <c r="N864">
        <v>7</v>
      </c>
      <c r="O864" t="s">
        <v>50</v>
      </c>
      <c r="P864">
        <v>24.5</v>
      </c>
      <c r="Q864">
        <v>1739</v>
      </c>
      <c r="R864">
        <v>5</v>
      </c>
      <c r="S864">
        <v>1</v>
      </c>
      <c r="T864" t="s">
        <v>45</v>
      </c>
      <c r="U864" t="s">
        <v>33</v>
      </c>
      <c r="V864">
        <v>138161</v>
      </c>
      <c r="W864">
        <v>3.52</v>
      </c>
      <c r="X864">
        <v>4</v>
      </c>
    </row>
    <row r="865" spans="1:24" x14ac:dyDescent="0.3">
      <c r="A865" t="s">
        <v>24</v>
      </c>
      <c r="B865" t="s">
        <v>74</v>
      </c>
      <c r="C865">
        <v>2022</v>
      </c>
      <c r="D865" t="s">
        <v>33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27</v>
      </c>
      <c r="N865">
        <v>5</v>
      </c>
      <c r="O865" t="s">
        <v>50</v>
      </c>
      <c r="P865">
        <v>26.7</v>
      </c>
      <c r="Q865">
        <v>1533</v>
      </c>
      <c r="R865">
        <v>5</v>
      </c>
      <c r="S865">
        <v>0</v>
      </c>
      <c r="T865" t="s">
        <v>29</v>
      </c>
      <c r="U865" t="s">
        <v>33</v>
      </c>
      <c r="V865">
        <v>203826</v>
      </c>
      <c r="W865">
        <v>3.8</v>
      </c>
      <c r="X865">
        <v>5</v>
      </c>
    </row>
    <row r="866" spans="1:24" x14ac:dyDescent="0.3">
      <c r="A866" t="s">
        <v>24</v>
      </c>
      <c r="B866" t="s">
        <v>74</v>
      </c>
      <c r="C866">
        <v>2025</v>
      </c>
      <c r="D866" t="s">
        <v>61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27</v>
      </c>
      <c r="N866">
        <v>5</v>
      </c>
      <c r="O866" t="s">
        <v>40</v>
      </c>
      <c r="P866">
        <v>60.3</v>
      </c>
      <c r="Q866">
        <v>1739</v>
      </c>
      <c r="R866">
        <v>5</v>
      </c>
      <c r="S866">
        <v>2</v>
      </c>
      <c r="T866" t="s">
        <v>29</v>
      </c>
      <c r="U866" t="s">
        <v>37</v>
      </c>
      <c r="V866">
        <v>290126</v>
      </c>
      <c r="W866">
        <v>3.59</v>
      </c>
      <c r="X866">
        <v>4</v>
      </c>
    </row>
    <row r="867" spans="1:24" x14ac:dyDescent="0.3">
      <c r="A867" t="s">
        <v>42</v>
      </c>
      <c r="B867" t="s">
        <v>71</v>
      </c>
      <c r="C867">
        <v>2020</v>
      </c>
      <c r="D867" t="s">
        <v>56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48</v>
      </c>
      <c r="N867">
        <v>7</v>
      </c>
      <c r="O867" t="s">
        <v>58</v>
      </c>
      <c r="P867">
        <v>22.4</v>
      </c>
      <c r="Q867">
        <v>1545</v>
      </c>
      <c r="R867">
        <v>4</v>
      </c>
      <c r="S867">
        <v>0</v>
      </c>
      <c r="T867" t="s">
        <v>45</v>
      </c>
      <c r="U867" t="s">
        <v>37</v>
      </c>
      <c r="V867">
        <v>62067</v>
      </c>
      <c r="W867">
        <v>3.61</v>
      </c>
      <c r="X867">
        <v>5</v>
      </c>
    </row>
    <row r="868" spans="1:24" x14ac:dyDescent="0.3">
      <c r="A868" t="s">
        <v>46</v>
      </c>
      <c r="B868" t="s">
        <v>47</v>
      </c>
      <c r="C868">
        <v>2025</v>
      </c>
      <c r="D868" t="s">
        <v>26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48</v>
      </c>
      <c r="N868">
        <v>7</v>
      </c>
      <c r="O868" t="s">
        <v>40</v>
      </c>
      <c r="P868">
        <v>64.2</v>
      </c>
      <c r="Q868">
        <v>1813</v>
      </c>
      <c r="R868">
        <v>3</v>
      </c>
      <c r="S868">
        <v>2</v>
      </c>
      <c r="T868" t="s">
        <v>41</v>
      </c>
      <c r="U868" t="s">
        <v>37</v>
      </c>
      <c r="V868">
        <v>216013</v>
      </c>
      <c r="W868">
        <v>3.86</v>
      </c>
      <c r="X868">
        <v>4</v>
      </c>
    </row>
    <row r="869" spans="1:24" x14ac:dyDescent="0.3">
      <c r="A869" t="s">
        <v>46</v>
      </c>
      <c r="B869" t="s">
        <v>72</v>
      </c>
      <c r="C869">
        <v>2023</v>
      </c>
      <c r="D869" t="s">
        <v>33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34</v>
      </c>
      <c r="N869">
        <v>7</v>
      </c>
      <c r="O869" t="s">
        <v>28</v>
      </c>
      <c r="P869">
        <v>50.1</v>
      </c>
      <c r="Q869">
        <v>2562</v>
      </c>
      <c r="R869">
        <v>4</v>
      </c>
      <c r="S869">
        <v>3</v>
      </c>
      <c r="T869" t="s">
        <v>41</v>
      </c>
      <c r="U869" t="s">
        <v>30</v>
      </c>
      <c r="V869">
        <v>197139</v>
      </c>
      <c r="W869">
        <v>3.38</v>
      </c>
      <c r="X869">
        <v>5</v>
      </c>
    </row>
    <row r="870" spans="1:24" x14ac:dyDescent="0.3">
      <c r="A870" t="s">
        <v>52</v>
      </c>
      <c r="B870" t="s">
        <v>97</v>
      </c>
      <c r="C870">
        <v>2024</v>
      </c>
      <c r="D870" t="s">
        <v>26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27</v>
      </c>
      <c r="N870">
        <v>5</v>
      </c>
      <c r="O870" t="s">
        <v>50</v>
      </c>
      <c r="P870">
        <v>36.6</v>
      </c>
      <c r="Q870">
        <v>1957</v>
      </c>
      <c r="R870">
        <v>4</v>
      </c>
      <c r="S870">
        <v>2</v>
      </c>
      <c r="T870" t="s">
        <v>29</v>
      </c>
      <c r="U870" t="s">
        <v>33</v>
      </c>
      <c r="V870">
        <v>36911</v>
      </c>
      <c r="W870">
        <v>3.99</v>
      </c>
      <c r="X870">
        <v>7</v>
      </c>
    </row>
    <row r="871" spans="1:24" x14ac:dyDescent="0.3">
      <c r="A871" t="s">
        <v>31</v>
      </c>
      <c r="B871" t="s">
        <v>112</v>
      </c>
      <c r="C871">
        <v>2022</v>
      </c>
      <c r="D871" t="s">
        <v>61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34</v>
      </c>
      <c r="N871">
        <v>5</v>
      </c>
      <c r="O871" t="s">
        <v>51</v>
      </c>
      <c r="P871">
        <v>22.4</v>
      </c>
      <c r="Q871">
        <v>1626</v>
      </c>
      <c r="R871">
        <v>4</v>
      </c>
      <c r="S871">
        <v>0</v>
      </c>
      <c r="T871" t="s">
        <v>36</v>
      </c>
      <c r="U871" t="s">
        <v>37</v>
      </c>
      <c r="V871">
        <v>18523</v>
      </c>
      <c r="W871">
        <v>3.32</v>
      </c>
      <c r="X871">
        <v>3</v>
      </c>
    </row>
    <row r="872" spans="1:24" x14ac:dyDescent="0.3">
      <c r="A872" t="s">
        <v>24</v>
      </c>
      <c r="B872" t="s">
        <v>75</v>
      </c>
      <c r="C872">
        <v>2023</v>
      </c>
      <c r="D872" t="s">
        <v>61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48</v>
      </c>
      <c r="N872">
        <v>5</v>
      </c>
      <c r="O872" t="s">
        <v>51</v>
      </c>
      <c r="P872">
        <v>26.9</v>
      </c>
      <c r="Q872">
        <v>1555</v>
      </c>
      <c r="R872">
        <v>5</v>
      </c>
      <c r="S872">
        <v>1</v>
      </c>
      <c r="T872" t="s">
        <v>29</v>
      </c>
      <c r="U872" t="s">
        <v>37</v>
      </c>
      <c r="V872">
        <v>222298</v>
      </c>
      <c r="W872">
        <v>3.5</v>
      </c>
      <c r="X872">
        <v>3</v>
      </c>
    </row>
    <row r="873" spans="1:24" x14ac:dyDescent="0.3">
      <c r="A873" t="s">
        <v>63</v>
      </c>
      <c r="B873" t="s">
        <v>96</v>
      </c>
      <c r="C873">
        <v>2025</v>
      </c>
      <c r="D873" t="s">
        <v>61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48</v>
      </c>
      <c r="N873">
        <v>5</v>
      </c>
      <c r="O873" t="s">
        <v>35</v>
      </c>
      <c r="P873">
        <v>68.7</v>
      </c>
      <c r="Q873">
        <v>1789</v>
      </c>
      <c r="R873">
        <v>3</v>
      </c>
      <c r="S873">
        <v>0</v>
      </c>
      <c r="T873" t="s">
        <v>65</v>
      </c>
      <c r="U873" t="s">
        <v>33</v>
      </c>
      <c r="V873">
        <v>125776</v>
      </c>
      <c r="W873">
        <v>3.36</v>
      </c>
      <c r="X873">
        <v>3</v>
      </c>
    </row>
    <row r="874" spans="1:24" x14ac:dyDescent="0.3">
      <c r="A874" t="s">
        <v>83</v>
      </c>
      <c r="B874" t="s">
        <v>116</v>
      </c>
      <c r="C874">
        <v>2023</v>
      </c>
      <c r="D874" t="s">
        <v>26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48</v>
      </c>
      <c r="N874">
        <v>7</v>
      </c>
      <c r="O874" t="s">
        <v>40</v>
      </c>
      <c r="P874">
        <v>73.099999999999994</v>
      </c>
      <c r="Q874">
        <v>1500</v>
      </c>
      <c r="R874">
        <v>5</v>
      </c>
      <c r="S874">
        <v>2</v>
      </c>
      <c r="T874" t="s">
        <v>29</v>
      </c>
      <c r="U874" t="s">
        <v>30</v>
      </c>
      <c r="V874">
        <v>64205</v>
      </c>
      <c r="W874">
        <v>3.82</v>
      </c>
      <c r="X874">
        <v>5</v>
      </c>
    </row>
    <row r="875" spans="1:24" x14ac:dyDescent="0.3">
      <c r="A875" t="s">
        <v>24</v>
      </c>
      <c r="B875" t="s">
        <v>70</v>
      </c>
      <c r="C875">
        <v>2025</v>
      </c>
      <c r="D875" t="s">
        <v>56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27</v>
      </c>
      <c r="N875">
        <v>5</v>
      </c>
      <c r="O875" t="s">
        <v>51</v>
      </c>
      <c r="P875">
        <v>37.799999999999997</v>
      </c>
      <c r="Q875">
        <v>1613</v>
      </c>
      <c r="R875">
        <v>5</v>
      </c>
      <c r="S875">
        <v>1</v>
      </c>
      <c r="T875" t="s">
        <v>29</v>
      </c>
      <c r="U875" t="s">
        <v>33</v>
      </c>
      <c r="V875">
        <v>282957</v>
      </c>
      <c r="W875">
        <v>3.68</v>
      </c>
      <c r="X875">
        <v>3</v>
      </c>
    </row>
    <row r="876" spans="1:24" x14ac:dyDescent="0.3">
      <c r="A876" t="s">
        <v>46</v>
      </c>
      <c r="B876" t="s">
        <v>57</v>
      </c>
      <c r="C876">
        <v>2022</v>
      </c>
      <c r="D876" t="s">
        <v>33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48</v>
      </c>
      <c r="N876">
        <v>7</v>
      </c>
      <c r="O876" t="s">
        <v>50</v>
      </c>
      <c r="P876">
        <v>34.9</v>
      </c>
      <c r="Q876">
        <v>1653</v>
      </c>
      <c r="R876">
        <v>5</v>
      </c>
      <c r="S876">
        <v>2</v>
      </c>
      <c r="T876" t="s">
        <v>41</v>
      </c>
      <c r="U876" t="s">
        <v>30</v>
      </c>
      <c r="V876">
        <v>241709</v>
      </c>
      <c r="W876">
        <v>3.96</v>
      </c>
      <c r="X876">
        <v>5</v>
      </c>
    </row>
    <row r="877" spans="1:24" x14ac:dyDescent="0.3">
      <c r="A877" t="s">
        <v>46</v>
      </c>
      <c r="B877" t="s">
        <v>78</v>
      </c>
      <c r="C877">
        <v>2023</v>
      </c>
      <c r="D877" t="s">
        <v>33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34</v>
      </c>
      <c r="N877">
        <v>7</v>
      </c>
      <c r="O877" t="s">
        <v>58</v>
      </c>
      <c r="P877">
        <v>15.8</v>
      </c>
      <c r="Q877">
        <v>1500</v>
      </c>
      <c r="R877">
        <v>5</v>
      </c>
      <c r="S877">
        <v>2</v>
      </c>
      <c r="T877" t="s">
        <v>41</v>
      </c>
      <c r="U877" t="s">
        <v>37</v>
      </c>
      <c r="V877">
        <v>206669</v>
      </c>
      <c r="W877">
        <v>3.87</v>
      </c>
      <c r="X877">
        <v>5</v>
      </c>
    </row>
    <row r="878" spans="1:24" x14ac:dyDescent="0.3">
      <c r="A878" t="s">
        <v>38</v>
      </c>
      <c r="B878" t="s">
        <v>39</v>
      </c>
      <c r="C878">
        <v>2025</v>
      </c>
      <c r="D878" t="s">
        <v>26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34</v>
      </c>
      <c r="N878">
        <v>5</v>
      </c>
      <c r="O878" t="s">
        <v>51</v>
      </c>
      <c r="P878">
        <v>18.8</v>
      </c>
      <c r="Q878">
        <v>1519</v>
      </c>
      <c r="R878">
        <v>4</v>
      </c>
      <c r="S878">
        <v>0</v>
      </c>
      <c r="T878" t="s">
        <v>41</v>
      </c>
      <c r="U878" t="s">
        <v>37</v>
      </c>
      <c r="V878">
        <v>23288</v>
      </c>
      <c r="W878">
        <v>3.63</v>
      </c>
      <c r="X878">
        <v>4</v>
      </c>
    </row>
    <row r="879" spans="1:24" x14ac:dyDescent="0.3">
      <c r="A879" t="s">
        <v>83</v>
      </c>
      <c r="B879" t="s">
        <v>89</v>
      </c>
      <c r="C879">
        <v>2023</v>
      </c>
      <c r="D879" t="s">
        <v>33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48</v>
      </c>
      <c r="N879">
        <v>7</v>
      </c>
      <c r="O879" t="s">
        <v>58</v>
      </c>
      <c r="P879">
        <v>32.9</v>
      </c>
      <c r="Q879">
        <v>1755</v>
      </c>
      <c r="R879">
        <v>4</v>
      </c>
      <c r="S879">
        <v>1</v>
      </c>
      <c r="T879" t="s">
        <v>29</v>
      </c>
      <c r="U879" t="s">
        <v>33</v>
      </c>
      <c r="V879">
        <v>60859</v>
      </c>
      <c r="W879">
        <v>3.29</v>
      </c>
      <c r="X879">
        <v>8</v>
      </c>
    </row>
    <row r="880" spans="1:24" x14ac:dyDescent="0.3">
      <c r="A880" t="s">
        <v>46</v>
      </c>
      <c r="B880" t="s">
        <v>57</v>
      </c>
      <c r="C880">
        <v>2025</v>
      </c>
      <c r="D880" t="s">
        <v>26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27</v>
      </c>
      <c r="N880">
        <v>7</v>
      </c>
      <c r="O880" t="s">
        <v>58</v>
      </c>
      <c r="P880">
        <v>15.6</v>
      </c>
      <c r="Q880">
        <v>1500</v>
      </c>
      <c r="R880">
        <v>5</v>
      </c>
      <c r="S880">
        <v>2</v>
      </c>
      <c r="T880" t="s">
        <v>41</v>
      </c>
      <c r="U880" t="s">
        <v>30</v>
      </c>
      <c r="V880">
        <v>186365</v>
      </c>
      <c r="W880">
        <v>3.84</v>
      </c>
      <c r="X880">
        <v>5</v>
      </c>
    </row>
    <row r="881" spans="1:24" x14ac:dyDescent="0.3">
      <c r="A881" t="s">
        <v>63</v>
      </c>
      <c r="B881" t="s">
        <v>96</v>
      </c>
      <c r="C881">
        <v>2024</v>
      </c>
      <c r="D881" t="s">
        <v>26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48</v>
      </c>
      <c r="N881">
        <v>5</v>
      </c>
      <c r="O881" t="s">
        <v>28</v>
      </c>
      <c r="P881">
        <v>68.3</v>
      </c>
      <c r="Q881">
        <v>2422</v>
      </c>
      <c r="R881">
        <v>3</v>
      </c>
      <c r="S881">
        <v>0</v>
      </c>
      <c r="T881" t="s">
        <v>65</v>
      </c>
      <c r="U881" t="s">
        <v>30</v>
      </c>
      <c r="V881">
        <v>136507</v>
      </c>
      <c r="W881">
        <v>3.47</v>
      </c>
      <c r="X881">
        <v>3</v>
      </c>
    </row>
    <row r="882" spans="1:24" x14ac:dyDescent="0.3">
      <c r="A882" t="s">
        <v>63</v>
      </c>
      <c r="B882" t="s">
        <v>64</v>
      </c>
      <c r="C882">
        <v>2025</v>
      </c>
      <c r="D882" t="s">
        <v>56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34</v>
      </c>
      <c r="N882">
        <v>5</v>
      </c>
      <c r="O882" t="s">
        <v>40</v>
      </c>
      <c r="P882">
        <v>69.400000000000006</v>
      </c>
      <c r="Q882">
        <v>1935</v>
      </c>
      <c r="R882">
        <v>5</v>
      </c>
      <c r="S882">
        <v>0</v>
      </c>
      <c r="T882" t="s">
        <v>65</v>
      </c>
      <c r="U882" t="s">
        <v>66</v>
      </c>
      <c r="V882">
        <v>162790</v>
      </c>
      <c r="W882">
        <v>3.33</v>
      </c>
      <c r="X882">
        <v>4</v>
      </c>
    </row>
    <row r="883" spans="1:24" x14ac:dyDescent="0.3">
      <c r="A883" t="s">
        <v>83</v>
      </c>
      <c r="B883" t="s">
        <v>84</v>
      </c>
      <c r="C883">
        <v>2026</v>
      </c>
      <c r="D883" t="s">
        <v>33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27</v>
      </c>
      <c r="N883">
        <v>5</v>
      </c>
      <c r="O883" t="s">
        <v>50</v>
      </c>
      <c r="P883">
        <v>22.1</v>
      </c>
      <c r="Q883">
        <v>1500</v>
      </c>
      <c r="R883">
        <v>3</v>
      </c>
      <c r="S883">
        <v>2</v>
      </c>
      <c r="T883" t="s">
        <v>29</v>
      </c>
      <c r="U883" t="s">
        <v>30</v>
      </c>
      <c r="V883">
        <v>62950</v>
      </c>
      <c r="W883">
        <v>3.45</v>
      </c>
      <c r="X883">
        <v>6</v>
      </c>
    </row>
    <row r="884" spans="1:24" x14ac:dyDescent="0.3">
      <c r="A884" t="s">
        <v>46</v>
      </c>
      <c r="B884" t="s">
        <v>57</v>
      </c>
      <c r="C884">
        <v>2024</v>
      </c>
      <c r="D884" t="s">
        <v>44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48</v>
      </c>
      <c r="N884">
        <v>5</v>
      </c>
      <c r="O884" t="s">
        <v>28</v>
      </c>
      <c r="P884">
        <v>62.1</v>
      </c>
      <c r="Q884">
        <v>2460</v>
      </c>
      <c r="R884">
        <v>5</v>
      </c>
      <c r="S884">
        <v>2</v>
      </c>
      <c r="T884" t="s">
        <v>41</v>
      </c>
      <c r="U884" t="s">
        <v>33</v>
      </c>
      <c r="V884">
        <v>105880</v>
      </c>
      <c r="W884">
        <v>4.1100000000000003</v>
      </c>
      <c r="X884">
        <v>4</v>
      </c>
    </row>
    <row r="885" spans="1:24" x14ac:dyDescent="0.3">
      <c r="A885" t="s">
        <v>46</v>
      </c>
      <c r="B885" t="s">
        <v>47</v>
      </c>
      <c r="C885">
        <v>2025</v>
      </c>
      <c r="D885" t="s">
        <v>44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34</v>
      </c>
      <c r="N885">
        <v>5</v>
      </c>
      <c r="O885" t="s">
        <v>58</v>
      </c>
      <c r="P885">
        <v>39.9</v>
      </c>
      <c r="Q885">
        <v>1624</v>
      </c>
      <c r="R885">
        <v>4</v>
      </c>
      <c r="S885">
        <v>2</v>
      </c>
      <c r="T885" t="s">
        <v>41</v>
      </c>
      <c r="U885" t="s">
        <v>33</v>
      </c>
      <c r="V885">
        <v>148700</v>
      </c>
      <c r="W885">
        <v>3.99</v>
      </c>
      <c r="X885">
        <v>5</v>
      </c>
    </row>
    <row r="886" spans="1:24" x14ac:dyDescent="0.3">
      <c r="A886" t="s">
        <v>76</v>
      </c>
      <c r="B886" t="s">
        <v>91</v>
      </c>
      <c r="C886">
        <v>2024</v>
      </c>
      <c r="D886" t="s">
        <v>61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34</v>
      </c>
      <c r="N886">
        <v>2</v>
      </c>
      <c r="O886" t="s">
        <v>28</v>
      </c>
      <c r="P886">
        <v>71.3</v>
      </c>
      <c r="Q886">
        <v>2747</v>
      </c>
      <c r="R886">
        <v>4</v>
      </c>
      <c r="S886">
        <v>2</v>
      </c>
      <c r="T886" t="s">
        <v>41</v>
      </c>
      <c r="U886" t="s">
        <v>37</v>
      </c>
      <c r="V886">
        <v>58206</v>
      </c>
      <c r="W886">
        <v>3.54</v>
      </c>
      <c r="X886">
        <v>4</v>
      </c>
    </row>
    <row r="887" spans="1:24" x14ac:dyDescent="0.3">
      <c r="A887" t="s">
        <v>46</v>
      </c>
      <c r="B887" t="s">
        <v>72</v>
      </c>
      <c r="C887">
        <v>2024</v>
      </c>
      <c r="D887" t="s">
        <v>44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34</v>
      </c>
      <c r="N887">
        <v>5</v>
      </c>
      <c r="O887" t="s">
        <v>28</v>
      </c>
      <c r="P887">
        <v>53.6</v>
      </c>
      <c r="Q887">
        <v>2319</v>
      </c>
      <c r="R887">
        <v>4</v>
      </c>
      <c r="S887">
        <v>2</v>
      </c>
      <c r="T887" t="s">
        <v>41</v>
      </c>
      <c r="U887" t="s">
        <v>30</v>
      </c>
      <c r="V887">
        <v>162108</v>
      </c>
      <c r="W887">
        <v>3.56</v>
      </c>
      <c r="X887">
        <v>5</v>
      </c>
    </row>
    <row r="888" spans="1:24" x14ac:dyDescent="0.3">
      <c r="A888" t="s">
        <v>83</v>
      </c>
      <c r="B888" t="s">
        <v>104</v>
      </c>
      <c r="C888">
        <v>2021</v>
      </c>
      <c r="D888" t="s">
        <v>61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48</v>
      </c>
      <c r="N888">
        <v>7</v>
      </c>
      <c r="O888" t="s">
        <v>50</v>
      </c>
      <c r="P888">
        <v>15.7</v>
      </c>
      <c r="Q888">
        <v>1723</v>
      </c>
      <c r="R888">
        <v>4</v>
      </c>
      <c r="S888">
        <v>1</v>
      </c>
      <c r="T888" t="s">
        <v>29</v>
      </c>
      <c r="U888" t="s">
        <v>33</v>
      </c>
      <c r="V888">
        <v>59553</v>
      </c>
      <c r="W888">
        <v>3.74</v>
      </c>
      <c r="X888">
        <v>6</v>
      </c>
    </row>
    <row r="889" spans="1:24" x14ac:dyDescent="0.3">
      <c r="A889" t="s">
        <v>63</v>
      </c>
      <c r="B889" t="s">
        <v>67</v>
      </c>
      <c r="C889">
        <v>2021</v>
      </c>
      <c r="D889" t="s">
        <v>26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48</v>
      </c>
      <c r="N889">
        <v>5</v>
      </c>
      <c r="O889" t="s">
        <v>50</v>
      </c>
      <c r="P889">
        <v>19.5</v>
      </c>
      <c r="Q889">
        <v>1550</v>
      </c>
      <c r="R889">
        <v>5</v>
      </c>
      <c r="S889">
        <v>1</v>
      </c>
      <c r="T889" t="s">
        <v>65</v>
      </c>
      <c r="U889" t="s">
        <v>33</v>
      </c>
      <c r="V889">
        <v>177248</v>
      </c>
      <c r="W889">
        <v>3.63</v>
      </c>
      <c r="X889">
        <v>3</v>
      </c>
    </row>
    <row r="890" spans="1:24" x14ac:dyDescent="0.3">
      <c r="A890" t="s">
        <v>46</v>
      </c>
      <c r="B890" t="s">
        <v>47</v>
      </c>
      <c r="C890">
        <v>2024</v>
      </c>
      <c r="D890" t="s">
        <v>61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34</v>
      </c>
      <c r="N890">
        <v>5</v>
      </c>
      <c r="O890" t="s">
        <v>50</v>
      </c>
      <c r="P890">
        <v>27.5</v>
      </c>
      <c r="Q890">
        <v>1673</v>
      </c>
      <c r="R890">
        <v>5</v>
      </c>
      <c r="S890">
        <v>2</v>
      </c>
      <c r="T890" t="s">
        <v>41</v>
      </c>
      <c r="U890" t="s">
        <v>30</v>
      </c>
      <c r="V890">
        <v>103912</v>
      </c>
      <c r="W890">
        <v>3.73</v>
      </c>
      <c r="X890">
        <v>5</v>
      </c>
    </row>
    <row r="891" spans="1:24" x14ac:dyDescent="0.3">
      <c r="A891" t="s">
        <v>63</v>
      </c>
      <c r="B891" t="s">
        <v>107</v>
      </c>
      <c r="C891">
        <v>2020</v>
      </c>
      <c r="D891" t="s">
        <v>44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34</v>
      </c>
      <c r="N891">
        <v>5</v>
      </c>
      <c r="O891" t="s">
        <v>58</v>
      </c>
      <c r="P891">
        <v>22.8</v>
      </c>
      <c r="Q891">
        <v>1500</v>
      </c>
      <c r="R891">
        <v>4</v>
      </c>
      <c r="S891">
        <v>1</v>
      </c>
      <c r="T891" t="s">
        <v>65</v>
      </c>
      <c r="U891" t="s">
        <v>37</v>
      </c>
      <c r="V891">
        <v>178041</v>
      </c>
      <c r="W891">
        <v>3.55</v>
      </c>
      <c r="X891">
        <v>4</v>
      </c>
    </row>
    <row r="892" spans="1:24" x14ac:dyDescent="0.3">
      <c r="A892" t="s">
        <v>38</v>
      </c>
      <c r="B892" t="s">
        <v>102</v>
      </c>
      <c r="C892">
        <v>2024</v>
      </c>
      <c r="D892" t="s">
        <v>44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27</v>
      </c>
      <c r="N892">
        <v>7</v>
      </c>
      <c r="O892" t="s">
        <v>35</v>
      </c>
      <c r="P892">
        <v>63.7</v>
      </c>
      <c r="Q892">
        <v>2188</v>
      </c>
      <c r="R892">
        <v>5</v>
      </c>
      <c r="S892">
        <v>1</v>
      </c>
      <c r="T892" t="s">
        <v>41</v>
      </c>
      <c r="U892" t="s">
        <v>37</v>
      </c>
      <c r="V892">
        <v>18580</v>
      </c>
      <c r="W892">
        <v>3.71</v>
      </c>
      <c r="X892">
        <v>4</v>
      </c>
    </row>
    <row r="893" spans="1:24" x14ac:dyDescent="0.3">
      <c r="A893" t="s">
        <v>52</v>
      </c>
      <c r="B893" t="s">
        <v>53</v>
      </c>
      <c r="C893">
        <v>2025</v>
      </c>
      <c r="D893" t="s">
        <v>56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27</v>
      </c>
      <c r="N893">
        <v>7</v>
      </c>
      <c r="O893" t="s">
        <v>51</v>
      </c>
      <c r="P893">
        <v>25.1</v>
      </c>
      <c r="Q893">
        <v>1500</v>
      </c>
      <c r="R893">
        <v>5</v>
      </c>
      <c r="S893">
        <v>1</v>
      </c>
      <c r="T893" t="s">
        <v>29</v>
      </c>
      <c r="U893" t="s">
        <v>30</v>
      </c>
      <c r="V893">
        <v>59537</v>
      </c>
      <c r="W893">
        <v>3.51</v>
      </c>
      <c r="X893">
        <v>7</v>
      </c>
    </row>
    <row r="894" spans="1:24" x14ac:dyDescent="0.3">
      <c r="A894" t="s">
        <v>52</v>
      </c>
      <c r="B894" t="s">
        <v>126</v>
      </c>
      <c r="C894">
        <v>2023</v>
      </c>
      <c r="D894" t="s">
        <v>44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34</v>
      </c>
      <c r="N894">
        <v>7</v>
      </c>
      <c r="O894" t="s">
        <v>58</v>
      </c>
      <c r="P894">
        <v>30.1</v>
      </c>
      <c r="Q894">
        <v>1500</v>
      </c>
      <c r="R894">
        <v>4</v>
      </c>
      <c r="S894">
        <v>1</v>
      </c>
      <c r="T894" t="s">
        <v>29</v>
      </c>
      <c r="U894" t="s">
        <v>30</v>
      </c>
      <c r="V894">
        <v>32410</v>
      </c>
      <c r="W894">
        <v>3.94</v>
      </c>
      <c r="X894">
        <v>8</v>
      </c>
    </row>
    <row r="895" spans="1:24" x14ac:dyDescent="0.3">
      <c r="A895" t="s">
        <v>24</v>
      </c>
      <c r="B895" t="s">
        <v>75</v>
      </c>
      <c r="C895">
        <v>2025</v>
      </c>
      <c r="D895" t="s">
        <v>26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48</v>
      </c>
      <c r="N895">
        <v>5</v>
      </c>
      <c r="O895" t="s">
        <v>58</v>
      </c>
      <c r="P895">
        <v>22.1</v>
      </c>
      <c r="Q895">
        <v>1589</v>
      </c>
      <c r="R895">
        <v>5</v>
      </c>
      <c r="S895">
        <v>0</v>
      </c>
      <c r="T895" t="s">
        <v>29</v>
      </c>
      <c r="U895" t="s">
        <v>33</v>
      </c>
      <c r="V895">
        <v>215601</v>
      </c>
      <c r="W895">
        <v>3.82</v>
      </c>
      <c r="X895">
        <v>5</v>
      </c>
    </row>
    <row r="896" spans="1:24" x14ac:dyDescent="0.3">
      <c r="A896" t="s">
        <v>83</v>
      </c>
      <c r="B896" t="s">
        <v>89</v>
      </c>
      <c r="C896">
        <v>2025</v>
      </c>
      <c r="D896" t="s">
        <v>33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48</v>
      </c>
      <c r="N896">
        <v>5</v>
      </c>
      <c r="O896" t="s">
        <v>51</v>
      </c>
      <c r="P896">
        <v>18.8</v>
      </c>
      <c r="Q896">
        <v>1671</v>
      </c>
      <c r="R896">
        <v>5</v>
      </c>
      <c r="S896">
        <v>2</v>
      </c>
      <c r="T896" t="s">
        <v>29</v>
      </c>
      <c r="U896" t="s">
        <v>30</v>
      </c>
      <c r="V896">
        <v>25659</v>
      </c>
      <c r="W896">
        <v>3.39</v>
      </c>
      <c r="X896">
        <v>7</v>
      </c>
    </row>
    <row r="897" spans="1:24" x14ac:dyDescent="0.3">
      <c r="A897" t="s">
        <v>63</v>
      </c>
      <c r="B897" t="s">
        <v>73</v>
      </c>
      <c r="C897">
        <v>2026</v>
      </c>
      <c r="D897" t="s">
        <v>56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27</v>
      </c>
      <c r="N897">
        <v>5</v>
      </c>
      <c r="O897" t="s">
        <v>58</v>
      </c>
      <c r="P897">
        <v>18.5</v>
      </c>
      <c r="Q897">
        <v>1702</v>
      </c>
      <c r="R897">
        <v>4</v>
      </c>
      <c r="S897">
        <v>0</v>
      </c>
      <c r="T897" t="s">
        <v>65</v>
      </c>
      <c r="U897" t="s">
        <v>33</v>
      </c>
      <c r="V897">
        <v>163682</v>
      </c>
      <c r="W897">
        <v>3.35</v>
      </c>
      <c r="X897">
        <v>3</v>
      </c>
    </row>
    <row r="898" spans="1:24" x14ac:dyDescent="0.3">
      <c r="A898" t="s">
        <v>63</v>
      </c>
      <c r="B898" t="s">
        <v>107</v>
      </c>
      <c r="C898">
        <v>2023</v>
      </c>
      <c r="D898" t="s">
        <v>26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27</v>
      </c>
      <c r="N898">
        <v>5</v>
      </c>
      <c r="O898" t="s">
        <v>28</v>
      </c>
      <c r="P898">
        <v>74.099999999999994</v>
      </c>
      <c r="Q898">
        <v>2307</v>
      </c>
      <c r="R898">
        <v>4</v>
      </c>
      <c r="S898">
        <v>0</v>
      </c>
      <c r="T898" t="s">
        <v>65</v>
      </c>
      <c r="U898" t="s">
        <v>37</v>
      </c>
      <c r="V898">
        <v>205191</v>
      </c>
      <c r="W898">
        <v>3.38</v>
      </c>
      <c r="X898">
        <v>4</v>
      </c>
    </row>
    <row r="899" spans="1:24" x14ac:dyDescent="0.3">
      <c r="A899" t="s">
        <v>86</v>
      </c>
      <c r="B899" t="s">
        <v>117</v>
      </c>
      <c r="C899">
        <v>2026</v>
      </c>
      <c r="D899" t="s">
        <v>44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34</v>
      </c>
      <c r="N899">
        <v>7</v>
      </c>
      <c r="O899" t="s">
        <v>51</v>
      </c>
      <c r="P899">
        <v>31.5</v>
      </c>
      <c r="Q899">
        <v>1663</v>
      </c>
      <c r="R899">
        <v>4</v>
      </c>
      <c r="S899">
        <v>2</v>
      </c>
      <c r="T899" t="s">
        <v>29</v>
      </c>
      <c r="U899" t="s">
        <v>30</v>
      </c>
      <c r="V899">
        <v>21092</v>
      </c>
      <c r="W899">
        <v>3.74</v>
      </c>
      <c r="X899">
        <v>6</v>
      </c>
    </row>
    <row r="900" spans="1:24" x14ac:dyDescent="0.3">
      <c r="A900" t="s">
        <v>46</v>
      </c>
      <c r="B900" t="s">
        <v>78</v>
      </c>
      <c r="C900">
        <v>2025</v>
      </c>
      <c r="D900" t="s">
        <v>26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27</v>
      </c>
      <c r="N900">
        <v>5</v>
      </c>
      <c r="O900" t="s">
        <v>58</v>
      </c>
      <c r="P900">
        <v>19.899999999999999</v>
      </c>
      <c r="Q900">
        <v>1637</v>
      </c>
      <c r="R900">
        <v>5</v>
      </c>
      <c r="S900">
        <v>3</v>
      </c>
      <c r="T900" t="s">
        <v>41</v>
      </c>
      <c r="U900" t="s">
        <v>37</v>
      </c>
      <c r="V900">
        <v>192699</v>
      </c>
      <c r="W900">
        <v>3.73</v>
      </c>
      <c r="X900">
        <v>4</v>
      </c>
    </row>
    <row r="901" spans="1:24" x14ac:dyDescent="0.3">
      <c r="A901" t="s">
        <v>46</v>
      </c>
      <c r="B901" t="s">
        <v>47</v>
      </c>
      <c r="C901">
        <v>2026</v>
      </c>
      <c r="D901" t="s">
        <v>26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27</v>
      </c>
      <c r="N901">
        <v>7</v>
      </c>
      <c r="O901" t="s">
        <v>58</v>
      </c>
      <c r="P901">
        <v>15.1</v>
      </c>
      <c r="Q901">
        <v>1521</v>
      </c>
      <c r="R901">
        <v>5</v>
      </c>
      <c r="S901">
        <v>2</v>
      </c>
      <c r="T901" t="s">
        <v>41</v>
      </c>
      <c r="U901" t="s">
        <v>30</v>
      </c>
      <c r="V901">
        <v>199927</v>
      </c>
      <c r="W901">
        <v>4.26</v>
      </c>
      <c r="X901">
        <v>5</v>
      </c>
    </row>
    <row r="902" spans="1:24" x14ac:dyDescent="0.3">
      <c r="A902" t="s">
        <v>63</v>
      </c>
      <c r="B902" t="s">
        <v>88</v>
      </c>
      <c r="C902">
        <v>2023</v>
      </c>
      <c r="D902" t="s">
        <v>44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34</v>
      </c>
      <c r="N902">
        <v>5</v>
      </c>
      <c r="O902" t="s">
        <v>35</v>
      </c>
      <c r="P902">
        <v>42.3</v>
      </c>
      <c r="Q902">
        <v>2227</v>
      </c>
      <c r="R902">
        <v>5</v>
      </c>
      <c r="S902">
        <v>2</v>
      </c>
      <c r="T902" t="s">
        <v>65</v>
      </c>
      <c r="U902" t="s">
        <v>37</v>
      </c>
      <c r="V902">
        <v>176515</v>
      </c>
      <c r="W902">
        <v>3.84</v>
      </c>
      <c r="X902">
        <v>4</v>
      </c>
    </row>
    <row r="903" spans="1:24" x14ac:dyDescent="0.3">
      <c r="A903" t="s">
        <v>46</v>
      </c>
      <c r="B903" t="s">
        <v>78</v>
      </c>
      <c r="C903">
        <v>2025</v>
      </c>
      <c r="D903" t="s">
        <v>56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34</v>
      </c>
      <c r="N903">
        <v>7</v>
      </c>
      <c r="O903" t="s">
        <v>58</v>
      </c>
      <c r="P903">
        <v>24.3</v>
      </c>
      <c r="Q903">
        <v>1675</v>
      </c>
      <c r="R903">
        <v>5</v>
      </c>
      <c r="S903">
        <v>3</v>
      </c>
      <c r="T903" t="s">
        <v>41</v>
      </c>
      <c r="U903" t="s">
        <v>33</v>
      </c>
      <c r="V903">
        <v>136111</v>
      </c>
      <c r="W903">
        <v>3.64</v>
      </c>
      <c r="X903">
        <v>6</v>
      </c>
    </row>
    <row r="904" spans="1:24" x14ac:dyDescent="0.3">
      <c r="A904" t="s">
        <v>46</v>
      </c>
      <c r="B904" t="s">
        <v>72</v>
      </c>
      <c r="C904">
        <v>2025</v>
      </c>
      <c r="D904" t="s">
        <v>56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34</v>
      </c>
      <c r="N904">
        <v>7</v>
      </c>
      <c r="O904" t="s">
        <v>28</v>
      </c>
      <c r="P904">
        <v>55.2</v>
      </c>
      <c r="Q904">
        <v>2373</v>
      </c>
      <c r="R904">
        <v>4</v>
      </c>
      <c r="S904">
        <v>2</v>
      </c>
      <c r="T904" t="s">
        <v>41</v>
      </c>
      <c r="U904" t="s">
        <v>33</v>
      </c>
      <c r="V904">
        <v>113593</v>
      </c>
      <c r="W904">
        <v>3.86</v>
      </c>
      <c r="X904">
        <v>6</v>
      </c>
    </row>
    <row r="905" spans="1:24" x14ac:dyDescent="0.3">
      <c r="A905" t="s">
        <v>42</v>
      </c>
      <c r="B905" t="s">
        <v>80</v>
      </c>
      <c r="C905">
        <v>2026</v>
      </c>
      <c r="D905" t="s">
        <v>26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48</v>
      </c>
      <c r="N905">
        <v>5</v>
      </c>
      <c r="O905" t="s">
        <v>35</v>
      </c>
      <c r="P905">
        <v>58</v>
      </c>
      <c r="Q905">
        <v>2121</v>
      </c>
      <c r="R905">
        <v>5</v>
      </c>
      <c r="S905">
        <v>0</v>
      </c>
      <c r="T905" t="s">
        <v>45</v>
      </c>
      <c r="U905" t="s">
        <v>33</v>
      </c>
      <c r="V905">
        <v>103428</v>
      </c>
      <c r="W905">
        <v>3.83</v>
      </c>
      <c r="X905">
        <v>4</v>
      </c>
    </row>
    <row r="906" spans="1:24" x14ac:dyDescent="0.3">
      <c r="A906" t="s">
        <v>24</v>
      </c>
      <c r="B906" t="s">
        <v>85</v>
      </c>
      <c r="C906">
        <v>2025</v>
      </c>
      <c r="D906" t="s">
        <v>56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27</v>
      </c>
      <c r="N906">
        <v>7</v>
      </c>
      <c r="O906" t="s">
        <v>58</v>
      </c>
      <c r="P906">
        <v>34.799999999999997</v>
      </c>
      <c r="Q906">
        <v>1500</v>
      </c>
      <c r="R906">
        <v>3</v>
      </c>
      <c r="S906">
        <v>0</v>
      </c>
      <c r="T906" t="s">
        <v>29</v>
      </c>
      <c r="U906" t="s">
        <v>37</v>
      </c>
      <c r="V906">
        <v>247700</v>
      </c>
      <c r="W906">
        <v>3.21</v>
      </c>
      <c r="X906">
        <v>3</v>
      </c>
    </row>
    <row r="907" spans="1:24" x14ac:dyDescent="0.3">
      <c r="A907" t="s">
        <v>86</v>
      </c>
      <c r="B907" t="s">
        <v>117</v>
      </c>
      <c r="C907">
        <v>2025</v>
      </c>
      <c r="D907" t="s">
        <v>56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27</v>
      </c>
      <c r="N907">
        <v>5</v>
      </c>
      <c r="O907" t="s">
        <v>50</v>
      </c>
      <c r="P907">
        <v>39.200000000000003</v>
      </c>
      <c r="Q907">
        <v>1666</v>
      </c>
      <c r="R907">
        <v>4</v>
      </c>
      <c r="S907">
        <v>1</v>
      </c>
      <c r="T907" t="s">
        <v>29</v>
      </c>
      <c r="U907" t="s">
        <v>33</v>
      </c>
      <c r="V907">
        <v>60155</v>
      </c>
      <c r="W907">
        <v>3.29</v>
      </c>
      <c r="X907">
        <v>8</v>
      </c>
    </row>
    <row r="908" spans="1:24" x14ac:dyDescent="0.3">
      <c r="A908" t="s">
        <v>76</v>
      </c>
      <c r="B908" t="s">
        <v>77</v>
      </c>
      <c r="C908">
        <v>2024</v>
      </c>
      <c r="D908" t="s">
        <v>33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34</v>
      </c>
      <c r="N908">
        <v>5</v>
      </c>
      <c r="O908" t="s">
        <v>40</v>
      </c>
      <c r="P908">
        <v>69.8</v>
      </c>
      <c r="Q908">
        <v>1502</v>
      </c>
      <c r="R908">
        <v>4</v>
      </c>
      <c r="S908">
        <v>0</v>
      </c>
      <c r="T908" t="s">
        <v>41</v>
      </c>
      <c r="U908" t="s">
        <v>37</v>
      </c>
      <c r="V908">
        <v>65997</v>
      </c>
      <c r="W908">
        <v>3.42</v>
      </c>
      <c r="X908">
        <v>3</v>
      </c>
    </row>
    <row r="909" spans="1:24" x14ac:dyDescent="0.3">
      <c r="A909" t="s">
        <v>63</v>
      </c>
      <c r="B909" t="s">
        <v>64</v>
      </c>
      <c r="C909">
        <v>2026</v>
      </c>
      <c r="D909" t="s">
        <v>26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48</v>
      </c>
      <c r="N909">
        <v>5</v>
      </c>
      <c r="O909" t="s">
        <v>51</v>
      </c>
      <c r="P909">
        <v>21.7</v>
      </c>
      <c r="Q909">
        <v>1789</v>
      </c>
      <c r="R909">
        <v>4</v>
      </c>
      <c r="S909">
        <v>1</v>
      </c>
      <c r="T909" t="s">
        <v>65</v>
      </c>
      <c r="U909" t="s">
        <v>33</v>
      </c>
      <c r="V909">
        <v>171938</v>
      </c>
      <c r="W909">
        <v>3.56</v>
      </c>
      <c r="X909">
        <v>3</v>
      </c>
    </row>
    <row r="910" spans="1:24" x14ac:dyDescent="0.3">
      <c r="A910" t="s">
        <v>63</v>
      </c>
      <c r="B910" t="s">
        <v>107</v>
      </c>
      <c r="C910">
        <v>2024</v>
      </c>
      <c r="D910" t="s">
        <v>56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48</v>
      </c>
      <c r="N910">
        <v>5</v>
      </c>
      <c r="O910" t="s">
        <v>28</v>
      </c>
      <c r="P910">
        <v>72.7</v>
      </c>
      <c r="Q910">
        <v>2335</v>
      </c>
      <c r="R910">
        <v>5</v>
      </c>
      <c r="S910">
        <v>0</v>
      </c>
      <c r="T910" t="s">
        <v>65</v>
      </c>
      <c r="U910" t="s">
        <v>33</v>
      </c>
      <c r="V910">
        <v>228964</v>
      </c>
      <c r="W910">
        <v>3.42</v>
      </c>
      <c r="X910">
        <v>4</v>
      </c>
    </row>
    <row r="911" spans="1:24" x14ac:dyDescent="0.3">
      <c r="A911" t="s">
        <v>24</v>
      </c>
      <c r="B911" t="s">
        <v>25</v>
      </c>
      <c r="C911">
        <v>2024</v>
      </c>
      <c r="D911" t="s">
        <v>33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48</v>
      </c>
      <c r="N911">
        <v>5</v>
      </c>
      <c r="O911" t="s">
        <v>51</v>
      </c>
      <c r="P911">
        <v>19.399999999999999</v>
      </c>
      <c r="Q911">
        <v>1522</v>
      </c>
      <c r="R911">
        <v>5</v>
      </c>
      <c r="S911">
        <v>1</v>
      </c>
      <c r="T911" t="s">
        <v>29</v>
      </c>
      <c r="U911" t="s">
        <v>33</v>
      </c>
      <c r="V911">
        <v>290963</v>
      </c>
      <c r="W911">
        <v>3.67</v>
      </c>
      <c r="X911">
        <v>4</v>
      </c>
    </row>
    <row r="912" spans="1:24" x14ac:dyDescent="0.3">
      <c r="A912" t="s">
        <v>42</v>
      </c>
      <c r="B912" t="s">
        <v>54</v>
      </c>
      <c r="C912">
        <v>2026</v>
      </c>
      <c r="D912" t="s">
        <v>26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27</v>
      </c>
      <c r="N912">
        <v>5</v>
      </c>
      <c r="O912" t="s">
        <v>40</v>
      </c>
      <c r="P912">
        <v>71</v>
      </c>
      <c r="Q912">
        <v>1525</v>
      </c>
      <c r="R912">
        <v>4</v>
      </c>
      <c r="S912">
        <v>0</v>
      </c>
      <c r="T912" t="s">
        <v>45</v>
      </c>
      <c r="U912" t="s">
        <v>33</v>
      </c>
      <c r="V912">
        <v>54833</v>
      </c>
      <c r="W912">
        <v>3.25</v>
      </c>
      <c r="X912">
        <v>4</v>
      </c>
    </row>
    <row r="913" spans="1:24" x14ac:dyDescent="0.3">
      <c r="A913" t="s">
        <v>63</v>
      </c>
      <c r="B913" t="s">
        <v>67</v>
      </c>
      <c r="C913">
        <v>2024</v>
      </c>
      <c r="D913" t="s">
        <v>61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27</v>
      </c>
      <c r="N913">
        <v>7</v>
      </c>
      <c r="O913" t="s">
        <v>50</v>
      </c>
      <c r="P913">
        <v>39.5</v>
      </c>
      <c r="Q913">
        <v>1578</v>
      </c>
      <c r="R913">
        <v>4</v>
      </c>
      <c r="S913">
        <v>2</v>
      </c>
      <c r="T913" t="s">
        <v>65</v>
      </c>
      <c r="U913" t="s">
        <v>66</v>
      </c>
      <c r="V913">
        <v>206164</v>
      </c>
      <c r="W913">
        <v>3</v>
      </c>
      <c r="X913">
        <v>4</v>
      </c>
    </row>
    <row r="914" spans="1:24" x14ac:dyDescent="0.3">
      <c r="A914" t="s">
        <v>83</v>
      </c>
      <c r="B914" t="s">
        <v>114</v>
      </c>
      <c r="C914">
        <v>2021</v>
      </c>
      <c r="D914" t="s">
        <v>33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34</v>
      </c>
      <c r="N914">
        <v>5</v>
      </c>
      <c r="O914" t="s">
        <v>28</v>
      </c>
      <c r="P914">
        <v>58.7</v>
      </c>
      <c r="Q914">
        <v>2464</v>
      </c>
      <c r="R914">
        <v>5</v>
      </c>
      <c r="S914">
        <v>1</v>
      </c>
      <c r="T914" t="s">
        <v>29</v>
      </c>
      <c r="U914" t="s">
        <v>30</v>
      </c>
      <c r="V914">
        <v>48199</v>
      </c>
      <c r="W914">
        <v>3.44</v>
      </c>
      <c r="X914">
        <v>5</v>
      </c>
    </row>
    <row r="915" spans="1:24" x14ac:dyDescent="0.3">
      <c r="A915" t="s">
        <v>24</v>
      </c>
      <c r="B915" t="s">
        <v>75</v>
      </c>
      <c r="C915">
        <v>2021</v>
      </c>
      <c r="D915" t="s">
        <v>61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48</v>
      </c>
      <c r="N915">
        <v>7</v>
      </c>
      <c r="O915" t="s">
        <v>28</v>
      </c>
      <c r="P915">
        <v>54.4</v>
      </c>
      <c r="Q915">
        <v>2360</v>
      </c>
      <c r="R915">
        <v>3</v>
      </c>
      <c r="S915">
        <v>1</v>
      </c>
      <c r="T915" t="s">
        <v>29</v>
      </c>
      <c r="U915" t="s">
        <v>37</v>
      </c>
      <c r="V915">
        <v>256880</v>
      </c>
      <c r="W915">
        <v>3.23</v>
      </c>
      <c r="X915">
        <v>3</v>
      </c>
    </row>
    <row r="916" spans="1:24" x14ac:dyDescent="0.3">
      <c r="A916" t="s">
        <v>42</v>
      </c>
      <c r="B916" t="s">
        <v>43</v>
      </c>
      <c r="C916">
        <v>2020</v>
      </c>
      <c r="D916" t="s">
        <v>61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48</v>
      </c>
      <c r="N916">
        <v>5</v>
      </c>
      <c r="O916" t="s">
        <v>35</v>
      </c>
      <c r="P916">
        <v>46.3</v>
      </c>
      <c r="Q916">
        <v>1818</v>
      </c>
      <c r="R916">
        <v>5</v>
      </c>
      <c r="S916">
        <v>1</v>
      </c>
      <c r="T916" t="s">
        <v>45</v>
      </c>
      <c r="U916" t="s">
        <v>66</v>
      </c>
      <c r="V916">
        <v>147499</v>
      </c>
      <c r="W916">
        <v>3.27</v>
      </c>
      <c r="X916">
        <v>4</v>
      </c>
    </row>
    <row r="917" spans="1:24" x14ac:dyDescent="0.3">
      <c r="A917" t="s">
        <v>24</v>
      </c>
      <c r="B917" t="s">
        <v>25</v>
      </c>
      <c r="C917">
        <v>2024</v>
      </c>
      <c r="D917" t="s">
        <v>44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34</v>
      </c>
      <c r="N917">
        <v>5</v>
      </c>
      <c r="O917" t="s">
        <v>50</v>
      </c>
      <c r="P917">
        <v>16.100000000000001</v>
      </c>
      <c r="Q917">
        <v>1613</v>
      </c>
      <c r="R917">
        <v>4</v>
      </c>
      <c r="S917">
        <v>1</v>
      </c>
      <c r="T917" t="s">
        <v>29</v>
      </c>
      <c r="U917" t="s">
        <v>33</v>
      </c>
      <c r="V917">
        <v>289608</v>
      </c>
      <c r="W917">
        <v>3.58</v>
      </c>
      <c r="X917">
        <v>3</v>
      </c>
    </row>
    <row r="918" spans="1:24" x14ac:dyDescent="0.3">
      <c r="A918" t="s">
        <v>63</v>
      </c>
      <c r="B918" t="s">
        <v>96</v>
      </c>
      <c r="C918">
        <v>2023</v>
      </c>
      <c r="D918" t="s">
        <v>33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27</v>
      </c>
      <c r="N918">
        <v>5</v>
      </c>
      <c r="O918" t="s">
        <v>28</v>
      </c>
      <c r="P918">
        <v>67.900000000000006</v>
      </c>
      <c r="Q918">
        <v>2438</v>
      </c>
      <c r="R918">
        <v>3</v>
      </c>
      <c r="S918">
        <v>0</v>
      </c>
      <c r="T918" t="s">
        <v>65</v>
      </c>
      <c r="U918" t="s">
        <v>66</v>
      </c>
      <c r="V918">
        <v>112218</v>
      </c>
      <c r="W918">
        <v>3.59</v>
      </c>
      <c r="X918">
        <v>4</v>
      </c>
    </row>
    <row r="919" spans="1:24" x14ac:dyDescent="0.3">
      <c r="A919" t="s">
        <v>31</v>
      </c>
      <c r="B919" t="s">
        <v>112</v>
      </c>
      <c r="C919">
        <v>2024</v>
      </c>
      <c r="D919" t="s">
        <v>26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27</v>
      </c>
      <c r="N919">
        <v>5</v>
      </c>
      <c r="O919" t="s">
        <v>51</v>
      </c>
      <c r="P919">
        <v>38.799999999999997</v>
      </c>
      <c r="Q919">
        <v>1660</v>
      </c>
      <c r="R919">
        <v>5</v>
      </c>
      <c r="S919">
        <v>0</v>
      </c>
      <c r="T919" t="s">
        <v>36</v>
      </c>
      <c r="U919" t="s">
        <v>33</v>
      </c>
      <c r="V919">
        <v>1723</v>
      </c>
      <c r="W919">
        <v>3.95</v>
      </c>
      <c r="X919">
        <v>3</v>
      </c>
    </row>
    <row r="920" spans="1:24" x14ac:dyDescent="0.3">
      <c r="A920" t="s">
        <v>76</v>
      </c>
      <c r="B920" t="s">
        <v>77</v>
      </c>
      <c r="C920">
        <v>2025</v>
      </c>
      <c r="D920" t="s">
        <v>26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48</v>
      </c>
      <c r="N920">
        <v>5</v>
      </c>
      <c r="O920" t="s">
        <v>51</v>
      </c>
      <c r="P920">
        <v>21.1</v>
      </c>
      <c r="Q920">
        <v>1500</v>
      </c>
      <c r="R920">
        <v>3</v>
      </c>
      <c r="S920">
        <v>1</v>
      </c>
      <c r="T920" t="s">
        <v>41</v>
      </c>
      <c r="U920" t="s">
        <v>37</v>
      </c>
      <c r="V920">
        <v>27560</v>
      </c>
      <c r="W920">
        <v>3.76</v>
      </c>
      <c r="X920">
        <v>5</v>
      </c>
    </row>
    <row r="921" spans="1:24" x14ac:dyDescent="0.3">
      <c r="A921" t="s">
        <v>46</v>
      </c>
      <c r="B921" t="s">
        <v>72</v>
      </c>
      <c r="C921">
        <v>2025</v>
      </c>
      <c r="D921" t="s">
        <v>33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27</v>
      </c>
      <c r="N921">
        <v>7</v>
      </c>
      <c r="O921" t="s">
        <v>28</v>
      </c>
      <c r="P921">
        <v>64.3</v>
      </c>
      <c r="Q921">
        <v>2453</v>
      </c>
      <c r="R921">
        <v>4</v>
      </c>
      <c r="S921">
        <v>2</v>
      </c>
      <c r="T921" t="s">
        <v>41</v>
      </c>
      <c r="U921" t="s">
        <v>30</v>
      </c>
      <c r="V921">
        <v>192321</v>
      </c>
      <c r="W921">
        <v>3.6</v>
      </c>
      <c r="X921">
        <v>5</v>
      </c>
    </row>
    <row r="922" spans="1:24" x14ac:dyDescent="0.3">
      <c r="A922" t="s">
        <v>52</v>
      </c>
      <c r="B922" t="s">
        <v>62</v>
      </c>
      <c r="C922">
        <v>2023</v>
      </c>
      <c r="D922" t="s">
        <v>56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48</v>
      </c>
      <c r="N922">
        <v>5</v>
      </c>
      <c r="O922" t="s">
        <v>58</v>
      </c>
      <c r="P922">
        <v>32.200000000000003</v>
      </c>
      <c r="Q922">
        <v>1500</v>
      </c>
      <c r="R922">
        <v>4</v>
      </c>
      <c r="S922">
        <v>1</v>
      </c>
      <c r="T922" t="s">
        <v>29</v>
      </c>
      <c r="U922" t="s">
        <v>33</v>
      </c>
      <c r="V922">
        <v>59566</v>
      </c>
      <c r="W922">
        <v>3.91</v>
      </c>
      <c r="X922">
        <v>8</v>
      </c>
    </row>
    <row r="923" spans="1:24" x14ac:dyDescent="0.3">
      <c r="A923" t="s">
        <v>68</v>
      </c>
      <c r="B923" t="s">
        <v>79</v>
      </c>
      <c r="C923">
        <v>2025</v>
      </c>
      <c r="D923" t="s">
        <v>33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27</v>
      </c>
      <c r="N923">
        <v>7</v>
      </c>
      <c r="O923" t="s">
        <v>50</v>
      </c>
      <c r="P923">
        <v>36.1</v>
      </c>
      <c r="Q923">
        <v>1597</v>
      </c>
      <c r="R923">
        <v>5</v>
      </c>
      <c r="S923">
        <v>0</v>
      </c>
      <c r="T923" t="s">
        <v>45</v>
      </c>
      <c r="U923" t="s">
        <v>30</v>
      </c>
      <c r="V923">
        <v>101360</v>
      </c>
      <c r="W923">
        <v>3.44</v>
      </c>
      <c r="X923">
        <v>4</v>
      </c>
    </row>
    <row r="924" spans="1:24" x14ac:dyDescent="0.3">
      <c r="A924" t="s">
        <v>86</v>
      </c>
      <c r="B924" t="s">
        <v>87</v>
      </c>
      <c r="C924">
        <v>2024</v>
      </c>
      <c r="D924" t="s">
        <v>56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34</v>
      </c>
      <c r="N924">
        <v>5</v>
      </c>
      <c r="O924" t="s">
        <v>28</v>
      </c>
      <c r="P924">
        <v>72.900000000000006</v>
      </c>
      <c r="Q924">
        <v>2498</v>
      </c>
      <c r="R924">
        <v>5</v>
      </c>
      <c r="S924">
        <v>2</v>
      </c>
      <c r="T924" t="s">
        <v>29</v>
      </c>
      <c r="U924" t="s">
        <v>30</v>
      </c>
      <c r="V924">
        <v>48443</v>
      </c>
      <c r="W924">
        <v>3.48</v>
      </c>
      <c r="X924">
        <v>7</v>
      </c>
    </row>
    <row r="925" spans="1:24" x14ac:dyDescent="0.3">
      <c r="A925" t="s">
        <v>76</v>
      </c>
      <c r="B925" t="s">
        <v>98</v>
      </c>
      <c r="C925">
        <v>2026</v>
      </c>
      <c r="D925" t="s">
        <v>33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27</v>
      </c>
      <c r="N925">
        <v>7</v>
      </c>
      <c r="O925" t="s">
        <v>58</v>
      </c>
      <c r="P925">
        <v>39</v>
      </c>
      <c r="Q925">
        <v>1744</v>
      </c>
      <c r="R925">
        <v>5</v>
      </c>
      <c r="S925">
        <v>1</v>
      </c>
      <c r="T925" t="s">
        <v>41</v>
      </c>
      <c r="U925" t="s">
        <v>33</v>
      </c>
      <c r="V925">
        <v>45069</v>
      </c>
      <c r="W925">
        <v>3.49</v>
      </c>
      <c r="X925">
        <v>3</v>
      </c>
    </row>
    <row r="926" spans="1:24" x14ac:dyDescent="0.3">
      <c r="A926" t="s">
        <v>24</v>
      </c>
      <c r="B926" t="s">
        <v>85</v>
      </c>
      <c r="C926">
        <v>2024</v>
      </c>
      <c r="D926" t="s">
        <v>56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34</v>
      </c>
      <c r="N926">
        <v>5</v>
      </c>
      <c r="O926" t="s">
        <v>51</v>
      </c>
      <c r="P926">
        <v>30.9</v>
      </c>
      <c r="Q926">
        <v>1516</v>
      </c>
      <c r="R926">
        <v>5</v>
      </c>
      <c r="S926">
        <v>0</v>
      </c>
      <c r="T926" t="s">
        <v>29</v>
      </c>
      <c r="U926" t="s">
        <v>37</v>
      </c>
      <c r="V926">
        <v>216258</v>
      </c>
      <c r="W926">
        <v>3.83</v>
      </c>
      <c r="X926">
        <v>3</v>
      </c>
    </row>
    <row r="927" spans="1:24" x14ac:dyDescent="0.3">
      <c r="A927" t="s">
        <v>46</v>
      </c>
      <c r="B927" t="s">
        <v>49</v>
      </c>
      <c r="C927">
        <v>2024</v>
      </c>
      <c r="D927" t="s">
        <v>61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34</v>
      </c>
      <c r="N927">
        <v>5</v>
      </c>
      <c r="O927" t="s">
        <v>40</v>
      </c>
      <c r="P927">
        <v>69.3</v>
      </c>
      <c r="Q927">
        <v>1500</v>
      </c>
      <c r="R927">
        <v>4</v>
      </c>
      <c r="S927">
        <v>3</v>
      </c>
      <c r="T927" t="s">
        <v>41</v>
      </c>
      <c r="U927" t="s">
        <v>30</v>
      </c>
      <c r="V927">
        <v>445661</v>
      </c>
      <c r="W927">
        <v>3.56</v>
      </c>
      <c r="X927">
        <v>5</v>
      </c>
    </row>
    <row r="928" spans="1:24" x14ac:dyDescent="0.3">
      <c r="A928" t="s">
        <v>63</v>
      </c>
      <c r="B928" t="s">
        <v>96</v>
      </c>
      <c r="C928">
        <v>2026</v>
      </c>
      <c r="D928" t="s">
        <v>44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48</v>
      </c>
      <c r="N928">
        <v>7</v>
      </c>
      <c r="O928" t="s">
        <v>35</v>
      </c>
      <c r="P928">
        <v>38.700000000000003</v>
      </c>
      <c r="Q928">
        <v>1819</v>
      </c>
      <c r="R928">
        <v>4</v>
      </c>
      <c r="S928">
        <v>1</v>
      </c>
      <c r="T928" t="s">
        <v>65</v>
      </c>
      <c r="U928" t="s">
        <v>37</v>
      </c>
      <c r="V928">
        <v>124104</v>
      </c>
      <c r="W928">
        <v>3.7</v>
      </c>
      <c r="X928">
        <v>4</v>
      </c>
    </row>
    <row r="929" spans="1:24" x14ac:dyDescent="0.3">
      <c r="A929" t="s">
        <v>42</v>
      </c>
      <c r="B929" t="s">
        <v>115</v>
      </c>
      <c r="C929">
        <v>2023</v>
      </c>
      <c r="D929" t="s">
        <v>56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34</v>
      </c>
      <c r="N929">
        <v>5</v>
      </c>
      <c r="O929" t="s">
        <v>28</v>
      </c>
      <c r="P929">
        <v>52.5</v>
      </c>
      <c r="Q929">
        <v>2381</v>
      </c>
      <c r="R929">
        <v>5</v>
      </c>
      <c r="S929">
        <v>1</v>
      </c>
      <c r="T929" t="s">
        <v>45</v>
      </c>
      <c r="U929" t="s">
        <v>37</v>
      </c>
      <c r="V929">
        <v>67143</v>
      </c>
      <c r="W929">
        <v>3.33</v>
      </c>
      <c r="X929">
        <v>4</v>
      </c>
    </row>
    <row r="930" spans="1:24" x14ac:dyDescent="0.3">
      <c r="A930" t="s">
        <v>83</v>
      </c>
      <c r="B930" t="s">
        <v>89</v>
      </c>
      <c r="C930">
        <v>2026</v>
      </c>
      <c r="D930" t="s">
        <v>26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27</v>
      </c>
      <c r="N930">
        <v>5</v>
      </c>
      <c r="O930" t="s">
        <v>50</v>
      </c>
      <c r="P930">
        <v>25.9</v>
      </c>
      <c r="Q930">
        <v>1500</v>
      </c>
      <c r="R930">
        <v>4</v>
      </c>
      <c r="S930">
        <v>2</v>
      </c>
      <c r="T930" t="s">
        <v>29</v>
      </c>
      <c r="U930" t="s">
        <v>30</v>
      </c>
      <c r="V930">
        <v>27898</v>
      </c>
      <c r="W930">
        <v>3.83</v>
      </c>
      <c r="X930">
        <v>6</v>
      </c>
    </row>
    <row r="931" spans="1:24" x14ac:dyDescent="0.3">
      <c r="A931" t="s">
        <v>63</v>
      </c>
      <c r="B931" t="s">
        <v>107</v>
      </c>
      <c r="C931">
        <v>2024</v>
      </c>
      <c r="D931" t="s">
        <v>61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27</v>
      </c>
      <c r="N931">
        <v>5</v>
      </c>
      <c r="O931" t="s">
        <v>35</v>
      </c>
      <c r="P931">
        <v>50.9</v>
      </c>
      <c r="Q931">
        <v>2255</v>
      </c>
      <c r="R931">
        <v>5</v>
      </c>
      <c r="S931">
        <v>0</v>
      </c>
      <c r="T931" t="s">
        <v>65</v>
      </c>
      <c r="U931" t="s">
        <v>37</v>
      </c>
      <c r="V931">
        <v>249607</v>
      </c>
      <c r="W931">
        <v>3.33</v>
      </c>
      <c r="X931">
        <v>4</v>
      </c>
    </row>
    <row r="932" spans="1:24" x14ac:dyDescent="0.3">
      <c r="A932" t="s">
        <v>46</v>
      </c>
      <c r="B932" t="s">
        <v>78</v>
      </c>
      <c r="C932">
        <v>2021</v>
      </c>
      <c r="D932" t="s">
        <v>33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27</v>
      </c>
      <c r="N932">
        <v>5</v>
      </c>
      <c r="O932" t="s">
        <v>40</v>
      </c>
      <c r="P932">
        <v>69.8</v>
      </c>
      <c r="Q932">
        <v>1693</v>
      </c>
      <c r="R932">
        <v>4</v>
      </c>
      <c r="S932">
        <v>2</v>
      </c>
      <c r="T932" t="s">
        <v>41</v>
      </c>
      <c r="U932" t="s">
        <v>33</v>
      </c>
      <c r="V932">
        <v>229836</v>
      </c>
      <c r="W932">
        <v>3.91</v>
      </c>
      <c r="X932">
        <v>4</v>
      </c>
    </row>
    <row r="933" spans="1:24" x14ac:dyDescent="0.3">
      <c r="A933" t="s">
        <v>52</v>
      </c>
      <c r="B933" t="s">
        <v>62</v>
      </c>
      <c r="C933">
        <v>2026</v>
      </c>
      <c r="D933" t="s">
        <v>56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27</v>
      </c>
      <c r="N933">
        <v>5</v>
      </c>
      <c r="O933" t="s">
        <v>28</v>
      </c>
      <c r="P933">
        <v>57.9</v>
      </c>
      <c r="Q933">
        <v>2639</v>
      </c>
      <c r="R933">
        <v>4</v>
      </c>
      <c r="S933">
        <v>1</v>
      </c>
      <c r="T933" t="s">
        <v>29</v>
      </c>
      <c r="U933" t="s">
        <v>30</v>
      </c>
      <c r="V933">
        <v>57503</v>
      </c>
      <c r="W933">
        <v>3.59</v>
      </c>
      <c r="X933">
        <v>6</v>
      </c>
    </row>
    <row r="934" spans="1:24" x14ac:dyDescent="0.3">
      <c r="A934" t="s">
        <v>134</v>
      </c>
      <c r="B934">
        <v>2</v>
      </c>
      <c r="C934">
        <v>2025</v>
      </c>
      <c r="D934" t="s">
        <v>26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27</v>
      </c>
      <c r="N934">
        <v>5</v>
      </c>
      <c r="O934" t="s">
        <v>51</v>
      </c>
      <c r="P934">
        <v>23.1</v>
      </c>
      <c r="Q934">
        <v>1500</v>
      </c>
      <c r="R934">
        <v>5</v>
      </c>
      <c r="S934">
        <v>0</v>
      </c>
      <c r="T934" t="s">
        <v>123</v>
      </c>
      <c r="U934" t="s">
        <v>33</v>
      </c>
      <c r="V934">
        <v>6307</v>
      </c>
      <c r="W934">
        <v>3.42</v>
      </c>
      <c r="X934">
        <v>4</v>
      </c>
    </row>
    <row r="935" spans="1:24" x14ac:dyDescent="0.3">
      <c r="A935" t="s">
        <v>68</v>
      </c>
      <c r="B935" t="s">
        <v>109</v>
      </c>
      <c r="C935">
        <v>2023</v>
      </c>
      <c r="D935" t="s">
        <v>56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34</v>
      </c>
      <c r="N935">
        <v>7</v>
      </c>
      <c r="O935" t="s">
        <v>40</v>
      </c>
      <c r="P935">
        <v>74.3</v>
      </c>
      <c r="Q935">
        <v>1504</v>
      </c>
      <c r="R935">
        <v>4</v>
      </c>
      <c r="S935">
        <v>0</v>
      </c>
      <c r="T935" t="s">
        <v>45</v>
      </c>
      <c r="U935" t="s">
        <v>37</v>
      </c>
      <c r="V935">
        <v>129662</v>
      </c>
      <c r="W935">
        <v>3.46</v>
      </c>
      <c r="X935">
        <v>3</v>
      </c>
    </row>
    <row r="936" spans="1:24" x14ac:dyDescent="0.3">
      <c r="A936" t="s">
        <v>46</v>
      </c>
      <c r="B936" t="s">
        <v>72</v>
      </c>
      <c r="C936">
        <v>2025</v>
      </c>
      <c r="D936" t="s">
        <v>61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27</v>
      </c>
      <c r="N936">
        <v>5</v>
      </c>
      <c r="O936" t="s">
        <v>28</v>
      </c>
      <c r="P936">
        <v>73.5</v>
      </c>
      <c r="Q936">
        <v>2328</v>
      </c>
      <c r="R936">
        <v>5</v>
      </c>
      <c r="S936">
        <v>3</v>
      </c>
      <c r="T936" t="s">
        <v>41</v>
      </c>
      <c r="U936" t="s">
        <v>30</v>
      </c>
      <c r="V936">
        <v>188107</v>
      </c>
      <c r="W936">
        <v>3.78</v>
      </c>
      <c r="X936">
        <v>4</v>
      </c>
    </row>
    <row r="937" spans="1:24" x14ac:dyDescent="0.3">
      <c r="A937" t="s">
        <v>63</v>
      </c>
      <c r="B937" t="s">
        <v>67</v>
      </c>
      <c r="C937">
        <v>2024</v>
      </c>
      <c r="D937" t="s">
        <v>56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48</v>
      </c>
      <c r="N937">
        <v>7</v>
      </c>
      <c r="O937" t="s">
        <v>58</v>
      </c>
      <c r="P937">
        <v>22.9</v>
      </c>
      <c r="Q937">
        <v>1615</v>
      </c>
      <c r="R937">
        <v>5</v>
      </c>
      <c r="S937">
        <v>1</v>
      </c>
      <c r="T937" t="s">
        <v>65</v>
      </c>
      <c r="U937" t="s">
        <v>37</v>
      </c>
      <c r="V937">
        <v>209468</v>
      </c>
      <c r="W937">
        <v>3.18</v>
      </c>
      <c r="X937">
        <v>4</v>
      </c>
    </row>
    <row r="938" spans="1:24" x14ac:dyDescent="0.3">
      <c r="A938" t="s">
        <v>46</v>
      </c>
      <c r="B938" t="s">
        <v>47</v>
      </c>
      <c r="C938">
        <v>2024</v>
      </c>
      <c r="D938" t="s">
        <v>33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27</v>
      </c>
      <c r="N938">
        <v>5</v>
      </c>
      <c r="O938" t="s">
        <v>28</v>
      </c>
      <c r="P938">
        <v>59.8</v>
      </c>
      <c r="Q938">
        <v>2696</v>
      </c>
      <c r="R938">
        <v>4</v>
      </c>
      <c r="S938">
        <v>3</v>
      </c>
      <c r="T938" t="s">
        <v>41</v>
      </c>
      <c r="U938" t="s">
        <v>30</v>
      </c>
      <c r="V938">
        <v>153103</v>
      </c>
      <c r="W938">
        <v>4.05</v>
      </c>
      <c r="X938">
        <v>5</v>
      </c>
    </row>
    <row r="939" spans="1:24" x14ac:dyDescent="0.3">
      <c r="A939" t="s">
        <v>94</v>
      </c>
      <c r="B939" t="s">
        <v>120</v>
      </c>
      <c r="C939">
        <v>2025</v>
      </c>
      <c r="D939" t="s">
        <v>26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48</v>
      </c>
      <c r="N939">
        <v>7</v>
      </c>
      <c r="O939" t="s">
        <v>28</v>
      </c>
      <c r="P939">
        <v>57.1</v>
      </c>
      <c r="Q939">
        <v>2401</v>
      </c>
      <c r="R939">
        <v>5</v>
      </c>
      <c r="S939">
        <v>0</v>
      </c>
      <c r="T939" t="s">
        <v>41</v>
      </c>
      <c r="U939" t="s">
        <v>30</v>
      </c>
      <c r="V939">
        <v>14378</v>
      </c>
      <c r="W939">
        <v>3.8</v>
      </c>
      <c r="X939">
        <v>6</v>
      </c>
    </row>
    <row r="940" spans="1:24" x14ac:dyDescent="0.3">
      <c r="A940" t="s">
        <v>46</v>
      </c>
      <c r="B940" t="s">
        <v>78</v>
      </c>
      <c r="C940">
        <v>2025</v>
      </c>
      <c r="D940" t="s">
        <v>26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27</v>
      </c>
      <c r="N940">
        <v>7</v>
      </c>
      <c r="O940" t="s">
        <v>40</v>
      </c>
      <c r="P940">
        <v>65.400000000000006</v>
      </c>
      <c r="Q940">
        <v>1500</v>
      </c>
      <c r="R940">
        <v>5</v>
      </c>
      <c r="S940">
        <v>2</v>
      </c>
      <c r="T940" t="s">
        <v>41</v>
      </c>
      <c r="U940" t="s">
        <v>30</v>
      </c>
      <c r="V940">
        <v>158417</v>
      </c>
      <c r="W940">
        <v>3.71</v>
      </c>
      <c r="X940">
        <v>5</v>
      </c>
    </row>
    <row r="941" spans="1:24" x14ac:dyDescent="0.3">
      <c r="A941" t="s">
        <v>42</v>
      </c>
      <c r="B941" t="s">
        <v>71</v>
      </c>
      <c r="C941">
        <v>2024</v>
      </c>
      <c r="D941" t="s">
        <v>44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27</v>
      </c>
      <c r="N941">
        <v>5</v>
      </c>
      <c r="O941" t="s">
        <v>51</v>
      </c>
      <c r="P941">
        <v>39.700000000000003</v>
      </c>
      <c r="Q941">
        <v>1735</v>
      </c>
      <c r="R941">
        <v>5</v>
      </c>
      <c r="S941">
        <v>2</v>
      </c>
      <c r="T941" t="s">
        <v>45</v>
      </c>
      <c r="U941" t="s">
        <v>37</v>
      </c>
      <c r="V941">
        <v>125554</v>
      </c>
      <c r="W941">
        <v>3.47</v>
      </c>
      <c r="X941">
        <v>4</v>
      </c>
    </row>
    <row r="942" spans="1:24" x14ac:dyDescent="0.3">
      <c r="A942" t="s">
        <v>63</v>
      </c>
      <c r="B942" t="s">
        <v>88</v>
      </c>
      <c r="C942">
        <v>2024</v>
      </c>
      <c r="D942" t="s">
        <v>56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27</v>
      </c>
      <c r="N942">
        <v>7</v>
      </c>
      <c r="O942" t="s">
        <v>28</v>
      </c>
      <c r="P942">
        <v>77.400000000000006</v>
      </c>
      <c r="Q942">
        <v>2252</v>
      </c>
      <c r="R942">
        <v>5</v>
      </c>
      <c r="S942">
        <v>1</v>
      </c>
      <c r="T942" t="s">
        <v>65</v>
      </c>
      <c r="U942" t="s">
        <v>33</v>
      </c>
      <c r="V942">
        <v>119629</v>
      </c>
      <c r="W942">
        <v>3.38</v>
      </c>
      <c r="X942">
        <v>4</v>
      </c>
    </row>
    <row r="943" spans="1:24" x14ac:dyDescent="0.3">
      <c r="A943" t="s">
        <v>42</v>
      </c>
      <c r="B943" t="s">
        <v>71</v>
      </c>
      <c r="C943">
        <v>2024</v>
      </c>
      <c r="D943" t="s">
        <v>26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27</v>
      </c>
      <c r="N943">
        <v>7</v>
      </c>
      <c r="O943" t="s">
        <v>50</v>
      </c>
      <c r="P943">
        <v>16.899999999999999</v>
      </c>
      <c r="Q943">
        <v>1819</v>
      </c>
      <c r="R943">
        <v>3</v>
      </c>
      <c r="S943">
        <v>2</v>
      </c>
      <c r="T943" t="s">
        <v>45</v>
      </c>
      <c r="U943" t="s">
        <v>30</v>
      </c>
      <c r="V943">
        <v>107830</v>
      </c>
      <c r="W943">
        <v>3.56</v>
      </c>
      <c r="X943">
        <v>5</v>
      </c>
    </row>
    <row r="944" spans="1:24" x14ac:dyDescent="0.3">
      <c r="A944" t="s">
        <v>83</v>
      </c>
      <c r="B944" t="s">
        <v>114</v>
      </c>
      <c r="C944">
        <v>2025</v>
      </c>
      <c r="D944" t="s">
        <v>26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48</v>
      </c>
      <c r="N944">
        <v>7</v>
      </c>
      <c r="O944" t="s">
        <v>28</v>
      </c>
      <c r="P944">
        <v>64.3</v>
      </c>
      <c r="Q944">
        <v>2285</v>
      </c>
      <c r="R944">
        <v>4</v>
      </c>
      <c r="S944">
        <v>1</v>
      </c>
      <c r="T944" t="s">
        <v>29</v>
      </c>
      <c r="U944" t="s">
        <v>33</v>
      </c>
      <c r="V944">
        <v>61677</v>
      </c>
      <c r="W944">
        <v>3.43</v>
      </c>
      <c r="X944">
        <v>7</v>
      </c>
    </row>
    <row r="945" spans="1:24" x14ac:dyDescent="0.3">
      <c r="A945" t="s">
        <v>52</v>
      </c>
      <c r="B945" t="s">
        <v>126</v>
      </c>
      <c r="C945">
        <v>2026</v>
      </c>
      <c r="D945" t="s">
        <v>26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27</v>
      </c>
      <c r="N945">
        <v>7</v>
      </c>
      <c r="O945" t="s">
        <v>35</v>
      </c>
      <c r="P945">
        <v>61.2</v>
      </c>
      <c r="Q945">
        <v>1889</v>
      </c>
      <c r="R945">
        <v>4</v>
      </c>
      <c r="S945">
        <v>2</v>
      </c>
      <c r="T945" t="s">
        <v>29</v>
      </c>
      <c r="U945" t="s">
        <v>30</v>
      </c>
      <c r="V945">
        <v>66282</v>
      </c>
      <c r="W945">
        <v>3.8</v>
      </c>
      <c r="X945">
        <v>7</v>
      </c>
    </row>
    <row r="946" spans="1:24" x14ac:dyDescent="0.3">
      <c r="A946" t="s">
        <v>63</v>
      </c>
      <c r="B946" t="s">
        <v>67</v>
      </c>
      <c r="C946">
        <v>2022</v>
      </c>
      <c r="D946" t="s">
        <v>56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34</v>
      </c>
      <c r="N946">
        <v>5</v>
      </c>
      <c r="O946" t="s">
        <v>51</v>
      </c>
      <c r="P946">
        <v>20.6</v>
      </c>
      <c r="Q946">
        <v>1609</v>
      </c>
      <c r="R946">
        <v>5</v>
      </c>
      <c r="S946">
        <v>1</v>
      </c>
      <c r="T946" t="s">
        <v>65</v>
      </c>
      <c r="U946" t="s">
        <v>37</v>
      </c>
      <c r="V946">
        <v>172454</v>
      </c>
      <c r="W946">
        <v>3.29</v>
      </c>
      <c r="X946">
        <v>4</v>
      </c>
    </row>
    <row r="947" spans="1:24" x14ac:dyDescent="0.3">
      <c r="A947" t="s">
        <v>46</v>
      </c>
      <c r="B947" t="s">
        <v>57</v>
      </c>
      <c r="C947">
        <v>2025</v>
      </c>
      <c r="D947" t="s">
        <v>56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27</v>
      </c>
      <c r="N947">
        <v>5</v>
      </c>
      <c r="O947" t="s">
        <v>50</v>
      </c>
      <c r="P947">
        <v>31.9</v>
      </c>
      <c r="Q947">
        <v>1705</v>
      </c>
      <c r="R947">
        <v>5</v>
      </c>
      <c r="S947">
        <v>2</v>
      </c>
      <c r="T947" t="s">
        <v>41</v>
      </c>
      <c r="U947" t="s">
        <v>66</v>
      </c>
      <c r="V947">
        <v>206579</v>
      </c>
      <c r="W947">
        <v>3.63</v>
      </c>
      <c r="X947">
        <v>6</v>
      </c>
    </row>
    <row r="948" spans="1:24" x14ac:dyDescent="0.3">
      <c r="A948" t="s">
        <v>46</v>
      </c>
      <c r="B948" t="s">
        <v>72</v>
      </c>
      <c r="C948">
        <v>2024</v>
      </c>
      <c r="D948" t="s">
        <v>61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34</v>
      </c>
      <c r="N948">
        <v>5</v>
      </c>
      <c r="O948" t="s">
        <v>28</v>
      </c>
      <c r="P948">
        <v>68.7</v>
      </c>
      <c r="Q948">
        <v>2227</v>
      </c>
      <c r="R948">
        <v>5</v>
      </c>
      <c r="S948">
        <v>2</v>
      </c>
      <c r="T948" t="s">
        <v>41</v>
      </c>
      <c r="U948" t="s">
        <v>30</v>
      </c>
      <c r="V948">
        <v>188033</v>
      </c>
      <c r="W948">
        <v>3.43</v>
      </c>
      <c r="X948">
        <v>4</v>
      </c>
    </row>
    <row r="949" spans="1:24" x14ac:dyDescent="0.3">
      <c r="A949" t="s">
        <v>86</v>
      </c>
      <c r="B949" t="s">
        <v>87</v>
      </c>
      <c r="C949">
        <v>2022</v>
      </c>
      <c r="D949" t="s">
        <v>33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48</v>
      </c>
      <c r="N949">
        <v>5</v>
      </c>
      <c r="O949" t="s">
        <v>28</v>
      </c>
      <c r="P949">
        <v>68.3</v>
      </c>
      <c r="Q949">
        <v>2791</v>
      </c>
      <c r="R949">
        <v>4</v>
      </c>
      <c r="S949">
        <v>2</v>
      </c>
      <c r="T949" t="s">
        <v>29</v>
      </c>
      <c r="U949" t="s">
        <v>30</v>
      </c>
      <c r="V949">
        <v>74974</v>
      </c>
      <c r="W949">
        <v>3.3</v>
      </c>
      <c r="X949">
        <v>5</v>
      </c>
    </row>
    <row r="950" spans="1:24" x14ac:dyDescent="0.3">
      <c r="A950" t="s">
        <v>86</v>
      </c>
      <c r="B950" t="s">
        <v>87</v>
      </c>
      <c r="C950">
        <v>2024</v>
      </c>
      <c r="D950" t="s">
        <v>56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48</v>
      </c>
      <c r="N950">
        <v>7</v>
      </c>
      <c r="O950" t="s">
        <v>28</v>
      </c>
      <c r="P950">
        <v>50.6</v>
      </c>
      <c r="Q950">
        <v>2305</v>
      </c>
      <c r="R950">
        <v>4</v>
      </c>
      <c r="S950">
        <v>2</v>
      </c>
      <c r="T950" t="s">
        <v>29</v>
      </c>
      <c r="U950" t="s">
        <v>33</v>
      </c>
      <c r="V950">
        <v>52856</v>
      </c>
      <c r="W950">
        <v>3.77</v>
      </c>
      <c r="X950">
        <v>8</v>
      </c>
    </row>
    <row r="951" spans="1:24" x14ac:dyDescent="0.3">
      <c r="A951" t="s">
        <v>42</v>
      </c>
      <c r="B951" t="s">
        <v>54</v>
      </c>
      <c r="C951">
        <v>2022</v>
      </c>
      <c r="D951" t="s">
        <v>33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27</v>
      </c>
      <c r="N951">
        <v>5</v>
      </c>
      <c r="O951" t="s">
        <v>28</v>
      </c>
      <c r="P951">
        <v>60.1</v>
      </c>
      <c r="Q951">
        <v>2450</v>
      </c>
      <c r="R951">
        <v>5</v>
      </c>
      <c r="S951">
        <v>1</v>
      </c>
      <c r="T951" t="s">
        <v>45</v>
      </c>
      <c r="U951" t="s">
        <v>33</v>
      </c>
      <c r="V951">
        <v>126881</v>
      </c>
      <c r="W951">
        <v>3.6</v>
      </c>
      <c r="X951">
        <v>3</v>
      </c>
    </row>
    <row r="952" spans="1:24" x14ac:dyDescent="0.3">
      <c r="A952" t="s">
        <v>42</v>
      </c>
      <c r="B952" t="s">
        <v>71</v>
      </c>
      <c r="C952">
        <v>2024</v>
      </c>
      <c r="D952" t="s">
        <v>56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27</v>
      </c>
      <c r="N952">
        <v>5</v>
      </c>
      <c r="O952" t="s">
        <v>58</v>
      </c>
      <c r="P952">
        <v>37.6</v>
      </c>
      <c r="Q952">
        <v>1686</v>
      </c>
      <c r="R952">
        <v>5</v>
      </c>
      <c r="S952">
        <v>1</v>
      </c>
      <c r="T952" t="s">
        <v>45</v>
      </c>
      <c r="U952" t="s">
        <v>37</v>
      </c>
      <c r="V952">
        <v>149672</v>
      </c>
      <c r="W952">
        <v>3.38</v>
      </c>
      <c r="X952">
        <v>3</v>
      </c>
    </row>
    <row r="953" spans="1:24" x14ac:dyDescent="0.3">
      <c r="A953" t="s">
        <v>83</v>
      </c>
      <c r="B953" t="s">
        <v>114</v>
      </c>
      <c r="C953">
        <v>2022</v>
      </c>
      <c r="D953" t="s">
        <v>26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48</v>
      </c>
      <c r="N953">
        <v>5</v>
      </c>
      <c r="O953" t="s">
        <v>50</v>
      </c>
      <c r="P953">
        <v>32.299999999999997</v>
      </c>
      <c r="Q953">
        <v>1545</v>
      </c>
      <c r="R953">
        <v>3</v>
      </c>
      <c r="S953">
        <v>2</v>
      </c>
      <c r="T953" t="s">
        <v>29</v>
      </c>
      <c r="U953" t="s">
        <v>30</v>
      </c>
      <c r="V953">
        <v>23392</v>
      </c>
      <c r="W953">
        <v>3.69</v>
      </c>
      <c r="X953">
        <v>7</v>
      </c>
    </row>
    <row r="954" spans="1:24" x14ac:dyDescent="0.3">
      <c r="A954" t="s">
        <v>46</v>
      </c>
      <c r="B954" t="s">
        <v>72</v>
      </c>
      <c r="C954">
        <v>2024</v>
      </c>
      <c r="D954" t="s">
        <v>56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34</v>
      </c>
      <c r="N954">
        <v>5</v>
      </c>
      <c r="O954" t="s">
        <v>28</v>
      </c>
      <c r="P954">
        <v>60.8</v>
      </c>
      <c r="Q954">
        <v>2643</v>
      </c>
      <c r="R954">
        <v>5</v>
      </c>
      <c r="S954">
        <v>3</v>
      </c>
      <c r="T954" t="s">
        <v>41</v>
      </c>
      <c r="U954" t="s">
        <v>37</v>
      </c>
      <c r="V954">
        <v>241001</v>
      </c>
      <c r="W954">
        <v>3.74</v>
      </c>
      <c r="X954">
        <v>6</v>
      </c>
    </row>
    <row r="955" spans="1:24" x14ac:dyDescent="0.3">
      <c r="A955" t="s">
        <v>94</v>
      </c>
      <c r="B955" t="s">
        <v>128</v>
      </c>
      <c r="C955">
        <v>2024</v>
      </c>
      <c r="D955" t="s">
        <v>26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48</v>
      </c>
      <c r="N955">
        <v>7</v>
      </c>
      <c r="O955" t="s">
        <v>50</v>
      </c>
      <c r="P955">
        <v>35.5</v>
      </c>
      <c r="Q955">
        <v>1514</v>
      </c>
      <c r="R955">
        <v>5</v>
      </c>
      <c r="S955">
        <v>1</v>
      </c>
      <c r="T955" t="s">
        <v>41</v>
      </c>
      <c r="U955" t="s">
        <v>30</v>
      </c>
      <c r="V955">
        <v>656</v>
      </c>
      <c r="W955">
        <v>3.53</v>
      </c>
      <c r="X955">
        <v>5</v>
      </c>
    </row>
    <row r="956" spans="1:24" x14ac:dyDescent="0.3">
      <c r="A956" t="s">
        <v>24</v>
      </c>
      <c r="B956" t="s">
        <v>70</v>
      </c>
      <c r="C956">
        <v>2023</v>
      </c>
      <c r="D956" t="s">
        <v>33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27</v>
      </c>
      <c r="N956">
        <v>7</v>
      </c>
      <c r="O956" t="s">
        <v>28</v>
      </c>
      <c r="P956">
        <v>74.3</v>
      </c>
      <c r="Q956">
        <v>2586</v>
      </c>
      <c r="R956">
        <v>5</v>
      </c>
      <c r="S956">
        <v>1</v>
      </c>
      <c r="T956" t="s">
        <v>29</v>
      </c>
      <c r="U956" t="s">
        <v>33</v>
      </c>
      <c r="V956">
        <v>211559</v>
      </c>
      <c r="W956">
        <v>3.61</v>
      </c>
      <c r="X956">
        <v>4</v>
      </c>
    </row>
    <row r="957" spans="1:24" x14ac:dyDescent="0.3">
      <c r="A957" t="s">
        <v>24</v>
      </c>
      <c r="B957" t="s">
        <v>75</v>
      </c>
      <c r="C957">
        <v>2026</v>
      </c>
      <c r="D957" t="s">
        <v>61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34</v>
      </c>
      <c r="N957">
        <v>5</v>
      </c>
      <c r="O957" t="s">
        <v>58</v>
      </c>
      <c r="P957">
        <v>35</v>
      </c>
      <c r="Q957">
        <v>1882</v>
      </c>
      <c r="R957">
        <v>5</v>
      </c>
      <c r="S957">
        <v>0</v>
      </c>
      <c r="T957" t="s">
        <v>29</v>
      </c>
      <c r="U957" t="s">
        <v>33</v>
      </c>
      <c r="V957">
        <v>279621</v>
      </c>
      <c r="W957">
        <v>3.38</v>
      </c>
      <c r="X957">
        <v>3</v>
      </c>
    </row>
    <row r="958" spans="1:24" x14ac:dyDescent="0.3">
      <c r="A958" t="s">
        <v>68</v>
      </c>
      <c r="B958" t="s">
        <v>79</v>
      </c>
      <c r="C958">
        <v>2023</v>
      </c>
      <c r="D958" t="s">
        <v>56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27</v>
      </c>
      <c r="N958">
        <v>5</v>
      </c>
      <c r="O958" t="s">
        <v>40</v>
      </c>
      <c r="P958">
        <v>69.3</v>
      </c>
      <c r="Q958">
        <v>1580</v>
      </c>
      <c r="R958">
        <v>4</v>
      </c>
      <c r="S958">
        <v>1</v>
      </c>
      <c r="T958" t="s">
        <v>45</v>
      </c>
      <c r="U958" t="s">
        <v>37</v>
      </c>
      <c r="V958">
        <v>52756</v>
      </c>
      <c r="W958">
        <v>3.29</v>
      </c>
      <c r="X958">
        <v>4</v>
      </c>
    </row>
    <row r="959" spans="1:24" x14ac:dyDescent="0.3">
      <c r="A959" t="s">
        <v>46</v>
      </c>
      <c r="B959" t="s">
        <v>72</v>
      </c>
      <c r="C959">
        <v>2025</v>
      </c>
      <c r="D959" t="s">
        <v>33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27</v>
      </c>
      <c r="N959">
        <v>5</v>
      </c>
      <c r="O959" t="s">
        <v>28</v>
      </c>
      <c r="P959">
        <v>73.099999999999994</v>
      </c>
      <c r="Q959">
        <v>2711</v>
      </c>
      <c r="R959">
        <v>5</v>
      </c>
      <c r="S959">
        <v>2</v>
      </c>
      <c r="T959" t="s">
        <v>41</v>
      </c>
      <c r="U959" t="s">
        <v>30</v>
      </c>
      <c r="V959">
        <v>195107</v>
      </c>
      <c r="W959">
        <v>3.68</v>
      </c>
      <c r="X959">
        <v>5</v>
      </c>
    </row>
    <row r="960" spans="1:24" x14ac:dyDescent="0.3">
      <c r="A960" t="s">
        <v>46</v>
      </c>
      <c r="B960" t="s">
        <v>78</v>
      </c>
      <c r="C960">
        <v>2025</v>
      </c>
      <c r="D960" t="s">
        <v>56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34</v>
      </c>
      <c r="N960">
        <v>7</v>
      </c>
      <c r="O960" t="s">
        <v>40</v>
      </c>
      <c r="P960">
        <v>75.5</v>
      </c>
      <c r="Q960">
        <v>1771</v>
      </c>
      <c r="R960">
        <v>5</v>
      </c>
      <c r="S960">
        <v>2</v>
      </c>
      <c r="T960" t="s">
        <v>41</v>
      </c>
      <c r="U960" t="s">
        <v>30</v>
      </c>
      <c r="V960">
        <v>136623</v>
      </c>
      <c r="W960">
        <v>3.7</v>
      </c>
      <c r="X960">
        <v>6</v>
      </c>
    </row>
    <row r="961" spans="1:24" x14ac:dyDescent="0.3">
      <c r="A961" t="s">
        <v>38</v>
      </c>
      <c r="B961" t="s">
        <v>55</v>
      </c>
      <c r="C961">
        <v>2023</v>
      </c>
      <c r="D961" t="s">
        <v>26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48</v>
      </c>
      <c r="N961">
        <v>7</v>
      </c>
      <c r="O961" t="s">
        <v>40</v>
      </c>
      <c r="P961">
        <v>76.900000000000006</v>
      </c>
      <c r="Q961">
        <v>1584</v>
      </c>
      <c r="R961">
        <v>3</v>
      </c>
      <c r="S961">
        <v>1</v>
      </c>
      <c r="T961" t="s">
        <v>41</v>
      </c>
      <c r="U961" t="s">
        <v>37</v>
      </c>
      <c r="V961">
        <v>8909</v>
      </c>
      <c r="W961">
        <v>3.76</v>
      </c>
      <c r="X961">
        <v>3</v>
      </c>
    </row>
    <row r="962" spans="1:24" x14ac:dyDescent="0.3">
      <c r="A962" t="s">
        <v>46</v>
      </c>
      <c r="B962" t="s">
        <v>49</v>
      </c>
      <c r="C962">
        <v>2024</v>
      </c>
      <c r="D962" t="s">
        <v>26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27</v>
      </c>
      <c r="N962">
        <v>5</v>
      </c>
      <c r="O962" t="s">
        <v>51</v>
      </c>
      <c r="P962">
        <v>26.6</v>
      </c>
      <c r="Q962">
        <v>1540</v>
      </c>
      <c r="R962">
        <v>4</v>
      </c>
      <c r="S962">
        <v>2</v>
      </c>
      <c r="T962" t="s">
        <v>41</v>
      </c>
      <c r="U962" t="s">
        <v>30</v>
      </c>
      <c r="V962">
        <v>490678</v>
      </c>
      <c r="W962">
        <v>4.51</v>
      </c>
      <c r="X962">
        <v>4</v>
      </c>
    </row>
    <row r="963" spans="1:24" x14ac:dyDescent="0.3">
      <c r="A963" t="s">
        <v>42</v>
      </c>
      <c r="B963" t="s">
        <v>71</v>
      </c>
      <c r="C963">
        <v>2025</v>
      </c>
      <c r="D963" t="s">
        <v>56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34</v>
      </c>
      <c r="N963">
        <v>7</v>
      </c>
      <c r="O963" t="s">
        <v>40</v>
      </c>
      <c r="P963">
        <v>76.5</v>
      </c>
      <c r="Q963">
        <v>1588</v>
      </c>
      <c r="R963">
        <v>4</v>
      </c>
      <c r="S963">
        <v>0</v>
      </c>
      <c r="T963" t="s">
        <v>45</v>
      </c>
      <c r="U963" t="s">
        <v>66</v>
      </c>
      <c r="V963">
        <v>70571</v>
      </c>
      <c r="W963">
        <v>3.47</v>
      </c>
      <c r="X963">
        <v>4</v>
      </c>
    </row>
    <row r="964" spans="1:24" x14ac:dyDescent="0.3">
      <c r="A964" t="s">
        <v>63</v>
      </c>
      <c r="B964" t="s">
        <v>64</v>
      </c>
      <c r="C964">
        <v>2025</v>
      </c>
      <c r="D964" t="s">
        <v>33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27</v>
      </c>
      <c r="N964">
        <v>5</v>
      </c>
      <c r="O964" t="s">
        <v>51</v>
      </c>
      <c r="P964">
        <v>19.3</v>
      </c>
      <c r="Q964">
        <v>1606</v>
      </c>
      <c r="R964">
        <v>5</v>
      </c>
      <c r="S964">
        <v>0</v>
      </c>
      <c r="T964" t="s">
        <v>65</v>
      </c>
      <c r="U964" t="s">
        <v>33</v>
      </c>
      <c r="V964">
        <v>142672</v>
      </c>
      <c r="W964">
        <v>3.25</v>
      </c>
      <c r="X964">
        <v>3</v>
      </c>
    </row>
    <row r="965" spans="1:24" x14ac:dyDescent="0.3">
      <c r="A965" t="s">
        <v>24</v>
      </c>
      <c r="B965" t="s">
        <v>75</v>
      </c>
      <c r="C965">
        <v>2024</v>
      </c>
      <c r="D965" t="s">
        <v>56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27</v>
      </c>
      <c r="N965">
        <v>5</v>
      </c>
      <c r="O965" t="s">
        <v>35</v>
      </c>
      <c r="P965">
        <v>38.299999999999997</v>
      </c>
      <c r="Q965">
        <v>2196</v>
      </c>
      <c r="R965">
        <v>5</v>
      </c>
      <c r="S965">
        <v>1</v>
      </c>
      <c r="T965" t="s">
        <v>29</v>
      </c>
      <c r="U965" t="s">
        <v>66</v>
      </c>
      <c r="V965">
        <v>268683</v>
      </c>
      <c r="W965">
        <v>3.64</v>
      </c>
      <c r="X965">
        <v>4</v>
      </c>
    </row>
    <row r="966" spans="1:24" x14ac:dyDescent="0.3">
      <c r="A966" t="s">
        <v>63</v>
      </c>
      <c r="B966" t="s">
        <v>67</v>
      </c>
      <c r="C966">
        <v>2025</v>
      </c>
      <c r="D966" t="s">
        <v>44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48</v>
      </c>
      <c r="N966">
        <v>5</v>
      </c>
      <c r="O966" t="s">
        <v>58</v>
      </c>
      <c r="P966">
        <v>39.200000000000003</v>
      </c>
      <c r="Q966">
        <v>1704</v>
      </c>
      <c r="R966">
        <v>4</v>
      </c>
      <c r="S966">
        <v>2</v>
      </c>
      <c r="T966" t="s">
        <v>65</v>
      </c>
      <c r="U966" t="s">
        <v>66</v>
      </c>
      <c r="V966">
        <v>218123</v>
      </c>
      <c r="W966">
        <v>3.53</v>
      </c>
      <c r="X966">
        <v>3</v>
      </c>
    </row>
    <row r="967" spans="1:24" x14ac:dyDescent="0.3">
      <c r="A967" t="s">
        <v>24</v>
      </c>
      <c r="B967" t="s">
        <v>74</v>
      </c>
      <c r="C967">
        <v>2024</v>
      </c>
      <c r="D967" t="s">
        <v>26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48</v>
      </c>
      <c r="N967">
        <v>7</v>
      </c>
      <c r="O967" t="s">
        <v>40</v>
      </c>
      <c r="P967">
        <v>61.7</v>
      </c>
      <c r="Q967">
        <v>1614</v>
      </c>
      <c r="R967">
        <v>5</v>
      </c>
      <c r="S967">
        <v>0</v>
      </c>
      <c r="T967" t="s">
        <v>29</v>
      </c>
      <c r="U967" t="s">
        <v>30</v>
      </c>
      <c r="V967">
        <v>282713</v>
      </c>
      <c r="W967">
        <v>3.53</v>
      </c>
      <c r="X967">
        <v>3</v>
      </c>
    </row>
    <row r="968" spans="1:24" x14ac:dyDescent="0.3">
      <c r="A968" t="s">
        <v>38</v>
      </c>
      <c r="B968" t="s">
        <v>101</v>
      </c>
      <c r="C968">
        <v>2025</v>
      </c>
      <c r="D968" t="s">
        <v>33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48</v>
      </c>
      <c r="N968">
        <v>5</v>
      </c>
      <c r="O968" t="s">
        <v>50</v>
      </c>
      <c r="P968">
        <v>24.9</v>
      </c>
      <c r="Q968">
        <v>1500</v>
      </c>
      <c r="R968">
        <v>5</v>
      </c>
      <c r="S968">
        <v>0</v>
      </c>
      <c r="T968" t="s">
        <v>41</v>
      </c>
      <c r="U968" t="s">
        <v>37</v>
      </c>
      <c r="V968">
        <v>10487</v>
      </c>
      <c r="W968">
        <v>3.16</v>
      </c>
      <c r="X968">
        <v>3</v>
      </c>
    </row>
    <row r="969" spans="1:24" x14ac:dyDescent="0.3">
      <c r="A969" t="s">
        <v>63</v>
      </c>
      <c r="B969" t="s">
        <v>73</v>
      </c>
      <c r="C969">
        <v>2024</v>
      </c>
      <c r="D969" t="s">
        <v>56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27</v>
      </c>
      <c r="N969">
        <v>5</v>
      </c>
      <c r="O969" t="s">
        <v>35</v>
      </c>
      <c r="P969">
        <v>63.5</v>
      </c>
      <c r="Q969">
        <v>1787</v>
      </c>
      <c r="R969">
        <v>4</v>
      </c>
      <c r="S969">
        <v>1</v>
      </c>
      <c r="T969" t="s">
        <v>65</v>
      </c>
      <c r="U969" t="s">
        <v>66</v>
      </c>
      <c r="V969">
        <v>226541</v>
      </c>
      <c r="W969">
        <v>3.63</v>
      </c>
      <c r="X969">
        <v>3</v>
      </c>
    </row>
    <row r="970" spans="1:24" x14ac:dyDescent="0.3">
      <c r="A970" t="s">
        <v>42</v>
      </c>
      <c r="B970" t="s">
        <v>43</v>
      </c>
      <c r="C970">
        <v>2025</v>
      </c>
      <c r="D970" t="s">
        <v>26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27</v>
      </c>
      <c r="N970">
        <v>7</v>
      </c>
      <c r="O970" t="s">
        <v>35</v>
      </c>
      <c r="P970">
        <v>37.5</v>
      </c>
      <c r="Q970">
        <v>2315</v>
      </c>
      <c r="R970">
        <v>3</v>
      </c>
      <c r="S970">
        <v>0</v>
      </c>
      <c r="T970" t="s">
        <v>45</v>
      </c>
      <c r="U970" t="s">
        <v>33</v>
      </c>
      <c r="V970">
        <v>144057</v>
      </c>
      <c r="W970">
        <v>3.62</v>
      </c>
      <c r="X970">
        <v>3</v>
      </c>
    </row>
    <row r="971" spans="1:24" x14ac:dyDescent="0.3">
      <c r="A971" t="s">
        <v>68</v>
      </c>
      <c r="B971" t="s">
        <v>79</v>
      </c>
      <c r="C971">
        <v>2025</v>
      </c>
      <c r="D971" t="s">
        <v>26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34</v>
      </c>
      <c r="N971">
        <v>7</v>
      </c>
      <c r="O971" t="s">
        <v>50</v>
      </c>
      <c r="P971">
        <v>22.4</v>
      </c>
      <c r="Q971">
        <v>1581</v>
      </c>
      <c r="R971">
        <v>5</v>
      </c>
      <c r="S971">
        <v>2</v>
      </c>
      <c r="T971" t="s">
        <v>45</v>
      </c>
      <c r="U971" t="s">
        <v>37</v>
      </c>
      <c r="V971">
        <v>102665</v>
      </c>
      <c r="W971">
        <v>3.98</v>
      </c>
      <c r="X971">
        <v>3</v>
      </c>
    </row>
    <row r="972" spans="1:24" x14ac:dyDescent="0.3">
      <c r="A972" t="s">
        <v>83</v>
      </c>
      <c r="B972" t="s">
        <v>116</v>
      </c>
      <c r="C972">
        <v>2023</v>
      </c>
      <c r="D972" t="s">
        <v>61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34</v>
      </c>
      <c r="N972">
        <v>7</v>
      </c>
      <c r="O972" t="s">
        <v>58</v>
      </c>
      <c r="P972">
        <v>32.1</v>
      </c>
      <c r="Q972">
        <v>1856</v>
      </c>
      <c r="R972">
        <v>5</v>
      </c>
      <c r="S972">
        <v>2</v>
      </c>
      <c r="T972" t="s">
        <v>29</v>
      </c>
      <c r="U972" t="s">
        <v>30</v>
      </c>
      <c r="V972">
        <v>24913</v>
      </c>
      <c r="W972">
        <v>3.34</v>
      </c>
      <c r="X972">
        <v>6</v>
      </c>
    </row>
    <row r="973" spans="1:24" x14ac:dyDescent="0.3">
      <c r="A973" t="s">
        <v>92</v>
      </c>
      <c r="B973" t="s">
        <v>127</v>
      </c>
      <c r="C973">
        <v>2025</v>
      </c>
      <c r="D973" t="s">
        <v>33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48</v>
      </c>
      <c r="N973">
        <v>7</v>
      </c>
      <c r="O973" t="s">
        <v>40</v>
      </c>
      <c r="P973">
        <v>74.900000000000006</v>
      </c>
      <c r="Q973">
        <v>1673</v>
      </c>
      <c r="R973">
        <v>5</v>
      </c>
      <c r="S973">
        <v>0</v>
      </c>
      <c r="T973" t="s">
        <v>65</v>
      </c>
      <c r="U973" t="s">
        <v>33</v>
      </c>
      <c r="V973">
        <v>11073</v>
      </c>
      <c r="W973">
        <v>3.32</v>
      </c>
      <c r="X973">
        <v>5</v>
      </c>
    </row>
    <row r="974" spans="1:24" x14ac:dyDescent="0.3">
      <c r="A974" t="s">
        <v>38</v>
      </c>
      <c r="B974" t="s">
        <v>55</v>
      </c>
      <c r="C974">
        <v>2023</v>
      </c>
      <c r="D974" t="s">
        <v>26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27</v>
      </c>
      <c r="N974">
        <v>5</v>
      </c>
      <c r="O974" t="s">
        <v>28</v>
      </c>
      <c r="P974">
        <v>65</v>
      </c>
      <c r="Q974">
        <v>2508</v>
      </c>
      <c r="R974">
        <v>5</v>
      </c>
      <c r="S974">
        <v>1</v>
      </c>
      <c r="T974" t="s">
        <v>41</v>
      </c>
      <c r="U974" t="s">
        <v>33</v>
      </c>
      <c r="V974">
        <v>18415</v>
      </c>
      <c r="W974">
        <v>3.87</v>
      </c>
      <c r="X974">
        <v>4</v>
      </c>
    </row>
    <row r="975" spans="1:24" x14ac:dyDescent="0.3">
      <c r="A975" t="s">
        <v>63</v>
      </c>
      <c r="B975" t="s">
        <v>67</v>
      </c>
      <c r="C975">
        <v>2024</v>
      </c>
      <c r="D975" t="s">
        <v>26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27</v>
      </c>
      <c r="N975">
        <v>7</v>
      </c>
      <c r="O975" t="s">
        <v>40</v>
      </c>
      <c r="P975">
        <v>64.5</v>
      </c>
      <c r="Q975">
        <v>1590</v>
      </c>
      <c r="R975">
        <v>5</v>
      </c>
      <c r="S975">
        <v>0</v>
      </c>
      <c r="T975" t="s">
        <v>65</v>
      </c>
      <c r="U975" t="s">
        <v>37</v>
      </c>
      <c r="V975">
        <v>168996</v>
      </c>
      <c r="W975">
        <v>3.7</v>
      </c>
      <c r="X975">
        <v>4</v>
      </c>
    </row>
    <row r="976" spans="1:24" x14ac:dyDescent="0.3">
      <c r="A976" t="s">
        <v>46</v>
      </c>
      <c r="B976" t="s">
        <v>47</v>
      </c>
      <c r="C976">
        <v>2025</v>
      </c>
      <c r="D976" t="s">
        <v>44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48</v>
      </c>
      <c r="N976">
        <v>7</v>
      </c>
      <c r="O976" t="s">
        <v>51</v>
      </c>
      <c r="P976">
        <v>32</v>
      </c>
      <c r="Q976">
        <v>1694</v>
      </c>
      <c r="R976">
        <v>4</v>
      </c>
      <c r="S976">
        <v>2</v>
      </c>
      <c r="T976" t="s">
        <v>41</v>
      </c>
      <c r="U976" t="s">
        <v>33</v>
      </c>
      <c r="V976">
        <v>181874</v>
      </c>
      <c r="W976">
        <v>3.94</v>
      </c>
      <c r="X976">
        <v>4</v>
      </c>
    </row>
    <row r="977" spans="1:24" x14ac:dyDescent="0.3">
      <c r="A977" t="s">
        <v>63</v>
      </c>
      <c r="B977" t="s">
        <v>107</v>
      </c>
      <c r="C977">
        <v>2023</v>
      </c>
      <c r="D977" t="s">
        <v>56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34</v>
      </c>
      <c r="N977">
        <v>7</v>
      </c>
      <c r="O977" t="s">
        <v>50</v>
      </c>
      <c r="P977">
        <v>39.299999999999997</v>
      </c>
      <c r="Q977">
        <v>1500</v>
      </c>
      <c r="R977">
        <v>5</v>
      </c>
      <c r="S977">
        <v>0</v>
      </c>
      <c r="T977" t="s">
        <v>65</v>
      </c>
      <c r="U977" t="s">
        <v>37</v>
      </c>
      <c r="V977">
        <v>234883</v>
      </c>
      <c r="W977">
        <v>3.4</v>
      </c>
      <c r="X977">
        <v>3</v>
      </c>
    </row>
    <row r="978" spans="1:24" x14ac:dyDescent="0.3">
      <c r="A978" t="s">
        <v>42</v>
      </c>
      <c r="B978" t="s">
        <v>115</v>
      </c>
      <c r="C978">
        <v>2022</v>
      </c>
      <c r="D978" t="s">
        <v>26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27</v>
      </c>
      <c r="N978">
        <v>5</v>
      </c>
      <c r="O978" t="s">
        <v>50</v>
      </c>
      <c r="P978">
        <v>27.7</v>
      </c>
      <c r="Q978">
        <v>1500</v>
      </c>
      <c r="R978">
        <v>4</v>
      </c>
      <c r="S978">
        <v>2</v>
      </c>
      <c r="T978" t="s">
        <v>45</v>
      </c>
      <c r="U978" t="s">
        <v>37</v>
      </c>
      <c r="V978">
        <v>81607</v>
      </c>
      <c r="W978">
        <v>3.7</v>
      </c>
      <c r="X978">
        <v>5</v>
      </c>
    </row>
    <row r="979" spans="1:24" x14ac:dyDescent="0.3">
      <c r="A979" t="s">
        <v>46</v>
      </c>
      <c r="B979" t="s">
        <v>57</v>
      </c>
      <c r="C979">
        <v>2026</v>
      </c>
      <c r="D979" t="s">
        <v>26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27</v>
      </c>
      <c r="N979">
        <v>7</v>
      </c>
      <c r="O979" t="s">
        <v>28</v>
      </c>
      <c r="P979">
        <v>77.7</v>
      </c>
      <c r="Q979">
        <v>2847</v>
      </c>
      <c r="R979">
        <v>4</v>
      </c>
      <c r="S979">
        <v>2</v>
      </c>
      <c r="T979" t="s">
        <v>41</v>
      </c>
      <c r="U979" t="s">
        <v>30</v>
      </c>
      <c r="V979">
        <v>177875</v>
      </c>
      <c r="W979">
        <v>3.74</v>
      </c>
      <c r="X979">
        <v>5</v>
      </c>
    </row>
    <row r="980" spans="1:24" x14ac:dyDescent="0.3">
      <c r="A980" t="s">
        <v>68</v>
      </c>
      <c r="B980" t="s">
        <v>109</v>
      </c>
      <c r="C980">
        <v>2022</v>
      </c>
      <c r="D980" t="s">
        <v>56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27</v>
      </c>
      <c r="N980">
        <v>5</v>
      </c>
      <c r="O980" t="s">
        <v>58</v>
      </c>
      <c r="P980">
        <v>26.9</v>
      </c>
      <c r="Q980">
        <v>1576</v>
      </c>
      <c r="R980">
        <v>5</v>
      </c>
      <c r="S980">
        <v>1</v>
      </c>
      <c r="T980" t="s">
        <v>45</v>
      </c>
      <c r="U980" t="s">
        <v>37</v>
      </c>
      <c r="V980">
        <v>72150</v>
      </c>
      <c r="W980">
        <v>3.34</v>
      </c>
      <c r="X980">
        <v>5</v>
      </c>
    </row>
    <row r="981" spans="1:24" x14ac:dyDescent="0.3">
      <c r="A981" t="s">
        <v>42</v>
      </c>
      <c r="B981" t="s">
        <v>71</v>
      </c>
      <c r="C981">
        <v>2023</v>
      </c>
      <c r="D981" t="s">
        <v>61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27</v>
      </c>
      <c r="N981">
        <v>7</v>
      </c>
      <c r="O981" t="s">
        <v>58</v>
      </c>
      <c r="P981">
        <v>23.5</v>
      </c>
      <c r="Q981">
        <v>1580</v>
      </c>
      <c r="R981">
        <v>4</v>
      </c>
      <c r="S981">
        <v>2</v>
      </c>
      <c r="T981" t="s">
        <v>45</v>
      </c>
      <c r="U981" t="s">
        <v>33</v>
      </c>
      <c r="V981">
        <v>93251</v>
      </c>
      <c r="W981">
        <v>3.17</v>
      </c>
      <c r="X981">
        <v>3</v>
      </c>
    </row>
    <row r="982" spans="1:24" x14ac:dyDescent="0.3">
      <c r="A982" t="s">
        <v>63</v>
      </c>
      <c r="B982" t="s">
        <v>96</v>
      </c>
      <c r="C982">
        <v>2025</v>
      </c>
      <c r="D982" t="s">
        <v>56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34</v>
      </c>
      <c r="N982">
        <v>7</v>
      </c>
      <c r="O982" t="s">
        <v>50</v>
      </c>
      <c r="P982">
        <v>38.700000000000003</v>
      </c>
      <c r="Q982">
        <v>1728</v>
      </c>
      <c r="R982">
        <v>3</v>
      </c>
      <c r="S982">
        <v>0</v>
      </c>
      <c r="T982" t="s">
        <v>65</v>
      </c>
      <c r="U982" t="s">
        <v>37</v>
      </c>
      <c r="V982">
        <v>246801</v>
      </c>
      <c r="W982">
        <v>3.15</v>
      </c>
      <c r="X982">
        <v>5</v>
      </c>
    </row>
    <row r="983" spans="1:24" x14ac:dyDescent="0.3">
      <c r="A983" t="s">
        <v>76</v>
      </c>
      <c r="B983" t="s">
        <v>77</v>
      </c>
      <c r="C983">
        <v>2026</v>
      </c>
      <c r="D983" t="s">
        <v>33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27</v>
      </c>
      <c r="N983">
        <v>5</v>
      </c>
      <c r="O983" t="s">
        <v>35</v>
      </c>
      <c r="P983">
        <v>51.2</v>
      </c>
      <c r="Q983">
        <v>2102</v>
      </c>
      <c r="R983">
        <v>4</v>
      </c>
      <c r="S983">
        <v>0</v>
      </c>
      <c r="T983" t="s">
        <v>41</v>
      </c>
      <c r="U983" t="s">
        <v>37</v>
      </c>
      <c r="V983">
        <v>31784</v>
      </c>
      <c r="W983">
        <v>3.24</v>
      </c>
      <c r="X983">
        <v>4</v>
      </c>
    </row>
    <row r="984" spans="1:24" x14ac:dyDescent="0.3">
      <c r="A984" t="s">
        <v>46</v>
      </c>
      <c r="B984" t="s">
        <v>57</v>
      </c>
      <c r="C984">
        <v>2024</v>
      </c>
      <c r="D984" t="s">
        <v>61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27</v>
      </c>
      <c r="N984">
        <v>7</v>
      </c>
      <c r="O984" t="s">
        <v>40</v>
      </c>
      <c r="P984">
        <v>78</v>
      </c>
      <c r="Q984">
        <v>1500</v>
      </c>
      <c r="R984">
        <v>4</v>
      </c>
      <c r="S984">
        <v>3</v>
      </c>
      <c r="T984" t="s">
        <v>41</v>
      </c>
      <c r="U984" t="s">
        <v>30</v>
      </c>
      <c r="V984">
        <v>162784</v>
      </c>
      <c r="W984">
        <v>3.67</v>
      </c>
      <c r="X984">
        <v>6</v>
      </c>
    </row>
    <row r="985" spans="1:24" x14ac:dyDescent="0.3">
      <c r="A985" t="s">
        <v>46</v>
      </c>
      <c r="B985" t="s">
        <v>78</v>
      </c>
      <c r="C985">
        <v>2025</v>
      </c>
      <c r="D985" t="s">
        <v>44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48</v>
      </c>
      <c r="N985">
        <v>5</v>
      </c>
      <c r="O985" t="s">
        <v>40</v>
      </c>
      <c r="P985">
        <v>73.2</v>
      </c>
      <c r="Q985">
        <v>1572</v>
      </c>
      <c r="R985">
        <v>5</v>
      </c>
      <c r="S985">
        <v>2</v>
      </c>
      <c r="T985" t="s">
        <v>41</v>
      </c>
      <c r="U985" t="s">
        <v>30</v>
      </c>
      <c r="V985">
        <v>210826</v>
      </c>
      <c r="W985">
        <v>3.64</v>
      </c>
      <c r="X985">
        <v>5</v>
      </c>
    </row>
    <row r="986" spans="1:24" x14ac:dyDescent="0.3">
      <c r="A986" t="s">
        <v>38</v>
      </c>
      <c r="B986" t="s">
        <v>102</v>
      </c>
      <c r="C986">
        <v>2025</v>
      </c>
      <c r="D986" t="s">
        <v>61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48</v>
      </c>
      <c r="N986">
        <v>7</v>
      </c>
      <c r="O986" t="s">
        <v>35</v>
      </c>
      <c r="P986">
        <v>38.700000000000003</v>
      </c>
      <c r="Q986">
        <v>2241</v>
      </c>
      <c r="R986">
        <v>4</v>
      </c>
      <c r="S986">
        <v>0</v>
      </c>
      <c r="T986" t="s">
        <v>41</v>
      </c>
      <c r="U986" t="s">
        <v>66</v>
      </c>
      <c r="V986">
        <v>24599</v>
      </c>
      <c r="W986">
        <v>3.71</v>
      </c>
      <c r="X986">
        <v>4</v>
      </c>
    </row>
    <row r="987" spans="1:24" x14ac:dyDescent="0.3">
      <c r="A987" t="s">
        <v>68</v>
      </c>
      <c r="B987" t="s">
        <v>69</v>
      </c>
      <c r="C987">
        <v>2024</v>
      </c>
      <c r="D987" t="s">
        <v>61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27</v>
      </c>
      <c r="N987">
        <v>5</v>
      </c>
      <c r="O987" t="s">
        <v>51</v>
      </c>
      <c r="P987">
        <v>22.9</v>
      </c>
      <c r="Q987">
        <v>1500</v>
      </c>
      <c r="R987">
        <v>5</v>
      </c>
      <c r="S987">
        <v>0</v>
      </c>
      <c r="T987" t="s">
        <v>45</v>
      </c>
      <c r="U987" t="s">
        <v>37</v>
      </c>
      <c r="V987">
        <v>78661</v>
      </c>
      <c r="W987">
        <v>3.39</v>
      </c>
      <c r="X987">
        <v>3</v>
      </c>
    </row>
    <row r="988" spans="1:24" x14ac:dyDescent="0.3">
      <c r="A988" t="s">
        <v>83</v>
      </c>
      <c r="B988" t="s">
        <v>114</v>
      </c>
      <c r="C988">
        <v>2020</v>
      </c>
      <c r="D988" t="s">
        <v>56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48</v>
      </c>
      <c r="N988">
        <v>5</v>
      </c>
      <c r="O988" t="s">
        <v>28</v>
      </c>
      <c r="P988">
        <v>54.7</v>
      </c>
      <c r="Q988">
        <v>2335</v>
      </c>
      <c r="R988">
        <v>5</v>
      </c>
      <c r="S988">
        <v>1</v>
      </c>
      <c r="T988" t="s">
        <v>29</v>
      </c>
      <c r="U988" t="s">
        <v>33</v>
      </c>
      <c r="V988">
        <v>25170</v>
      </c>
      <c r="W988">
        <v>3.43</v>
      </c>
      <c r="X988">
        <v>8</v>
      </c>
    </row>
    <row r="989" spans="1:24" x14ac:dyDescent="0.3">
      <c r="A989" t="s">
        <v>24</v>
      </c>
      <c r="B989" t="s">
        <v>75</v>
      </c>
      <c r="C989">
        <v>2026</v>
      </c>
      <c r="D989" t="s">
        <v>61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48</v>
      </c>
      <c r="N989">
        <v>7</v>
      </c>
      <c r="O989" t="s">
        <v>50</v>
      </c>
      <c r="P989">
        <v>25</v>
      </c>
      <c r="Q989">
        <v>1560</v>
      </c>
      <c r="R989">
        <v>4</v>
      </c>
      <c r="S989">
        <v>0</v>
      </c>
      <c r="T989" t="s">
        <v>29</v>
      </c>
      <c r="U989" t="s">
        <v>33</v>
      </c>
      <c r="V989">
        <v>251078</v>
      </c>
      <c r="W989">
        <v>3</v>
      </c>
      <c r="X989">
        <v>4</v>
      </c>
    </row>
    <row r="990" spans="1:24" x14ac:dyDescent="0.3">
      <c r="A990" t="s">
        <v>63</v>
      </c>
      <c r="B990" t="s">
        <v>73</v>
      </c>
      <c r="C990">
        <v>2026</v>
      </c>
      <c r="D990" t="s">
        <v>61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48</v>
      </c>
      <c r="N990">
        <v>5</v>
      </c>
      <c r="O990" t="s">
        <v>28</v>
      </c>
      <c r="P990">
        <v>60</v>
      </c>
      <c r="Q990">
        <v>2708</v>
      </c>
      <c r="R990">
        <v>5</v>
      </c>
      <c r="S990">
        <v>0</v>
      </c>
      <c r="T990" t="s">
        <v>65</v>
      </c>
      <c r="U990" t="s">
        <v>37</v>
      </c>
      <c r="V990">
        <v>210674</v>
      </c>
      <c r="W990">
        <v>3.59</v>
      </c>
      <c r="X990">
        <v>3</v>
      </c>
    </row>
    <row r="991" spans="1:24" x14ac:dyDescent="0.3">
      <c r="A991" t="s">
        <v>76</v>
      </c>
      <c r="B991" t="s">
        <v>91</v>
      </c>
      <c r="C991">
        <v>2025</v>
      </c>
      <c r="D991" t="s">
        <v>44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34</v>
      </c>
      <c r="N991">
        <v>4</v>
      </c>
      <c r="O991" t="s">
        <v>28</v>
      </c>
      <c r="P991">
        <v>59.8</v>
      </c>
      <c r="Q991">
        <v>2537</v>
      </c>
      <c r="R991">
        <v>5</v>
      </c>
      <c r="S991">
        <v>1</v>
      </c>
      <c r="T991" t="s">
        <v>41</v>
      </c>
      <c r="U991" t="s">
        <v>33</v>
      </c>
      <c r="V991">
        <v>78477</v>
      </c>
      <c r="W991">
        <v>3.54</v>
      </c>
      <c r="X991">
        <v>5</v>
      </c>
    </row>
    <row r="992" spans="1:24" x14ac:dyDescent="0.3">
      <c r="A992" t="s">
        <v>76</v>
      </c>
      <c r="B992" t="s">
        <v>81</v>
      </c>
      <c r="C992">
        <v>2022</v>
      </c>
      <c r="D992" t="s">
        <v>33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48</v>
      </c>
      <c r="N992">
        <v>7</v>
      </c>
      <c r="O992" t="s">
        <v>51</v>
      </c>
      <c r="P992">
        <v>34.299999999999997</v>
      </c>
      <c r="Q992">
        <v>1507</v>
      </c>
      <c r="R992">
        <v>3</v>
      </c>
      <c r="S992">
        <v>0</v>
      </c>
      <c r="T992" t="s">
        <v>41</v>
      </c>
      <c r="U992" t="s">
        <v>33</v>
      </c>
      <c r="V992">
        <v>32038</v>
      </c>
      <c r="W992">
        <v>3.44</v>
      </c>
      <c r="X992">
        <v>3</v>
      </c>
    </row>
    <row r="993" spans="1:24" x14ac:dyDescent="0.3">
      <c r="A993" t="s">
        <v>38</v>
      </c>
      <c r="B993" t="s">
        <v>39</v>
      </c>
      <c r="C993">
        <v>2024</v>
      </c>
      <c r="D993" t="s">
        <v>26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34</v>
      </c>
      <c r="N993">
        <v>7</v>
      </c>
      <c r="O993" t="s">
        <v>35</v>
      </c>
      <c r="P993">
        <v>55.5</v>
      </c>
      <c r="Q993">
        <v>2127</v>
      </c>
      <c r="R993">
        <v>4</v>
      </c>
      <c r="S993">
        <v>0</v>
      </c>
      <c r="T993" t="s">
        <v>41</v>
      </c>
      <c r="U993" t="s">
        <v>37</v>
      </c>
      <c r="V993">
        <v>13494</v>
      </c>
      <c r="W993">
        <v>3.81</v>
      </c>
      <c r="X993">
        <v>4</v>
      </c>
    </row>
    <row r="994" spans="1:24" x14ac:dyDescent="0.3">
      <c r="A994" t="s">
        <v>63</v>
      </c>
      <c r="B994" t="s">
        <v>88</v>
      </c>
      <c r="C994">
        <v>2025</v>
      </c>
      <c r="D994" t="s">
        <v>33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27</v>
      </c>
      <c r="N994">
        <v>7</v>
      </c>
      <c r="O994" t="s">
        <v>50</v>
      </c>
      <c r="P994">
        <v>33.299999999999997</v>
      </c>
      <c r="Q994">
        <v>1686</v>
      </c>
      <c r="R994">
        <v>4</v>
      </c>
      <c r="S994">
        <v>0</v>
      </c>
      <c r="T994" t="s">
        <v>65</v>
      </c>
      <c r="U994" t="s">
        <v>30</v>
      </c>
      <c r="V994">
        <v>155370</v>
      </c>
      <c r="W994">
        <v>3.84</v>
      </c>
      <c r="X994">
        <v>4</v>
      </c>
    </row>
    <row r="995" spans="1:24" x14ac:dyDescent="0.3">
      <c r="A995" t="s">
        <v>42</v>
      </c>
      <c r="B995" t="s">
        <v>71</v>
      </c>
      <c r="C995">
        <v>2026</v>
      </c>
      <c r="D995" t="s">
        <v>44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34</v>
      </c>
      <c r="N995">
        <v>5</v>
      </c>
      <c r="O995" t="s">
        <v>58</v>
      </c>
      <c r="P995">
        <v>38.200000000000003</v>
      </c>
      <c r="Q995">
        <v>1535</v>
      </c>
      <c r="R995">
        <v>5</v>
      </c>
      <c r="S995">
        <v>0</v>
      </c>
      <c r="T995" t="s">
        <v>45</v>
      </c>
      <c r="U995" t="s">
        <v>33</v>
      </c>
      <c r="V995">
        <v>82992</v>
      </c>
      <c r="W995">
        <v>3.83</v>
      </c>
      <c r="X995">
        <v>4</v>
      </c>
    </row>
    <row r="996" spans="1:24" x14ac:dyDescent="0.3">
      <c r="A996" t="s">
        <v>24</v>
      </c>
      <c r="B996" t="s">
        <v>25</v>
      </c>
      <c r="C996">
        <v>2026</v>
      </c>
      <c r="D996" t="s">
        <v>56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34</v>
      </c>
      <c r="N996">
        <v>5</v>
      </c>
      <c r="O996" t="s">
        <v>28</v>
      </c>
      <c r="P996">
        <v>63.5</v>
      </c>
      <c r="Q996">
        <v>2406</v>
      </c>
      <c r="R996">
        <v>4</v>
      </c>
      <c r="S996">
        <v>0</v>
      </c>
      <c r="T996" t="s">
        <v>29</v>
      </c>
      <c r="U996" t="s">
        <v>33</v>
      </c>
      <c r="V996">
        <v>220918</v>
      </c>
      <c r="W996">
        <v>3.38</v>
      </c>
      <c r="X996">
        <v>4</v>
      </c>
    </row>
    <row r="997" spans="1:24" x14ac:dyDescent="0.3">
      <c r="A997" t="s">
        <v>46</v>
      </c>
      <c r="B997" t="s">
        <v>47</v>
      </c>
      <c r="C997">
        <v>2023</v>
      </c>
      <c r="D997" t="s">
        <v>56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34</v>
      </c>
      <c r="N997">
        <v>5</v>
      </c>
      <c r="O997" t="s">
        <v>28</v>
      </c>
      <c r="P997">
        <v>58.9</v>
      </c>
      <c r="Q997">
        <v>2602</v>
      </c>
      <c r="R997">
        <v>5</v>
      </c>
      <c r="S997">
        <v>2</v>
      </c>
      <c r="T997" t="s">
        <v>41</v>
      </c>
      <c r="U997" t="s">
        <v>37</v>
      </c>
      <c r="V997">
        <v>240645</v>
      </c>
      <c r="W997">
        <v>3.26</v>
      </c>
      <c r="X997">
        <v>6</v>
      </c>
    </row>
    <row r="998" spans="1:24" x14ac:dyDescent="0.3">
      <c r="A998" t="s">
        <v>94</v>
      </c>
      <c r="B998" t="s">
        <v>128</v>
      </c>
      <c r="C998">
        <v>2023</v>
      </c>
      <c r="D998" t="s">
        <v>56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48</v>
      </c>
      <c r="N998">
        <v>5</v>
      </c>
      <c r="O998" t="s">
        <v>51</v>
      </c>
      <c r="P998">
        <v>25.4</v>
      </c>
      <c r="Q998">
        <v>1532</v>
      </c>
      <c r="R998">
        <v>4</v>
      </c>
      <c r="S998">
        <v>1</v>
      </c>
      <c r="T998" t="s">
        <v>41</v>
      </c>
      <c r="U998" t="s">
        <v>33</v>
      </c>
      <c r="V998">
        <v>16601</v>
      </c>
      <c r="W998">
        <v>3.25</v>
      </c>
      <c r="X998">
        <v>4</v>
      </c>
    </row>
    <row r="999" spans="1:24" x14ac:dyDescent="0.3">
      <c r="A999" t="s">
        <v>46</v>
      </c>
      <c r="B999" t="s">
        <v>49</v>
      </c>
      <c r="C999">
        <v>2024</v>
      </c>
      <c r="D999" t="s">
        <v>61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27</v>
      </c>
      <c r="N999">
        <v>5</v>
      </c>
      <c r="O999" t="s">
        <v>28</v>
      </c>
      <c r="P999">
        <v>51</v>
      </c>
      <c r="Q999">
        <v>2443</v>
      </c>
      <c r="R999">
        <v>5</v>
      </c>
      <c r="S999">
        <v>2</v>
      </c>
      <c r="T999" t="s">
        <v>41</v>
      </c>
      <c r="U999" t="s">
        <v>30</v>
      </c>
      <c r="V999">
        <v>419454</v>
      </c>
      <c r="W999">
        <v>3.57</v>
      </c>
      <c r="X999">
        <v>4</v>
      </c>
    </row>
    <row r="1000" spans="1:24" x14ac:dyDescent="0.3">
      <c r="A1000" t="s">
        <v>31</v>
      </c>
      <c r="B1000" t="s">
        <v>32</v>
      </c>
      <c r="C1000">
        <v>2025</v>
      </c>
      <c r="D1000" t="s">
        <v>56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34</v>
      </c>
      <c r="N1000">
        <v>5</v>
      </c>
      <c r="O1000" t="s">
        <v>35</v>
      </c>
      <c r="P1000">
        <v>56.9</v>
      </c>
      <c r="Q1000">
        <v>1949</v>
      </c>
      <c r="R1000">
        <v>4</v>
      </c>
      <c r="S1000">
        <v>1</v>
      </c>
      <c r="T1000" t="s">
        <v>36</v>
      </c>
      <c r="U1000" t="s">
        <v>33</v>
      </c>
      <c r="V1000">
        <v>24977</v>
      </c>
      <c r="W1000">
        <v>3.36</v>
      </c>
      <c r="X1000">
        <v>5</v>
      </c>
    </row>
    <row r="1001" spans="1:24" x14ac:dyDescent="0.3">
      <c r="A1001" t="s">
        <v>24</v>
      </c>
      <c r="B1001" t="s">
        <v>25</v>
      </c>
      <c r="C1001">
        <v>2023</v>
      </c>
      <c r="D1001" t="s">
        <v>33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27</v>
      </c>
      <c r="N1001">
        <v>7</v>
      </c>
      <c r="O1001" t="s">
        <v>28</v>
      </c>
      <c r="P1001">
        <v>63.8</v>
      </c>
      <c r="Q1001">
        <v>2583</v>
      </c>
      <c r="R1001">
        <v>5</v>
      </c>
      <c r="S1001">
        <v>0</v>
      </c>
      <c r="T1001" t="s">
        <v>29</v>
      </c>
      <c r="U1001" t="s">
        <v>33</v>
      </c>
      <c r="V1001">
        <v>237739</v>
      </c>
      <c r="W1001">
        <v>3.79</v>
      </c>
      <c r="X1001">
        <v>4</v>
      </c>
    </row>
    <row r="1002" spans="1:24" x14ac:dyDescent="0.3">
      <c r="A1002" t="s">
        <v>46</v>
      </c>
      <c r="B1002" t="s">
        <v>47</v>
      </c>
      <c r="C1002">
        <v>2022</v>
      </c>
      <c r="D1002" t="s">
        <v>44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48</v>
      </c>
      <c r="N1002">
        <v>5</v>
      </c>
      <c r="O1002" t="s">
        <v>35</v>
      </c>
      <c r="P1002">
        <v>59.3</v>
      </c>
      <c r="Q1002">
        <v>2001</v>
      </c>
      <c r="R1002">
        <v>4</v>
      </c>
      <c r="S1002">
        <v>2</v>
      </c>
      <c r="T1002" t="s">
        <v>41</v>
      </c>
      <c r="U1002" t="s">
        <v>33</v>
      </c>
      <c r="V1002">
        <v>171529</v>
      </c>
      <c r="W1002">
        <v>4.12</v>
      </c>
      <c r="X1002">
        <v>6</v>
      </c>
    </row>
    <row r="1003" spans="1:24" x14ac:dyDescent="0.3">
      <c r="A1003" t="s">
        <v>42</v>
      </c>
      <c r="B1003" t="s">
        <v>43</v>
      </c>
      <c r="C1003">
        <v>2025</v>
      </c>
      <c r="D1003" t="s">
        <v>33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27</v>
      </c>
      <c r="N1003">
        <v>5</v>
      </c>
      <c r="O1003" t="s">
        <v>35</v>
      </c>
      <c r="P1003">
        <v>54.1</v>
      </c>
      <c r="Q1003">
        <v>2277</v>
      </c>
      <c r="R1003">
        <v>5</v>
      </c>
      <c r="S1003">
        <v>2</v>
      </c>
      <c r="T1003" t="s">
        <v>45</v>
      </c>
      <c r="U1003" t="s">
        <v>33</v>
      </c>
      <c r="V1003">
        <v>70466</v>
      </c>
      <c r="W1003">
        <v>3.28</v>
      </c>
      <c r="X1003">
        <v>5</v>
      </c>
    </row>
    <row r="1004" spans="1:24" x14ac:dyDescent="0.3">
      <c r="A1004" t="s">
        <v>52</v>
      </c>
      <c r="B1004" t="s">
        <v>97</v>
      </c>
      <c r="C1004">
        <v>2024</v>
      </c>
      <c r="D1004" t="s">
        <v>33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48</v>
      </c>
      <c r="N1004">
        <v>7</v>
      </c>
      <c r="O1004" t="s">
        <v>50</v>
      </c>
      <c r="P1004">
        <v>39.799999999999997</v>
      </c>
      <c r="Q1004">
        <v>1500</v>
      </c>
      <c r="R1004">
        <v>4</v>
      </c>
      <c r="S1004">
        <v>1</v>
      </c>
      <c r="T1004" t="s">
        <v>29</v>
      </c>
      <c r="U1004" t="s">
        <v>30</v>
      </c>
      <c r="V1004">
        <v>50533</v>
      </c>
      <c r="W1004">
        <v>3.71</v>
      </c>
      <c r="X1004">
        <v>5</v>
      </c>
    </row>
    <row r="1005" spans="1:24" x14ac:dyDescent="0.3">
      <c r="A1005" t="s">
        <v>38</v>
      </c>
      <c r="B1005" t="s">
        <v>102</v>
      </c>
      <c r="C1005">
        <v>2023</v>
      </c>
      <c r="D1005" t="s">
        <v>44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34</v>
      </c>
      <c r="N1005">
        <v>5</v>
      </c>
      <c r="O1005" t="s">
        <v>35</v>
      </c>
      <c r="P1005">
        <v>39.5</v>
      </c>
      <c r="Q1005">
        <v>2025</v>
      </c>
      <c r="R1005">
        <v>4</v>
      </c>
      <c r="S1005">
        <v>0</v>
      </c>
      <c r="T1005" t="s">
        <v>41</v>
      </c>
      <c r="U1005" t="s">
        <v>66</v>
      </c>
      <c r="V1005">
        <v>19880</v>
      </c>
      <c r="W1005">
        <v>3.66</v>
      </c>
      <c r="X1005">
        <v>5</v>
      </c>
    </row>
    <row r="1006" spans="1:24" x14ac:dyDescent="0.3">
      <c r="A1006" t="s">
        <v>76</v>
      </c>
      <c r="B1006" t="s">
        <v>98</v>
      </c>
      <c r="C1006">
        <v>2023</v>
      </c>
      <c r="D1006" t="s">
        <v>26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34</v>
      </c>
      <c r="N1006">
        <v>5</v>
      </c>
      <c r="O1006" t="s">
        <v>28</v>
      </c>
      <c r="P1006">
        <v>51.8</v>
      </c>
      <c r="Q1006">
        <v>2343</v>
      </c>
      <c r="R1006">
        <v>5</v>
      </c>
      <c r="S1006">
        <v>0</v>
      </c>
      <c r="T1006" t="s">
        <v>41</v>
      </c>
      <c r="U1006" t="s">
        <v>33</v>
      </c>
      <c r="V1006">
        <v>34351</v>
      </c>
      <c r="W1006">
        <v>3.53</v>
      </c>
      <c r="X1006">
        <v>4</v>
      </c>
    </row>
    <row r="1007" spans="1:24" x14ac:dyDescent="0.3">
      <c r="A1007" t="s">
        <v>83</v>
      </c>
      <c r="B1007" t="s">
        <v>84</v>
      </c>
      <c r="C1007">
        <v>2024</v>
      </c>
      <c r="D1007" t="s">
        <v>56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27</v>
      </c>
      <c r="N1007">
        <v>5</v>
      </c>
      <c r="O1007" t="s">
        <v>51</v>
      </c>
      <c r="P1007">
        <v>21</v>
      </c>
      <c r="Q1007">
        <v>1677</v>
      </c>
      <c r="R1007">
        <v>4</v>
      </c>
      <c r="S1007">
        <v>2</v>
      </c>
      <c r="T1007" t="s">
        <v>29</v>
      </c>
      <c r="U1007" t="s">
        <v>37</v>
      </c>
      <c r="V1007">
        <v>59887</v>
      </c>
      <c r="W1007">
        <v>3.39</v>
      </c>
      <c r="X1007">
        <v>6</v>
      </c>
    </row>
    <row r="1008" spans="1:24" x14ac:dyDescent="0.3">
      <c r="A1008" t="s">
        <v>38</v>
      </c>
      <c r="B1008" t="s">
        <v>118</v>
      </c>
      <c r="C1008">
        <v>2025</v>
      </c>
      <c r="D1008" t="s">
        <v>33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48</v>
      </c>
      <c r="N1008">
        <v>7</v>
      </c>
      <c r="O1008" t="s">
        <v>58</v>
      </c>
      <c r="P1008">
        <v>37.1</v>
      </c>
      <c r="Q1008">
        <v>1579</v>
      </c>
      <c r="R1008">
        <v>5</v>
      </c>
      <c r="S1008">
        <v>0</v>
      </c>
      <c r="T1008" t="s">
        <v>41</v>
      </c>
      <c r="U1008" t="s">
        <v>37</v>
      </c>
      <c r="V1008">
        <v>24354</v>
      </c>
      <c r="W1008">
        <v>3.3</v>
      </c>
      <c r="X1008">
        <v>3</v>
      </c>
    </row>
    <row r="1009" spans="1:24" x14ac:dyDescent="0.3">
      <c r="A1009" t="s">
        <v>52</v>
      </c>
      <c r="B1009" t="s">
        <v>53</v>
      </c>
      <c r="C1009">
        <v>2024</v>
      </c>
      <c r="D1009" t="s">
        <v>26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27</v>
      </c>
      <c r="N1009">
        <v>5</v>
      </c>
      <c r="O1009" t="s">
        <v>51</v>
      </c>
      <c r="P1009">
        <v>15.9</v>
      </c>
      <c r="Q1009">
        <v>1676</v>
      </c>
      <c r="R1009">
        <v>5</v>
      </c>
      <c r="S1009">
        <v>2</v>
      </c>
      <c r="T1009" t="s">
        <v>29</v>
      </c>
      <c r="U1009" t="s">
        <v>30</v>
      </c>
      <c r="V1009">
        <v>78765</v>
      </c>
      <c r="W1009">
        <v>4.0599999999999996</v>
      </c>
      <c r="X1009">
        <v>6</v>
      </c>
    </row>
    <row r="1010" spans="1:24" x14ac:dyDescent="0.3">
      <c r="A1010" t="s">
        <v>63</v>
      </c>
      <c r="B1010" t="s">
        <v>88</v>
      </c>
      <c r="C1010">
        <v>2025</v>
      </c>
      <c r="D1010" t="s">
        <v>44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27</v>
      </c>
      <c r="N1010">
        <v>7</v>
      </c>
      <c r="O1010" t="s">
        <v>28</v>
      </c>
      <c r="P1010">
        <v>51.9</v>
      </c>
      <c r="Q1010">
        <v>2625</v>
      </c>
      <c r="R1010">
        <v>4</v>
      </c>
      <c r="S1010">
        <v>1</v>
      </c>
      <c r="T1010" t="s">
        <v>65</v>
      </c>
      <c r="U1010" t="s">
        <v>66</v>
      </c>
      <c r="V1010">
        <v>188547</v>
      </c>
      <c r="W1010">
        <v>3.41</v>
      </c>
      <c r="X1010">
        <v>3</v>
      </c>
    </row>
    <row r="1011" spans="1:24" x14ac:dyDescent="0.3">
      <c r="A1011" t="s">
        <v>68</v>
      </c>
      <c r="B1011" t="s">
        <v>106</v>
      </c>
      <c r="C1011">
        <v>2024</v>
      </c>
      <c r="D1011" t="s">
        <v>61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48</v>
      </c>
      <c r="N1011">
        <v>5</v>
      </c>
      <c r="O1011" t="s">
        <v>40</v>
      </c>
      <c r="P1011">
        <v>75.8</v>
      </c>
      <c r="Q1011">
        <v>1500</v>
      </c>
      <c r="R1011">
        <v>4</v>
      </c>
      <c r="S1011">
        <v>0</v>
      </c>
      <c r="T1011" t="s">
        <v>45</v>
      </c>
      <c r="U1011" t="s">
        <v>37</v>
      </c>
      <c r="V1011">
        <v>76324</v>
      </c>
      <c r="W1011">
        <v>3.31</v>
      </c>
      <c r="X1011">
        <v>4</v>
      </c>
    </row>
    <row r="1012" spans="1:24" x14ac:dyDescent="0.3">
      <c r="A1012" t="s">
        <v>63</v>
      </c>
      <c r="B1012" t="s">
        <v>96</v>
      </c>
      <c r="C1012">
        <v>2025</v>
      </c>
      <c r="D1012" t="s">
        <v>26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27</v>
      </c>
      <c r="N1012">
        <v>7</v>
      </c>
      <c r="O1012" t="s">
        <v>50</v>
      </c>
      <c r="P1012">
        <v>21.5</v>
      </c>
      <c r="Q1012">
        <v>1500</v>
      </c>
      <c r="R1012">
        <v>4</v>
      </c>
      <c r="S1012">
        <v>1</v>
      </c>
      <c r="T1012" t="s">
        <v>65</v>
      </c>
      <c r="U1012" t="s">
        <v>33</v>
      </c>
      <c r="V1012">
        <v>172137</v>
      </c>
      <c r="W1012">
        <v>3.93</v>
      </c>
      <c r="X1012">
        <v>4</v>
      </c>
    </row>
    <row r="1013" spans="1:24" x14ac:dyDescent="0.3">
      <c r="A1013" t="s">
        <v>99</v>
      </c>
      <c r="B1013" t="s">
        <v>100</v>
      </c>
      <c r="C1013">
        <v>2025</v>
      </c>
      <c r="D1013" t="s">
        <v>61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27</v>
      </c>
      <c r="N1013">
        <v>5</v>
      </c>
      <c r="O1013" t="s">
        <v>50</v>
      </c>
      <c r="P1013">
        <v>18.399999999999999</v>
      </c>
      <c r="Q1013">
        <v>1894</v>
      </c>
      <c r="R1013">
        <v>5</v>
      </c>
      <c r="S1013">
        <v>1</v>
      </c>
      <c r="T1013" t="s">
        <v>29</v>
      </c>
      <c r="U1013" t="s">
        <v>30</v>
      </c>
      <c r="V1013">
        <v>29154</v>
      </c>
      <c r="W1013">
        <v>4.28</v>
      </c>
      <c r="X1013">
        <v>8</v>
      </c>
    </row>
    <row r="1014" spans="1:24" x14ac:dyDescent="0.3">
      <c r="A1014" t="s">
        <v>92</v>
      </c>
      <c r="B1014" t="s">
        <v>110</v>
      </c>
      <c r="C1014">
        <v>2024</v>
      </c>
      <c r="D1014" t="s">
        <v>33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48</v>
      </c>
      <c r="N1014">
        <v>5</v>
      </c>
      <c r="O1014" t="s">
        <v>51</v>
      </c>
      <c r="P1014">
        <v>32.5</v>
      </c>
      <c r="Q1014">
        <v>1745</v>
      </c>
      <c r="R1014">
        <v>5</v>
      </c>
      <c r="S1014">
        <v>0</v>
      </c>
      <c r="T1014" t="s">
        <v>65</v>
      </c>
      <c r="U1014" t="s">
        <v>33</v>
      </c>
      <c r="V1014">
        <v>2458</v>
      </c>
      <c r="W1014">
        <v>3.46</v>
      </c>
      <c r="X1014">
        <v>4</v>
      </c>
    </row>
    <row r="1015" spans="1:24" x14ac:dyDescent="0.3">
      <c r="A1015" t="s">
        <v>46</v>
      </c>
      <c r="B1015" t="s">
        <v>49</v>
      </c>
      <c r="C1015">
        <v>2024</v>
      </c>
      <c r="D1015" t="s">
        <v>33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48</v>
      </c>
      <c r="N1015">
        <v>7</v>
      </c>
      <c r="O1015" t="s">
        <v>50</v>
      </c>
      <c r="P1015">
        <v>23.6</v>
      </c>
      <c r="Q1015">
        <v>1500</v>
      </c>
      <c r="R1015">
        <v>4</v>
      </c>
      <c r="S1015">
        <v>2</v>
      </c>
      <c r="T1015" t="s">
        <v>41</v>
      </c>
      <c r="U1015" t="s">
        <v>33</v>
      </c>
      <c r="V1015">
        <v>462587</v>
      </c>
      <c r="W1015">
        <v>3.48</v>
      </c>
      <c r="X1015">
        <v>5</v>
      </c>
    </row>
    <row r="1016" spans="1:24" x14ac:dyDescent="0.3">
      <c r="A1016" t="s">
        <v>38</v>
      </c>
      <c r="B1016" t="s">
        <v>39</v>
      </c>
      <c r="C1016">
        <v>2024</v>
      </c>
      <c r="D1016" t="s">
        <v>56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27</v>
      </c>
      <c r="N1016">
        <v>7</v>
      </c>
      <c r="O1016" t="s">
        <v>35</v>
      </c>
      <c r="P1016">
        <v>45.1</v>
      </c>
      <c r="Q1016">
        <v>1772</v>
      </c>
      <c r="R1016">
        <v>5</v>
      </c>
      <c r="S1016">
        <v>0</v>
      </c>
      <c r="T1016" t="s">
        <v>41</v>
      </c>
      <c r="U1016" t="s">
        <v>66</v>
      </c>
      <c r="V1016">
        <v>29653</v>
      </c>
      <c r="W1016">
        <v>3.5</v>
      </c>
      <c r="X1016">
        <v>4</v>
      </c>
    </row>
    <row r="1017" spans="1:24" x14ac:dyDescent="0.3">
      <c r="A1017" t="s">
        <v>94</v>
      </c>
      <c r="B1017" t="s">
        <v>95</v>
      </c>
      <c r="C1017">
        <v>2026</v>
      </c>
      <c r="D1017" t="s">
        <v>26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27</v>
      </c>
      <c r="N1017">
        <v>5</v>
      </c>
      <c r="O1017" t="s">
        <v>51</v>
      </c>
      <c r="P1017">
        <v>36.5</v>
      </c>
      <c r="Q1017">
        <v>1500</v>
      </c>
      <c r="R1017">
        <v>4</v>
      </c>
      <c r="S1017">
        <v>1</v>
      </c>
      <c r="T1017" t="s">
        <v>41</v>
      </c>
      <c r="U1017" t="s">
        <v>30</v>
      </c>
      <c r="V1017">
        <v>22439</v>
      </c>
      <c r="W1017">
        <v>3.75</v>
      </c>
      <c r="X1017">
        <v>6</v>
      </c>
    </row>
    <row r="1018" spans="1:24" x14ac:dyDescent="0.3">
      <c r="A1018" t="s">
        <v>46</v>
      </c>
      <c r="B1018" t="s">
        <v>72</v>
      </c>
      <c r="C1018">
        <v>2025</v>
      </c>
      <c r="D1018" t="s">
        <v>61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34</v>
      </c>
      <c r="N1018">
        <v>7</v>
      </c>
      <c r="O1018" t="s">
        <v>28</v>
      </c>
      <c r="P1018">
        <v>67.599999999999994</v>
      </c>
      <c r="Q1018">
        <v>2276</v>
      </c>
      <c r="R1018">
        <v>4</v>
      </c>
      <c r="S1018">
        <v>3</v>
      </c>
      <c r="T1018" t="s">
        <v>41</v>
      </c>
      <c r="U1018" t="s">
        <v>33</v>
      </c>
      <c r="V1018">
        <v>113383</v>
      </c>
      <c r="W1018">
        <v>3.75</v>
      </c>
      <c r="X1018">
        <v>4</v>
      </c>
    </row>
    <row r="1019" spans="1:24" x14ac:dyDescent="0.3">
      <c r="A1019" t="s">
        <v>42</v>
      </c>
      <c r="B1019" t="s">
        <v>80</v>
      </c>
      <c r="C1019">
        <v>2024</v>
      </c>
      <c r="D1019" t="s">
        <v>61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27</v>
      </c>
      <c r="N1019">
        <v>5</v>
      </c>
      <c r="O1019" t="s">
        <v>35</v>
      </c>
      <c r="P1019">
        <v>61.2</v>
      </c>
      <c r="Q1019">
        <v>1821</v>
      </c>
      <c r="R1019">
        <v>4</v>
      </c>
      <c r="S1019">
        <v>2</v>
      </c>
      <c r="T1019" t="s">
        <v>45</v>
      </c>
      <c r="U1019" t="s">
        <v>33</v>
      </c>
      <c r="V1019">
        <v>69022</v>
      </c>
      <c r="W1019">
        <v>3.56</v>
      </c>
      <c r="X1019">
        <v>5</v>
      </c>
    </row>
    <row r="1020" spans="1:24" x14ac:dyDescent="0.3">
      <c r="A1020" t="s">
        <v>94</v>
      </c>
      <c r="B1020" t="s">
        <v>128</v>
      </c>
      <c r="C1020">
        <v>2024</v>
      </c>
      <c r="D1020" t="s">
        <v>56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27</v>
      </c>
      <c r="N1020">
        <v>7</v>
      </c>
      <c r="O1020" t="s">
        <v>28</v>
      </c>
      <c r="P1020">
        <v>70.8</v>
      </c>
      <c r="Q1020">
        <v>2508</v>
      </c>
      <c r="R1020">
        <v>5</v>
      </c>
      <c r="S1020">
        <v>1</v>
      </c>
      <c r="T1020" t="s">
        <v>41</v>
      </c>
      <c r="U1020" t="s">
        <v>33</v>
      </c>
      <c r="V1020">
        <v>22100</v>
      </c>
      <c r="W1020">
        <v>3.49</v>
      </c>
      <c r="X1020">
        <v>4</v>
      </c>
    </row>
    <row r="1021" spans="1:24" x14ac:dyDescent="0.3">
      <c r="A1021" t="s">
        <v>46</v>
      </c>
      <c r="B1021" t="s">
        <v>49</v>
      </c>
      <c r="C1021">
        <v>2024</v>
      </c>
      <c r="D1021" t="s">
        <v>44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48</v>
      </c>
      <c r="N1021">
        <v>5</v>
      </c>
      <c r="O1021" t="s">
        <v>50</v>
      </c>
      <c r="P1021">
        <v>30.6</v>
      </c>
      <c r="Q1021">
        <v>1628</v>
      </c>
      <c r="R1021">
        <v>5</v>
      </c>
      <c r="S1021">
        <v>3</v>
      </c>
      <c r="T1021" t="s">
        <v>41</v>
      </c>
      <c r="U1021" t="s">
        <v>33</v>
      </c>
      <c r="V1021">
        <v>459091</v>
      </c>
      <c r="W1021">
        <v>3.73</v>
      </c>
      <c r="X1021">
        <v>6</v>
      </c>
    </row>
    <row r="1022" spans="1:24" x14ac:dyDescent="0.3">
      <c r="A1022" t="s">
        <v>38</v>
      </c>
      <c r="B1022" t="s">
        <v>118</v>
      </c>
      <c r="C1022">
        <v>2024</v>
      </c>
      <c r="D1022" t="s">
        <v>61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34</v>
      </c>
      <c r="N1022">
        <v>7</v>
      </c>
      <c r="O1022" t="s">
        <v>58</v>
      </c>
      <c r="P1022">
        <v>21</v>
      </c>
      <c r="Q1022">
        <v>1830</v>
      </c>
      <c r="R1022">
        <v>3</v>
      </c>
      <c r="S1022">
        <v>1</v>
      </c>
      <c r="T1022" t="s">
        <v>41</v>
      </c>
      <c r="U1022" t="s">
        <v>37</v>
      </c>
      <c r="V1022">
        <v>11545</v>
      </c>
      <c r="W1022">
        <v>3.42</v>
      </c>
      <c r="X1022">
        <v>4</v>
      </c>
    </row>
    <row r="1023" spans="1:24" x14ac:dyDescent="0.3">
      <c r="A1023" t="s">
        <v>63</v>
      </c>
      <c r="B1023" t="s">
        <v>82</v>
      </c>
      <c r="C1023">
        <v>2023</v>
      </c>
      <c r="D1023" t="s">
        <v>26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27</v>
      </c>
      <c r="N1023">
        <v>5</v>
      </c>
      <c r="O1023" t="s">
        <v>28</v>
      </c>
      <c r="P1023">
        <v>74.599999999999994</v>
      </c>
      <c r="Q1023">
        <v>2544</v>
      </c>
      <c r="R1023">
        <v>5</v>
      </c>
      <c r="S1023">
        <v>0</v>
      </c>
      <c r="T1023" t="s">
        <v>65</v>
      </c>
      <c r="U1023" t="s">
        <v>66</v>
      </c>
      <c r="V1023">
        <v>110847</v>
      </c>
      <c r="W1023">
        <v>3.94</v>
      </c>
      <c r="X1023">
        <v>4</v>
      </c>
    </row>
    <row r="1024" spans="1:24" x14ac:dyDescent="0.3">
      <c r="A1024" t="s">
        <v>94</v>
      </c>
      <c r="B1024" t="s">
        <v>128</v>
      </c>
      <c r="C1024">
        <v>2024</v>
      </c>
      <c r="D1024" t="s">
        <v>61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27</v>
      </c>
      <c r="N1024">
        <v>7</v>
      </c>
      <c r="O1024" t="s">
        <v>40</v>
      </c>
      <c r="P1024">
        <v>69</v>
      </c>
      <c r="Q1024">
        <v>1514</v>
      </c>
      <c r="R1024">
        <v>4</v>
      </c>
      <c r="S1024">
        <v>1</v>
      </c>
      <c r="T1024" t="s">
        <v>41</v>
      </c>
      <c r="U1024" t="s">
        <v>33</v>
      </c>
      <c r="V1024">
        <v>1755</v>
      </c>
      <c r="W1024">
        <v>3.19</v>
      </c>
      <c r="X1024">
        <v>4</v>
      </c>
    </row>
    <row r="1025" spans="1:24" x14ac:dyDescent="0.3">
      <c r="A1025" t="s">
        <v>59</v>
      </c>
      <c r="B1025" t="s">
        <v>60</v>
      </c>
      <c r="C1025">
        <v>2024</v>
      </c>
      <c r="D1025" t="s">
        <v>26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27</v>
      </c>
      <c r="N1025">
        <v>7</v>
      </c>
      <c r="O1025" t="s">
        <v>58</v>
      </c>
      <c r="P1025">
        <v>34.4</v>
      </c>
      <c r="Q1025">
        <v>1691</v>
      </c>
      <c r="R1025">
        <v>4</v>
      </c>
      <c r="S1025">
        <v>1</v>
      </c>
      <c r="T1025" t="s">
        <v>41</v>
      </c>
      <c r="U1025" t="s">
        <v>33</v>
      </c>
      <c r="V1025">
        <v>24352</v>
      </c>
      <c r="W1025">
        <v>3.46</v>
      </c>
      <c r="X1025">
        <v>5</v>
      </c>
    </row>
    <row r="1026" spans="1:24" x14ac:dyDescent="0.3">
      <c r="A1026" t="s">
        <v>31</v>
      </c>
      <c r="B1026" t="s">
        <v>112</v>
      </c>
      <c r="C1026">
        <v>2026</v>
      </c>
      <c r="D1026" t="s">
        <v>44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48</v>
      </c>
      <c r="N1026">
        <v>5</v>
      </c>
      <c r="O1026" t="s">
        <v>50</v>
      </c>
      <c r="P1026">
        <v>36</v>
      </c>
      <c r="Q1026">
        <v>1734</v>
      </c>
      <c r="R1026">
        <v>5</v>
      </c>
      <c r="S1026">
        <v>0</v>
      </c>
      <c r="T1026" t="s">
        <v>36</v>
      </c>
      <c r="U1026" t="s">
        <v>33</v>
      </c>
      <c r="V1026">
        <v>3195</v>
      </c>
      <c r="W1026">
        <v>3.98</v>
      </c>
      <c r="X1026">
        <v>5</v>
      </c>
    </row>
    <row r="1027" spans="1:24" x14ac:dyDescent="0.3">
      <c r="A1027" t="s">
        <v>68</v>
      </c>
      <c r="B1027" t="s">
        <v>79</v>
      </c>
      <c r="C1027">
        <v>2023</v>
      </c>
      <c r="D1027" t="s">
        <v>61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34</v>
      </c>
      <c r="N1027">
        <v>5</v>
      </c>
      <c r="O1027" t="s">
        <v>58</v>
      </c>
      <c r="P1027">
        <v>15.5</v>
      </c>
      <c r="Q1027">
        <v>1500</v>
      </c>
      <c r="R1027">
        <v>4</v>
      </c>
      <c r="S1027">
        <v>0</v>
      </c>
      <c r="T1027" t="s">
        <v>45</v>
      </c>
      <c r="U1027" t="s">
        <v>37</v>
      </c>
      <c r="V1027">
        <v>142003</v>
      </c>
      <c r="W1027">
        <v>3.16</v>
      </c>
      <c r="X1027">
        <v>4</v>
      </c>
    </row>
    <row r="1028" spans="1:24" x14ac:dyDescent="0.3">
      <c r="A1028" t="s">
        <v>52</v>
      </c>
      <c r="B1028" t="s">
        <v>53</v>
      </c>
      <c r="C1028">
        <v>2026</v>
      </c>
      <c r="D1028" t="s">
        <v>33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27</v>
      </c>
      <c r="N1028">
        <v>5</v>
      </c>
      <c r="O1028" t="s">
        <v>35</v>
      </c>
      <c r="P1028">
        <v>49</v>
      </c>
      <c r="Q1028">
        <v>1922</v>
      </c>
      <c r="R1028">
        <v>4</v>
      </c>
      <c r="S1028">
        <v>2</v>
      </c>
      <c r="T1028" t="s">
        <v>29</v>
      </c>
      <c r="U1028" t="s">
        <v>30</v>
      </c>
      <c r="V1028">
        <v>65854</v>
      </c>
      <c r="W1028">
        <v>3.7</v>
      </c>
      <c r="X1028">
        <v>6</v>
      </c>
    </row>
    <row r="1029" spans="1:24" x14ac:dyDescent="0.3">
      <c r="A1029" t="s">
        <v>52</v>
      </c>
      <c r="B1029" t="s">
        <v>103</v>
      </c>
      <c r="C1029">
        <v>2022</v>
      </c>
      <c r="D1029" t="s">
        <v>56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27</v>
      </c>
      <c r="N1029">
        <v>7</v>
      </c>
      <c r="O1029" t="s">
        <v>28</v>
      </c>
      <c r="P1029">
        <v>78.900000000000006</v>
      </c>
      <c r="Q1029">
        <v>2664</v>
      </c>
      <c r="R1029">
        <v>5</v>
      </c>
      <c r="S1029">
        <v>2</v>
      </c>
      <c r="T1029" t="s">
        <v>29</v>
      </c>
      <c r="U1029" t="s">
        <v>33</v>
      </c>
      <c r="V1029">
        <v>59270</v>
      </c>
      <c r="W1029">
        <v>3.75</v>
      </c>
      <c r="X1029">
        <v>5</v>
      </c>
    </row>
    <row r="1030" spans="1:24" x14ac:dyDescent="0.3">
      <c r="A1030" t="s">
        <v>63</v>
      </c>
      <c r="B1030" t="s">
        <v>96</v>
      </c>
      <c r="C1030">
        <v>2025</v>
      </c>
      <c r="D1030" t="s">
        <v>56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27</v>
      </c>
      <c r="N1030">
        <v>5</v>
      </c>
      <c r="O1030" t="s">
        <v>51</v>
      </c>
      <c r="P1030">
        <v>19.8</v>
      </c>
      <c r="Q1030">
        <v>1539</v>
      </c>
      <c r="R1030">
        <v>4</v>
      </c>
      <c r="S1030">
        <v>2</v>
      </c>
      <c r="T1030" t="s">
        <v>65</v>
      </c>
      <c r="U1030" t="s">
        <v>37</v>
      </c>
      <c r="V1030">
        <v>186712</v>
      </c>
      <c r="W1030">
        <v>3.38</v>
      </c>
      <c r="X1030">
        <v>5</v>
      </c>
    </row>
    <row r="1031" spans="1:24" x14ac:dyDescent="0.3">
      <c r="A1031" t="s">
        <v>52</v>
      </c>
      <c r="B1031" t="s">
        <v>97</v>
      </c>
      <c r="C1031">
        <v>2025</v>
      </c>
      <c r="D1031" t="s">
        <v>33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27</v>
      </c>
      <c r="N1031">
        <v>5</v>
      </c>
      <c r="O1031" t="s">
        <v>40</v>
      </c>
      <c r="P1031">
        <v>71.3</v>
      </c>
      <c r="Q1031">
        <v>1793</v>
      </c>
      <c r="R1031">
        <v>5</v>
      </c>
      <c r="S1031">
        <v>1</v>
      </c>
      <c r="T1031" t="s">
        <v>29</v>
      </c>
      <c r="U1031" t="s">
        <v>33</v>
      </c>
      <c r="V1031">
        <v>58124</v>
      </c>
      <c r="W1031">
        <v>3.6</v>
      </c>
      <c r="X1031">
        <v>6</v>
      </c>
    </row>
    <row r="1032" spans="1:24" x14ac:dyDescent="0.3">
      <c r="A1032" t="s">
        <v>46</v>
      </c>
      <c r="B1032" t="s">
        <v>72</v>
      </c>
      <c r="C1032">
        <v>2024</v>
      </c>
      <c r="D1032" t="s">
        <v>33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48</v>
      </c>
      <c r="N1032">
        <v>7</v>
      </c>
      <c r="O1032" t="s">
        <v>28</v>
      </c>
      <c r="P1032">
        <v>57.9</v>
      </c>
      <c r="Q1032">
        <v>2606</v>
      </c>
      <c r="R1032">
        <v>5</v>
      </c>
      <c r="S1032">
        <v>3</v>
      </c>
      <c r="T1032" t="s">
        <v>41</v>
      </c>
      <c r="U1032" t="s">
        <v>37</v>
      </c>
      <c r="V1032">
        <v>179970</v>
      </c>
      <c r="W1032">
        <v>3.63</v>
      </c>
      <c r="X1032">
        <v>5</v>
      </c>
    </row>
    <row r="1033" spans="1:24" x14ac:dyDescent="0.3">
      <c r="A1033" t="s">
        <v>42</v>
      </c>
      <c r="B1033" t="s">
        <v>80</v>
      </c>
      <c r="C1033">
        <v>2023</v>
      </c>
      <c r="D1033" t="s">
        <v>61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27</v>
      </c>
      <c r="N1033">
        <v>7</v>
      </c>
      <c r="O1033" t="s">
        <v>35</v>
      </c>
      <c r="P1033">
        <v>37.1</v>
      </c>
      <c r="Q1033">
        <v>2106</v>
      </c>
      <c r="R1033">
        <v>4</v>
      </c>
      <c r="S1033">
        <v>2</v>
      </c>
      <c r="T1033" t="s">
        <v>45</v>
      </c>
      <c r="U1033" t="s">
        <v>66</v>
      </c>
      <c r="V1033">
        <v>137108</v>
      </c>
      <c r="W1033">
        <v>3.43</v>
      </c>
      <c r="X1033">
        <v>4</v>
      </c>
    </row>
    <row r="1034" spans="1:24" x14ac:dyDescent="0.3">
      <c r="A1034" t="s">
        <v>63</v>
      </c>
      <c r="B1034" t="s">
        <v>64</v>
      </c>
      <c r="C1034">
        <v>2023</v>
      </c>
      <c r="D1034" t="s">
        <v>61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27</v>
      </c>
      <c r="N1034">
        <v>7</v>
      </c>
      <c r="O1034" t="s">
        <v>28</v>
      </c>
      <c r="P1034">
        <v>67.7</v>
      </c>
      <c r="Q1034">
        <v>2278</v>
      </c>
      <c r="R1034">
        <v>5</v>
      </c>
      <c r="S1034">
        <v>0</v>
      </c>
      <c r="T1034" t="s">
        <v>65</v>
      </c>
      <c r="U1034" t="s">
        <v>33</v>
      </c>
      <c r="V1034">
        <v>236926</v>
      </c>
      <c r="W1034">
        <v>3.41</v>
      </c>
      <c r="X1034">
        <v>3</v>
      </c>
    </row>
    <row r="1035" spans="1:24" x14ac:dyDescent="0.3">
      <c r="A1035" t="s">
        <v>46</v>
      </c>
      <c r="B1035" t="s">
        <v>47</v>
      </c>
      <c r="C1035">
        <v>2025</v>
      </c>
      <c r="D1035" t="s">
        <v>33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48</v>
      </c>
      <c r="N1035">
        <v>7</v>
      </c>
      <c r="O1035" t="s">
        <v>35</v>
      </c>
      <c r="P1035">
        <v>40.200000000000003</v>
      </c>
      <c r="Q1035">
        <v>2111</v>
      </c>
      <c r="R1035">
        <v>5</v>
      </c>
      <c r="S1035">
        <v>2</v>
      </c>
      <c r="T1035" t="s">
        <v>41</v>
      </c>
      <c r="U1035" t="s">
        <v>30</v>
      </c>
      <c r="V1035">
        <v>132643</v>
      </c>
      <c r="W1035">
        <v>3.73</v>
      </c>
      <c r="X1035">
        <v>5</v>
      </c>
    </row>
    <row r="1036" spans="1:24" x14ac:dyDescent="0.3">
      <c r="A1036" t="s">
        <v>46</v>
      </c>
      <c r="B1036" t="s">
        <v>47</v>
      </c>
      <c r="C1036">
        <v>2024</v>
      </c>
      <c r="D1036" t="s">
        <v>44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27</v>
      </c>
      <c r="N1036">
        <v>7</v>
      </c>
      <c r="O1036" t="s">
        <v>40</v>
      </c>
      <c r="P1036">
        <v>74.3</v>
      </c>
      <c r="Q1036">
        <v>1690</v>
      </c>
      <c r="R1036">
        <v>3</v>
      </c>
      <c r="S1036">
        <v>2</v>
      </c>
      <c r="T1036" t="s">
        <v>41</v>
      </c>
      <c r="U1036" t="s">
        <v>30</v>
      </c>
      <c r="V1036">
        <v>108335</v>
      </c>
      <c r="W1036">
        <v>3.96</v>
      </c>
      <c r="X1036">
        <v>4</v>
      </c>
    </row>
    <row r="1037" spans="1:24" x14ac:dyDescent="0.3">
      <c r="A1037" t="s">
        <v>38</v>
      </c>
      <c r="B1037" t="s">
        <v>101</v>
      </c>
      <c r="C1037">
        <v>2025</v>
      </c>
      <c r="D1037" t="s">
        <v>26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27</v>
      </c>
      <c r="N1037">
        <v>7</v>
      </c>
      <c r="O1037" t="s">
        <v>28</v>
      </c>
      <c r="P1037">
        <v>75.2</v>
      </c>
      <c r="Q1037">
        <v>2393</v>
      </c>
      <c r="R1037">
        <v>4</v>
      </c>
      <c r="S1037">
        <v>1</v>
      </c>
      <c r="T1037" t="s">
        <v>41</v>
      </c>
      <c r="U1037" t="s">
        <v>37</v>
      </c>
      <c r="V1037">
        <v>27154</v>
      </c>
      <c r="W1037">
        <v>3.92</v>
      </c>
      <c r="X1037">
        <v>5</v>
      </c>
    </row>
    <row r="1038" spans="1:24" x14ac:dyDescent="0.3">
      <c r="A1038" t="s">
        <v>63</v>
      </c>
      <c r="B1038" t="s">
        <v>107</v>
      </c>
      <c r="C1038">
        <v>2025</v>
      </c>
      <c r="D1038" t="s">
        <v>61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27</v>
      </c>
      <c r="N1038">
        <v>7</v>
      </c>
      <c r="O1038" t="s">
        <v>50</v>
      </c>
      <c r="P1038">
        <v>15.2</v>
      </c>
      <c r="Q1038">
        <v>1780</v>
      </c>
      <c r="R1038">
        <v>5</v>
      </c>
      <c r="S1038">
        <v>0</v>
      </c>
      <c r="T1038" t="s">
        <v>65</v>
      </c>
      <c r="U1038" t="s">
        <v>66</v>
      </c>
      <c r="V1038">
        <v>179440</v>
      </c>
      <c r="W1038">
        <v>3.4</v>
      </c>
      <c r="X1038">
        <v>4</v>
      </c>
    </row>
    <row r="1039" spans="1:24" x14ac:dyDescent="0.3">
      <c r="A1039" t="s">
        <v>38</v>
      </c>
      <c r="B1039" t="s">
        <v>101</v>
      </c>
      <c r="C1039">
        <v>2025</v>
      </c>
      <c r="D1039" t="s">
        <v>26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48</v>
      </c>
      <c r="N1039">
        <v>7</v>
      </c>
      <c r="O1039" t="s">
        <v>28</v>
      </c>
      <c r="P1039">
        <v>66.2</v>
      </c>
      <c r="Q1039">
        <v>2789</v>
      </c>
      <c r="R1039">
        <v>4</v>
      </c>
      <c r="S1039">
        <v>2</v>
      </c>
      <c r="T1039" t="s">
        <v>41</v>
      </c>
      <c r="U1039" t="s">
        <v>33</v>
      </c>
      <c r="V1039">
        <v>28393</v>
      </c>
      <c r="W1039">
        <v>3.84</v>
      </c>
      <c r="X1039">
        <v>3</v>
      </c>
    </row>
    <row r="1040" spans="1:24" x14ac:dyDescent="0.3">
      <c r="A1040" t="s">
        <v>46</v>
      </c>
      <c r="B1040" t="s">
        <v>47</v>
      </c>
      <c r="C1040">
        <v>2025</v>
      </c>
      <c r="D1040" t="s">
        <v>56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48</v>
      </c>
      <c r="N1040">
        <v>5</v>
      </c>
      <c r="O1040" t="s">
        <v>40</v>
      </c>
      <c r="P1040">
        <v>73.900000000000006</v>
      </c>
      <c r="Q1040">
        <v>1645</v>
      </c>
      <c r="R1040">
        <v>5</v>
      </c>
      <c r="S1040">
        <v>3</v>
      </c>
      <c r="T1040" t="s">
        <v>41</v>
      </c>
      <c r="U1040" t="s">
        <v>33</v>
      </c>
      <c r="V1040">
        <v>243472</v>
      </c>
      <c r="W1040">
        <v>3.8</v>
      </c>
      <c r="X1040">
        <v>4</v>
      </c>
    </row>
    <row r="1041" spans="1:24" x14ac:dyDescent="0.3">
      <c r="A1041" t="s">
        <v>63</v>
      </c>
      <c r="B1041" t="s">
        <v>107</v>
      </c>
      <c r="C1041">
        <v>2025</v>
      </c>
      <c r="D1041" t="s">
        <v>61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34</v>
      </c>
      <c r="N1041">
        <v>7</v>
      </c>
      <c r="O1041" t="s">
        <v>50</v>
      </c>
      <c r="P1041">
        <v>30.7</v>
      </c>
      <c r="Q1041">
        <v>1610</v>
      </c>
      <c r="R1041">
        <v>5</v>
      </c>
      <c r="S1041">
        <v>0</v>
      </c>
      <c r="T1041" t="s">
        <v>65</v>
      </c>
      <c r="U1041" t="s">
        <v>33</v>
      </c>
      <c r="V1041">
        <v>216726</v>
      </c>
      <c r="W1041">
        <v>3.44</v>
      </c>
      <c r="X1041">
        <v>3</v>
      </c>
    </row>
    <row r="1042" spans="1:24" x14ac:dyDescent="0.3">
      <c r="A1042" t="s">
        <v>42</v>
      </c>
      <c r="B1042" t="s">
        <v>54</v>
      </c>
      <c r="C1042">
        <v>2021</v>
      </c>
      <c r="D1042" t="s">
        <v>26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34</v>
      </c>
      <c r="N1042">
        <v>5</v>
      </c>
      <c r="O1042" t="s">
        <v>35</v>
      </c>
      <c r="P1042">
        <v>51.6</v>
      </c>
      <c r="Q1042">
        <v>2137</v>
      </c>
      <c r="R1042">
        <v>5</v>
      </c>
      <c r="S1042">
        <v>1</v>
      </c>
      <c r="T1042" t="s">
        <v>45</v>
      </c>
      <c r="U1042" t="s">
        <v>37</v>
      </c>
      <c r="V1042">
        <v>94100</v>
      </c>
      <c r="W1042">
        <v>3.93</v>
      </c>
      <c r="X1042">
        <v>4</v>
      </c>
    </row>
    <row r="1043" spans="1:24" x14ac:dyDescent="0.3">
      <c r="A1043" t="s">
        <v>76</v>
      </c>
      <c r="B1043" t="s">
        <v>81</v>
      </c>
      <c r="C1043">
        <v>2025</v>
      </c>
      <c r="D1043" t="s">
        <v>56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48</v>
      </c>
      <c r="N1043">
        <v>7</v>
      </c>
      <c r="O1043" t="s">
        <v>40</v>
      </c>
      <c r="P1043">
        <v>69.599999999999994</v>
      </c>
      <c r="Q1043">
        <v>1750</v>
      </c>
      <c r="R1043">
        <v>4</v>
      </c>
      <c r="S1043">
        <v>1</v>
      </c>
      <c r="T1043" t="s">
        <v>41</v>
      </c>
      <c r="U1043" t="s">
        <v>37</v>
      </c>
      <c r="V1043">
        <v>71700</v>
      </c>
      <c r="W1043">
        <v>3.47</v>
      </c>
      <c r="X1043">
        <v>3</v>
      </c>
    </row>
    <row r="1044" spans="1:24" x14ac:dyDescent="0.3">
      <c r="A1044" t="s">
        <v>63</v>
      </c>
      <c r="B1044" t="s">
        <v>88</v>
      </c>
      <c r="C1044">
        <v>2024</v>
      </c>
      <c r="D1044" t="s">
        <v>33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27</v>
      </c>
      <c r="N1044">
        <v>7</v>
      </c>
      <c r="O1044" t="s">
        <v>51</v>
      </c>
      <c r="P1044">
        <v>24.6</v>
      </c>
      <c r="Q1044">
        <v>1576</v>
      </c>
      <c r="R1044">
        <v>4</v>
      </c>
      <c r="S1044">
        <v>0</v>
      </c>
      <c r="T1044" t="s">
        <v>65</v>
      </c>
      <c r="U1044" t="s">
        <v>30</v>
      </c>
      <c r="V1044">
        <v>184045</v>
      </c>
      <c r="W1044">
        <v>3.17</v>
      </c>
      <c r="X1044">
        <v>5</v>
      </c>
    </row>
    <row r="1045" spans="1:24" x14ac:dyDescent="0.3">
      <c r="A1045" t="s">
        <v>83</v>
      </c>
      <c r="B1045" t="s">
        <v>89</v>
      </c>
      <c r="C1045">
        <v>2021</v>
      </c>
      <c r="D1045" t="s">
        <v>44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27</v>
      </c>
      <c r="N1045">
        <v>5</v>
      </c>
      <c r="O1045" t="s">
        <v>51</v>
      </c>
      <c r="P1045">
        <v>23.3</v>
      </c>
      <c r="Q1045">
        <v>1503</v>
      </c>
      <c r="R1045">
        <v>4</v>
      </c>
      <c r="S1045">
        <v>1</v>
      </c>
      <c r="T1045" t="s">
        <v>29</v>
      </c>
      <c r="U1045" t="s">
        <v>30</v>
      </c>
      <c r="V1045">
        <v>29444</v>
      </c>
      <c r="W1045">
        <v>3.44</v>
      </c>
      <c r="X1045">
        <v>5</v>
      </c>
    </row>
    <row r="1046" spans="1:24" x14ac:dyDescent="0.3">
      <c r="A1046" t="s">
        <v>86</v>
      </c>
      <c r="B1046" t="s">
        <v>108</v>
      </c>
      <c r="C1046">
        <v>2026</v>
      </c>
      <c r="D1046" t="s">
        <v>26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27</v>
      </c>
      <c r="N1046">
        <v>5</v>
      </c>
      <c r="O1046" t="s">
        <v>58</v>
      </c>
      <c r="P1046">
        <v>23.6</v>
      </c>
      <c r="Q1046">
        <v>1596</v>
      </c>
      <c r="R1046">
        <v>4</v>
      </c>
      <c r="S1046">
        <v>2</v>
      </c>
      <c r="T1046" t="s">
        <v>29</v>
      </c>
      <c r="U1046" t="s">
        <v>30</v>
      </c>
      <c r="V1046">
        <v>20618</v>
      </c>
      <c r="W1046">
        <v>3.66</v>
      </c>
      <c r="X1046">
        <v>6</v>
      </c>
    </row>
    <row r="1047" spans="1:24" x14ac:dyDescent="0.3">
      <c r="A1047" t="s">
        <v>42</v>
      </c>
      <c r="B1047" t="s">
        <v>54</v>
      </c>
      <c r="C1047">
        <v>2024</v>
      </c>
      <c r="D1047" t="s">
        <v>44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34</v>
      </c>
      <c r="N1047">
        <v>5</v>
      </c>
      <c r="O1047" t="s">
        <v>51</v>
      </c>
      <c r="P1047">
        <v>33.5</v>
      </c>
      <c r="Q1047">
        <v>1580</v>
      </c>
      <c r="R1047">
        <v>5</v>
      </c>
      <c r="S1047">
        <v>1</v>
      </c>
      <c r="T1047" t="s">
        <v>45</v>
      </c>
      <c r="U1047" t="s">
        <v>37</v>
      </c>
      <c r="V1047">
        <v>63756</v>
      </c>
      <c r="W1047">
        <v>3.57</v>
      </c>
      <c r="X1047">
        <v>4</v>
      </c>
    </row>
    <row r="1048" spans="1:24" x14ac:dyDescent="0.3">
      <c r="A1048" t="s">
        <v>63</v>
      </c>
      <c r="B1048" t="s">
        <v>82</v>
      </c>
      <c r="C1048">
        <v>2025</v>
      </c>
      <c r="D1048" t="s">
        <v>61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34</v>
      </c>
      <c r="N1048">
        <v>7</v>
      </c>
      <c r="O1048" t="s">
        <v>51</v>
      </c>
      <c r="P1048">
        <v>25.9</v>
      </c>
      <c r="Q1048">
        <v>1889</v>
      </c>
      <c r="R1048">
        <v>4</v>
      </c>
      <c r="S1048">
        <v>2</v>
      </c>
      <c r="T1048" t="s">
        <v>65</v>
      </c>
      <c r="U1048" t="s">
        <v>66</v>
      </c>
      <c r="V1048">
        <v>104392</v>
      </c>
      <c r="W1048">
        <v>3.51</v>
      </c>
      <c r="X1048">
        <v>4</v>
      </c>
    </row>
    <row r="1049" spans="1:24" x14ac:dyDescent="0.3">
      <c r="A1049" t="s">
        <v>46</v>
      </c>
      <c r="B1049" t="s">
        <v>47</v>
      </c>
      <c r="C1049">
        <v>2022</v>
      </c>
      <c r="D1049" t="s">
        <v>61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48</v>
      </c>
      <c r="N1049">
        <v>5</v>
      </c>
      <c r="O1049" t="s">
        <v>58</v>
      </c>
      <c r="P1049">
        <v>22.9</v>
      </c>
      <c r="Q1049">
        <v>1775</v>
      </c>
      <c r="R1049">
        <v>5</v>
      </c>
      <c r="S1049">
        <v>3</v>
      </c>
      <c r="T1049" t="s">
        <v>41</v>
      </c>
      <c r="U1049" t="s">
        <v>30</v>
      </c>
      <c r="V1049">
        <v>140793</v>
      </c>
      <c r="W1049">
        <v>3.65</v>
      </c>
      <c r="X1049">
        <v>5</v>
      </c>
    </row>
    <row r="1050" spans="1:24" x14ac:dyDescent="0.3">
      <c r="A1050" t="s">
        <v>52</v>
      </c>
      <c r="B1050" t="s">
        <v>62</v>
      </c>
      <c r="C1050">
        <v>2022</v>
      </c>
      <c r="D1050" t="s">
        <v>56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34</v>
      </c>
      <c r="N1050">
        <v>7</v>
      </c>
      <c r="O1050" t="s">
        <v>35</v>
      </c>
      <c r="P1050">
        <v>54</v>
      </c>
      <c r="Q1050">
        <v>2149</v>
      </c>
      <c r="R1050">
        <v>5</v>
      </c>
      <c r="S1050">
        <v>1</v>
      </c>
      <c r="T1050" t="s">
        <v>29</v>
      </c>
      <c r="U1050" t="s">
        <v>37</v>
      </c>
      <c r="V1050">
        <v>31870</v>
      </c>
      <c r="W1050">
        <v>3.9</v>
      </c>
      <c r="X1050">
        <v>6</v>
      </c>
    </row>
    <row r="1051" spans="1:24" x14ac:dyDescent="0.3">
      <c r="A1051" t="s">
        <v>46</v>
      </c>
      <c r="B1051" t="s">
        <v>47</v>
      </c>
      <c r="C1051">
        <v>2025</v>
      </c>
      <c r="D1051" t="s">
        <v>56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34</v>
      </c>
      <c r="N1051">
        <v>7</v>
      </c>
      <c r="O1051" t="s">
        <v>28</v>
      </c>
      <c r="P1051">
        <v>78.8</v>
      </c>
      <c r="Q1051">
        <v>2525</v>
      </c>
      <c r="R1051">
        <v>3</v>
      </c>
      <c r="S1051">
        <v>2</v>
      </c>
      <c r="T1051" t="s">
        <v>41</v>
      </c>
      <c r="U1051" t="s">
        <v>30</v>
      </c>
      <c r="V1051">
        <v>118818</v>
      </c>
      <c r="W1051">
        <v>3.3</v>
      </c>
      <c r="X1051">
        <v>6</v>
      </c>
    </row>
    <row r="1052" spans="1:24" x14ac:dyDescent="0.3">
      <c r="A1052" t="s">
        <v>86</v>
      </c>
      <c r="B1052" t="s">
        <v>108</v>
      </c>
      <c r="C1052">
        <v>2021</v>
      </c>
      <c r="D1052" t="s">
        <v>26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48</v>
      </c>
      <c r="N1052">
        <v>5</v>
      </c>
      <c r="O1052" t="s">
        <v>51</v>
      </c>
      <c r="P1052">
        <v>22.5</v>
      </c>
      <c r="Q1052">
        <v>1617</v>
      </c>
      <c r="R1052">
        <v>5</v>
      </c>
      <c r="S1052">
        <v>1</v>
      </c>
      <c r="T1052" t="s">
        <v>29</v>
      </c>
      <c r="U1052" t="s">
        <v>30</v>
      </c>
      <c r="V1052">
        <v>62009</v>
      </c>
      <c r="W1052">
        <v>3.84</v>
      </c>
      <c r="X1052">
        <v>8</v>
      </c>
    </row>
    <row r="1053" spans="1:24" x14ac:dyDescent="0.3">
      <c r="A1053" t="s">
        <v>68</v>
      </c>
      <c r="B1053" t="s">
        <v>106</v>
      </c>
      <c r="C1053">
        <v>2025</v>
      </c>
      <c r="D1053" t="s">
        <v>56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34</v>
      </c>
      <c r="N1053">
        <v>7</v>
      </c>
      <c r="O1053" t="s">
        <v>50</v>
      </c>
      <c r="P1053">
        <v>32.200000000000003</v>
      </c>
      <c r="Q1053">
        <v>1500</v>
      </c>
      <c r="R1053">
        <v>3</v>
      </c>
      <c r="S1053">
        <v>1</v>
      </c>
      <c r="T1053" t="s">
        <v>45</v>
      </c>
      <c r="U1053" t="s">
        <v>66</v>
      </c>
      <c r="V1053">
        <v>123225</v>
      </c>
      <c r="W1053">
        <v>3.52</v>
      </c>
      <c r="X1053">
        <v>4</v>
      </c>
    </row>
    <row r="1054" spans="1:24" x14ac:dyDescent="0.3">
      <c r="A1054" t="s">
        <v>92</v>
      </c>
      <c r="B1054" t="s">
        <v>136</v>
      </c>
      <c r="C1054">
        <v>2023</v>
      </c>
      <c r="D1054" t="s">
        <v>33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27</v>
      </c>
      <c r="N1054">
        <v>7</v>
      </c>
      <c r="O1054" t="s">
        <v>28</v>
      </c>
      <c r="P1054">
        <v>56.4</v>
      </c>
      <c r="Q1054">
        <v>2456</v>
      </c>
      <c r="R1054">
        <v>5</v>
      </c>
      <c r="S1054">
        <v>0</v>
      </c>
      <c r="T1054" t="s">
        <v>65</v>
      </c>
      <c r="U1054" t="s">
        <v>30</v>
      </c>
      <c r="V1054">
        <v>26747</v>
      </c>
      <c r="W1054">
        <v>3.64</v>
      </c>
      <c r="X1054">
        <v>5</v>
      </c>
    </row>
    <row r="1055" spans="1:24" x14ac:dyDescent="0.3">
      <c r="A1055" t="s">
        <v>76</v>
      </c>
      <c r="B1055" t="s">
        <v>77</v>
      </c>
      <c r="C1055">
        <v>2025</v>
      </c>
      <c r="D1055" t="s">
        <v>44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27</v>
      </c>
      <c r="N1055">
        <v>5</v>
      </c>
      <c r="O1055" t="s">
        <v>28</v>
      </c>
      <c r="P1055">
        <v>76.599999999999994</v>
      </c>
      <c r="Q1055">
        <v>2211</v>
      </c>
      <c r="R1055">
        <v>3</v>
      </c>
      <c r="S1055">
        <v>1</v>
      </c>
      <c r="T1055" t="s">
        <v>41</v>
      </c>
      <c r="U1055" t="s">
        <v>33</v>
      </c>
      <c r="V1055">
        <v>52702</v>
      </c>
      <c r="W1055">
        <v>3.92</v>
      </c>
      <c r="X1055">
        <v>4</v>
      </c>
    </row>
    <row r="1056" spans="1:24" x14ac:dyDescent="0.3">
      <c r="A1056" t="s">
        <v>131</v>
      </c>
      <c r="B1056" t="s">
        <v>132</v>
      </c>
      <c r="C1056">
        <v>2024</v>
      </c>
      <c r="D1056" t="s">
        <v>44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34</v>
      </c>
      <c r="N1056">
        <v>5</v>
      </c>
      <c r="O1056" t="s">
        <v>35</v>
      </c>
      <c r="P1056">
        <v>39.9</v>
      </c>
      <c r="Q1056">
        <v>2215</v>
      </c>
      <c r="R1056">
        <v>5</v>
      </c>
      <c r="S1056">
        <v>2</v>
      </c>
      <c r="T1056" t="s">
        <v>65</v>
      </c>
      <c r="U1056" t="s">
        <v>33</v>
      </c>
      <c r="V1056">
        <v>8671</v>
      </c>
      <c r="W1056">
        <v>3.55</v>
      </c>
      <c r="X1056">
        <v>3</v>
      </c>
    </row>
    <row r="1057" spans="1:24" x14ac:dyDescent="0.3">
      <c r="A1057" t="s">
        <v>63</v>
      </c>
      <c r="B1057" t="s">
        <v>64</v>
      </c>
      <c r="C1057">
        <v>2024</v>
      </c>
      <c r="D1057" t="s">
        <v>56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27</v>
      </c>
      <c r="N1057">
        <v>5</v>
      </c>
      <c r="O1057" t="s">
        <v>58</v>
      </c>
      <c r="P1057">
        <v>18.399999999999999</v>
      </c>
      <c r="Q1057">
        <v>1578</v>
      </c>
      <c r="R1057">
        <v>3</v>
      </c>
      <c r="S1057">
        <v>2</v>
      </c>
      <c r="T1057" t="s">
        <v>65</v>
      </c>
      <c r="U1057" t="s">
        <v>66</v>
      </c>
      <c r="V1057">
        <v>205452</v>
      </c>
      <c r="W1057">
        <v>3.37</v>
      </c>
      <c r="X1057">
        <v>5</v>
      </c>
    </row>
    <row r="1058" spans="1:24" x14ac:dyDescent="0.3">
      <c r="A1058" t="s">
        <v>76</v>
      </c>
      <c r="B1058" t="s">
        <v>91</v>
      </c>
      <c r="C1058">
        <v>2022</v>
      </c>
      <c r="D1058" t="s">
        <v>33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27</v>
      </c>
      <c r="N1058">
        <v>4</v>
      </c>
      <c r="O1058" t="s">
        <v>28</v>
      </c>
      <c r="P1058">
        <v>60.1</v>
      </c>
      <c r="Q1058">
        <v>2430</v>
      </c>
      <c r="R1058">
        <v>4</v>
      </c>
      <c r="S1058">
        <v>0</v>
      </c>
      <c r="T1058" t="s">
        <v>41</v>
      </c>
      <c r="U1058" t="s">
        <v>37</v>
      </c>
      <c r="V1058">
        <v>78104</v>
      </c>
      <c r="W1058">
        <v>3.41</v>
      </c>
      <c r="X1058">
        <v>4</v>
      </c>
    </row>
    <row r="1059" spans="1:24" x14ac:dyDescent="0.3">
      <c r="A1059" t="s">
        <v>24</v>
      </c>
      <c r="B1059" t="s">
        <v>85</v>
      </c>
      <c r="C1059">
        <v>2025</v>
      </c>
      <c r="D1059" t="s">
        <v>26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27</v>
      </c>
      <c r="N1059">
        <v>5</v>
      </c>
      <c r="O1059" t="s">
        <v>35</v>
      </c>
      <c r="P1059">
        <v>39.5</v>
      </c>
      <c r="Q1059">
        <v>2045</v>
      </c>
      <c r="R1059">
        <v>5</v>
      </c>
      <c r="S1059">
        <v>0</v>
      </c>
      <c r="T1059" t="s">
        <v>29</v>
      </c>
      <c r="U1059" t="s">
        <v>37</v>
      </c>
      <c r="V1059">
        <v>248780</v>
      </c>
      <c r="W1059">
        <v>3.88</v>
      </c>
      <c r="X1059">
        <v>3</v>
      </c>
    </row>
    <row r="1060" spans="1:24" x14ac:dyDescent="0.3">
      <c r="A1060" t="s">
        <v>68</v>
      </c>
      <c r="B1060" t="s">
        <v>79</v>
      </c>
      <c r="C1060">
        <v>2026</v>
      </c>
      <c r="D1060" t="s">
        <v>33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27</v>
      </c>
      <c r="N1060">
        <v>5</v>
      </c>
      <c r="O1060" t="s">
        <v>35</v>
      </c>
      <c r="P1060">
        <v>65.3</v>
      </c>
      <c r="Q1060">
        <v>1932</v>
      </c>
      <c r="R1060">
        <v>4</v>
      </c>
      <c r="S1060">
        <v>1</v>
      </c>
      <c r="T1060" t="s">
        <v>45</v>
      </c>
      <c r="U1060" t="s">
        <v>37</v>
      </c>
      <c r="V1060">
        <v>60140</v>
      </c>
      <c r="W1060">
        <v>3.56</v>
      </c>
      <c r="X1060">
        <v>4</v>
      </c>
    </row>
    <row r="1061" spans="1:24" x14ac:dyDescent="0.3">
      <c r="A1061" t="s">
        <v>83</v>
      </c>
      <c r="B1061" t="s">
        <v>114</v>
      </c>
      <c r="C1061">
        <v>2025</v>
      </c>
      <c r="D1061" t="s">
        <v>56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48</v>
      </c>
      <c r="N1061">
        <v>5</v>
      </c>
      <c r="O1061" t="s">
        <v>35</v>
      </c>
      <c r="P1061">
        <v>36.299999999999997</v>
      </c>
      <c r="Q1061">
        <v>1984</v>
      </c>
      <c r="R1061">
        <v>4</v>
      </c>
      <c r="S1061">
        <v>2</v>
      </c>
      <c r="T1061" t="s">
        <v>29</v>
      </c>
      <c r="U1061" t="s">
        <v>33</v>
      </c>
      <c r="V1061">
        <v>78488</v>
      </c>
      <c r="W1061">
        <v>3.02</v>
      </c>
      <c r="X1061">
        <v>7</v>
      </c>
    </row>
    <row r="1062" spans="1:24" x14ac:dyDescent="0.3">
      <c r="A1062" t="s">
        <v>86</v>
      </c>
      <c r="B1062" t="s">
        <v>87</v>
      </c>
      <c r="C1062">
        <v>2024</v>
      </c>
      <c r="D1062" t="s">
        <v>56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34</v>
      </c>
      <c r="N1062">
        <v>5</v>
      </c>
      <c r="O1062" t="s">
        <v>58</v>
      </c>
      <c r="P1062">
        <v>36.5</v>
      </c>
      <c r="Q1062">
        <v>1500</v>
      </c>
      <c r="R1062">
        <v>4</v>
      </c>
      <c r="S1062">
        <v>1</v>
      </c>
      <c r="T1062" t="s">
        <v>29</v>
      </c>
      <c r="U1062" t="s">
        <v>33</v>
      </c>
      <c r="V1062">
        <v>24433</v>
      </c>
      <c r="W1062">
        <v>3.51</v>
      </c>
      <c r="X1062">
        <v>6</v>
      </c>
    </row>
    <row r="1063" spans="1:24" x14ac:dyDescent="0.3">
      <c r="A1063" t="s">
        <v>134</v>
      </c>
      <c r="B1063">
        <v>2</v>
      </c>
      <c r="C1063">
        <v>2025</v>
      </c>
      <c r="D1063" t="s">
        <v>56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48</v>
      </c>
      <c r="N1063">
        <v>5</v>
      </c>
      <c r="O1063" t="s">
        <v>50</v>
      </c>
      <c r="P1063">
        <v>33.200000000000003</v>
      </c>
      <c r="Q1063">
        <v>1632</v>
      </c>
      <c r="R1063">
        <v>5</v>
      </c>
      <c r="S1063">
        <v>0</v>
      </c>
      <c r="T1063" t="s">
        <v>123</v>
      </c>
      <c r="U1063" t="s">
        <v>33</v>
      </c>
      <c r="V1063">
        <v>2292</v>
      </c>
      <c r="W1063">
        <v>3.52</v>
      </c>
      <c r="X1063">
        <v>4</v>
      </c>
    </row>
    <row r="1064" spans="1:24" x14ac:dyDescent="0.3">
      <c r="A1064" t="s">
        <v>76</v>
      </c>
      <c r="B1064" t="s">
        <v>98</v>
      </c>
      <c r="C1064">
        <v>2025</v>
      </c>
      <c r="D1064" t="s">
        <v>56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34</v>
      </c>
      <c r="N1064">
        <v>5</v>
      </c>
      <c r="O1064" t="s">
        <v>35</v>
      </c>
      <c r="P1064">
        <v>66.099999999999994</v>
      </c>
      <c r="Q1064">
        <v>2189</v>
      </c>
      <c r="R1064">
        <v>5</v>
      </c>
      <c r="S1064">
        <v>0</v>
      </c>
      <c r="T1064" t="s">
        <v>41</v>
      </c>
      <c r="U1064" t="s">
        <v>37</v>
      </c>
      <c r="V1064">
        <v>32117</v>
      </c>
      <c r="W1064">
        <v>3.32</v>
      </c>
      <c r="X1064">
        <v>4</v>
      </c>
    </row>
    <row r="1065" spans="1:24" x14ac:dyDescent="0.3">
      <c r="A1065" t="s">
        <v>24</v>
      </c>
      <c r="B1065" t="s">
        <v>70</v>
      </c>
      <c r="C1065">
        <v>2024</v>
      </c>
      <c r="D1065" t="s">
        <v>44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48</v>
      </c>
      <c r="N1065">
        <v>5</v>
      </c>
      <c r="O1065" t="s">
        <v>35</v>
      </c>
      <c r="P1065">
        <v>39.1</v>
      </c>
      <c r="Q1065">
        <v>1988</v>
      </c>
      <c r="R1065">
        <v>4</v>
      </c>
      <c r="S1065">
        <v>1</v>
      </c>
      <c r="T1065" t="s">
        <v>29</v>
      </c>
      <c r="U1065" t="s">
        <v>33</v>
      </c>
      <c r="V1065">
        <v>268234</v>
      </c>
      <c r="W1065">
        <v>3.88</v>
      </c>
      <c r="X1065">
        <v>4</v>
      </c>
    </row>
    <row r="1066" spans="1:24" x14ac:dyDescent="0.3">
      <c r="A1066" t="s">
        <v>24</v>
      </c>
      <c r="B1066" t="s">
        <v>74</v>
      </c>
      <c r="C1066">
        <v>2022</v>
      </c>
      <c r="D1066" t="s">
        <v>26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48</v>
      </c>
      <c r="N1066">
        <v>5</v>
      </c>
      <c r="O1066" t="s">
        <v>35</v>
      </c>
      <c r="P1066">
        <v>62.6</v>
      </c>
      <c r="Q1066">
        <v>1513</v>
      </c>
      <c r="R1066">
        <v>4</v>
      </c>
      <c r="S1066">
        <v>1</v>
      </c>
      <c r="T1066" t="s">
        <v>29</v>
      </c>
      <c r="U1066" t="s">
        <v>37</v>
      </c>
      <c r="V1066">
        <v>219975</v>
      </c>
      <c r="W1066">
        <v>3.79</v>
      </c>
      <c r="X1066">
        <v>4</v>
      </c>
    </row>
    <row r="1067" spans="1:24" x14ac:dyDescent="0.3">
      <c r="A1067" t="s">
        <v>38</v>
      </c>
      <c r="B1067" t="s">
        <v>118</v>
      </c>
      <c r="C1067">
        <v>2023</v>
      </c>
      <c r="D1067" t="s">
        <v>33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27</v>
      </c>
      <c r="N1067">
        <v>5</v>
      </c>
      <c r="O1067" t="s">
        <v>50</v>
      </c>
      <c r="P1067">
        <v>38.799999999999997</v>
      </c>
      <c r="Q1067">
        <v>1502</v>
      </c>
      <c r="R1067">
        <v>4</v>
      </c>
      <c r="S1067">
        <v>2</v>
      </c>
      <c r="T1067" t="s">
        <v>41</v>
      </c>
      <c r="U1067" t="s">
        <v>37</v>
      </c>
      <c r="V1067">
        <v>776</v>
      </c>
      <c r="W1067">
        <v>3.17</v>
      </c>
      <c r="X1067">
        <v>4</v>
      </c>
    </row>
    <row r="1068" spans="1:24" x14ac:dyDescent="0.3">
      <c r="A1068" t="s">
        <v>63</v>
      </c>
      <c r="B1068" t="s">
        <v>67</v>
      </c>
      <c r="C1068">
        <v>2024</v>
      </c>
      <c r="D1068" t="s">
        <v>44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48</v>
      </c>
      <c r="N1068">
        <v>5</v>
      </c>
      <c r="O1068" t="s">
        <v>40</v>
      </c>
      <c r="P1068">
        <v>77.099999999999994</v>
      </c>
      <c r="Q1068">
        <v>1540</v>
      </c>
      <c r="R1068">
        <v>5</v>
      </c>
      <c r="S1068">
        <v>2</v>
      </c>
      <c r="T1068" t="s">
        <v>65</v>
      </c>
      <c r="U1068" t="s">
        <v>33</v>
      </c>
      <c r="V1068">
        <v>111875</v>
      </c>
      <c r="W1068">
        <v>3.51</v>
      </c>
      <c r="X1068">
        <v>4</v>
      </c>
    </row>
    <row r="1069" spans="1:24" x14ac:dyDescent="0.3">
      <c r="A1069" t="s">
        <v>46</v>
      </c>
      <c r="B1069" t="s">
        <v>72</v>
      </c>
      <c r="C1069">
        <v>2022</v>
      </c>
      <c r="D1069" t="s">
        <v>44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34</v>
      </c>
      <c r="N1069">
        <v>7</v>
      </c>
      <c r="O1069" t="s">
        <v>28</v>
      </c>
      <c r="P1069">
        <v>78</v>
      </c>
      <c r="Q1069">
        <v>2513</v>
      </c>
      <c r="R1069">
        <v>5</v>
      </c>
      <c r="S1069">
        <v>3</v>
      </c>
      <c r="T1069" t="s">
        <v>41</v>
      </c>
      <c r="U1069" t="s">
        <v>30</v>
      </c>
      <c r="V1069">
        <v>161385</v>
      </c>
      <c r="W1069">
        <v>4.17</v>
      </c>
      <c r="X1069">
        <v>4</v>
      </c>
    </row>
    <row r="1070" spans="1:24" x14ac:dyDescent="0.3">
      <c r="A1070" t="s">
        <v>63</v>
      </c>
      <c r="B1070" t="s">
        <v>96</v>
      </c>
      <c r="C1070">
        <v>2025</v>
      </c>
      <c r="D1070" t="s">
        <v>26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48</v>
      </c>
      <c r="N1070">
        <v>7</v>
      </c>
      <c r="O1070" t="s">
        <v>40</v>
      </c>
      <c r="P1070">
        <v>77.2</v>
      </c>
      <c r="Q1070">
        <v>1897</v>
      </c>
      <c r="R1070">
        <v>5</v>
      </c>
      <c r="S1070">
        <v>2</v>
      </c>
      <c r="T1070" t="s">
        <v>65</v>
      </c>
      <c r="U1070" t="s">
        <v>66</v>
      </c>
      <c r="V1070">
        <v>180781</v>
      </c>
      <c r="W1070">
        <v>4.04</v>
      </c>
      <c r="X1070">
        <v>5</v>
      </c>
    </row>
    <row r="1071" spans="1:24" x14ac:dyDescent="0.3">
      <c r="A1071" t="s">
        <v>63</v>
      </c>
      <c r="B1071" t="s">
        <v>96</v>
      </c>
      <c r="C1071">
        <v>2025</v>
      </c>
      <c r="D1071" t="s">
        <v>61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48</v>
      </c>
      <c r="N1071">
        <v>5</v>
      </c>
      <c r="O1071" t="s">
        <v>35</v>
      </c>
      <c r="P1071">
        <v>35.9</v>
      </c>
      <c r="Q1071">
        <v>1784</v>
      </c>
      <c r="R1071">
        <v>3</v>
      </c>
      <c r="S1071">
        <v>0</v>
      </c>
      <c r="T1071" t="s">
        <v>65</v>
      </c>
      <c r="U1071" t="s">
        <v>33</v>
      </c>
      <c r="V1071">
        <v>193467</v>
      </c>
      <c r="W1071">
        <v>3.4</v>
      </c>
      <c r="X1071">
        <v>5</v>
      </c>
    </row>
    <row r="1072" spans="1:24" x14ac:dyDescent="0.3">
      <c r="A1072" t="s">
        <v>63</v>
      </c>
      <c r="B1072" t="s">
        <v>67</v>
      </c>
      <c r="C1072">
        <v>2022</v>
      </c>
      <c r="D1072" t="s">
        <v>44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34</v>
      </c>
      <c r="N1072">
        <v>7</v>
      </c>
      <c r="O1072" t="s">
        <v>50</v>
      </c>
      <c r="P1072">
        <v>27.6</v>
      </c>
      <c r="Q1072">
        <v>1597</v>
      </c>
      <c r="R1072">
        <v>4</v>
      </c>
      <c r="S1072">
        <v>0</v>
      </c>
      <c r="T1072" t="s">
        <v>65</v>
      </c>
      <c r="U1072" t="s">
        <v>37</v>
      </c>
      <c r="V1072">
        <v>242445</v>
      </c>
      <c r="W1072">
        <v>3.57</v>
      </c>
      <c r="X1072">
        <v>3</v>
      </c>
    </row>
    <row r="1073" spans="1:24" x14ac:dyDescent="0.3">
      <c r="A1073" t="s">
        <v>63</v>
      </c>
      <c r="B1073" t="s">
        <v>96</v>
      </c>
      <c r="C1073">
        <v>2021</v>
      </c>
      <c r="D1073" t="s">
        <v>26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48</v>
      </c>
      <c r="N1073">
        <v>5</v>
      </c>
      <c r="O1073" t="s">
        <v>51</v>
      </c>
      <c r="P1073">
        <v>24.5</v>
      </c>
      <c r="Q1073">
        <v>1505</v>
      </c>
      <c r="R1073">
        <v>4</v>
      </c>
      <c r="S1073">
        <v>1</v>
      </c>
      <c r="T1073" t="s">
        <v>65</v>
      </c>
      <c r="U1073" t="s">
        <v>37</v>
      </c>
      <c r="V1073">
        <v>213365</v>
      </c>
      <c r="W1073">
        <v>3.76</v>
      </c>
      <c r="X1073">
        <v>4</v>
      </c>
    </row>
    <row r="1074" spans="1:24" x14ac:dyDescent="0.3">
      <c r="A1074" t="s">
        <v>46</v>
      </c>
      <c r="B1074" t="s">
        <v>49</v>
      </c>
      <c r="C1074">
        <v>2024</v>
      </c>
      <c r="D1074" t="s">
        <v>44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34</v>
      </c>
      <c r="N1074">
        <v>5</v>
      </c>
      <c r="O1074" t="s">
        <v>51</v>
      </c>
      <c r="P1074">
        <v>34.299999999999997</v>
      </c>
      <c r="Q1074">
        <v>1663</v>
      </c>
      <c r="R1074">
        <v>5</v>
      </c>
      <c r="S1074">
        <v>2</v>
      </c>
      <c r="T1074" t="s">
        <v>41</v>
      </c>
      <c r="U1074" t="s">
        <v>30</v>
      </c>
      <c r="V1074">
        <v>473485</v>
      </c>
      <c r="W1074">
        <v>4.07</v>
      </c>
      <c r="X1074">
        <v>4</v>
      </c>
    </row>
    <row r="1075" spans="1:24" x14ac:dyDescent="0.3">
      <c r="A1075" t="s">
        <v>46</v>
      </c>
      <c r="B1075" t="s">
        <v>49</v>
      </c>
      <c r="C1075">
        <v>2025</v>
      </c>
      <c r="D1075" t="s">
        <v>26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48</v>
      </c>
      <c r="N1075">
        <v>7</v>
      </c>
      <c r="O1075" t="s">
        <v>51</v>
      </c>
      <c r="P1075">
        <v>32.200000000000003</v>
      </c>
      <c r="Q1075">
        <v>1634</v>
      </c>
      <c r="R1075">
        <v>5</v>
      </c>
      <c r="S1075">
        <v>3</v>
      </c>
      <c r="T1075" t="s">
        <v>41</v>
      </c>
      <c r="U1075" t="s">
        <v>37</v>
      </c>
      <c r="V1075">
        <v>404935</v>
      </c>
      <c r="W1075">
        <v>3.92</v>
      </c>
      <c r="X1075">
        <v>5</v>
      </c>
    </row>
    <row r="1076" spans="1:24" x14ac:dyDescent="0.3">
      <c r="A1076" t="s">
        <v>99</v>
      </c>
      <c r="B1076" t="s">
        <v>113</v>
      </c>
      <c r="C1076">
        <v>2024</v>
      </c>
      <c r="D1076" t="s">
        <v>33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27</v>
      </c>
      <c r="N1076">
        <v>7</v>
      </c>
      <c r="O1076" t="s">
        <v>51</v>
      </c>
      <c r="P1076">
        <v>37.200000000000003</v>
      </c>
      <c r="Q1076">
        <v>1500</v>
      </c>
      <c r="R1076">
        <v>4</v>
      </c>
      <c r="S1076">
        <v>2</v>
      </c>
      <c r="T1076" t="s">
        <v>29</v>
      </c>
      <c r="U1076" t="s">
        <v>30</v>
      </c>
      <c r="V1076">
        <v>6555</v>
      </c>
      <c r="W1076">
        <v>3.83</v>
      </c>
      <c r="X1076">
        <v>7</v>
      </c>
    </row>
    <row r="1077" spans="1:24" x14ac:dyDescent="0.3">
      <c r="A1077" t="s">
        <v>24</v>
      </c>
      <c r="B1077" t="s">
        <v>75</v>
      </c>
      <c r="C1077">
        <v>2023</v>
      </c>
      <c r="D1077" t="s">
        <v>33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48</v>
      </c>
      <c r="N1077">
        <v>7</v>
      </c>
      <c r="O1077" t="s">
        <v>50</v>
      </c>
      <c r="P1077">
        <v>32</v>
      </c>
      <c r="Q1077">
        <v>1500</v>
      </c>
      <c r="R1077">
        <v>5</v>
      </c>
      <c r="S1077">
        <v>1</v>
      </c>
      <c r="T1077" t="s">
        <v>29</v>
      </c>
      <c r="U1077" t="s">
        <v>37</v>
      </c>
      <c r="V1077">
        <v>201954</v>
      </c>
      <c r="W1077">
        <v>3.3</v>
      </c>
      <c r="X1077">
        <v>3</v>
      </c>
    </row>
    <row r="1078" spans="1:24" x14ac:dyDescent="0.3">
      <c r="A1078" t="s">
        <v>24</v>
      </c>
      <c r="B1078" t="s">
        <v>85</v>
      </c>
      <c r="C1078">
        <v>2023</v>
      </c>
      <c r="D1078" t="s">
        <v>33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48</v>
      </c>
      <c r="N1078">
        <v>7</v>
      </c>
      <c r="O1078" t="s">
        <v>28</v>
      </c>
      <c r="P1078">
        <v>57.8</v>
      </c>
      <c r="Q1078">
        <v>2506</v>
      </c>
      <c r="R1078">
        <v>3</v>
      </c>
      <c r="S1078">
        <v>0</v>
      </c>
      <c r="T1078" t="s">
        <v>29</v>
      </c>
      <c r="U1078" t="s">
        <v>37</v>
      </c>
      <c r="V1078">
        <v>243991</v>
      </c>
      <c r="W1078">
        <v>3.26</v>
      </c>
      <c r="X1078">
        <v>4</v>
      </c>
    </row>
    <row r="1079" spans="1:24" x14ac:dyDescent="0.3">
      <c r="A1079" t="s">
        <v>83</v>
      </c>
      <c r="B1079" t="s">
        <v>114</v>
      </c>
      <c r="C1079">
        <v>2022</v>
      </c>
      <c r="D1079" t="s">
        <v>26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48</v>
      </c>
      <c r="N1079">
        <v>7</v>
      </c>
      <c r="O1079" t="s">
        <v>51</v>
      </c>
      <c r="P1079">
        <v>31.7</v>
      </c>
      <c r="Q1079">
        <v>1714</v>
      </c>
      <c r="R1079">
        <v>5</v>
      </c>
      <c r="S1079">
        <v>2</v>
      </c>
      <c r="T1079" t="s">
        <v>29</v>
      </c>
      <c r="U1079" t="s">
        <v>33</v>
      </c>
      <c r="V1079">
        <v>60959</v>
      </c>
      <c r="W1079">
        <v>3.29</v>
      </c>
      <c r="X1079">
        <v>5</v>
      </c>
    </row>
    <row r="1080" spans="1:24" x14ac:dyDescent="0.3">
      <c r="A1080" t="s">
        <v>63</v>
      </c>
      <c r="B1080" t="s">
        <v>67</v>
      </c>
      <c r="C1080">
        <v>2025</v>
      </c>
      <c r="D1080" t="s">
        <v>44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27</v>
      </c>
      <c r="N1080">
        <v>7</v>
      </c>
      <c r="O1080" t="s">
        <v>58</v>
      </c>
      <c r="P1080">
        <v>31.7</v>
      </c>
      <c r="Q1080">
        <v>1785</v>
      </c>
      <c r="R1080">
        <v>5</v>
      </c>
      <c r="S1080">
        <v>1</v>
      </c>
      <c r="T1080" t="s">
        <v>65</v>
      </c>
      <c r="U1080" t="s">
        <v>37</v>
      </c>
      <c r="V1080">
        <v>247778</v>
      </c>
      <c r="W1080">
        <v>3.61</v>
      </c>
      <c r="X1080">
        <v>3</v>
      </c>
    </row>
    <row r="1081" spans="1:24" x14ac:dyDescent="0.3">
      <c r="A1081" t="s">
        <v>31</v>
      </c>
      <c r="B1081" t="s">
        <v>32</v>
      </c>
      <c r="C1081">
        <v>2024</v>
      </c>
      <c r="D1081" t="s">
        <v>44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34</v>
      </c>
      <c r="N1081">
        <v>7</v>
      </c>
      <c r="O1081" t="s">
        <v>35</v>
      </c>
      <c r="P1081">
        <v>36.6</v>
      </c>
      <c r="Q1081">
        <v>2167</v>
      </c>
      <c r="R1081">
        <v>4</v>
      </c>
      <c r="S1081">
        <v>0</v>
      </c>
      <c r="T1081" t="s">
        <v>36</v>
      </c>
      <c r="U1081" t="s">
        <v>33</v>
      </c>
      <c r="V1081">
        <v>12454</v>
      </c>
      <c r="W1081">
        <v>3.6</v>
      </c>
      <c r="X1081">
        <v>4</v>
      </c>
    </row>
    <row r="1082" spans="1:24" x14ac:dyDescent="0.3">
      <c r="A1082" t="s">
        <v>76</v>
      </c>
      <c r="B1082" t="s">
        <v>81</v>
      </c>
      <c r="C1082">
        <v>2025</v>
      </c>
      <c r="D1082" t="s">
        <v>61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34</v>
      </c>
      <c r="N1082">
        <v>7</v>
      </c>
      <c r="O1082" t="s">
        <v>50</v>
      </c>
      <c r="P1082">
        <v>27.8</v>
      </c>
      <c r="Q1082">
        <v>1523</v>
      </c>
      <c r="R1082">
        <v>5</v>
      </c>
      <c r="S1082">
        <v>1</v>
      </c>
      <c r="T1082" t="s">
        <v>41</v>
      </c>
      <c r="U1082" t="s">
        <v>37</v>
      </c>
      <c r="V1082">
        <v>41551</v>
      </c>
      <c r="W1082">
        <v>3.51</v>
      </c>
      <c r="X1082">
        <v>3</v>
      </c>
    </row>
    <row r="1083" spans="1:24" x14ac:dyDescent="0.3">
      <c r="A1083" t="s">
        <v>46</v>
      </c>
      <c r="B1083" t="s">
        <v>78</v>
      </c>
      <c r="C1083">
        <v>2024</v>
      </c>
      <c r="D1083" t="s">
        <v>33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48</v>
      </c>
      <c r="N1083">
        <v>7</v>
      </c>
      <c r="O1083" t="s">
        <v>50</v>
      </c>
      <c r="P1083">
        <v>37.6</v>
      </c>
      <c r="Q1083">
        <v>1576</v>
      </c>
      <c r="R1083">
        <v>5</v>
      </c>
      <c r="S1083">
        <v>2</v>
      </c>
      <c r="T1083" t="s">
        <v>41</v>
      </c>
      <c r="U1083" t="s">
        <v>37</v>
      </c>
      <c r="V1083">
        <v>103833</v>
      </c>
      <c r="W1083">
        <v>3.5</v>
      </c>
      <c r="X1083">
        <v>5</v>
      </c>
    </row>
    <row r="1084" spans="1:24" x14ac:dyDescent="0.3">
      <c r="A1084" t="s">
        <v>24</v>
      </c>
      <c r="B1084" t="s">
        <v>75</v>
      </c>
      <c r="C1084">
        <v>2025</v>
      </c>
      <c r="D1084" t="s">
        <v>33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27</v>
      </c>
      <c r="N1084">
        <v>7</v>
      </c>
      <c r="O1084" t="s">
        <v>28</v>
      </c>
      <c r="P1084">
        <v>79.8</v>
      </c>
      <c r="Q1084">
        <v>2658</v>
      </c>
      <c r="R1084">
        <v>4</v>
      </c>
      <c r="S1084">
        <v>1</v>
      </c>
      <c r="T1084" t="s">
        <v>29</v>
      </c>
      <c r="U1084" t="s">
        <v>30</v>
      </c>
      <c r="V1084">
        <v>225327</v>
      </c>
      <c r="W1084">
        <v>3.76</v>
      </c>
      <c r="X1084">
        <v>3</v>
      </c>
    </row>
    <row r="1085" spans="1:24" x14ac:dyDescent="0.3">
      <c r="A1085" t="s">
        <v>86</v>
      </c>
      <c r="B1085" t="s">
        <v>87</v>
      </c>
      <c r="C1085">
        <v>2025</v>
      </c>
      <c r="D1085" t="s">
        <v>44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34</v>
      </c>
      <c r="N1085">
        <v>7</v>
      </c>
      <c r="O1085" t="s">
        <v>58</v>
      </c>
      <c r="P1085">
        <v>22.8</v>
      </c>
      <c r="Q1085">
        <v>1500</v>
      </c>
      <c r="R1085">
        <v>4</v>
      </c>
      <c r="S1085">
        <v>2</v>
      </c>
      <c r="T1085" t="s">
        <v>29</v>
      </c>
      <c r="U1085" t="s">
        <v>30</v>
      </c>
      <c r="V1085">
        <v>38380</v>
      </c>
      <c r="W1085">
        <v>4.0199999999999996</v>
      </c>
      <c r="X1085">
        <v>8</v>
      </c>
    </row>
    <row r="1086" spans="1:24" x14ac:dyDescent="0.3">
      <c r="A1086" t="s">
        <v>31</v>
      </c>
      <c r="B1086" t="s">
        <v>32</v>
      </c>
      <c r="C1086">
        <v>2025</v>
      </c>
      <c r="D1086" t="s">
        <v>33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48</v>
      </c>
      <c r="N1086">
        <v>7</v>
      </c>
      <c r="O1086" t="s">
        <v>35</v>
      </c>
      <c r="P1086">
        <v>39.299999999999997</v>
      </c>
      <c r="Q1086">
        <v>1681</v>
      </c>
      <c r="R1086">
        <v>5</v>
      </c>
      <c r="S1086">
        <v>0</v>
      </c>
      <c r="T1086" t="s">
        <v>36</v>
      </c>
      <c r="U1086" t="s">
        <v>33</v>
      </c>
      <c r="V1086">
        <v>12847</v>
      </c>
      <c r="W1086">
        <v>3.03</v>
      </c>
      <c r="X1086">
        <v>3</v>
      </c>
    </row>
    <row r="1087" spans="1:24" x14ac:dyDescent="0.3">
      <c r="A1087" t="s">
        <v>68</v>
      </c>
      <c r="B1087" t="s">
        <v>90</v>
      </c>
      <c r="C1087">
        <v>2025</v>
      </c>
      <c r="D1087" t="s">
        <v>26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27</v>
      </c>
      <c r="N1087">
        <v>7</v>
      </c>
      <c r="O1087" t="s">
        <v>28</v>
      </c>
      <c r="P1087">
        <v>51.4</v>
      </c>
      <c r="Q1087">
        <v>2444</v>
      </c>
      <c r="R1087">
        <v>4</v>
      </c>
      <c r="S1087">
        <v>1</v>
      </c>
      <c r="T1087" t="s">
        <v>45</v>
      </c>
      <c r="U1087" t="s">
        <v>37</v>
      </c>
      <c r="V1087">
        <v>120189</v>
      </c>
      <c r="W1087">
        <v>3.68</v>
      </c>
      <c r="X1087">
        <v>3</v>
      </c>
    </row>
    <row r="1088" spans="1:24" x14ac:dyDescent="0.3">
      <c r="A1088" t="s">
        <v>42</v>
      </c>
      <c r="B1088" t="s">
        <v>80</v>
      </c>
      <c r="C1088">
        <v>2026</v>
      </c>
      <c r="D1088" t="s">
        <v>44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34</v>
      </c>
      <c r="N1088">
        <v>5</v>
      </c>
      <c r="O1088" t="s">
        <v>35</v>
      </c>
      <c r="P1088">
        <v>66</v>
      </c>
      <c r="Q1088">
        <v>1880</v>
      </c>
      <c r="R1088">
        <v>5</v>
      </c>
      <c r="S1088">
        <v>1</v>
      </c>
      <c r="T1088" t="s">
        <v>45</v>
      </c>
      <c r="U1088" t="s">
        <v>33</v>
      </c>
      <c r="V1088">
        <v>136116</v>
      </c>
      <c r="W1088">
        <v>3.29</v>
      </c>
      <c r="X1088">
        <v>3</v>
      </c>
    </row>
    <row r="1089" spans="1:24" x14ac:dyDescent="0.3">
      <c r="A1089" t="s">
        <v>46</v>
      </c>
      <c r="B1089" t="s">
        <v>49</v>
      </c>
      <c r="C1089">
        <v>2025</v>
      </c>
      <c r="D1089" t="s">
        <v>33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27</v>
      </c>
      <c r="N1089">
        <v>5</v>
      </c>
      <c r="O1089" t="s">
        <v>35</v>
      </c>
      <c r="P1089">
        <v>40</v>
      </c>
      <c r="Q1089">
        <v>1955</v>
      </c>
      <c r="R1089">
        <v>4</v>
      </c>
      <c r="S1089">
        <v>2</v>
      </c>
      <c r="T1089" t="s">
        <v>41</v>
      </c>
      <c r="U1089" t="s">
        <v>30</v>
      </c>
      <c r="V1089">
        <v>433007</v>
      </c>
      <c r="W1089">
        <v>3.92</v>
      </c>
      <c r="X1089">
        <v>5</v>
      </c>
    </row>
    <row r="1090" spans="1:24" x14ac:dyDescent="0.3">
      <c r="A1090" t="s">
        <v>121</v>
      </c>
      <c r="B1090" t="s">
        <v>137</v>
      </c>
      <c r="C1090">
        <v>2025</v>
      </c>
      <c r="D1090" t="s">
        <v>44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34</v>
      </c>
      <c r="N1090">
        <v>5</v>
      </c>
      <c r="O1090" t="s">
        <v>40</v>
      </c>
      <c r="P1090">
        <v>70.099999999999994</v>
      </c>
      <c r="Q1090">
        <v>1500</v>
      </c>
      <c r="R1090">
        <v>5</v>
      </c>
      <c r="S1090">
        <v>0</v>
      </c>
      <c r="T1090" t="s">
        <v>123</v>
      </c>
      <c r="U1090" t="s">
        <v>33</v>
      </c>
      <c r="V1090">
        <v>9072</v>
      </c>
      <c r="W1090">
        <v>4</v>
      </c>
      <c r="X1090">
        <v>5</v>
      </c>
    </row>
    <row r="1091" spans="1:24" x14ac:dyDescent="0.3">
      <c r="A1091" t="s">
        <v>63</v>
      </c>
      <c r="B1091" t="s">
        <v>107</v>
      </c>
      <c r="C1091">
        <v>2022</v>
      </c>
      <c r="D1091" t="s">
        <v>56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27</v>
      </c>
      <c r="N1091">
        <v>5</v>
      </c>
      <c r="O1091" t="s">
        <v>40</v>
      </c>
      <c r="P1091">
        <v>75.599999999999994</v>
      </c>
      <c r="Q1091">
        <v>1639</v>
      </c>
      <c r="R1091">
        <v>5</v>
      </c>
      <c r="S1091">
        <v>0</v>
      </c>
      <c r="T1091" t="s">
        <v>65</v>
      </c>
      <c r="U1091" t="s">
        <v>37</v>
      </c>
      <c r="V1091">
        <v>122452</v>
      </c>
      <c r="W1091">
        <v>3.62</v>
      </c>
      <c r="X1091">
        <v>5</v>
      </c>
    </row>
    <row r="1092" spans="1:24" x14ac:dyDescent="0.3">
      <c r="A1092" t="s">
        <v>92</v>
      </c>
      <c r="B1092" t="s">
        <v>110</v>
      </c>
      <c r="C1092">
        <v>2021</v>
      </c>
      <c r="D1092" t="s">
        <v>44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27</v>
      </c>
      <c r="N1092">
        <v>7</v>
      </c>
      <c r="O1092" t="s">
        <v>51</v>
      </c>
      <c r="P1092">
        <v>30</v>
      </c>
      <c r="Q1092">
        <v>1742</v>
      </c>
      <c r="R1092">
        <v>4</v>
      </c>
      <c r="S1092">
        <v>1</v>
      </c>
      <c r="T1092" t="s">
        <v>65</v>
      </c>
      <c r="U1092" t="s">
        <v>37</v>
      </c>
      <c r="V1092">
        <v>7302</v>
      </c>
      <c r="W1092">
        <v>3.7</v>
      </c>
      <c r="X1092">
        <v>3</v>
      </c>
    </row>
    <row r="1093" spans="1:24" x14ac:dyDescent="0.3">
      <c r="A1093" t="s">
        <v>83</v>
      </c>
      <c r="B1093" t="s">
        <v>89</v>
      </c>
      <c r="C1093">
        <v>2024</v>
      </c>
      <c r="D1093" t="s">
        <v>33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27</v>
      </c>
      <c r="N1093">
        <v>5</v>
      </c>
      <c r="O1093" t="s">
        <v>50</v>
      </c>
      <c r="P1093">
        <v>26.8</v>
      </c>
      <c r="Q1093">
        <v>1500</v>
      </c>
      <c r="R1093">
        <v>5</v>
      </c>
      <c r="S1093">
        <v>1</v>
      </c>
      <c r="T1093" t="s">
        <v>29</v>
      </c>
      <c r="U1093" t="s">
        <v>33</v>
      </c>
      <c r="V1093">
        <v>73538</v>
      </c>
      <c r="W1093">
        <v>3.37</v>
      </c>
      <c r="X1093">
        <v>6</v>
      </c>
    </row>
    <row r="1094" spans="1:24" x14ac:dyDescent="0.3">
      <c r="A1094" t="s">
        <v>42</v>
      </c>
      <c r="B1094" t="s">
        <v>71</v>
      </c>
      <c r="C1094">
        <v>2024</v>
      </c>
      <c r="D1094" t="s">
        <v>26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34</v>
      </c>
      <c r="N1094">
        <v>5</v>
      </c>
      <c r="O1094" t="s">
        <v>35</v>
      </c>
      <c r="P1094">
        <v>69.8</v>
      </c>
      <c r="Q1094">
        <v>1837</v>
      </c>
      <c r="R1094">
        <v>4</v>
      </c>
      <c r="S1094">
        <v>0</v>
      </c>
      <c r="T1094" t="s">
        <v>45</v>
      </c>
      <c r="U1094" t="s">
        <v>37</v>
      </c>
      <c r="V1094">
        <v>60355</v>
      </c>
      <c r="W1094">
        <v>3.59</v>
      </c>
      <c r="X1094">
        <v>5</v>
      </c>
    </row>
    <row r="1095" spans="1:24" x14ac:dyDescent="0.3">
      <c r="A1095" t="s">
        <v>68</v>
      </c>
      <c r="B1095" t="s">
        <v>79</v>
      </c>
      <c r="C1095">
        <v>2026</v>
      </c>
      <c r="D1095" t="s">
        <v>33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48</v>
      </c>
      <c r="N1095">
        <v>5</v>
      </c>
      <c r="O1095" t="s">
        <v>28</v>
      </c>
      <c r="P1095">
        <v>51.5</v>
      </c>
      <c r="Q1095">
        <v>2171</v>
      </c>
      <c r="R1095">
        <v>4</v>
      </c>
      <c r="S1095">
        <v>0</v>
      </c>
      <c r="T1095" t="s">
        <v>45</v>
      </c>
      <c r="U1095" t="s">
        <v>37</v>
      </c>
      <c r="V1095">
        <v>82791</v>
      </c>
      <c r="W1095">
        <v>3.39</v>
      </c>
      <c r="X1095">
        <v>4</v>
      </c>
    </row>
    <row r="1096" spans="1:24" x14ac:dyDescent="0.3">
      <c r="A1096" t="s">
        <v>63</v>
      </c>
      <c r="B1096" t="s">
        <v>67</v>
      </c>
      <c r="C1096">
        <v>2026</v>
      </c>
      <c r="D1096" t="s">
        <v>44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34</v>
      </c>
      <c r="N1096">
        <v>5</v>
      </c>
      <c r="O1096" t="s">
        <v>28</v>
      </c>
      <c r="P1096">
        <v>78.900000000000006</v>
      </c>
      <c r="Q1096">
        <v>2795</v>
      </c>
      <c r="R1096">
        <v>5</v>
      </c>
      <c r="S1096">
        <v>0</v>
      </c>
      <c r="T1096" t="s">
        <v>65</v>
      </c>
      <c r="U1096" t="s">
        <v>66</v>
      </c>
      <c r="V1096">
        <v>122434</v>
      </c>
      <c r="W1096">
        <v>3.77</v>
      </c>
      <c r="X1096">
        <v>5</v>
      </c>
    </row>
    <row r="1097" spans="1:24" x14ac:dyDescent="0.3">
      <c r="A1097" t="s">
        <v>46</v>
      </c>
      <c r="B1097" t="s">
        <v>57</v>
      </c>
      <c r="C1097">
        <v>2026</v>
      </c>
      <c r="D1097" t="s">
        <v>56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34</v>
      </c>
      <c r="N1097">
        <v>7</v>
      </c>
      <c r="O1097" t="s">
        <v>58</v>
      </c>
      <c r="P1097">
        <v>36.5</v>
      </c>
      <c r="Q1097">
        <v>1518</v>
      </c>
      <c r="R1097">
        <v>4</v>
      </c>
      <c r="S1097">
        <v>2</v>
      </c>
      <c r="T1097" t="s">
        <v>41</v>
      </c>
      <c r="U1097" t="s">
        <v>37</v>
      </c>
      <c r="V1097">
        <v>198300</v>
      </c>
      <c r="W1097">
        <v>3.51</v>
      </c>
      <c r="X1097">
        <v>5</v>
      </c>
    </row>
    <row r="1098" spans="1:24" x14ac:dyDescent="0.3">
      <c r="A1098" t="s">
        <v>63</v>
      </c>
      <c r="B1098" t="s">
        <v>67</v>
      </c>
      <c r="C1098">
        <v>2024</v>
      </c>
      <c r="D1098" t="s">
        <v>33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48</v>
      </c>
      <c r="N1098">
        <v>5</v>
      </c>
      <c r="O1098" t="s">
        <v>58</v>
      </c>
      <c r="P1098">
        <v>17.399999999999999</v>
      </c>
      <c r="Q1098">
        <v>1707</v>
      </c>
      <c r="R1098">
        <v>4</v>
      </c>
      <c r="S1098">
        <v>1</v>
      </c>
      <c r="T1098" t="s">
        <v>65</v>
      </c>
      <c r="U1098" t="s">
        <v>33</v>
      </c>
      <c r="V1098">
        <v>108967</v>
      </c>
      <c r="W1098">
        <v>3.37</v>
      </c>
      <c r="X1098">
        <v>5</v>
      </c>
    </row>
    <row r="1099" spans="1:24" x14ac:dyDescent="0.3">
      <c r="A1099" t="s">
        <v>46</v>
      </c>
      <c r="B1099" t="s">
        <v>72</v>
      </c>
      <c r="C1099">
        <v>2024</v>
      </c>
      <c r="D1099" t="s">
        <v>44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48</v>
      </c>
      <c r="N1099">
        <v>7</v>
      </c>
      <c r="O1099" t="s">
        <v>28</v>
      </c>
      <c r="P1099">
        <v>56.2</v>
      </c>
      <c r="Q1099">
        <v>2926</v>
      </c>
      <c r="R1099">
        <v>5</v>
      </c>
      <c r="S1099">
        <v>3</v>
      </c>
      <c r="T1099" t="s">
        <v>41</v>
      </c>
      <c r="U1099" t="s">
        <v>33</v>
      </c>
      <c r="V1099">
        <v>213989</v>
      </c>
      <c r="W1099">
        <v>3.69</v>
      </c>
      <c r="X1099">
        <v>4</v>
      </c>
    </row>
    <row r="1100" spans="1:24" x14ac:dyDescent="0.3">
      <c r="A1100" t="s">
        <v>76</v>
      </c>
      <c r="B1100" t="s">
        <v>91</v>
      </c>
      <c r="C1100">
        <v>2024</v>
      </c>
      <c r="D1100" t="s">
        <v>33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27</v>
      </c>
      <c r="N1100">
        <v>2</v>
      </c>
      <c r="O1100" t="s">
        <v>28</v>
      </c>
      <c r="P1100">
        <v>74.7</v>
      </c>
      <c r="Q1100">
        <v>2579</v>
      </c>
      <c r="R1100">
        <v>4</v>
      </c>
      <c r="S1100">
        <v>0</v>
      </c>
      <c r="T1100" t="s">
        <v>41</v>
      </c>
      <c r="U1100" t="s">
        <v>33</v>
      </c>
      <c r="V1100">
        <v>59746</v>
      </c>
      <c r="W1100">
        <v>3.32</v>
      </c>
      <c r="X1100">
        <v>4</v>
      </c>
    </row>
    <row r="1101" spans="1:24" x14ac:dyDescent="0.3">
      <c r="A1101" t="s">
        <v>63</v>
      </c>
      <c r="B1101" t="s">
        <v>88</v>
      </c>
      <c r="C1101">
        <v>2024</v>
      </c>
      <c r="D1101" t="s">
        <v>33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27</v>
      </c>
      <c r="N1101">
        <v>7</v>
      </c>
      <c r="O1101" t="s">
        <v>51</v>
      </c>
      <c r="P1101">
        <v>37.1</v>
      </c>
      <c r="Q1101">
        <v>1709</v>
      </c>
      <c r="R1101">
        <v>4</v>
      </c>
      <c r="S1101">
        <v>0</v>
      </c>
      <c r="T1101" t="s">
        <v>65</v>
      </c>
      <c r="U1101" t="s">
        <v>33</v>
      </c>
      <c r="V1101">
        <v>227690</v>
      </c>
      <c r="W1101">
        <v>3.41</v>
      </c>
      <c r="X1101">
        <v>4</v>
      </c>
    </row>
    <row r="1102" spans="1:24" x14ac:dyDescent="0.3">
      <c r="A1102" t="s">
        <v>46</v>
      </c>
      <c r="B1102" t="s">
        <v>57</v>
      </c>
      <c r="C1102">
        <v>2020</v>
      </c>
      <c r="D1102" t="s">
        <v>26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48</v>
      </c>
      <c r="N1102">
        <v>7</v>
      </c>
      <c r="O1102" t="s">
        <v>58</v>
      </c>
      <c r="P1102">
        <v>21.9</v>
      </c>
      <c r="Q1102">
        <v>1900</v>
      </c>
      <c r="R1102">
        <v>5</v>
      </c>
      <c r="S1102">
        <v>2</v>
      </c>
      <c r="T1102" t="s">
        <v>41</v>
      </c>
      <c r="U1102" t="s">
        <v>30</v>
      </c>
      <c r="V1102">
        <v>159470</v>
      </c>
      <c r="W1102">
        <v>4.1100000000000003</v>
      </c>
      <c r="X1102">
        <v>4</v>
      </c>
    </row>
    <row r="1103" spans="1:24" x14ac:dyDescent="0.3">
      <c r="A1103" t="s">
        <v>59</v>
      </c>
      <c r="B1103" t="s">
        <v>60</v>
      </c>
      <c r="C1103">
        <v>2026</v>
      </c>
      <c r="D1103" t="s">
        <v>61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34</v>
      </c>
      <c r="N1103">
        <v>5</v>
      </c>
      <c r="O1103" t="s">
        <v>58</v>
      </c>
      <c r="P1103">
        <v>21.3</v>
      </c>
      <c r="Q1103">
        <v>1675</v>
      </c>
      <c r="R1103">
        <v>3</v>
      </c>
      <c r="S1103">
        <v>0</v>
      </c>
      <c r="T1103" t="s">
        <v>41</v>
      </c>
      <c r="U1103" t="s">
        <v>33</v>
      </c>
      <c r="V1103">
        <v>24709</v>
      </c>
      <c r="W1103">
        <v>3.26</v>
      </c>
      <c r="X1103">
        <v>5</v>
      </c>
    </row>
    <row r="1104" spans="1:24" x14ac:dyDescent="0.3">
      <c r="A1104" t="s">
        <v>86</v>
      </c>
      <c r="B1104" t="s">
        <v>87</v>
      </c>
      <c r="C1104">
        <v>2024</v>
      </c>
      <c r="D1104" t="s">
        <v>26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27</v>
      </c>
      <c r="N1104">
        <v>5</v>
      </c>
      <c r="O1104" t="s">
        <v>40</v>
      </c>
      <c r="P1104">
        <v>71.599999999999994</v>
      </c>
      <c r="Q1104">
        <v>1664</v>
      </c>
      <c r="R1104">
        <v>5</v>
      </c>
      <c r="S1104">
        <v>2</v>
      </c>
      <c r="T1104" t="s">
        <v>29</v>
      </c>
      <c r="U1104" t="s">
        <v>30</v>
      </c>
      <c r="V1104">
        <v>31338</v>
      </c>
      <c r="W1104">
        <v>3.61</v>
      </c>
      <c r="X1104">
        <v>7</v>
      </c>
    </row>
    <row r="1105" spans="1:24" x14ac:dyDescent="0.3">
      <c r="A1105" t="s">
        <v>94</v>
      </c>
      <c r="B1105" t="s">
        <v>128</v>
      </c>
      <c r="C1105">
        <v>2022</v>
      </c>
      <c r="D1105" t="s">
        <v>33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27</v>
      </c>
      <c r="N1105">
        <v>5</v>
      </c>
      <c r="O1105" t="s">
        <v>58</v>
      </c>
      <c r="P1105">
        <v>39.700000000000003</v>
      </c>
      <c r="Q1105">
        <v>1640</v>
      </c>
      <c r="R1105">
        <v>5</v>
      </c>
      <c r="S1105">
        <v>0</v>
      </c>
      <c r="T1105" t="s">
        <v>41</v>
      </c>
      <c r="U1105" t="s">
        <v>30</v>
      </c>
      <c r="V1105">
        <v>27062</v>
      </c>
      <c r="W1105">
        <v>3.19</v>
      </c>
      <c r="X1105">
        <v>5</v>
      </c>
    </row>
    <row r="1106" spans="1:24" x14ac:dyDescent="0.3">
      <c r="A1106" t="s">
        <v>121</v>
      </c>
      <c r="B1106" t="s">
        <v>122</v>
      </c>
      <c r="C1106">
        <v>2022</v>
      </c>
      <c r="D1106" t="s">
        <v>26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48</v>
      </c>
      <c r="N1106">
        <v>5</v>
      </c>
      <c r="O1106" t="s">
        <v>28</v>
      </c>
      <c r="P1106">
        <v>74.099999999999994</v>
      </c>
      <c r="Q1106">
        <v>2794</v>
      </c>
      <c r="R1106">
        <v>5</v>
      </c>
      <c r="S1106">
        <v>2</v>
      </c>
      <c r="T1106" t="s">
        <v>123</v>
      </c>
      <c r="U1106" t="s">
        <v>33</v>
      </c>
      <c r="V1106">
        <v>3031</v>
      </c>
      <c r="W1106">
        <v>3.51</v>
      </c>
      <c r="X1106">
        <v>3</v>
      </c>
    </row>
    <row r="1107" spans="1:24" x14ac:dyDescent="0.3">
      <c r="A1107" t="s">
        <v>46</v>
      </c>
      <c r="B1107" t="s">
        <v>47</v>
      </c>
      <c r="C1107">
        <v>2026</v>
      </c>
      <c r="D1107" t="s">
        <v>26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27</v>
      </c>
      <c r="N1107">
        <v>7</v>
      </c>
      <c r="O1107" t="s">
        <v>50</v>
      </c>
      <c r="P1107">
        <v>18.3</v>
      </c>
      <c r="Q1107">
        <v>1825</v>
      </c>
      <c r="R1107">
        <v>4</v>
      </c>
      <c r="S1107">
        <v>2</v>
      </c>
      <c r="T1107" t="s">
        <v>41</v>
      </c>
      <c r="U1107" t="s">
        <v>30</v>
      </c>
      <c r="V1107">
        <v>193133</v>
      </c>
      <c r="W1107">
        <v>3.85</v>
      </c>
      <c r="X1107">
        <v>5</v>
      </c>
    </row>
    <row r="1108" spans="1:24" x14ac:dyDescent="0.3">
      <c r="A1108" t="s">
        <v>24</v>
      </c>
      <c r="B1108" t="s">
        <v>25</v>
      </c>
      <c r="C1108">
        <v>2025</v>
      </c>
      <c r="D1108" t="s">
        <v>44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34</v>
      </c>
      <c r="N1108">
        <v>5</v>
      </c>
      <c r="O1108" t="s">
        <v>51</v>
      </c>
      <c r="P1108">
        <v>21.4</v>
      </c>
      <c r="Q1108">
        <v>1712</v>
      </c>
      <c r="R1108">
        <v>4</v>
      </c>
      <c r="S1108">
        <v>1</v>
      </c>
      <c r="T1108" t="s">
        <v>29</v>
      </c>
      <c r="U1108" t="s">
        <v>33</v>
      </c>
      <c r="V1108">
        <v>224398</v>
      </c>
      <c r="W1108">
        <v>3.79</v>
      </c>
      <c r="X1108">
        <v>3</v>
      </c>
    </row>
    <row r="1109" spans="1:24" x14ac:dyDescent="0.3">
      <c r="A1109" t="s">
        <v>38</v>
      </c>
      <c r="B1109" t="s">
        <v>118</v>
      </c>
      <c r="C1109">
        <v>2021</v>
      </c>
      <c r="D1109" t="s">
        <v>33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27</v>
      </c>
      <c r="N1109">
        <v>5</v>
      </c>
      <c r="O1109" t="s">
        <v>58</v>
      </c>
      <c r="P1109">
        <v>32</v>
      </c>
      <c r="Q1109">
        <v>1519</v>
      </c>
      <c r="R1109">
        <v>4</v>
      </c>
      <c r="S1109">
        <v>1</v>
      </c>
      <c r="T1109" t="s">
        <v>41</v>
      </c>
      <c r="U1109" t="s">
        <v>37</v>
      </c>
      <c r="V1109">
        <v>1550</v>
      </c>
      <c r="W1109">
        <v>3.22</v>
      </c>
      <c r="X1109">
        <v>4</v>
      </c>
    </row>
    <row r="1110" spans="1:24" x14ac:dyDescent="0.3">
      <c r="A1110" t="s">
        <v>38</v>
      </c>
      <c r="B1110" t="s">
        <v>55</v>
      </c>
      <c r="C1110">
        <v>2025</v>
      </c>
      <c r="D1110" t="s">
        <v>33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48</v>
      </c>
      <c r="N1110">
        <v>5</v>
      </c>
      <c r="O1110" t="s">
        <v>58</v>
      </c>
      <c r="P1110">
        <v>32.5</v>
      </c>
      <c r="Q1110">
        <v>1721</v>
      </c>
      <c r="R1110">
        <v>3</v>
      </c>
      <c r="S1110">
        <v>0</v>
      </c>
      <c r="T1110" t="s">
        <v>41</v>
      </c>
      <c r="U1110" t="s">
        <v>33</v>
      </c>
      <c r="V1110">
        <v>14992</v>
      </c>
      <c r="W1110">
        <v>3.62</v>
      </c>
      <c r="X1110">
        <v>4</v>
      </c>
    </row>
    <row r="1111" spans="1:24" x14ac:dyDescent="0.3">
      <c r="A1111" t="s">
        <v>46</v>
      </c>
      <c r="B1111" t="s">
        <v>47</v>
      </c>
      <c r="C1111">
        <v>2025</v>
      </c>
      <c r="D1111" t="s">
        <v>44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34</v>
      </c>
      <c r="N1111">
        <v>7</v>
      </c>
      <c r="O1111" t="s">
        <v>51</v>
      </c>
      <c r="P1111">
        <v>37.299999999999997</v>
      </c>
      <c r="Q1111">
        <v>1602</v>
      </c>
      <c r="R1111">
        <v>5</v>
      </c>
      <c r="S1111">
        <v>2</v>
      </c>
      <c r="T1111" t="s">
        <v>41</v>
      </c>
      <c r="U1111" t="s">
        <v>66</v>
      </c>
      <c r="V1111">
        <v>146342</v>
      </c>
      <c r="W1111">
        <v>4</v>
      </c>
      <c r="X1111">
        <v>4</v>
      </c>
    </row>
    <row r="1112" spans="1:24" x14ac:dyDescent="0.3">
      <c r="A1112" t="s">
        <v>76</v>
      </c>
      <c r="B1112" t="s">
        <v>91</v>
      </c>
      <c r="C1112">
        <v>2023</v>
      </c>
      <c r="D1112" t="s">
        <v>26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27</v>
      </c>
      <c r="N1112">
        <v>2</v>
      </c>
      <c r="O1112" t="s">
        <v>28</v>
      </c>
      <c r="P1112">
        <v>57.7</v>
      </c>
      <c r="Q1112">
        <v>2445</v>
      </c>
      <c r="R1112">
        <v>5</v>
      </c>
      <c r="S1112">
        <v>2</v>
      </c>
      <c r="T1112" t="s">
        <v>41</v>
      </c>
      <c r="U1112" t="s">
        <v>33</v>
      </c>
      <c r="V1112">
        <v>23821</v>
      </c>
      <c r="W1112">
        <v>3.84</v>
      </c>
      <c r="X1112">
        <v>3</v>
      </c>
    </row>
    <row r="1113" spans="1:24" x14ac:dyDescent="0.3">
      <c r="A1113" t="s">
        <v>63</v>
      </c>
      <c r="B1113" t="s">
        <v>67</v>
      </c>
      <c r="C1113">
        <v>2025</v>
      </c>
      <c r="D1113" t="s">
        <v>26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27</v>
      </c>
      <c r="N1113">
        <v>5</v>
      </c>
      <c r="O1113" t="s">
        <v>58</v>
      </c>
      <c r="P1113">
        <v>22.8</v>
      </c>
      <c r="Q1113">
        <v>1500</v>
      </c>
      <c r="R1113">
        <v>4</v>
      </c>
      <c r="S1113">
        <v>1</v>
      </c>
      <c r="T1113" t="s">
        <v>65</v>
      </c>
      <c r="U1113" t="s">
        <v>33</v>
      </c>
      <c r="V1113">
        <v>108251</v>
      </c>
      <c r="W1113">
        <v>3.65</v>
      </c>
      <c r="X1113">
        <v>4</v>
      </c>
    </row>
    <row r="1114" spans="1:24" x14ac:dyDescent="0.3">
      <c r="A1114" t="s">
        <v>63</v>
      </c>
      <c r="B1114" t="s">
        <v>107</v>
      </c>
      <c r="C1114">
        <v>2026</v>
      </c>
      <c r="D1114" t="s">
        <v>56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27</v>
      </c>
      <c r="N1114">
        <v>5</v>
      </c>
      <c r="O1114" t="s">
        <v>35</v>
      </c>
      <c r="P1114">
        <v>49.5</v>
      </c>
      <c r="Q1114">
        <v>1873</v>
      </c>
      <c r="R1114">
        <v>5</v>
      </c>
      <c r="S1114">
        <v>1</v>
      </c>
      <c r="T1114" t="s">
        <v>65</v>
      </c>
      <c r="U1114" t="s">
        <v>37</v>
      </c>
      <c r="V1114">
        <v>119766</v>
      </c>
      <c r="W1114">
        <v>3.6</v>
      </c>
      <c r="X1114">
        <v>4</v>
      </c>
    </row>
    <row r="1115" spans="1:24" x14ac:dyDescent="0.3">
      <c r="A1115" t="s">
        <v>68</v>
      </c>
      <c r="B1115" t="s">
        <v>90</v>
      </c>
      <c r="C1115">
        <v>2023</v>
      </c>
      <c r="D1115" t="s">
        <v>61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48</v>
      </c>
      <c r="N1115">
        <v>5</v>
      </c>
      <c r="O1115" t="s">
        <v>28</v>
      </c>
      <c r="P1115">
        <v>66.3</v>
      </c>
      <c r="Q1115">
        <v>2647</v>
      </c>
      <c r="R1115">
        <v>5</v>
      </c>
      <c r="S1115">
        <v>1</v>
      </c>
      <c r="T1115" t="s">
        <v>45</v>
      </c>
      <c r="U1115" t="s">
        <v>33</v>
      </c>
      <c r="V1115">
        <v>142666</v>
      </c>
      <c r="W1115">
        <v>3.15</v>
      </c>
      <c r="X1115">
        <v>4</v>
      </c>
    </row>
    <row r="1116" spans="1:24" x14ac:dyDescent="0.3">
      <c r="A1116" t="s">
        <v>42</v>
      </c>
      <c r="B1116" t="s">
        <v>43</v>
      </c>
      <c r="C1116">
        <v>2024</v>
      </c>
      <c r="D1116" t="s">
        <v>61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34</v>
      </c>
      <c r="N1116">
        <v>5</v>
      </c>
      <c r="O1116" t="s">
        <v>35</v>
      </c>
      <c r="P1116">
        <v>37.6</v>
      </c>
      <c r="Q1116">
        <v>2224</v>
      </c>
      <c r="R1116">
        <v>4</v>
      </c>
      <c r="S1116">
        <v>0</v>
      </c>
      <c r="T1116" t="s">
        <v>45</v>
      </c>
      <c r="U1116" t="s">
        <v>66</v>
      </c>
      <c r="V1116">
        <v>131619</v>
      </c>
      <c r="W1116">
        <v>3.27</v>
      </c>
      <c r="X1116">
        <v>3</v>
      </c>
    </row>
    <row r="1117" spans="1:24" x14ac:dyDescent="0.3">
      <c r="A1117" t="s">
        <v>42</v>
      </c>
      <c r="B1117" t="s">
        <v>80</v>
      </c>
      <c r="C1117">
        <v>2022</v>
      </c>
      <c r="D1117" t="s">
        <v>44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27</v>
      </c>
      <c r="N1117">
        <v>5</v>
      </c>
      <c r="O1117" t="s">
        <v>35</v>
      </c>
      <c r="P1117">
        <v>43.9</v>
      </c>
      <c r="Q1117">
        <v>1945</v>
      </c>
      <c r="R1117">
        <v>5</v>
      </c>
      <c r="S1117">
        <v>2</v>
      </c>
      <c r="T1117" t="s">
        <v>45</v>
      </c>
      <c r="U1117" t="s">
        <v>33</v>
      </c>
      <c r="V1117">
        <v>89937</v>
      </c>
      <c r="W1117">
        <v>3.58</v>
      </c>
      <c r="X1117">
        <v>3</v>
      </c>
    </row>
    <row r="1118" spans="1:24" x14ac:dyDescent="0.3">
      <c r="A1118" t="s">
        <v>46</v>
      </c>
      <c r="B1118" t="s">
        <v>57</v>
      </c>
      <c r="C1118">
        <v>2023</v>
      </c>
      <c r="D1118" t="s">
        <v>26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48</v>
      </c>
      <c r="N1118">
        <v>5</v>
      </c>
      <c r="O1118" t="s">
        <v>51</v>
      </c>
      <c r="P1118">
        <v>37.9</v>
      </c>
      <c r="Q1118">
        <v>1802</v>
      </c>
      <c r="R1118">
        <v>3</v>
      </c>
      <c r="S1118">
        <v>2</v>
      </c>
      <c r="T1118" t="s">
        <v>41</v>
      </c>
      <c r="U1118" t="s">
        <v>30</v>
      </c>
      <c r="V1118">
        <v>247669</v>
      </c>
      <c r="W1118">
        <v>4.2</v>
      </c>
      <c r="X1118">
        <v>5</v>
      </c>
    </row>
    <row r="1119" spans="1:24" x14ac:dyDescent="0.3">
      <c r="A1119" t="s">
        <v>86</v>
      </c>
      <c r="B1119" t="s">
        <v>108</v>
      </c>
      <c r="C1119">
        <v>2024</v>
      </c>
      <c r="D1119" t="s">
        <v>44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34</v>
      </c>
      <c r="N1119">
        <v>5</v>
      </c>
      <c r="O1119" t="s">
        <v>51</v>
      </c>
      <c r="P1119">
        <v>33.700000000000003</v>
      </c>
      <c r="Q1119">
        <v>1758</v>
      </c>
      <c r="R1119">
        <v>5</v>
      </c>
      <c r="S1119">
        <v>1</v>
      </c>
      <c r="T1119" t="s">
        <v>29</v>
      </c>
      <c r="U1119" t="s">
        <v>30</v>
      </c>
      <c r="V1119">
        <v>45413</v>
      </c>
      <c r="W1119">
        <v>3.78</v>
      </c>
      <c r="X1119">
        <v>6</v>
      </c>
    </row>
    <row r="1120" spans="1:24" x14ac:dyDescent="0.3">
      <c r="A1120" t="s">
        <v>63</v>
      </c>
      <c r="B1120" t="s">
        <v>96</v>
      </c>
      <c r="C1120">
        <v>2025</v>
      </c>
      <c r="D1120" t="s">
        <v>56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27</v>
      </c>
      <c r="N1120">
        <v>5</v>
      </c>
      <c r="O1120" t="s">
        <v>50</v>
      </c>
      <c r="P1120">
        <v>34.9</v>
      </c>
      <c r="Q1120">
        <v>1500</v>
      </c>
      <c r="R1120">
        <v>4</v>
      </c>
      <c r="S1120">
        <v>0</v>
      </c>
      <c r="T1120" t="s">
        <v>65</v>
      </c>
      <c r="U1120" t="s">
        <v>33</v>
      </c>
      <c r="V1120">
        <v>205374</v>
      </c>
      <c r="W1120">
        <v>3.21</v>
      </c>
      <c r="X1120">
        <v>4</v>
      </c>
    </row>
    <row r="1121" spans="1:24" x14ac:dyDescent="0.3">
      <c r="A1121" t="s">
        <v>46</v>
      </c>
      <c r="B1121" t="s">
        <v>57</v>
      </c>
      <c r="C1121">
        <v>2023</v>
      </c>
      <c r="D1121" t="s">
        <v>61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27</v>
      </c>
      <c r="N1121">
        <v>7</v>
      </c>
      <c r="O1121" t="s">
        <v>50</v>
      </c>
      <c r="P1121">
        <v>36.4</v>
      </c>
      <c r="Q1121">
        <v>1713</v>
      </c>
      <c r="R1121">
        <v>3</v>
      </c>
      <c r="S1121">
        <v>3</v>
      </c>
      <c r="T1121" t="s">
        <v>41</v>
      </c>
      <c r="U1121" t="s">
        <v>33</v>
      </c>
      <c r="V1121">
        <v>116755</v>
      </c>
      <c r="W1121">
        <v>3.27</v>
      </c>
      <c r="X1121">
        <v>5</v>
      </c>
    </row>
    <row r="1122" spans="1:24" x14ac:dyDescent="0.3">
      <c r="A1122" t="s">
        <v>86</v>
      </c>
      <c r="B1122" t="s">
        <v>87</v>
      </c>
      <c r="C1122">
        <v>2023</v>
      </c>
      <c r="D1122" t="s">
        <v>44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34</v>
      </c>
      <c r="N1122">
        <v>5</v>
      </c>
      <c r="O1122" t="s">
        <v>35</v>
      </c>
      <c r="P1122">
        <v>53</v>
      </c>
      <c r="Q1122">
        <v>2231</v>
      </c>
      <c r="R1122">
        <v>5</v>
      </c>
      <c r="S1122">
        <v>2</v>
      </c>
      <c r="T1122" t="s">
        <v>29</v>
      </c>
      <c r="U1122" t="s">
        <v>37</v>
      </c>
      <c r="V1122">
        <v>67458</v>
      </c>
      <c r="W1122">
        <v>3.6</v>
      </c>
      <c r="X1122">
        <v>5</v>
      </c>
    </row>
    <row r="1123" spans="1:24" x14ac:dyDescent="0.3">
      <c r="A1123" t="s">
        <v>31</v>
      </c>
      <c r="B1123" t="s">
        <v>112</v>
      </c>
      <c r="C1123">
        <v>2022</v>
      </c>
      <c r="D1123" t="s">
        <v>56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34</v>
      </c>
      <c r="N1123">
        <v>5</v>
      </c>
      <c r="O1123" t="s">
        <v>50</v>
      </c>
      <c r="P1123">
        <v>34.200000000000003</v>
      </c>
      <c r="Q1123">
        <v>1689</v>
      </c>
      <c r="R1123">
        <v>4</v>
      </c>
      <c r="S1123">
        <v>0</v>
      </c>
      <c r="T1123" t="s">
        <v>36</v>
      </c>
      <c r="U1123" t="s">
        <v>37</v>
      </c>
      <c r="V1123">
        <v>3528</v>
      </c>
      <c r="W1123">
        <v>3.67</v>
      </c>
      <c r="X1123">
        <v>3</v>
      </c>
    </row>
    <row r="1124" spans="1:24" x14ac:dyDescent="0.3">
      <c r="A1124" t="s">
        <v>52</v>
      </c>
      <c r="B1124" t="s">
        <v>126</v>
      </c>
      <c r="C1124">
        <v>2025</v>
      </c>
      <c r="D1124" t="s">
        <v>33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48</v>
      </c>
      <c r="N1124">
        <v>7</v>
      </c>
      <c r="O1124" t="s">
        <v>35</v>
      </c>
      <c r="P1124">
        <v>69.599999999999994</v>
      </c>
      <c r="Q1124">
        <v>2158</v>
      </c>
      <c r="R1124">
        <v>4</v>
      </c>
      <c r="S1124">
        <v>2</v>
      </c>
      <c r="T1124" t="s">
        <v>29</v>
      </c>
      <c r="U1124" t="s">
        <v>30</v>
      </c>
      <c r="V1124">
        <v>79068</v>
      </c>
      <c r="W1124">
        <v>3.36</v>
      </c>
      <c r="X1124">
        <v>6</v>
      </c>
    </row>
    <row r="1125" spans="1:24" x14ac:dyDescent="0.3">
      <c r="A1125" t="s">
        <v>76</v>
      </c>
      <c r="B1125" t="s">
        <v>98</v>
      </c>
      <c r="C1125">
        <v>2024</v>
      </c>
      <c r="D1125" t="s">
        <v>33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48</v>
      </c>
      <c r="N1125">
        <v>7</v>
      </c>
      <c r="O1125" t="s">
        <v>51</v>
      </c>
      <c r="P1125">
        <v>30.1</v>
      </c>
      <c r="Q1125">
        <v>1500</v>
      </c>
      <c r="R1125">
        <v>5</v>
      </c>
      <c r="S1125">
        <v>0</v>
      </c>
      <c r="T1125" t="s">
        <v>41</v>
      </c>
      <c r="U1125" t="s">
        <v>33</v>
      </c>
      <c r="V1125">
        <v>37698</v>
      </c>
      <c r="W1125">
        <v>3.44</v>
      </c>
      <c r="X1125">
        <v>3</v>
      </c>
    </row>
    <row r="1126" spans="1:24" x14ac:dyDescent="0.3">
      <c r="A1126" t="s">
        <v>83</v>
      </c>
      <c r="B1126" t="s">
        <v>116</v>
      </c>
      <c r="C1126">
        <v>2022</v>
      </c>
      <c r="D1126" t="s">
        <v>61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27</v>
      </c>
      <c r="N1126">
        <v>5</v>
      </c>
      <c r="O1126" t="s">
        <v>51</v>
      </c>
      <c r="P1126">
        <v>37.700000000000003</v>
      </c>
      <c r="Q1126">
        <v>1807</v>
      </c>
      <c r="R1126">
        <v>4</v>
      </c>
      <c r="S1126">
        <v>2</v>
      </c>
      <c r="T1126" t="s">
        <v>29</v>
      </c>
      <c r="U1126" t="s">
        <v>33</v>
      </c>
      <c r="V1126">
        <v>76842</v>
      </c>
      <c r="W1126">
        <v>3.62</v>
      </c>
      <c r="X1126">
        <v>5</v>
      </c>
    </row>
    <row r="1127" spans="1:24" x14ac:dyDescent="0.3">
      <c r="A1127" t="s">
        <v>42</v>
      </c>
      <c r="B1127" t="s">
        <v>71</v>
      </c>
      <c r="C1127">
        <v>2021</v>
      </c>
      <c r="D1127" t="s">
        <v>26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27</v>
      </c>
      <c r="N1127">
        <v>7</v>
      </c>
      <c r="O1127" t="s">
        <v>40</v>
      </c>
      <c r="P1127">
        <v>72.8</v>
      </c>
      <c r="Q1127">
        <v>1618</v>
      </c>
      <c r="R1127">
        <v>5</v>
      </c>
      <c r="S1127">
        <v>0</v>
      </c>
      <c r="T1127" t="s">
        <v>45</v>
      </c>
      <c r="U1127" t="s">
        <v>30</v>
      </c>
      <c r="V1127">
        <v>120403</v>
      </c>
      <c r="W1127">
        <v>3.37</v>
      </c>
      <c r="X1127">
        <v>3</v>
      </c>
    </row>
    <row r="1128" spans="1:24" x14ac:dyDescent="0.3">
      <c r="A1128" t="s">
        <v>46</v>
      </c>
      <c r="B1128" t="s">
        <v>57</v>
      </c>
      <c r="C1128">
        <v>2025</v>
      </c>
      <c r="D1128" t="s">
        <v>61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34</v>
      </c>
      <c r="N1128">
        <v>5</v>
      </c>
      <c r="O1128" t="s">
        <v>58</v>
      </c>
      <c r="P1128">
        <v>17.7</v>
      </c>
      <c r="Q1128">
        <v>1837</v>
      </c>
      <c r="R1128">
        <v>5</v>
      </c>
      <c r="S1128">
        <v>2</v>
      </c>
      <c r="T1128" t="s">
        <v>41</v>
      </c>
      <c r="U1128" t="s">
        <v>37</v>
      </c>
      <c r="V1128">
        <v>150860</v>
      </c>
      <c r="W1128">
        <v>3.42</v>
      </c>
      <c r="X1128">
        <v>5</v>
      </c>
    </row>
    <row r="1129" spans="1:24" x14ac:dyDescent="0.3">
      <c r="A1129" t="s">
        <v>24</v>
      </c>
      <c r="B1129" t="s">
        <v>85</v>
      </c>
      <c r="C1129">
        <v>2025</v>
      </c>
      <c r="D1129" t="s">
        <v>44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34</v>
      </c>
      <c r="N1129">
        <v>7</v>
      </c>
      <c r="O1129" t="s">
        <v>28</v>
      </c>
      <c r="P1129">
        <v>78.900000000000006</v>
      </c>
      <c r="Q1129">
        <v>2795</v>
      </c>
      <c r="R1129">
        <v>5</v>
      </c>
      <c r="S1129">
        <v>2</v>
      </c>
      <c r="T1129" t="s">
        <v>29</v>
      </c>
      <c r="U1129" t="s">
        <v>33</v>
      </c>
      <c r="V1129">
        <v>251846</v>
      </c>
      <c r="W1129">
        <v>3.59</v>
      </c>
      <c r="X1129">
        <v>4</v>
      </c>
    </row>
    <row r="1130" spans="1:24" x14ac:dyDescent="0.3">
      <c r="A1130" t="s">
        <v>24</v>
      </c>
      <c r="B1130" t="s">
        <v>25</v>
      </c>
      <c r="C1130">
        <v>2024</v>
      </c>
      <c r="D1130" t="s">
        <v>61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27</v>
      </c>
      <c r="N1130">
        <v>5</v>
      </c>
      <c r="O1130" t="s">
        <v>58</v>
      </c>
      <c r="P1130">
        <v>18.7</v>
      </c>
      <c r="Q1130">
        <v>1533</v>
      </c>
      <c r="R1130">
        <v>5</v>
      </c>
      <c r="S1130">
        <v>0</v>
      </c>
      <c r="T1130" t="s">
        <v>29</v>
      </c>
      <c r="U1130" t="s">
        <v>37</v>
      </c>
      <c r="V1130">
        <v>274696</v>
      </c>
      <c r="W1130">
        <v>3.4</v>
      </c>
      <c r="X1130">
        <v>3</v>
      </c>
    </row>
    <row r="1131" spans="1:24" x14ac:dyDescent="0.3">
      <c r="A1131" t="s">
        <v>63</v>
      </c>
      <c r="B1131" t="s">
        <v>73</v>
      </c>
      <c r="C1131">
        <v>2025</v>
      </c>
      <c r="D1131" t="s">
        <v>56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27</v>
      </c>
      <c r="N1131">
        <v>7</v>
      </c>
      <c r="O1131" t="s">
        <v>58</v>
      </c>
      <c r="P1131">
        <v>29.9</v>
      </c>
      <c r="Q1131">
        <v>1812</v>
      </c>
      <c r="R1131">
        <v>4</v>
      </c>
      <c r="S1131">
        <v>0</v>
      </c>
      <c r="T1131" t="s">
        <v>65</v>
      </c>
      <c r="U1131" t="s">
        <v>33</v>
      </c>
      <c r="V1131">
        <v>243890</v>
      </c>
      <c r="W1131">
        <v>3.08</v>
      </c>
      <c r="X1131">
        <v>4</v>
      </c>
    </row>
    <row r="1132" spans="1:24" x14ac:dyDescent="0.3">
      <c r="A1132" t="s">
        <v>38</v>
      </c>
      <c r="B1132" t="s">
        <v>118</v>
      </c>
      <c r="C1132">
        <v>2023</v>
      </c>
      <c r="D1132" t="s">
        <v>33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27</v>
      </c>
      <c r="N1132">
        <v>5</v>
      </c>
      <c r="O1132" t="s">
        <v>35</v>
      </c>
      <c r="P1132">
        <v>65.5</v>
      </c>
      <c r="Q1132">
        <v>1762</v>
      </c>
      <c r="R1132">
        <v>5</v>
      </c>
      <c r="S1132">
        <v>1</v>
      </c>
      <c r="T1132" t="s">
        <v>41</v>
      </c>
      <c r="U1132" t="s">
        <v>33</v>
      </c>
      <c r="V1132">
        <v>7223</v>
      </c>
      <c r="W1132">
        <v>3.41</v>
      </c>
      <c r="X1132">
        <v>4</v>
      </c>
    </row>
    <row r="1133" spans="1:24" x14ac:dyDescent="0.3">
      <c r="A1133" t="s">
        <v>68</v>
      </c>
      <c r="B1133" t="s">
        <v>90</v>
      </c>
      <c r="C1133">
        <v>2025</v>
      </c>
      <c r="D1133" t="s">
        <v>61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48</v>
      </c>
      <c r="N1133">
        <v>5</v>
      </c>
      <c r="O1133" t="s">
        <v>40</v>
      </c>
      <c r="P1133">
        <v>68.8</v>
      </c>
      <c r="Q1133">
        <v>1742</v>
      </c>
      <c r="R1133">
        <v>5</v>
      </c>
      <c r="S1133">
        <v>2</v>
      </c>
      <c r="T1133" t="s">
        <v>45</v>
      </c>
      <c r="U1133" t="s">
        <v>33</v>
      </c>
      <c r="V1133">
        <v>99183</v>
      </c>
      <c r="W1133">
        <v>3.55</v>
      </c>
      <c r="X1133">
        <v>3</v>
      </c>
    </row>
    <row r="1134" spans="1:24" x14ac:dyDescent="0.3">
      <c r="A1134" t="s">
        <v>46</v>
      </c>
      <c r="B1134" t="s">
        <v>49</v>
      </c>
      <c r="C1134">
        <v>2024</v>
      </c>
      <c r="D1134" t="s">
        <v>33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48</v>
      </c>
      <c r="N1134">
        <v>5</v>
      </c>
      <c r="O1134" t="s">
        <v>50</v>
      </c>
      <c r="P1134">
        <v>30.3</v>
      </c>
      <c r="Q1134">
        <v>1769</v>
      </c>
      <c r="R1134">
        <v>4</v>
      </c>
      <c r="S1134">
        <v>3</v>
      </c>
      <c r="T1134" t="s">
        <v>41</v>
      </c>
      <c r="U1134" t="s">
        <v>30</v>
      </c>
      <c r="V1134">
        <v>429314</v>
      </c>
      <c r="W1134">
        <v>3.65</v>
      </c>
      <c r="X1134">
        <v>4</v>
      </c>
    </row>
    <row r="1135" spans="1:24" x14ac:dyDescent="0.3">
      <c r="A1135" t="s">
        <v>63</v>
      </c>
      <c r="B1135" t="s">
        <v>73</v>
      </c>
      <c r="C1135">
        <v>2023</v>
      </c>
      <c r="D1135" t="s">
        <v>56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48</v>
      </c>
      <c r="N1135">
        <v>5</v>
      </c>
      <c r="O1135" t="s">
        <v>35</v>
      </c>
      <c r="P1135">
        <v>36.200000000000003</v>
      </c>
      <c r="Q1135">
        <v>2000</v>
      </c>
      <c r="R1135">
        <v>5</v>
      </c>
      <c r="S1135">
        <v>2</v>
      </c>
      <c r="T1135" t="s">
        <v>65</v>
      </c>
      <c r="U1135" t="s">
        <v>37</v>
      </c>
      <c r="V1135">
        <v>143487</v>
      </c>
      <c r="W1135">
        <v>3.37</v>
      </c>
      <c r="X1135">
        <v>4</v>
      </c>
    </row>
    <row r="1136" spans="1:24" x14ac:dyDescent="0.3">
      <c r="A1136" t="s">
        <v>83</v>
      </c>
      <c r="B1136" t="s">
        <v>116</v>
      </c>
      <c r="C1136">
        <v>2024</v>
      </c>
      <c r="D1136" t="s">
        <v>61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27</v>
      </c>
      <c r="N1136">
        <v>7</v>
      </c>
      <c r="O1136" t="s">
        <v>28</v>
      </c>
      <c r="P1136">
        <v>50.7</v>
      </c>
      <c r="Q1136">
        <v>2534</v>
      </c>
      <c r="R1136">
        <v>4</v>
      </c>
      <c r="S1136">
        <v>2</v>
      </c>
      <c r="T1136" t="s">
        <v>29</v>
      </c>
      <c r="U1136" t="s">
        <v>33</v>
      </c>
      <c r="V1136">
        <v>64056</v>
      </c>
      <c r="W1136">
        <v>3.51</v>
      </c>
      <c r="X1136">
        <v>5</v>
      </c>
    </row>
    <row r="1137" spans="1:24" x14ac:dyDescent="0.3">
      <c r="A1137" t="s">
        <v>46</v>
      </c>
      <c r="B1137" t="s">
        <v>72</v>
      </c>
      <c r="C1137">
        <v>2025</v>
      </c>
      <c r="D1137" t="s">
        <v>56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48</v>
      </c>
      <c r="N1137">
        <v>5</v>
      </c>
      <c r="O1137" t="s">
        <v>28</v>
      </c>
      <c r="P1137">
        <v>76.7</v>
      </c>
      <c r="Q1137">
        <v>2349</v>
      </c>
      <c r="R1137">
        <v>5</v>
      </c>
      <c r="S1137">
        <v>2</v>
      </c>
      <c r="T1137" t="s">
        <v>41</v>
      </c>
      <c r="U1137" t="s">
        <v>37</v>
      </c>
      <c r="V1137">
        <v>237113</v>
      </c>
      <c r="W1137">
        <v>3.85</v>
      </c>
      <c r="X1137">
        <v>5</v>
      </c>
    </row>
    <row r="1138" spans="1:24" x14ac:dyDescent="0.3">
      <c r="A1138" t="s">
        <v>52</v>
      </c>
      <c r="B1138" t="s">
        <v>53</v>
      </c>
      <c r="C1138">
        <v>2025</v>
      </c>
      <c r="D1138" t="s">
        <v>61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48</v>
      </c>
      <c r="N1138">
        <v>5</v>
      </c>
      <c r="O1138" t="s">
        <v>51</v>
      </c>
      <c r="P1138">
        <v>26.2</v>
      </c>
      <c r="Q1138">
        <v>1776</v>
      </c>
      <c r="R1138">
        <v>4</v>
      </c>
      <c r="S1138">
        <v>1</v>
      </c>
      <c r="T1138" t="s">
        <v>29</v>
      </c>
      <c r="U1138" t="s">
        <v>30</v>
      </c>
      <c r="V1138">
        <v>62952</v>
      </c>
      <c r="W1138">
        <v>3.64</v>
      </c>
      <c r="X1138">
        <v>6</v>
      </c>
    </row>
    <row r="1139" spans="1:24" x14ac:dyDescent="0.3">
      <c r="A1139" t="s">
        <v>68</v>
      </c>
      <c r="B1139" t="s">
        <v>69</v>
      </c>
      <c r="C1139">
        <v>2024</v>
      </c>
      <c r="D1139" t="s">
        <v>33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27</v>
      </c>
      <c r="N1139">
        <v>5</v>
      </c>
      <c r="O1139" t="s">
        <v>35</v>
      </c>
      <c r="P1139">
        <v>69.3</v>
      </c>
      <c r="Q1139">
        <v>2108</v>
      </c>
      <c r="R1139">
        <v>5</v>
      </c>
      <c r="S1139">
        <v>1</v>
      </c>
      <c r="T1139" t="s">
        <v>45</v>
      </c>
      <c r="U1139" t="s">
        <v>33</v>
      </c>
      <c r="V1139">
        <v>59030</v>
      </c>
      <c r="W1139">
        <v>3.11</v>
      </c>
      <c r="X1139">
        <v>4</v>
      </c>
    </row>
    <row r="1140" spans="1:24" x14ac:dyDescent="0.3">
      <c r="A1140" t="s">
        <v>68</v>
      </c>
      <c r="B1140" t="s">
        <v>109</v>
      </c>
      <c r="C1140">
        <v>2024</v>
      </c>
      <c r="D1140" t="s">
        <v>44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34</v>
      </c>
      <c r="N1140">
        <v>7</v>
      </c>
      <c r="O1140" t="s">
        <v>58</v>
      </c>
      <c r="P1140">
        <v>33</v>
      </c>
      <c r="Q1140">
        <v>1930</v>
      </c>
      <c r="R1140">
        <v>5</v>
      </c>
      <c r="S1140">
        <v>1</v>
      </c>
      <c r="T1140" t="s">
        <v>45</v>
      </c>
      <c r="U1140" t="s">
        <v>37</v>
      </c>
      <c r="V1140">
        <v>132537</v>
      </c>
      <c r="W1140">
        <v>3.75</v>
      </c>
      <c r="X1140">
        <v>3</v>
      </c>
    </row>
    <row r="1141" spans="1:24" x14ac:dyDescent="0.3">
      <c r="A1141" t="s">
        <v>42</v>
      </c>
      <c r="B1141" t="s">
        <v>80</v>
      </c>
      <c r="C1141">
        <v>2023</v>
      </c>
      <c r="D1141" t="s">
        <v>61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48</v>
      </c>
      <c r="N1141">
        <v>5</v>
      </c>
      <c r="O1141" t="s">
        <v>35</v>
      </c>
      <c r="P1141">
        <v>69.599999999999994</v>
      </c>
      <c r="Q1141">
        <v>2057</v>
      </c>
      <c r="R1141">
        <v>5</v>
      </c>
      <c r="S1141">
        <v>0</v>
      </c>
      <c r="T1141" t="s">
        <v>45</v>
      </c>
      <c r="U1141" t="s">
        <v>37</v>
      </c>
      <c r="V1141">
        <v>97503</v>
      </c>
      <c r="W1141">
        <v>3.22</v>
      </c>
      <c r="X1141">
        <v>5</v>
      </c>
    </row>
    <row r="1142" spans="1:24" x14ac:dyDescent="0.3">
      <c r="A1142" t="s">
        <v>52</v>
      </c>
      <c r="B1142" t="s">
        <v>126</v>
      </c>
      <c r="C1142">
        <v>2021</v>
      </c>
      <c r="D1142" t="s">
        <v>61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48</v>
      </c>
      <c r="N1142">
        <v>7</v>
      </c>
      <c r="O1142" t="s">
        <v>50</v>
      </c>
      <c r="P1142">
        <v>39.799999999999997</v>
      </c>
      <c r="Q1142">
        <v>1500</v>
      </c>
      <c r="R1142">
        <v>4</v>
      </c>
      <c r="S1142">
        <v>1</v>
      </c>
      <c r="T1142" t="s">
        <v>29</v>
      </c>
      <c r="U1142" t="s">
        <v>30</v>
      </c>
      <c r="V1142">
        <v>25083</v>
      </c>
      <c r="W1142">
        <v>3.26</v>
      </c>
      <c r="X1142">
        <v>7</v>
      </c>
    </row>
    <row r="1143" spans="1:24" x14ac:dyDescent="0.3">
      <c r="A1143" t="s">
        <v>63</v>
      </c>
      <c r="B1143" t="s">
        <v>96</v>
      </c>
      <c r="C1143">
        <v>2022</v>
      </c>
      <c r="D1143" t="s">
        <v>61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48</v>
      </c>
      <c r="N1143">
        <v>7</v>
      </c>
      <c r="O1143" t="s">
        <v>28</v>
      </c>
      <c r="P1143">
        <v>68.099999999999994</v>
      </c>
      <c r="Q1143">
        <v>2193</v>
      </c>
      <c r="R1143">
        <v>5</v>
      </c>
      <c r="S1143">
        <v>1</v>
      </c>
      <c r="T1143" t="s">
        <v>65</v>
      </c>
      <c r="U1143" t="s">
        <v>66</v>
      </c>
      <c r="V1143">
        <v>133529</v>
      </c>
      <c r="W1143">
        <v>3.4</v>
      </c>
      <c r="X1143">
        <v>3</v>
      </c>
    </row>
    <row r="1144" spans="1:24" x14ac:dyDescent="0.3">
      <c r="A1144" t="s">
        <v>83</v>
      </c>
      <c r="B1144" t="s">
        <v>116</v>
      </c>
      <c r="C1144">
        <v>2026</v>
      </c>
      <c r="D1144" t="s">
        <v>33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27</v>
      </c>
      <c r="N1144">
        <v>5</v>
      </c>
      <c r="O1144" t="s">
        <v>58</v>
      </c>
      <c r="P1144">
        <v>35.200000000000003</v>
      </c>
      <c r="Q1144">
        <v>1837</v>
      </c>
      <c r="R1144">
        <v>5</v>
      </c>
      <c r="S1144">
        <v>2</v>
      </c>
      <c r="T1144" t="s">
        <v>29</v>
      </c>
      <c r="U1144" t="s">
        <v>30</v>
      </c>
      <c r="V1144">
        <v>42817</v>
      </c>
      <c r="W1144">
        <v>3.39</v>
      </c>
      <c r="X1144">
        <v>7</v>
      </c>
    </row>
    <row r="1145" spans="1:24" x14ac:dyDescent="0.3">
      <c r="A1145" t="s">
        <v>42</v>
      </c>
      <c r="B1145" t="s">
        <v>54</v>
      </c>
      <c r="C1145">
        <v>2026</v>
      </c>
      <c r="D1145" t="s">
        <v>44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34</v>
      </c>
      <c r="N1145">
        <v>5</v>
      </c>
      <c r="O1145" t="s">
        <v>35</v>
      </c>
      <c r="P1145">
        <v>53.4</v>
      </c>
      <c r="Q1145">
        <v>2072</v>
      </c>
      <c r="R1145">
        <v>3</v>
      </c>
      <c r="S1145">
        <v>1</v>
      </c>
      <c r="T1145" t="s">
        <v>45</v>
      </c>
      <c r="U1145" t="s">
        <v>33</v>
      </c>
      <c r="V1145">
        <v>128059</v>
      </c>
      <c r="W1145">
        <v>3.95</v>
      </c>
      <c r="X1145">
        <v>4</v>
      </c>
    </row>
    <row r="1146" spans="1:24" x14ac:dyDescent="0.3">
      <c r="A1146" t="s">
        <v>63</v>
      </c>
      <c r="B1146" t="s">
        <v>64</v>
      </c>
      <c r="C1146">
        <v>2025</v>
      </c>
      <c r="D1146" t="s">
        <v>61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27</v>
      </c>
      <c r="N1146">
        <v>5</v>
      </c>
      <c r="O1146" t="s">
        <v>50</v>
      </c>
      <c r="P1146">
        <v>19</v>
      </c>
      <c r="Q1146">
        <v>1783</v>
      </c>
      <c r="R1146">
        <v>5</v>
      </c>
      <c r="S1146">
        <v>0</v>
      </c>
      <c r="T1146" t="s">
        <v>65</v>
      </c>
      <c r="U1146" t="s">
        <v>37</v>
      </c>
      <c r="V1146">
        <v>163441</v>
      </c>
      <c r="W1146">
        <v>3.69</v>
      </c>
      <c r="X1146">
        <v>4</v>
      </c>
    </row>
    <row r="1147" spans="1:24" x14ac:dyDescent="0.3">
      <c r="A1147" t="s">
        <v>86</v>
      </c>
      <c r="B1147" t="s">
        <v>117</v>
      </c>
      <c r="C1147">
        <v>2025</v>
      </c>
      <c r="D1147" t="s">
        <v>61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34</v>
      </c>
      <c r="N1147">
        <v>5</v>
      </c>
      <c r="O1147" t="s">
        <v>50</v>
      </c>
      <c r="P1147">
        <v>31.1</v>
      </c>
      <c r="Q1147">
        <v>1500</v>
      </c>
      <c r="R1147">
        <v>4</v>
      </c>
      <c r="S1147">
        <v>1</v>
      </c>
      <c r="T1147" t="s">
        <v>29</v>
      </c>
      <c r="U1147" t="s">
        <v>37</v>
      </c>
      <c r="V1147">
        <v>48087</v>
      </c>
      <c r="W1147">
        <v>3.24</v>
      </c>
      <c r="X1147">
        <v>7</v>
      </c>
    </row>
    <row r="1148" spans="1:24" x14ac:dyDescent="0.3">
      <c r="A1148" t="s">
        <v>76</v>
      </c>
      <c r="B1148" t="s">
        <v>81</v>
      </c>
      <c r="C1148">
        <v>2025</v>
      </c>
      <c r="D1148" t="s">
        <v>61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34</v>
      </c>
      <c r="N1148">
        <v>5</v>
      </c>
      <c r="O1148" t="s">
        <v>50</v>
      </c>
      <c r="P1148">
        <v>15.9</v>
      </c>
      <c r="Q1148">
        <v>1508</v>
      </c>
      <c r="R1148">
        <v>4</v>
      </c>
      <c r="S1148">
        <v>1</v>
      </c>
      <c r="T1148" t="s">
        <v>41</v>
      </c>
      <c r="U1148" t="s">
        <v>37</v>
      </c>
      <c r="V1148">
        <v>36824</v>
      </c>
      <c r="W1148">
        <v>3.23</v>
      </c>
      <c r="X1148">
        <v>4</v>
      </c>
    </row>
    <row r="1149" spans="1:24" x14ac:dyDescent="0.3">
      <c r="A1149" t="s">
        <v>83</v>
      </c>
      <c r="B1149" t="s">
        <v>104</v>
      </c>
      <c r="C1149">
        <v>2023</v>
      </c>
      <c r="D1149" t="s">
        <v>26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48</v>
      </c>
      <c r="N1149">
        <v>7</v>
      </c>
      <c r="O1149" t="s">
        <v>40</v>
      </c>
      <c r="P1149">
        <v>78</v>
      </c>
      <c r="Q1149">
        <v>1688</v>
      </c>
      <c r="R1149">
        <v>5</v>
      </c>
      <c r="S1149">
        <v>2</v>
      </c>
      <c r="T1149" t="s">
        <v>29</v>
      </c>
      <c r="U1149" t="s">
        <v>30</v>
      </c>
      <c r="V1149">
        <v>73116</v>
      </c>
      <c r="W1149">
        <v>3.97</v>
      </c>
      <c r="X1149">
        <v>5</v>
      </c>
    </row>
    <row r="1150" spans="1:24" x14ac:dyDescent="0.3">
      <c r="A1150" t="s">
        <v>52</v>
      </c>
      <c r="B1150" t="s">
        <v>103</v>
      </c>
      <c r="C1150">
        <v>2024</v>
      </c>
      <c r="D1150" t="s">
        <v>56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27</v>
      </c>
      <c r="N1150">
        <v>5</v>
      </c>
      <c r="O1150" t="s">
        <v>40</v>
      </c>
      <c r="P1150">
        <v>75.3</v>
      </c>
      <c r="Q1150">
        <v>1500</v>
      </c>
      <c r="R1150">
        <v>3</v>
      </c>
      <c r="S1150">
        <v>2</v>
      </c>
      <c r="T1150" t="s">
        <v>29</v>
      </c>
      <c r="U1150" t="s">
        <v>37</v>
      </c>
      <c r="V1150">
        <v>69358</v>
      </c>
      <c r="W1150">
        <v>3.66</v>
      </c>
      <c r="X1150">
        <v>7</v>
      </c>
    </row>
    <row r="1151" spans="1:24" x14ac:dyDescent="0.3">
      <c r="A1151" t="s">
        <v>52</v>
      </c>
      <c r="B1151" t="s">
        <v>53</v>
      </c>
      <c r="C1151">
        <v>2025</v>
      </c>
      <c r="D1151" t="s">
        <v>61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34</v>
      </c>
      <c r="N1151">
        <v>7</v>
      </c>
      <c r="O1151" t="s">
        <v>51</v>
      </c>
      <c r="P1151">
        <v>25.6</v>
      </c>
      <c r="Q1151">
        <v>1578</v>
      </c>
      <c r="R1151">
        <v>4</v>
      </c>
      <c r="S1151">
        <v>1</v>
      </c>
      <c r="T1151" t="s">
        <v>29</v>
      </c>
      <c r="U1151" t="s">
        <v>33</v>
      </c>
      <c r="V1151">
        <v>79812</v>
      </c>
      <c r="W1151">
        <v>3.77</v>
      </c>
      <c r="X1151">
        <v>7</v>
      </c>
    </row>
    <row r="1152" spans="1:24" x14ac:dyDescent="0.3">
      <c r="A1152" t="s">
        <v>38</v>
      </c>
      <c r="B1152" t="s">
        <v>101</v>
      </c>
      <c r="C1152">
        <v>2021</v>
      </c>
      <c r="D1152" t="s">
        <v>56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27</v>
      </c>
      <c r="N1152">
        <v>5</v>
      </c>
      <c r="O1152" t="s">
        <v>35</v>
      </c>
      <c r="P1152">
        <v>46.1</v>
      </c>
      <c r="Q1152">
        <v>1980</v>
      </c>
      <c r="R1152">
        <v>5</v>
      </c>
      <c r="S1152">
        <v>1</v>
      </c>
      <c r="T1152" t="s">
        <v>41</v>
      </c>
      <c r="U1152" t="s">
        <v>37</v>
      </c>
      <c r="V1152">
        <v>25340</v>
      </c>
      <c r="W1152">
        <v>3.36</v>
      </c>
      <c r="X1152">
        <v>4</v>
      </c>
    </row>
    <row r="1153" spans="1:24" x14ac:dyDescent="0.3">
      <c r="A1153" t="s">
        <v>52</v>
      </c>
      <c r="B1153" t="s">
        <v>97</v>
      </c>
      <c r="C1153">
        <v>2025</v>
      </c>
      <c r="D1153" t="s">
        <v>56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34</v>
      </c>
      <c r="N1153">
        <v>5</v>
      </c>
      <c r="O1153" t="s">
        <v>35</v>
      </c>
      <c r="P1153">
        <v>63.1</v>
      </c>
      <c r="Q1153">
        <v>1728</v>
      </c>
      <c r="R1153">
        <v>4</v>
      </c>
      <c r="S1153">
        <v>2</v>
      </c>
      <c r="T1153" t="s">
        <v>29</v>
      </c>
      <c r="U1153" t="s">
        <v>30</v>
      </c>
      <c r="V1153">
        <v>40173</v>
      </c>
      <c r="W1153">
        <v>3.67</v>
      </c>
      <c r="X1153">
        <v>8</v>
      </c>
    </row>
    <row r="1154" spans="1:24" x14ac:dyDescent="0.3">
      <c r="A1154" t="s">
        <v>38</v>
      </c>
      <c r="B1154" t="s">
        <v>55</v>
      </c>
      <c r="C1154">
        <v>2025</v>
      </c>
      <c r="D1154" t="s">
        <v>56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48</v>
      </c>
      <c r="N1154">
        <v>5</v>
      </c>
      <c r="O1154" t="s">
        <v>51</v>
      </c>
      <c r="P1154">
        <v>15</v>
      </c>
      <c r="Q1154">
        <v>1685</v>
      </c>
      <c r="R1154">
        <v>4</v>
      </c>
      <c r="S1154">
        <v>0</v>
      </c>
      <c r="T1154" t="s">
        <v>41</v>
      </c>
      <c r="U1154" t="s">
        <v>66</v>
      </c>
      <c r="V1154">
        <v>24423</v>
      </c>
      <c r="W1154">
        <v>3.83</v>
      </c>
      <c r="X1154">
        <v>4</v>
      </c>
    </row>
    <row r="1155" spans="1:24" x14ac:dyDescent="0.3">
      <c r="A1155" t="s">
        <v>83</v>
      </c>
      <c r="B1155" t="s">
        <v>84</v>
      </c>
      <c r="C1155">
        <v>2021</v>
      </c>
      <c r="D1155" t="s">
        <v>44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34</v>
      </c>
      <c r="N1155">
        <v>7</v>
      </c>
      <c r="O1155" t="s">
        <v>35</v>
      </c>
      <c r="P1155">
        <v>36.9</v>
      </c>
      <c r="Q1155">
        <v>2165</v>
      </c>
      <c r="R1155">
        <v>4</v>
      </c>
      <c r="S1155">
        <v>1</v>
      </c>
      <c r="T1155" t="s">
        <v>29</v>
      </c>
      <c r="U1155" t="s">
        <v>33</v>
      </c>
      <c r="V1155">
        <v>62356</v>
      </c>
      <c r="W1155">
        <v>3.91</v>
      </c>
      <c r="X1155">
        <v>7</v>
      </c>
    </row>
    <row r="1156" spans="1:24" x14ac:dyDescent="0.3">
      <c r="A1156" t="s">
        <v>42</v>
      </c>
      <c r="B1156" t="s">
        <v>80</v>
      </c>
      <c r="C1156">
        <v>2021</v>
      </c>
      <c r="D1156" t="s">
        <v>61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48</v>
      </c>
      <c r="N1156">
        <v>7</v>
      </c>
      <c r="O1156" t="s">
        <v>35</v>
      </c>
      <c r="P1156">
        <v>48.2</v>
      </c>
      <c r="Q1156">
        <v>1957</v>
      </c>
      <c r="R1156">
        <v>5</v>
      </c>
      <c r="S1156">
        <v>0</v>
      </c>
      <c r="T1156" t="s">
        <v>45</v>
      </c>
      <c r="U1156" t="s">
        <v>66</v>
      </c>
      <c r="V1156">
        <v>60096</v>
      </c>
      <c r="W1156">
        <v>3.21</v>
      </c>
      <c r="X1156">
        <v>5</v>
      </c>
    </row>
    <row r="1157" spans="1:24" x14ac:dyDescent="0.3">
      <c r="A1157" t="s">
        <v>38</v>
      </c>
      <c r="B1157" t="s">
        <v>118</v>
      </c>
      <c r="C1157">
        <v>2026</v>
      </c>
      <c r="D1157" t="s">
        <v>33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27</v>
      </c>
      <c r="N1157">
        <v>7</v>
      </c>
      <c r="O1157" t="s">
        <v>51</v>
      </c>
      <c r="P1157">
        <v>34.1</v>
      </c>
      <c r="Q1157">
        <v>1500</v>
      </c>
      <c r="R1157">
        <v>4</v>
      </c>
      <c r="S1157">
        <v>1</v>
      </c>
      <c r="T1157" t="s">
        <v>41</v>
      </c>
      <c r="U1157" t="s">
        <v>33</v>
      </c>
      <c r="V1157">
        <v>27929</v>
      </c>
      <c r="W1157">
        <v>3</v>
      </c>
      <c r="X1157">
        <v>5</v>
      </c>
    </row>
    <row r="1158" spans="1:24" x14ac:dyDescent="0.3">
      <c r="A1158" t="s">
        <v>46</v>
      </c>
      <c r="B1158" t="s">
        <v>57</v>
      </c>
      <c r="C1158">
        <v>2024</v>
      </c>
      <c r="D1158" t="s">
        <v>44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27</v>
      </c>
      <c r="N1158">
        <v>7</v>
      </c>
      <c r="O1158" t="s">
        <v>58</v>
      </c>
      <c r="P1158">
        <v>26.1</v>
      </c>
      <c r="Q1158">
        <v>1500</v>
      </c>
      <c r="R1158">
        <v>5</v>
      </c>
      <c r="S1158">
        <v>2</v>
      </c>
      <c r="T1158" t="s">
        <v>41</v>
      </c>
      <c r="U1158" t="s">
        <v>30</v>
      </c>
      <c r="V1158">
        <v>132013</v>
      </c>
      <c r="W1158">
        <v>3.89</v>
      </c>
      <c r="X1158">
        <v>5</v>
      </c>
    </row>
    <row r="1159" spans="1:24" x14ac:dyDescent="0.3">
      <c r="A1159" t="s">
        <v>86</v>
      </c>
      <c r="B1159" t="s">
        <v>108</v>
      </c>
      <c r="C1159">
        <v>2026</v>
      </c>
      <c r="D1159" t="s">
        <v>56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27</v>
      </c>
      <c r="N1159">
        <v>7</v>
      </c>
      <c r="O1159" t="s">
        <v>51</v>
      </c>
      <c r="P1159">
        <v>35.1</v>
      </c>
      <c r="Q1159">
        <v>1509</v>
      </c>
      <c r="R1159">
        <v>5</v>
      </c>
      <c r="S1159">
        <v>1</v>
      </c>
      <c r="T1159" t="s">
        <v>29</v>
      </c>
      <c r="U1159" t="s">
        <v>33</v>
      </c>
      <c r="V1159">
        <v>24216</v>
      </c>
      <c r="W1159">
        <v>3.41</v>
      </c>
      <c r="X1159">
        <v>7</v>
      </c>
    </row>
    <row r="1160" spans="1:24" x14ac:dyDescent="0.3">
      <c r="A1160" t="s">
        <v>52</v>
      </c>
      <c r="B1160" t="s">
        <v>53</v>
      </c>
      <c r="C1160">
        <v>2025</v>
      </c>
      <c r="D1160" t="s">
        <v>44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34</v>
      </c>
      <c r="N1160">
        <v>5</v>
      </c>
      <c r="O1160" t="s">
        <v>50</v>
      </c>
      <c r="P1160">
        <v>25.9</v>
      </c>
      <c r="Q1160">
        <v>1663</v>
      </c>
      <c r="R1160">
        <v>5</v>
      </c>
      <c r="S1160">
        <v>1</v>
      </c>
      <c r="T1160" t="s">
        <v>29</v>
      </c>
      <c r="U1160" t="s">
        <v>30</v>
      </c>
      <c r="V1160">
        <v>50432</v>
      </c>
      <c r="W1160">
        <v>4.09</v>
      </c>
      <c r="X1160">
        <v>5</v>
      </c>
    </row>
    <row r="1161" spans="1:24" x14ac:dyDescent="0.3">
      <c r="A1161" t="s">
        <v>46</v>
      </c>
      <c r="B1161" t="s">
        <v>72</v>
      </c>
      <c r="C1161">
        <v>2025</v>
      </c>
      <c r="D1161" t="s">
        <v>26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27</v>
      </c>
      <c r="N1161">
        <v>7</v>
      </c>
      <c r="O1161" t="s">
        <v>28</v>
      </c>
      <c r="P1161">
        <v>63.9</v>
      </c>
      <c r="Q1161">
        <v>2480</v>
      </c>
      <c r="R1161">
        <v>4</v>
      </c>
      <c r="S1161">
        <v>3</v>
      </c>
      <c r="T1161" t="s">
        <v>41</v>
      </c>
      <c r="U1161" t="s">
        <v>37</v>
      </c>
      <c r="V1161">
        <v>197115</v>
      </c>
      <c r="W1161">
        <v>3.86</v>
      </c>
      <c r="X1161">
        <v>5</v>
      </c>
    </row>
    <row r="1162" spans="1:24" x14ac:dyDescent="0.3">
      <c r="A1162" t="s">
        <v>52</v>
      </c>
      <c r="B1162" t="s">
        <v>62</v>
      </c>
      <c r="C1162">
        <v>2022</v>
      </c>
      <c r="D1162" t="s">
        <v>61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34</v>
      </c>
      <c r="N1162">
        <v>7</v>
      </c>
      <c r="O1162" t="s">
        <v>35</v>
      </c>
      <c r="P1162">
        <v>42.5</v>
      </c>
      <c r="Q1162">
        <v>2048</v>
      </c>
      <c r="R1162">
        <v>4</v>
      </c>
      <c r="S1162">
        <v>1</v>
      </c>
      <c r="T1162" t="s">
        <v>29</v>
      </c>
      <c r="U1162" t="s">
        <v>30</v>
      </c>
      <c r="V1162">
        <v>37272</v>
      </c>
      <c r="W1162">
        <v>3.78</v>
      </c>
      <c r="X1162">
        <v>7</v>
      </c>
    </row>
    <row r="1163" spans="1:24" x14ac:dyDescent="0.3">
      <c r="A1163" t="s">
        <v>46</v>
      </c>
      <c r="B1163" t="s">
        <v>47</v>
      </c>
      <c r="C1163">
        <v>2023</v>
      </c>
      <c r="D1163" t="s">
        <v>33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48</v>
      </c>
      <c r="N1163">
        <v>7</v>
      </c>
      <c r="O1163" t="s">
        <v>58</v>
      </c>
      <c r="P1163">
        <v>30.9</v>
      </c>
      <c r="Q1163">
        <v>1618</v>
      </c>
      <c r="R1163">
        <v>5</v>
      </c>
      <c r="S1163">
        <v>2</v>
      </c>
      <c r="T1163" t="s">
        <v>41</v>
      </c>
      <c r="U1163" t="s">
        <v>33</v>
      </c>
      <c r="V1163">
        <v>194039</v>
      </c>
      <c r="W1163">
        <v>3.62</v>
      </c>
      <c r="X1163">
        <v>4</v>
      </c>
    </row>
    <row r="1164" spans="1:24" x14ac:dyDescent="0.3">
      <c r="A1164" t="s">
        <v>63</v>
      </c>
      <c r="B1164" t="s">
        <v>64</v>
      </c>
      <c r="C1164">
        <v>2022</v>
      </c>
      <c r="D1164" t="s">
        <v>44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34</v>
      </c>
      <c r="N1164">
        <v>5</v>
      </c>
      <c r="O1164" t="s">
        <v>28</v>
      </c>
      <c r="P1164">
        <v>73.8</v>
      </c>
      <c r="Q1164">
        <v>2247</v>
      </c>
      <c r="R1164">
        <v>5</v>
      </c>
      <c r="S1164">
        <v>0</v>
      </c>
      <c r="T1164" t="s">
        <v>65</v>
      </c>
      <c r="U1164" t="s">
        <v>37</v>
      </c>
      <c r="V1164">
        <v>163016</v>
      </c>
      <c r="W1164">
        <v>3.81</v>
      </c>
      <c r="X1164">
        <v>3</v>
      </c>
    </row>
    <row r="1165" spans="1:24" x14ac:dyDescent="0.3">
      <c r="A1165" t="s">
        <v>38</v>
      </c>
      <c r="B1165" t="s">
        <v>55</v>
      </c>
      <c r="C1165">
        <v>2025</v>
      </c>
      <c r="D1165" t="s">
        <v>56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27</v>
      </c>
      <c r="N1165">
        <v>5</v>
      </c>
      <c r="O1165" t="s">
        <v>28</v>
      </c>
      <c r="P1165">
        <v>56</v>
      </c>
      <c r="Q1165">
        <v>2127</v>
      </c>
      <c r="R1165">
        <v>5</v>
      </c>
      <c r="S1165">
        <v>0</v>
      </c>
      <c r="T1165" t="s">
        <v>41</v>
      </c>
      <c r="U1165" t="s">
        <v>37</v>
      </c>
      <c r="V1165">
        <v>13397</v>
      </c>
      <c r="W1165">
        <v>3.49</v>
      </c>
      <c r="X1165">
        <v>4</v>
      </c>
    </row>
    <row r="1166" spans="1:24" x14ac:dyDescent="0.3">
      <c r="A1166" t="s">
        <v>46</v>
      </c>
      <c r="B1166" t="s">
        <v>72</v>
      </c>
      <c r="C1166">
        <v>2024</v>
      </c>
      <c r="D1166" t="s">
        <v>61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27</v>
      </c>
      <c r="N1166">
        <v>5</v>
      </c>
      <c r="O1166" t="s">
        <v>28</v>
      </c>
      <c r="P1166">
        <v>67</v>
      </c>
      <c r="Q1166">
        <v>2359</v>
      </c>
      <c r="R1166">
        <v>5</v>
      </c>
      <c r="S1166">
        <v>2</v>
      </c>
      <c r="T1166" t="s">
        <v>41</v>
      </c>
      <c r="U1166" t="s">
        <v>30</v>
      </c>
      <c r="V1166">
        <v>248389</v>
      </c>
      <c r="W1166">
        <v>3.58</v>
      </c>
      <c r="X1166">
        <v>5</v>
      </c>
    </row>
    <row r="1167" spans="1:24" x14ac:dyDescent="0.3">
      <c r="A1167" t="s">
        <v>76</v>
      </c>
      <c r="B1167" t="s">
        <v>98</v>
      </c>
      <c r="C1167">
        <v>2023</v>
      </c>
      <c r="D1167" t="s">
        <v>61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48</v>
      </c>
      <c r="N1167">
        <v>5</v>
      </c>
      <c r="O1167" t="s">
        <v>35</v>
      </c>
      <c r="P1167">
        <v>65.900000000000006</v>
      </c>
      <c r="Q1167">
        <v>2136</v>
      </c>
      <c r="R1167">
        <v>4</v>
      </c>
      <c r="S1167">
        <v>0</v>
      </c>
      <c r="T1167" t="s">
        <v>41</v>
      </c>
      <c r="U1167" t="s">
        <v>37</v>
      </c>
      <c r="V1167">
        <v>60230</v>
      </c>
      <c r="W1167">
        <v>3.57</v>
      </c>
      <c r="X1167">
        <v>4</v>
      </c>
    </row>
    <row r="1168" spans="1:24" x14ac:dyDescent="0.3">
      <c r="A1168" t="s">
        <v>52</v>
      </c>
      <c r="B1168" t="s">
        <v>97</v>
      </c>
      <c r="C1168">
        <v>2022</v>
      </c>
      <c r="D1168" t="s">
        <v>33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34</v>
      </c>
      <c r="N1168">
        <v>5</v>
      </c>
      <c r="O1168" t="s">
        <v>58</v>
      </c>
      <c r="P1168">
        <v>23.7</v>
      </c>
      <c r="Q1168">
        <v>1500</v>
      </c>
      <c r="R1168">
        <v>5</v>
      </c>
      <c r="S1168">
        <v>2</v>
      </c>
      <c r="T1168" t="s">
        <v>29</v>
      </c>
      <c r="U1168" t="s">
        <v>30</v>
      </c>
      <c r="V1168">
        <v>41853</v>
      </c>
      <c r="W1168">
        <v>3.77</v>
      </c>
      <c r="X1168">
        <v>5</v>
      </c>
    </row>
    <row r="1169" spans="1:24" x14ac:dyDescent="0.3">
      <c r="A1169" t="s">
        <v>68</v>
      </c>
      <c r="B1169" t="s">
        <v>106</v>
      </c>
      <c r="C1169">
        <v>2022</v>
      </c>
      <c r="D1169" t="s">
        <v>33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27</v>
      </c>
      <c r="N1169">
        <v>5</v>
      </c>
      <c r="O1169" t="s">
        <v>58</v>
      </c>
      <c r="P1169">
        <v>26.6</v>
      </c>
      <c r="Q1169">
        <v>1768</v>
      </c>
      <c r="R1169">
        <v>3</v>
      </c>
      <c r="S1169">
        <v>0</v>
      </c>
      <c r="T1169" t="s">
        <v>45</v>
      </c>
      <c r="U1169" t="s">
        <v>37</v>
      </c>
      <c r="V1169">
        <v>52238</v>
      </c>
      <c r="W1169">
        <v>3.21</v>
      </c>
      <c r="X1169">
        <v>4</v>
      </c>
    </row>
    <row r="1170" spans="1:24" x14ac:dyDescent="0.3">
      <c r="A1170" t="s">
        <v>46</v>
      </c>
      <c r="B1170" t="s">
        <v>47</v>
      </c>
      <c r="C1170">
        <v>2020</v>
      </c>
      <c r="D1170" t="s">
        <v>44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48</v>
      </c>
      <c r="N1170">
        <v>5</v>
      </c>
      <c r="O1170" t="s">
        <v>51</v>
      </c>
      <c r="P1170">
        <v>39</v>
      </c>
      <c r="Q1170">
        <v>1684</v>
      </c>
      <c r="R1170">
        <v>3</v>
      </c>
      <c r="S1170">
        <v>2</v>
      </c>
      <c r="T1170" t="s">
        <v>41</v>
      </c>
      <c r="U1170" t="s">
        <v>33</v>
      </c>
      <c r="V1170">
        <v>120134</v>
      </c>
      <c r="W1170">
        <v>4.09</v>
      </c>
      <c r="X1170">
        <v>4</v>
      </c>
    </row>
    <row r="1171" spans="1:24" x14ac:dyDescent="0.3">
      <c r="A1171" t="s">
        <v>63</v>
      </c>
      <c r="B1171" t="s">
        <v>64</v>
      </c>
      <c r="C1171">
        <v>2023</v>
      </c>
      <c r="D1171" t="s">
        <v>61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27</v>
      </c>
      <c r="N1171">
        <v>5</v>
      </c>
      <c r="O1171" t="s">
        <v>50</v>
      </c>
      <c r="P1171">
        <v>25.4</v>
      </c>
      <c r="Q1171">
        <v>1783</v>
      </c>
      <c r="R1171">
        <v>5</v>
      </c>
      <c r="S1171">
        <v>1</v>
      </c>
      <c r="T1171" t="s">
        <v>65</v>
      </c>
      <c r="U1171" t="s">
        <v>37</v>
      </c>
      <c r="V1171">
        <v>196923</v>
      </c>
      <c r="W1171">
        <v>3.56</v>
      </c>
      <c r="X1171">
        <v>3</v>
      </c>
    </row>
    <row r="1172" spans="1:24" x14ac:dyDescent="0.3">
      <c r="A1172" t="s">
        <v>42</v>
      </c>
      <c r="B1172" t="s">
        <v>71</v>
      </c>
      <c r="C1172">
        <v>2026</v>
      </c>
      <c r="D1172" t="s">
        <v>33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27</v>
      </c>
      <c r="N1172">
        <v>5</v>
      </c>
      <c r="O1172" t="s">
        <v>28</v>
      </c>
      <c r="P1172">
        <v>57.7</v>
      </c>
      <c r="Q1172">
        <v>2301</v>
      </c>
      <c r="R1172">
        <v>4</v>
      </c>
      <c r="S1172">
        <v>2</v>
      </c>
      <c r="T1172" t="s">
        <v>45</v>
      </c>
      <c r="U1172" t="s">
        <v>33</v>
      </c>
      <c r="V1172">
        <v>93712</v>
      </c>
      <c r="W1172">
        <v>3.12</v>
      </c>
      <c r="X1172">
        <v>4</v>
      </c>
    </row>
    <row r="1173" spans="1:24" x14ac:dyDescent="0.3">
      <c r="A1173" t="s">
        <v>134</v>
      </c>
      <c r="B1173">
        <v>2</v>
      </c>
      <c r="C1173">
        <v>2020</v>
      </c>
      <c r="D1173" t="s">
        <v>56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34</v>
      </c>
      <c r="N1173">
        <v>5</v>
      </c>
      <c r="O1173" t="s">
        <v>40</v>
      </c>
      <c r="P1173">
        <v>75.3</v>
      </c>
      <c r="Q1173">
        <v>1643</v>
      </c>
      <c r="R1173">
        <v>4</v>
      </c>
      <c r="S1173">
        <v>0</v>
      </c>
      <c r="T1173" t="s">
        <v>123</v>
      </c>
      <c r="U1173" t="s">
        <v>33</v>
      </c>
      <c r="V1173">
        <v>12945</v>
      </c>
      <c r="W1173">
        <v>3.41</v>
      </c>
      <c r="X1173">
        <v>3</v>
      </c>
    </row>
    <row r="1174" spans="1:24" x14ac:dyDescent="0.3">
      <c r="A1174" t="s">
        <v>83</v>
      </c>
      <c r="B1174" t="s">
        <v>114</v>
      </c>
      <c r="C1174">
        <v>2025</v>
      </c>
      <c r="D1174" t="s">
        <v>56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27</v>
      </c>
      <c r="N1174">
        <v>5</v>
      </c>
      <c r="O1174" t="s">
        <v>28</v>
      </c>
      <c r="P1174">
        <v>78.2</v>
      </c>
      <c r="Q1174">
        <v>2318</v>
      </c>
      <c r="R1174">
        <v>3</v>
      </c>
      <c r="S1174">
        <v>2</v>
      </c>
      <c r="T1174" t="s">
        <v>29</v>
      </c>
      <c r="U1174" t="s">
        <v>33</v>
      </c>
      <c r="V1174">
        <v>39763</v>
      </c>
      <c r="W1174">
        <v>3.26</v>
      </c>
      <c r="X1174">
        <v>6</v>
      </c>
    </row>
    <row r="1175" spans="1:24" x14ac:dyDescent="0.3">
      <c r="A1175" t="s">
        <v>63</v>
      </c>
      <c r="B1175" t="s">
        <v>96</v>
      </c>
      <c r="C1175">
        <v>2024</v>
      </c>
      <c r="D1175" t="s">
        <v>61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34</v>
      </c>
      <c r="N1175">
        <v>5</v>
      </c>
      <c r="O1175" t="s">
        <v>58</v>
      </c>
      <c r="P1175">
        <v>34.6</v>
      </c>
      <c r="Q1175">
        <v>1500</v>
      </c>
      <c r="R1175">
        <v>5</v>
      </c>
      <c r="S1175">
        <v>0</v>
      </c>
      <c r="T1175" t="s">
        <v>65</v>
      </c>
      <c r="U1175" t="s">
        <v>37</v>
      </c>
      <c r="V1175">
        <v>181198</v>
      </c>
      <c r="W1175">
        <v>3.34</v>
      </c>
      <c r="X1175">
        <v>4</v>
      </c>
    </row>
    <row r="1176" spans="1:24" x14ac:dyDescent="0.3">
      <c r="A1176" t="s">
        <v>83</v>
      </c>
      <c r="B1176" t="s">
        <v>104</v>
      </c>
      <c r="C1176">
        <v>2025</v>
      </c>
      <c r="D1176" t="s">
        <v>61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34</v>
      </c>
      <c r="N1176">
        <v>7</v>
      </c>
      <c r="O1176" t="s">
        <v>58</v>
      </c>
      <c r="P1176">
        <v>35.1</v>
      </c>
      <c r="Q1176">
        <v>1684</v>
      </c>
      <c r="R1176">
        <v>5</v>
      </c>
      <c r="S1176">
        <v>1</v>
      </c>
      <c r="T1176" t="s">
        <v>29</v>
      </c>
      <c r="U1176" t="s">
        <v>33</v>
      </c>
      <c r="V1176">
        <v>29936</v>
      </c>
      <c r="W1176">
        <v>3.7</v>
      </c>
      <c r="X1176">
        <v>7</v>
      </c>
    </row>
    <row r="1177" spans="1:24" x14ac:dyDescent="0.3">
      <c r="A1177" t="s">
        <v>42</v>
      </c>
      <c r="B1177" t="s">
        <v>115</v>
      </c>
      <c r="C1177">
        <v>2024</v>
      </c>
      <c r="D1177" t="s">
        <v>56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48</v>
      </c>
      <c r="N1177">
        <v>7</v>
      </c>
      <c r="O1177" t="s">
        <v>28</v>
      </c>
      <c r="P1177">
        <v>59.5</v>
      </c>
      <c r="Q1177">
        <v>2444</v>
      </c>
      <c r="R1177">
        <v>5</v>
      </c>
      <c r="S1177">
        <v>1</v>
      </c>
      <c r="T1177" t="s">
        <v>45</v>
      </c>
      <c r="U1177" t="s">
        <v>33</v>
      </c>
      <c r="V1177">
        <v>68801</v>
      </c>
      <c r="W1177">
        <v>3.48</v>
      </c>
      <c r="X1177">
        <v>3</v>
      </c>
    </row>
    <row r="1178" spans="1:24" x14ac:dyDescent="0.3">
      <c r="A1178" t="s">
        <v>76</v>
      </c>
      <c r="B1178" t="s">
        <v>98</v>
      </c>
      <c r="C1178">
        <v>2025</v>
      </c>
      <c r="D1178" t="s">
        <v>33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27</v>
      </c>
      <c r="N1178">
        <v>5</v>
      </c>
      <c r="O1178" t="s">
        <v>40</v>
      </c>
      <c r="P1178">
        <v>75.900000000000006</v>
      </c>
      <c r="Q1178">
        <v>1938</v>
      </c>
      <c r="R1178">
        <v>5</v>
      </c>
      <c r="S1178">
        <v>1</v>
      </c>
      <c r="T1178" t="s">
        <v>41</v>
      </c>
      <c r="U1178" t="s">
        <v>33</v>
      </c>
      <c r="V1178">
        <v>56669</v>
      </c>
      <c r="W1178">
        <v>3.69</v>
      </c>
      <c r="X1178">
        <v>4</v>
      </c>
    </row>
    <row r="1179" spans="1:24" x14ac:dyDescent="0.3">
      <c r="A1179" t="s">
        <v>46</v>
      </c>
      <c r="B1179" t="s">
        <v>72</v>
      </c>
      <c r="C1179">
        <v>2025</v>
      </c>
      <c r="D1179" t="s">
        <v>33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27</v>
      </c>
      <c r="N1179">
        <v>5</v>
      </c>
      <c r="O1179" t="s">
        <v>28</v>
      </c>
      <c r="P1179">
        <v>68</v>
      </c>
      <c r="Q1179">
        <v>2532</v>
      </c>
      <c r="R1179">
        <v>5</v>
      </c>
      <c r="S1179">
        <v>2</v>
      </c>
      <c r="T1179" t="s">
        <v>41</v>
      </c>
      <c r="U1179" t="s">
        <v>37</v>
      </c>
      <c r="V1179">
        <v>119997</v>
      </c>
      <c r="W1179">
        <v>3.75</v>
      </c>
      <c r="X1179">
        <v>5</v>
      </c>
    </row>
    <row r="1180" spans="1:24" x14ac:dyDescent="0.3">
      <c r="A1180" t="s">
        <v>38</v>
      </c>
      <c r="B1180" t="s">
        <v>102</v>
      </c>
      <c r="C1180">
        <v>2025</v>
      </c>
      <c r="D1180" t="s">
        <v>44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48</v>
      </c>
      <c r="N1180">
        <v>5</v>
      </c>
      <c r="O1180" t="s">
        <v>35</v>
      </c>
      <c r="P1180">
        <v>57.6</v>
      </c>
      <c r="Q1180">
        <v>2312</v>
      </c>
      <c r="R1180">
        <v>4</v>
      </c>
      <c r="S1180">
        <v>0</v>
      </c>
      <c r="T1180" t="s">
        <v>41</v>
      </c>
      <c r="U1180" t="s">
        <v>33</v>
      </c>
      <c r="V1180">
        <v>6773</v>
      </c>
      <c r="W1180">
        <v>3.64</v>
      </c>
      <c r="X1180">
        <v>4</v>
      </c>
    </row>
    <row r="1181" spans="1:24" x14ac:dyDescent="0.3">
      <c r="A1181" t="s">
        <v>42</v>
      </c>
      <c r="B1181" t="s">
        <v>80</v>
      </c>
      <c r="C1181">
        <v>2025</v>
      </c>
      <c r="D1181" t="s">
        <v>44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34</v>
      </c>
      <c r="N1181">
        <v>5</v>
      </c>
      <c r="O1181" t="s">
        <v>35</v>
      </c>
      <c r="P1181">
        <v>36.1</v>
      </c>
      <c r="Q1181">
        <v>1814</v>
      </c>
      <c r="R1181">
        <v>5</v>
      </c>
      <c r="S1181">
        <v>1</v>
      </c>
      <c r="T1181" t="s">
        <v>45</v>
      </c>
      <c r="U1181" t="s">
        <v>33</v>
      </c>
      <c r="V1181">
        <v>120989</v>
      </c>
      <c r="W1181">
        <v>3.34</v>
      </c>
      <c r="X1181">
        <v>4</v>
      </c>
    </row>
    <row r="1182" spans="1:24" x14ac:dyDescent="0.3">
      <c r="A1182" t="s">
        <v>31</v>
      </c>
      <c r="B1182" t="s">
        <v>32</v>
      </c>
      <c r="C1182">
        <v>2020</v>
      </c>
      <c r="D1182" t="s">
        <v>56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48</v>
      </c>
      <c r="N1182">
        <v>5</v>
      </c>
      <c r="O1182" t="s">
        <v>35</v>
      </c>
      <c r="P1182">
        <v>44.1</v>
      </c>
      <c r="Q1182">
        <v>2421</v>
      </c>
      <c r="R1182">
        <v>4</v>
      </c>
      <c r="S1182">
        <v>2</v>
      </c>
      <c r="T1182" t="s">
        <v>36</v>
      </c>
      <c r="U1182" t="s">
        <v>66</v>
      </c>
      <c r="V1182">
        <v>15941</v>
      </c>
      <c r="W1182">
        <v>3.54</v>
      </c>
      <c r="X1182">
        <v>3</v>
      </c>
    </row>
    <row r="1183" spans="1:24" x14ac:dyDescent="0.3">
      <c r="A1183" t="s">
        <v>63</v>
      </c>
      <c r="B1183" t="s">
        <v>64</v>
      </c>
      <c r="C1183">
        <v>2021</v>
      </c>
      <c r="D1183" t="s">
        <v>26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48</v>
      </c>
      <c r="N1183">
        <v>7</v>
      </c>
      <c r="O1183" t="s">
        <v>40</v>
      </c>
      <c r="P1183">
        <v>78.400000000000006</v>
      </c>
      <c r="Q1183">
        <v>1515</v>
      </c>
      <c r="R1183">
        <v>5</v>
      </c>
      <c r="S1183">
        <v>1</v>
      </c>
      <c r="T1183" t="s">
        <v>65</v>
      </c>
      <c r="U1183" t="s">
        <v>30</v>
      </c>
      <c r="V1183">
        <v>180190</v>
      </c>
      <c r="W1183">
        <v>3.58</v>
      </c>
      <c r="X1183">
        <v>3</v>
      </c>
    </row>
    <row r="1184" spans="1:24" x14ac:dyDescent="0.3">
      <c r="A1184" t="s">
        <v>83</v>
      </c>
      <c r="B1184" t="s">
        <v>104</v>
      </c>
      <c r="C1184">
        <v>2026</v>
      </c>
      <c r="D1184" t="s">
        <v>44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27</v>
      </c>
      <c r="N1184">
        <v>5</v>
      </c>
      <c r="O1184" t="s">
        <v>28</v>
      </c>
      <c r="P1184">
        <v>70.8</v>
      </c>
      <c r="Q1184">
        <v>2691</v>
      </c>
      <c r="R1184">
        <v>5</v>
      </c>
      <c r="S1184">
        <v>2</v>
      </c>
      <c r="T1184" t="s">
        <v>29</v>
      </c>
      <c r="U1184" t="s">
        <v>33</v>
      </c>
      <c r="V1184">
        <v>38573</v>
      </c>
      <c r="W1184">
        <v>3.54</v>
      </c>
      <c r="X1184">
        <v>6</v>
      </c>
    </row>
    <row r="1185" spans="1:24" x14ac:dyDescent="0.3">
      <c r="A1185" t="s">
        <v>94</v>
      </c>
      <c r="B1185" t="s">
        <v>133</v>
      </c>
      <c r="C1185">
        <v>2021</v>
      </c>
      <c r="D1185" t="s">
        <v>61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34</v>
      </c>
      <c r="N1185">
        <v>4</v>
      </c>
      <c r="O1185" t="s">
        <v>28</v>
      </c>
      <c r="P1185">
        <v>53.8</v>
      </c>
      <c r="Q1185">
        <v>2477</v>
      </c>
      <c r="R1185">
        <v>5</v>
      </c>
      <c r="S1185">
        <v>1</v>
      </c>
      <c r="T1185" t="s">
        <v>41</v>
      </c>
      <c r="U1185" t="s">
        <v>33</v>
      </c>
      <c r="V1185">
        <v>1899</v>
      </c>
      <c r="W1185">
        <v>3.57</v>
      </c>
      <c r="X1185">
        <v>4</v>
      </c>
    </row>
    <row r="1186" spans="1:24" x14ac:dyDescent="0.3">
      <c r="A1186" t="s">
        <v>46</v>
      </c>
      <c r="B1186" t="s">
        <v>57</v>
      </c>
      <c r="C1186">
        <v>2025</v>
      </c>
      <c r="D1186" t="s">
        <v>61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48</v>
      </c>
      <c r="N1186">
        <v>5</v>
      </c>
      <c r="O1186" t="s">
        <v>28</v>
      </c>
      <c r="P1186">
        <v>57.7</v>
      </c>
      <c r="Q1186">
        <v>2729</v>
      </c>
      <c r="R1186">
        <v>5</v>
      </c>
      <c r="S1186">
        <v>3</v>
      </c>
      <c r="T1186" t="s">
        <v>41</v>
      </c>
      <c r="U1186" t="s">
        <v>33</v>
      </c>
      <c r="V1186">
        <v>149284</v>
      </c>
      <c r="W1186">
        <v>3.76</v>
      </c>
      <c r="X1186">
        <v>5</v>
      </c>
    </row>
    <row r="1187" spans="1:24" x14ac:dyDescent="0.3">
      <c r="A1187" t="s">
        <v>92</v>
      </c>
      <c r="B1187" t="s">
        <v>119</v>
      </c>
      <c r="C1187">
        <v>2025</v>
      </c>
      <c r="D1187" t="s">
        <v>61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34</v>
      </c>
      <c r="N1187">
        <v>7</v>
      </c>
      <c r="O1187" t="s">
        <v>58</v>
      </c>
      <c r="P1187">
        <v>32.1</v>
      </c>
      <c r="Q1187">
        <v>1784</v>
      </c>
      <c r="R1187">
        <v>5</v>
      </c>
      <c r="S1187">
        <v>0</v>
      </c>
      <c r="T1187" t="s">
        <v>65</v>
      </c>
      <c r="U1187" t="s">
        <v>33</v>
      </c>
      <c r="V1187">
        <v>19253</v>
      </c>
      <c r="W1187">
        <v>3.04</v>
      </c>
      <c r="X1187">
        <v>4</v>
      </c>
    </row>
    <row r="1188" spans="1:24" x14ac:dyDescent="0.3">
      <c r="A1188" t="s">
        <v>83</v>
      </c>
      <c r="B1188" t="s">
        <v>116</v>
      </c>
      <c r="C1188">
        <v>2023</v>
      </c>
      <c r="D1188" t="s">
        <v>56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34</v>
      </c>
      <c r="N1188">
        <v>5</v>
      </c>
      <c r="O1188" t="s">
        <v>58</v>
      </c>
      <c r="P1188">
        <v>20.9</v>
      </c>
      <c r="Q1188">
        <v>1500</v>
      </c>
      <c r="R1188">
        <v>5</v>
      </c>
      <c r="S1188">
        <v>2</v>
      </c>
      <c r="T1188" t="s">
        <v>29</v>
      </c>
      <c r="U1188" t="s">
        <v>37</v>
      </c>
      <c r="V1188">
        <v>28907</v>
      </c>
      <c r="W1188">
        <v>3.44</v>
      </c>
      <c r="X1188">
        <v>7</v>
      </c>
    </row>
    <row r="1189" spans="1:24" x14ac:dyDescent="0.3">
      <c r="A1189" t="s">
        <v>46</v>
      </c>
      <c r="B1189" t="s">
        <v>49</v>
      </c>
      <c r="C1189">
        <v>2025</v>
      </c>
      <c r="D1189" t="s">
        <v>33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48</v>
      </c>
      <c r="N1189">
        <v>7</v>
      </c>
      <c r="O1189" t="s">
        <v>50</v>
      </c>
      <c r="P1189">
        <v>36.299999999999997</v>
      </c>
      <c r="Q1189">
        <v>1611</v>
      </c>
      <c r="R1189">
        <v>5</v>
      </c>
      <c r="S1189">
        <v>2</v>
      </c>
      <c r="T1189" t="s">
        <v>41</v>
      </c>
      <c r="U1189" t="s">
        <v>30</v>
      </c>
      <c r="V1189">
        <v>428866</v>
      </c>
      <c r="W1189">
        <v>3.69</v>
      </c>
      <c r="X1189">
        <v>6</v>
      </c>
    </row>
    <row r="1190" spans="1:24" x14ac:dyDescent="0.3">
      <c r="A1190" t="s">
        <v>63</v>
      </c>
      <c r="B1190" t="s">
        <v>64</v>
      </c>
      <c r="C1190">
        <v>2025</v>
      </c>
      <c r="D1190" t="s">
        <v>61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48</v>
      </c>
      <c r="N1190">
        <v>7</v>
      </c>
      <c r="O1190" t="s">
        <v>40</v>
      </c>
      <c r="P1190">
        <v>68.900000000000006</v>
      </c>
      <c r="Q1190">
        <v>1750</v>
      </c>
      <c r="R1190">
        <v>5</v>
      </c>
      <c r="S1190">
        <v>0</v>
      </c>
      <c r="T1190" t="s">
        <v>65</v>
      </c>
      <c r="U1190" t="s">
        <v>66</v>
      </c>
      <c r="V1190">
        <v>131090</v>
      </c>
      <c r="W1190">
        <v>3.27</v>
      </c>
      <c r="X1190">
        <v>3</v>
      </c>
    </row>
    <row r="1191" spans="1:24" x14ac:dyDescent="0.3">
      <c r="A1191" t="s">
        <v>38</v>
      </c>
      <c r="B1191" t="s">
        <v>101</v>
      </c>
      <c r="C1191">
        <v>2024</v>
      </c>
      <c r="D1191" t="s">
        <v>44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34</v>
      </c>
      <c r="N1191">
        <v>5</v>
      </c>
      <c r="O1191" t="s">
        <v>51</v>
      </c>
      <c r="P1191">
        <v>30.1</v>
      </c>
      <c r="Q1191">
        <v>1597</v>
      </c>
      <c r="R1191">
        <v>5</v>
      </c>
      <c r="S1191">
        <v>2</v>
      </c>
      <c r="T1191" t="s">
        <v>41</v>
      </c>
      <c r="U1191" t="s">
        <v>37</v>
      </c>
      <c r="V1191">
        <v>10777</v>
      </c>
      <c r="W1191">
        <v>3.75</v>
      </c>
      <c r="X1191">
        <v>4</v>
      </c>
    </row>
    <row r="1192" spans="1:24" x14ac:dyDescent="0.3">
      <c r="A1192" t="s">
        <v>46</v>
      </c>
      <c r="B1192" t="s">
        <v>47</v>
      </c>
      <c r="C1192">
        <v>2024</v>
      </c>
      <c r="D1192" t="s">
        <v>56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34</v>
      </c>
      <c r="N1192">
        <v>5</v>
      </c>
      <c r="O1192" t="s">
        <v>58</v>
      </c>
      <c r="P1192">
        <v>19.7</v>
      </c>
      <c r="Q1192">
        <v>1735</v>
      </c>
      <c r="R1192">
        <v>3</v>
      </c>
      <c r="S1192">
        <v>2</v>
      </c>
      <c r="T1192" t="s">
        <v>41</v>
      </c>
      <c r="U1192" t="s">
        <v>33</v>
      </c>
      <c r="V1192">
        <v>108761</v>
      </c>
      <c r="W1192">
        <v>3.42</v>
      </c>
      <c r="X1192">
        <v>5</v>
      </c>
    </row>
    <row r="1193" spans="1:24" x14ac:dyDescent="0.3">
      <c r="A1193" t="s">
        <v>42</v>
      </c>
      <c r="B1193" t="s">
        <v>80</v>
      </c>
      <c r="C1193">
        <v>2025</v>
      </c>
      <c r="D1193" t="s">
        <v>44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48</v>
      </c>
      <c r="N1193">
        <v>5</v>
      </c>
      <c r="O1193" t="s">
        <v>35</v>
      </c>
      <c r="P1193">
        <v>62.3</v>
      </c>
      <c r="Q1193">
        <v>1873</v>
      </c>
      <c r="R1193">
        <v>5</v>
      </c>
      <c r="S1193">
        <v>0</v>
      </c>
      <c r="T1193" t="s">
        <v>45</v>
      </c>
      <c r="U1193" t="s">
        <v>33</v>
      </c>
      <c r="V1193">
        <v>137133</v>
      </c>
      <c r="W1193">
        <v>3.72</v>
      </c>
      <c r="X1193">
        <v>3</v>
      </c>
    </row>
    <row r="1194" spans="1:24" x14ac:dyDescent="0.3">
      <c r="A1194" t="s">
        <v>63</v>
      </c>
      <c r="B1194" t="s">
        <v>67</v>
      </c>
      <c r="C1194">
        <v>2025</v>
      </c>
      <c r="D1194" t="s">
        <v>33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27</v>
      </c>
      <c r="N1194">
        <v>7</v>
      </c>
      <c r="O1194" t="s">
        <v>40</v>
      </c>
      <c r="P1194">
        <v>66</v>
      </c>
      <c r="Q1194">
        <v>1569</v>
      </c>
      <c r="R1194">
        <v>4</v>
      </c>
      <c r="S1194">
        <v>2</v>
      </c>
      <c r="T1194" t="s">
        <v>65</v>
      </c>
      <c r="U1194" t="s">
        <v>33</v>
      </c>
      <c r="V1194">
        <v>230802</v>
      </c>
      <c r="W1194">
        <v>3.44</v>
      </c>
      <c r="X1194">
        <v>4</v>
      </c>
    </row>
    <row r="1195" spans="1:24" x14ac:dyDescent="0.3">
      <c r="A1195" t="s">
        <v>83</v>
      </c>
      <c r="B1195" t="s">
        <v>104</v>
      </c>
      <c r="C1195">
        <v>2022</v>
      </c>
      <c r="D1195" t="s">
        <v>56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48</v>
      </c>
      <c r="N1195">
        <v>7</v>
      </c>
      <c r="O1195" t="s">
        <v>51</v>
      </c>
      <c r="P1195">
        <v>30.1</v>
      </c>
      <c r="Q1195">
        <v>1582</v>
      </c>
      <c r="R1195">
        <v>4</v>
      </c>
      <c r="S1195">
        <v>1</v>
      </c>
      <c r="T1195" t="s">
        <v>29</v>
      </c>
      <c r="U1195" t="s">
        <v>37</v>
      </c>
      <c r="V1195">
        <v>44259</v>
      </c>
      <c r="W1195">
        <v>3.39</v>
      </c>
      <c r="X1195">
        <v>8</v>
      </c>
    </row>
    <row r="1196" spans="1:24" x14ac:dyDescent="0.3">
      <c r="A1196" t="s">
        <v>46</v>
      </c>
      <c r="B1196" t="s">
        <v>49</v>
      </c>
      <c r="C1196">
        <v>2023</v>
      </c>
      <c r="D1196" t="s">
        <v>33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27</v>
      </c>
      <c r="N1196">
        <v>5</v>
      </c>
      <c r="O1196" t="s">
        <v>50</v>
      </c>
      <c r="P1196">
        <v>39.799999999999997</v>
      </c>
      <c r="Q1196">
        <v>1572</v>
      </c>
      <c r="R1196">
        <v>5</v>
      </c>
      <c r="S1196">
        <v>2</v>
      </c>
      <c r="T1196" t="s">
        <v>41</v>
      </c>
      <c r="U1196" t="s">
        <v>30</v>
      </c>
      <c r="V1196">
        <v>416711</v>
      </c>
      <c r="W1196">
        <v>3.88</v>
      </c>
      <c r="X1196">
        <v>5</v>
      </c>
    </row>
    <row r="1197" spans="1:24" x14ac:dyDescent="0.3">
      <c r="A1197" t="s">
        <v>52</v>
      </c>
      <c r="B1197" t="s">
        <v>62</v>
      </c>
      <c r="C1197">
        <v>2026</v>
      </c>
      <c r="D1197" t="s">
        <v>44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34</v>
      </c>
      <c r="N1197">
        <v>5</v>
      </c>
      <c r="O1197" t="s">
        <v>35</v>
      </c>
      <c r="P1197">
        <v>48.3</v>
      </c>
      <c r="Q1197">
        <v>1890</v>
      </c>
      <c r="R1197">
        <v>5</v>
      </c>
      <c r="S1197">
        <v>2</v>
      </c>
      <c r="T1197" t="s">
        <v>29</v>
      </c>
      <c r="U1197" t="s">
        <v>30</v>
      </c>
      <c r="V1197">
        <v>24079</v>
      </c>
      <c r="W1197">
        <v>4</v>
      </c>
      <c r="X1197">
        <v>5</v>
      </c>
    </row>
    <row r="1198" spans="1:24" x14ac:dyDescent="0.3">
      <c r="A1198" t="s">
        <v>59</v>
      </c>
      <c r="B1198" t="s">
        <v>60</v>
      </c>
      <c r="C1198">
        <v>2024</v>
      </c>
      <c r="D1198" t="s">
        <v>26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48</v>
      </c>
      <c r="N1198">
        <v>7</v>
      </c>
      <c r="O1198" t="s">
        <v>40</v>
      </c>
      <c r="P1198">
        <v>62.3</v>
      </c>
      <c r="Q1198">
        <v>1803</v>
      </c>
      <c r="R1198">
        <v>5</v>
      </c>
      <c r="S1198">
        <v>1</v>
      </c>
      <c r="T1198" t="s">
        <v>41</v>
      </c>
      <c r="U1198" t="s">
        <v>30</v>
      </c>
      <c r="V1198">
        <v>23252</v>
      </c>
      <c r="W1198">
        <v>3.93</v>
      </c>
      <c r="X1198">
        <v>3</v>
      </c>
    </row>
    <row r="1199" spans="1:24" x14ac:dyDescent="0.3">
      <c r="A1199" t="s">
        <v>59</v>
      </c>
      <c r="B1199" t="s">
        <v>111</v>
      </c>
      <c r="C1199">
        <v>2024</v>
      </c>
      <c r="D1199" t="s">
        <v>44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27</v>
      </c>
      <c r="N1199">
        <v>5</v>
      </c>
      <c r="O1199" t="s">
        <v>58</v>
      </c>
      <c r="P1199">
        <v>21.4</v>
      </c>
      <c r="Q1199">
        <v>1655</v>
      </c>
      <c r="R1199">
        <v>5</v>
      </c>
      <c r="S1199">
        <v>0</v>
      </c>
      <c r="T1199" t="s">
        <v>41</v>
      </c>
      <c r="U1199" t="s">
        <v>33</v>
      </c>
      <c r="V1199">
        <v>1655</v>
      </c>
      <c r="W1199">
        <v>3.46</v>
      </c>
      <c r="X1199">
        <v>5</v>
      </c>
    </row>
    <row r="1200" spans="1:24" x14ac:dyDescent="0.3">
      <c r="A1200" t="s">
        <v>38</v>
      </c>
      <c r="B1200" t="s">
        <v>39</v>
      </c>
      <c r="C1200">
        <v>2026</v>
      </c>
      <c r="D1200" t="s">
        <v>33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34</v>
      </c>
      <c r="N1200">
        <v>5</v>
      </c>
      <c r="O1200" t="s">
        <v>40</v>
      </c>
      <c r="P1200">
        <v>78.599999999999994</v>
      </c>
      <c r="Q1200">
        <v>1868</v>
      </c>
      <c r="R1200">
        <v>5</v>
      </c>
      <c r="S1200">
        <v>2</v>
      </c>
      <c r="T1200" t="s">
        <v>41</v>
      </c>
      <c r="U1200" t="s">
        <v>33</v>
      </c>
      <c r="V1200">
        <v>15428</v>
      </c>
      <c r="W1200">
        <v>3.23</v>
      </c>
      <c r="X1200">
        <v>5</v>
      </c>
    </row>
    <row r="1201" spans="1:24" x14ac:dyDescent="0.3">
      <c r="A1201" t="s">
        <v>46</v>
      </c>
      <c r="B1201" t="s">
        <v>47</v>
      </c>
      <c r="C1201">
        <v>2025</v>
      </c>
      <c r="D1201" t="s">
        <v>26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48</v>
      </c>
      <c r="N1201">
        <v>7</v>
      </c>
      <c r="O1201" t="s">
        <v>28</v>
      </c>
      <c r="P1201">
        <v>78.599999999999994</v>
      </c>
      <c r="Q1201">
        <v>2220</v>
      </c>
      <c r="R1201">
        <v>5</v>
      </c>
      <c r="S1201">
        <v>2</v>
      </c>
      <c r="T1201" t="s">
        <v>41</v>
      </c>
      <c r="U1201" t="s">
        <v>30</v>
      </c>
      <c r="V1201">
        <v>126461</v>
      </c>
      <c r="W1201">
        <v>4.1399999999999997</v>
      </c>
      <c r="X1201">
        <v>5</v>
      </c>
    </row>
    <row r="1202" spans="1:24" x14ac:dyDescent="0.3">
      <c r="A1202" t="s">
        <v>38</v>
      </c>
      <c r="B1202" t="s">
        <v>55</v>
      </c>
      <c r="C1202">
        <v>2023</v>
      </c>
      <c r="D1202" t="s">
        <v>61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27</v>
      </c>
      <c r="N1202">
        <v>5</v>
      </c>
      <c r="O1202" t="s">
        <v>50</v>
      </c>
      <c r="P1202">
        <v>20.5</v>
      </c>
      <c r="Q1202">
        <v>1571</v>
      </c>
      <c r="R1202">
        <v>4</v>
      </c>
      <c r="S1202">
        <v>0</v>
      </c>
      <c r="T1202" t="s">
        <v>41</v>
      </c>
      <c r="U1202" t="s">
        <v>37</v>
      </c>
      <c r="V1202">
        <v>6024</v>
      </c>
      <c r="W1202">
        <v>3.32</v>
      </c>
      <c r="X1202">
        <v>4</v>
      </c>
    </row>
    <row r="1203" spans="1:24" x14ac:dyDescent="0.3">
      <c r="A1203" t="s">
        <v>46</v>
      </c>
      <c r="B1203" t="s">
        <v>49</v>
      </c>
      <c r="C1203">
        <v>2026</v>
      </c>
      <c r="D1203" t="s">
        <v>44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27</v>
      </c>
      <c r="N1203">
        <v>7</v>
      </c>
      <c r="O1203" t="s">
        <v>50</v>
      </c>
      <c r="P1203">
        <v>23.4</v>
      </c>
      <c r="Q1203">
        <v>1738</v>
      </c>
      <c r="R1203">
        <v>4</v>
      </c>
      <c r="S1203">
        <v>2</v>
      </c>
      <c r="T1203" t="s">
        <v>41</v>
      </c>
      <c r="U1203" t="s">
        <v>33</v>
      </c>
      <c r="V1203">
        <v>490450</v>
      </c>
      <c r="W1203">
        <v>3.83</v>
      </c>
      <c r="X1203">
        <v>6</v>
      </c>
    </row>
    <row r="1204" spans="1:24" x14ac:dyDescent="0.3">
      <c r="A1204" t="s">
        <v>46</v>
      </c>
      <c r="B1204" t="s">
        <v>78</v>
      </c>
      <c r="C1204">
        <v>2025</v>
      </c>
      <c r="D1204" t="s">
        <v>26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27</v>
      </c>
      <c r="N1204">
        <v>7</v>
      </c>
      <c r="O1204" t="s">
        <v>58</v>
      </c>
      <c r="P1204">
        <v>37.1</v>
      </c>
      <c r="Q1204">
        <v>1630</v>
      </c>
      <c r="R1204">
        <v>4</v>
      </c>
      <c r="S1204">
        <v>2</v>
      </c>
      <c r="T1204" t="s">
        <v>41</v>
      </c>
      <c r="U1204" t="s">
        <v>33</v>
      </c>
      <c r="V1204">
        <v>139912</v>
      </c>
      <c r="W1204">
        <v>4.17</v>
      </c>
      <c r="X1204">
        <v>6</v>
      </c>
    </row>
    <row r="1205" spans="1:24" x14ac:dyDescent="0.3">
      <c r="A1205" t="s">
        <v>63</v>
      </c>
      <c r="B1205" t="s">
        <v>96</v>
      </c>
      <c r="C1205">
        <v>2023</v>
      </c>
      <c r="D1205" t="s">
        <v>61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27</v>
      </c>
      <c r="N1205">
        <v>5</v>
      </c>
      <c r="O1205" t="s">
        <v>50</v>
      </c>
      <c r="P1205">
        <v>28.6</v>
      </c>
      <c r="Q1205">
        <v>1694</v>
      </c>
      <c r="R1205">
        <v>3</v>
      </c>
      <c r="S1205">
        <v>0</v>
      </c>
      <c r="T1205" t="s">
        <v>65</v>
      </c>
      <c r="U1205" t="s">
        <v>66</v>
      </c>
      <c r="V1205">
        <v>178149</v>
      </c>
      <c r="W1205">
        <v>3.42</v>
      </c>
      <c r="X1205">
        <v>4</v>
      </c>
    </row>
    <row r="1206" spans="1:24" x14ac:dyDescent="0.3">
      <c r="A1206" t="s">
        <v>68</v>
      </c>
      <c r="B1206" t="s">
        <v>69</v>
      </c>
      <c r="C1206">
        <v>2026</v>
      </c>
      <c r="D1206" t="s">
        <v>26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48</v>
      </c>
      <c r="N1206">
        <v>5</v>
      </c>
      <c r="O1206" t="s">
        <v>50</v>
      </c>
      <c r="P1206">
        <v>17.8</v>
      </c>
      <c r="Q1206">
        <v>1720</v>
      </c>
      <c r="R1206">
        <v>4</v>
      </c>
      <c r="S1206">
        <v>0</v>
      </c>
      <c r="T1206" t="s">
        <v>45</v>
      </c>
      <c r="U1206" t="s">
        <v>33</v>
      </c>
      <c r="V1206">
        <v>58908</v>
      </c>
      <c r="W1206">
        <v>3.8</v>
      </c>
      <c r="X1206">
        <v>3</v>
      </c>
    </row>
    <row r="1207" spans="1:24" x14ac:dyDescent="0.3">
      <c r="A1207" t="s">
        <v>76</v>
      </c>
      <c r="B1207" t="s">
        <v>77</v>
      </c>
      <c r="C1207">
        <v>2022</v>
      </c>
      <c r="D1207" t="s">
        <v>61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48</v>
      </c>
      <c r="N1207">
        <v>5</v>
      </c>
      <c r="O1207" t="s">
        <v>28</v>
      </c>
      <c r="P1207">
        <v>63.1</v>
      </c>
      <c r="Q1207">
        <v>2216</v>
      </c>
      <c r="R1207">
        <v>3</v>
      </c>
      <c r="S1207">
        <v>1</v>
      </c>
      <c r="T1207" t="s">
        <v>41</v>
      </c>
      <c r="U1207" t="s">
        <v>37</v>
      </c>
      <c r="V1207">
        <v>39584</v>
      </c>
      <c r="W1207">
        <v>3.23</v>
      </c>
      <c r="X1207">
        <v>4</v>
      </c>
    </row>
    <row r="1208" spans="1:24" x14ac:dyDescent="0.3">
      <c r="A1208" t="s">
        <v>83</v>
      </c>
      <c r="B1208" t="s">
        <v>89</v>
      </c>
      <c r="C1208">
        <v>2025</v>
      </c>
      <c r="D1208" t="s">
        <v>61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34</v>
      </c>
      <c r="N1208">
        <v>5</v>
      </c>
      <c r="O1208" t="s">
        <v>40</v>
      </c>
      <c r="P1208">
        <v>73.599999999999994</v>
      </c>
      <c r="Q1208">
        <v>1576</v>
      </c>
      <c r="R1208">
        <v>4</v>
      </c>
      <c r="S1208">
        <v>2</v>
      </c>
      <c r="T1208" t="s">
        <v>29</v>
      </c>
      <c r="U1208" t="s">
        <v>33</v>
      </c>
      <c r="V1208">
        <v>73019</v>
      </c>
      <c r="W1208">
        <v>3.53</v>
      </c>
      <c r="X1208">
        <v>5</v>
      </c>
    </row>
    <row r="1209" spans="1:24" x14ac:dyDescent="0.3">
      <c r="A1209" t="s">
        <v>24</v>
      </c>
      <c r="B1209" t="s">
        <v>70</v>
      </c>
      <c r="C1209">
        <v>2024</v>
      </c>
      <c r="D1209" t="s">
        <v>33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27</v>
      </c>
      <c r="N1209">
        <v>5</v>
      </c>
      <c r="O1209" t="s">
        <v>58</v>
      </c>
      <c r="P1209">
        <v>37.9</v>
      </c>
      <c r="Q1209">
        <v>1541</v>
      </c>
      <c r="R1209">
        <v>5</v>
      </c>
      <c r="S1209">
        <v>0</v>
      </c>
      <c r="T1209" t="s">
        <v>29</v>
      </c>
      <c r="U1209" t="s">
        <v>30</v>
      </c>
      <c r="V1209">
        <v>244997</v>
      </c>
      <c r="W1209">
        <v>3.38</v>
      </c>
      <c r="X1209">
        <v>3</v>
      </c>
    </row>
    <row r="1210" spans="1:24" x14ac:dyDescent="0.3">
      <c r="A1210" t="s">
        <v>63</v>
      </c>
      <c r="B1210" t="s">
        <v>73</v>
      </c>
      <c r="C1210">
        <v>2025</v>
      </c>
      <c r="D1210" t="s">
        <v>61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27</v>
      </c>
      <c r="N1210">
        <v>7</v>
      </c>
      <c r="O1210" t="s">
        <v>58</v>
      </c>
      <c r="P1210">
        <v>15.7</v>
      </c>
      <c r="Q1210">
        <v>1500</v>
      </c>
      <c r="R1210">
        <v>3</v>
      </c>
      <c r="S1210">
        <v>0</v>
      </c>
      <c r="T1210" t="s">
        <v>65</v>
      </c>
      <c r="U1210" t="s">
        <v>66</v>
      </c>
      <c r="V1210">
        <v>207345</v>
      </c>
      <c r="W1210">
        <v>3.08</v>
      </c>
      <c r="X1210">
        <v>5</v>
      </c>
    </row>
    <row r="1211" spans="1:24" x14ac:dyDescent="0.3">
      <c r="A1211" t="s">
        <v>131</v>
      </c>
      <c r="B1211" t="s">
        <v>132</v>
      </c>
      <c r="C1211">
        <v>2024</v>
      </c>
      <c r="D1211" t="s">
        <v>56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48</v>
      </c>
      <c r="N1211">
        <v>7</v>
      </c>
      <c r="O1211" t="s">
        <v>28</v>
      </c>
      <c r="P1211">
        <v>53.3</v>
      </c>
      <c r="Q1211">
        <v>2209</v>
      </c>
      <c r="R1211">
        <v>5</v>
      </c>
      <c r="S1211">
        <v>1</v>
      </c>
      <c r="T1211" t="s">
        <v>65</v>
      </c>
      <c r="U1211" t="s">
        <v>33</v>
      </c>
      <c r="V1211">
        <v>26829</v>
      </c>
      <c r="W1211">
        <v>3.48</v>
      </c>
      <c r="X1211">
        <v>4</v>
      </c>
    </row>
    <row r="1212" spans="1:24" x14ac:dyDescent="0.3">
      <c r="A1212" t="s">
        <v>24</v>
      </c>
      <c r="B1212" t="s">
        <v>70</v>
      </c>
      <c r="C1212">
        <v>2024</v>
      </c>
      <c r="D1212" t="s">
        <v>61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27</v>
      </c>
      <c r="N1212">
        <v>5</v>
      </c>
      <c r="O1212" t="s">
        <v>28</v>
      </c>
      <c r="P1212">
        <v>54.6</v>
      </c>
      <c r="Q1212">
        <v>2492</v>
      </c>
      <c r="R1212">
        <v>5</v>
      </c>
      <c r="S1212">
        <v>0</v>
      </c>
      <c r="T1212" t="s">
        <v>29</v>
      </c>
      <c r="U1212" t="s">
        <v>37</v>
      </c>
      <c r="V1212">
        <v>251931</v>
      </c>
      <c r="W1212">
        <v>3.32</v>
      </c>
      <c r="X1212">
        <v>3</v>
      </c>
    </row>
    <row r="1213" spans="1:24" x14ac:dyDescent="0.3">
      <c r="A1213" t="s">
        <v>24</v>
      </c>
      <c r="B1213" t="s">
        <v>25</v>
      </c>
      <c r="C1213">
        <v>2025</v>
      </c>
      <c r="D1213" t="s">
        <v>61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27</v>
      </c>
      <c r="N1213">
        <v>5</v>
      </c>
      <c r="O1213" t="s">
        <v>50</v>
      </c>
      <c r="P1213">
        <v>36</v>
      </c>
      <c r="Q1213">
        <v>1579</v>
      </c>
      <c r="R1213">
        <v>5</v>
      </c>
      <c r="S1213">
        <v>0</v>
      </c>
      <c r="T1213" t="s">
        <v>29</v>
      </c>
      <c r="U1213" t="s">
        <v>66</v>
      </c>
      <c r="V1213">
        <v>204604</v>
      </c>
      <c r="W1213">
        <v>3.5</v>
      </c>
      <c r="X1213">
        <v>4</v>
      </c>
    </row>
    <row r="1214" spans="1:24" x14ac:dyDescent="0.3">
      <c r="A1214" t="s">
        <v>46</v>
      </c>
      <c r="B1214" t="s">
        <v>78</v>
      </c>
      <c r="C1214">
        <v>2022</v>
      </c>
      <c r="D1214" t="s">
        <v>56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27</v>
      </c>
      <c r="N1214">
        <v>5</v>
      </c>
      <c r="O1214" t="s">
        <v>51</v>
      </c>
      <c r="P1214">
        <v>37.5</v>
      </c>
      <c r="Q1214">
        <v>1686</v>
      </c>
      <c r="R1214">
        <v>4</v>
      </c>
      <c r="S1214">
        <v>2</v>
      </c>
      <c r="T1214" t="s">
        <v>41</v>
      </c>
      <c r="U1214" t="s">
        <v>37</v>
      </c>
      <c r="V1214">
        <v>178460</v>
      </c>
      <c r="W1214">
        <v>3.67</v>
      </c>
      <c r="X1214">
        <v>5</v>
      </c>
    </row>
    <row r="1215" spans="1:24" x14ac:dyDescent="0.3">
      <c r="A1215" t="s">
        <v>76</v>
      </c>
      <c r="B1215" t="s">
        <v>81</v>
      </c>
      <c r="C1215">
        <v>2023</v>
      </c>
      <c r="D1215" t="s">
        <v>26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48</v>
      </c>
      <c r="N1215">
        <v>5</v>
      </c>
      <c r="O1215" t="s">
        <v>51</v>
      </c>
      <c r="P1215">
        <v>27.8</v>
      </c>
      <c r="Q1215">
        <v>1647</v>
      </c>
      <c r="R1215">
        <v>4</v>
      </c>
      <c r="S1215">
        <v>0</v>
      </c>
      <c r="T1215" t="s">
        <v>41</v>
      </c>
      <c r="U1215" t="s">
        <v>33</v>
      </c>
      <c r="V1215">
        <v>41203</v>
      </c>
      <c r="W1215">
        <v>3.73</v>
      </c>
      <c r="X1215">
        <v>4</v>
      </c>
    </row>
    <row r="1216" spans="1:24" x14ac:dyDescent="0.3">
      <c r="A1216" t="s">
        <v>38</v>
      </c>
      <c r="B1216" t="s">
        <v>101</v>
      </c>
      <c r="C1216">
        <v>2024</v>
      </c>
      <c r="D1216" t="s">
        <v>61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34</v>
      </c>
      <c r="N1216">
        <v>5</v>
      </c>
      <c r="O1216" t="s">
        <v>35</v>
      </c>
      <c r="P1216">
        <v>57</v>
      </c>
      <c r="Q1216">
        <v>2167</v>
      </c>
      <c r="R1216">
        <v>5</v>
      </c>
      <c r="S1216">
        <v>1</v>
      </c>
      <c r="T1216" t="s">
        <v>41</v>
      </c>
      <c r="U1216" t="s">
        <v>37</v>
      </c>
      <c r="V1216">
        <v>24368</v>
      </c>
      <c r="W1216">
        <v>3.41</v>
      </c>
      <c r="X1216">
        <v>4</v>
      </c>
    </row>
    <row r="1217" spans="1:24" x14ac:dyDescent="0.3">
      <c r="A1217" t="s">
        <v>63</v>
      </c>
      <c r="B1217" t="s">
        <v>73</v>
      </c>
      <c r="C1217">
        <v>2025</v>
      </c>
      <c r="D1217" t="s">
        <v>26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48</v>
      </c>
      <c r="N1217">
        <v>7</v>
      </c>
      <c r="O1217" t="s">
        <v>28</v>
      </c>
      <c r="P1217">
        <v>72.099999999999994</v>
      </c>
      <c r="Q1217">
        <v>2485</v>
      </c>
      <c r="R1217">
        <v>3</v>
      </c>
      <c r="S1217">
        <v>2</v>
      </c>
      <c r="T1217" t="s">
        <v>65</v>
      </c>
      <c r="U1217" t="s">
        <v>30</v>
      </c>
      <c r="V1217">
        <v>193570</v>
      </c>
      <c r="W1217">
        <v>3.68</v>
      </c>
      <c r="X1217">
        <v>5</v>
      </c>
    </row>
    <row r="1218" spans="1:24" x14ac:dyDescent="0.3">
      <c r="A1218" t="s">
        <v>46</v>
      </c>
      <c r="B1218" t="s">
        <v>47</v>
      </c>
      <c r="C1218">
        <v>2024</v>
      </c>
      <c r="D1218" t="s">
        <v>26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27</v>
      </c>
      <c r="N1218">
        <v>5</v>
      </c>
      <c r="O1218" t="s">
        <v>40</v>
      </c>
      <c r="P1218">
        <v>65.3</v>
      </c>
      <c r="Q1218">
        <v>1588</v>
      </c>
      <c r="R1218">
        <v>5</v>
      </c>
      <c r="S1218">
        <v>3</v>
      </c>
      <c r="T1218" t="s">
        <v>41</v>
      </c>
      <c r="U1218" t="s">
        <v>30</v>
      </c>
      <c r="V1218">
        <v>247330</v>
      </c>
      <c r="W1218">
        <v>3.88</v>
      </c>
      <c r="X1218">
        <v>4</v>
      </c>
    </row>
    <row r="1219" spans="1:24" x14ac:dyDescent="0.3">
      <c r="A1219" t="s">
        <v>83</v>
      </c>
      <c r="B1219" t="s">
        <v>114</v>
      </c>
      <c r="C1219">
        <v>2024</v>
      </c>
      <c r="D1219" t="s">
        <v>26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27</v>
      </c>
      <c r="N1219">
        <v>5</v>
      </c>
      <c r="O1219" t="s">
        <v>28</v>
      </c>
      <c r="P1219">
        <v>69.099999999999994</v>
      </c>
      <c r="Q1219">
        <v>1841</v>
      </c>
      <c r="R1219">
        <v>3</v>
      </c>
      <c r="S1219">
        <v>1</v>
      </c>
      <c r="T1219" t="s">
        <v>29</v>
      </c>
      <c r="U1219" t="s">
        <v>30</v>
      </c>
      <c r="V1219">
        <v>37253</v>
      </c>
      <c r="W1219">
        <v>3.67</v>
      </c>
      <c r="X1219">
        <v>6</v>
      </c>
    </row>
    <row r="1220" spans="1:24" x14ac:dyDescent="0.3">
      <c r="A1220" t="s">
        <v>83</v>
      </c>
      <c r="B1220" t="s">
        <v>104</v>
      </c>
      <c r="C1220">
        <v>2024</v>
      </c>
      <c r="D1220" t="s">
        <v>56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48</v>
      </c>
      <c r="N1220">
        <v>7</v>
      </c>
      <c r="O1220" t="s">
        <v>35</v>
      </c>
      <c r="P1220">
        <v>60.3</v>
      </c>
      <c r="Q1220">
        <v>1899</v>
      </c>
      <c r="R1220">
        <v>5</v>
      </c>
      <c r="S1220">
        <v>1</v>
      </c>
      <c r="T1220" t="s">
        <v>29</v>
      </c>
      <c r="U1220" t="s">
        <v>37</v>
      </c>
      <c r="V1220">
        <v>49240</v>
      </c>
      <c r="W1220">
        <v>3.56</v>
      </c>
      <c r="X1220">
        <v>7</v>
      </c>
    </row>
    <row r="1221" spans="1:24" x14ac:dyDescent="0.3">
      <c r="A1221" t="s">
        <v>63</v>
      </c>
      <c r="B1221" t="s">
        <v>67</v>
      </c>
      <c r="C1221">
        <v>2022</v>
      </c>
      <c r="D1221" t="s">
        <v>44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34</v>
      </c>
      <c r="N1221">
        <v>7</v>
      </c>
      <c r="O1221" t="s">
        <v>58</v>
      </c>
      <c r="P1221">
        <v>20.9</v>
      </c>
      <c r="Q1221">
        <v>1565</v>
      </c>
      <c r="R1221">
        <v>5</v>
      </c>
      <c r="S1221">
        <v>0</v>
      </c>
      <c r="T1221" t="s">
        <v>65</v>
      </c>
      <c r="U1221" t="s">
        <v>30</v>
      </c>
      <c r="V1221">
        <v>230522</v>
      </c>
      <c r="W1221">
        <v>3.61</v>
      </c>
      <c r="X1221">
        <v>4</v>
      </c>
    </row>
    <row r="1222" spans="1:24" x14ac:dyDescent="0.3">
      <c r="A1222" t="s">
        <v>31</v>
      </c>
      <c r="B1222" t="s">
        <v>32</v>
      </c>
      <c r="C1222">
        <v>2024</v>
      </c>
      <c r="D1222" t="s">
        <v>61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27</v>
      </c>
      <c r="N1222">
        <v>5</v>
      </c>
      <c r="O1222" t="s">
        <v>35</v>
      </c>
      <c r="P1222">
        <v>36.6</v>
      </c>
      <c r="Q1222">
        <v>1998</v>
      </c>
      <c r="R1222">
        <v>4</v>
      </c>
      <c r="S1222">
        <v>1</v>
      </c>
      <c r="T1222" t="s">
        <v>36</v>
      </c>
      <c r="U1222" t="s">
        <v>37</v>
      </c>
      <c r="V1222">
        <v>19789</v>
      </c>
      <c r="W1222">
        <v>3.34</v>
      </c>
      <c r="X1222">
        <v>4</v>
      </c>
    </row>
    <row r="1223" spans="1:24" x14ac:dyDescent="0.3">
      <c r="A1223" t="s">
        <v>46</v>
      </c>
      <c r="B1223" t="s">
        <v>57</v>
      </c>
      <c r="C1223">
        <v>2025</v>
      </c>
      <c r="D1223" t="s">
        <v>44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48</v>
      </c>
      <c r="N1223">
        <v>5</v>
      </c>
      <c r="O1223" t="s">
        <v>50</v>
      </c>
      <c r="P1223">
        <v>38</v>
      </c>
      <c r="Q1223">
        <v>1865</v>
      </c>
      <c r="R1223">
        <v>4</v>
      </c>
      <c r="S1223">
        <v>2</v>
      </c>
      <c r="T1223" t="s">
        <v>41</v>
      </c>
      <c r="U1223" t="s">
        <v>33</v>
      </c>
      <c r="V1223">
        <v>187975</v>
      </c>
      <c r="W1223">
        <v>3.94</v>
      </c>
      <c r="X1223">
        <v>4</v>
      </c>
    </row>
    <row r="1224" spans="1:24" x14ac:dyDescent="0.3">
      <c r="A1224" t="s">
        <v>24</v>
      </c>
      <c r="B1224" t="s">
        <v>25</v>
      </c>
      <c r="C1224">
        <v>2025</v>
      </c>
      <c r="D1224" t="s">
        <v>61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34</v>
      </c>
      <c r="N1224">
        <v>5</v>
      </c>
      <c r="O1224" t="s">
        <v>40</v>
      </c>
      <c r="P1224">
        <v>64.3</v>
      </c>
      <c r="Q1224">
        <v>1500</v>
      </c>
      <c r="R1224">
        <v>3</v>
      </c>
      <c r="S1224">
        <v>0</v>
      </c>
      <c r="T1224" t="s">
        <v>29</v>
      </c>
      <c r="U1224" t="s">
        <v>33</v>
      </c>
      <c r="V1224">
        <v>285418</v>
      </c>
      <c r="W1224">
        <v>3.48</v>
      </c>
      <c r="X1224">
        <v>4</v>
      </c>
    </row>
    <row r="1225" spans="1:24" x14ac:dyDescent="0.3">
      <c r="A1225" t="s">
        <v>92</v>
      </c>
      <c r="B1225" t="s">
        <v>127</v>
      </c>
      <c r="C1225">
        <v>2025</v>
      </c>
      <c r="D1225" t="s">
        <v>33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48</v>
      </c>
      <c r="N1225">
        <v>5</v>
      </c>
      <c r="O1225" t="s">
        <v>40</v>
      </c>
      <c r="P1225">
        <v>68.099999999999994</v>
      </c>
      <c r="Q1225">
        <v>1500</v>
      </c>
      <c r="R1225">
        <v>4</v>
      </c>
      <c r="S1225">
        <v>2</v>
      </c>
      <c r="T1225" t="s">
        <v>65</v>
      </c>
      <c r="U1225" t="s">
        <v>30</v>
      </c>
      <c r="V1225">
        <v>20886</v>
      </c>
      <c r="W1225">
        <v>3.24</v>
      </c>
      <c r="X1225">
        <v>5</v>
      </c>
    </row>
    <row r="1226" spans="1:24" x14ac:dyDescent="0.3">
      <c r="A1226" t="s">
        <v>24</v>
      </c>
      <c r="B1226" t="s">
        <v>75</v>
      </c>
      <c r="C1226">
        <v>2022</v>
      </c>
      <c r="D1226" t="s">
        <v>26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27</v>
      </c>
      <c r="N1226">
        <v>7</v>
      </c>
      <c r="O1226" t="s">
        <v>35</v>
      </c>
      <c r="P1226">
        <v>40.799999999999997</v>
      </c>
      <c r="Q1226">
        <v>1834</v>
      </c>
      <c r="R1226">
        <v>4</v>
      </c>
      <c r="S1226">
        <v>0</v>
      </c>
      <c r="T1226" t="s">
        <v>29</v>
      </c>
      <c r="U1226" t="s">
        <v>33</v>
      </c>
      <c r="V1226">
        <v>251606</v>
      </c>
      <c r="W1226">
        <v>3.39</v>
      </c>
      <c r="X1226">
        <v>4</v>
      </c>
    </row>
    <row r="1227" spans="1:24" x14ac:dyDescent="0.3">
      <c r="A1227" t="s">
        <v>83</v>
      </c>
      <c r="B1227" t="s">
        <v>84</v>
      </c>
      <c r="C1227">
        <v>2025</v>
      </c>
      <c r="D1227" t="s">
        <v>26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48</v>
      </c>
      <c r="N1227">
        <v>5</v>
      </c>
      <c r="O1227" t="s">
        <v>50</v>
      </c>
      <c r="P1227">
        <v>16.399999999999999</v>
      </c>
      <c r="Q1227">
        <v>2027</v>
      </c>
      <c r="R1227">
        <v>5</v>
      </c>
      <c r="S1227">
        <v>1</v>
      </c>
      <c r="T1227" t="s">
        <v>29</v>
      </c>
      <c r="U1227" t="s">
        <v>30</v>
      </c>
      <c r="V1227">
        <v>49006</v>
      </c>
      <c r="W1227">
        <v>3.99</v>
      </c>
      <c r="X1227">
        <v>6</v>
      </c>
    </row>
    <row r="1228" spans="1:24" x14ac:dyDescent="0.3">
      <c r="A1228" t="s">
        <v>24</v>
      </c>
      <c r="B1228" t="s">
        <v>25</v>
      </c>
      <c r="C1228">
        <v>2022</v>
      </c>
      <c r="D1228" t="s">
        <v>26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48</v>
      </c>
      <c r="N1228">
        <v>5</v>
      </c>
      <c r="O1228" t="s">
        <v>51</v>
      </c>
      <c r="P1228">
        <v>30.1</v>
      </c>
      <c r="Q1228">
        <v>1500</v>
      </c>
      <c r="R1228">
        <v>5</v>
      </c>
      <c r="S1228">
        <v>1</v>
      </c>
      <c r="T1228" t="s">
        <v>29</v>
      </c>
      <c r="U1228" t="s">
        <v>37</v>
      </c>
      <c r="V1228">
        <v>298179</v>
      </c>
      <c r="W1228">
        <v>3.96</v>
      </c>
      <c r="X1228">
        <v>5</v>
      </c>
    </row>
    <row r="1229" spans="1:24" x14ac:dyDescent="0.3">
      <c r="A1229" t="s">
        <v>63</v>
      </c>
      <c r="B1229" t="s">
        <v>64</v>
      </c>
      <c r="C1229">
        <v>2025</v>
      </c>
      <c r="D1229" t="s">
        <v>44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48</v>
      </c>
      <c r="N1229">
        <v>7</v>
      </c>
      <c r="O1229" t="s">
        <v>28</v>
      </c>
      <c r="P1229">
        <v>51.2</v>
      </c>
      <c r="Q1229">
        <v>2579</v>
      </c>
      <c r="R1229">
        <v>5</v>
      </c>
      <c r="S1229">
        <v>1</v>
      </c>
      <c r="T1229" t="s">
        <v>65</v>
      </c>
      <c r="U1229" t="s">
        <v>66</v>
      </c>
      <c r="V1229">
        <v>169948</v>
      </c>
      <c r="W1229">
        <v>3.62</v>
      </c>
      <c r="X1229">
        <v>4</v>
      </c>
    </row>
    <row r="1230" spans="1:24" x14ac:dyDescent="0.3">
      <c r="A1230" t="s">
        <v>134</v>
      </c>
      <c r="B1230">
        <v>3</v>
      </c>
      <c r="C1230">
        <v>2024</v>
      </c>
      <c r="D1230" t="s">
        <v>61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48</v>
      </c>
      <c r="N1230">
        <v>7</v>
      </c>
      <c r="O1230" t="s">
        <v>28</v>
      </c>
      <c r="P1230">
        <v>72.8</v>
      </c>
      <c r="Q1230">
        <v>2494</v>
      </c>
      <c r="R1230">
        <v>4</v>
      </c>
      <c r="S1230">
        <v>0</v>
      </c>
      <c r="T1230" t="s">
        <v>123</v>
      </c>
      <c r="U1230" t="s">
        <v>33</v>
      </c>
      <c r="V1230">
        <v>17188</v>
      </c>
      <c r="W1230">
        <v>3.48</v>
      </c>
      <c r="X1230">
        <v>4</v>
      </c>
    </row>
    <row r="1231" spans="1:24" x14ac:dyDescent="0.3">
      <c r="A1231" t="s">
        <v>24</v>
      </c>
      <c r="B1231" t="s">
        <v>75</v>
      </c>
      <c r="C1231">
        <v>2021</v>
      </c>
      <c r="D1231" t="s">
        <v>26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48</v>
      </c>
      <c r="N1231">
        <v>5</v>
      </c>
      <c r="O1231" t="s">
        <v>35</v>
      </c>
      <c r="P1231">
        <v>66.5</v>
      </c>
      <c r="Q1231">
        <v>1990</v>
      </c>
      <c r="R1231">
        <v>5</v>
      </c>
      <c r="S1231">
        <v>1</v>
      </c>
      <c r="T1231" t="s">
        <v>29</v>
      </c>
      <c r="U1231" t="s">
        <v>30</v>
      </c>
      <c r="V1231">
        <v>251849</v>
      </c>
      <c r="W1231">
        <v>3.65</v>
      </c>
      <c r="X1231">
        <v>4</v>
      </c>
    </row>
    <row r="1232" spans="1:24" x14ac:dyDescent="0.3">
      <c r="A1232" t="s">
        <v>86</v>
      </c>
      <c r="B1232" t="s">
        <v>117</v>
      </c>
      <c r="C1232">
        <v>2022</v>
      </c>
      <c r="D1232" t="s">
        <v>56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27</v>
      </c>
      <c r="N1232">
        <v>5</v>
      </c>
      <c r="O1232" t="s">
        <v>40</v>
      </c>
      <c r="P1232">
        <v>68.5</v>
      </c>
      <c r="Q1232">
        <v>1617</v>
      </c>
      <c r="R1232">
        <v>5</v>
      </c>
      <c r="S1232">
        <v>1</v>
      </c>
      <c r="T1232" t="s">
        <v>29</v>
      </c>
      <c r="U1232" t="s">
        <v>33</v>
      </c>
      <c r="V1232">
        <v>55401</v>
      </c>
      <c r="W1232">
        <v>3.66</v>
      </c>
      <c r="X1232">
        <v>7</v>
      </c>
    </row>
    <row r="1233" spans="1:24" x14ac:dyDescent="0.3">
      <c r="A1233" t="s">
        <v>63</v>
      </c>
      <c r="B1233" t="s">
        <v>88</v>
      </c>
      <c r="C1233">
        <v>2025</v>
      </c>
      <c r="D1233" t="s">
        <v>26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34</v>
      </c>
      <c r="N1233">
        <v>5</v>
      </c>
      <c r="O1233" t="s">
        <v>58</v>
      </c>
      <c r="P1233">
        <v>35.4</v>
      </c>
      <c r="Q1233">
        <v>1687</v>
      </c>
      <c r="R1233">
        <v>5</v>
      </c>
      <c r="S1233">
        <v>0</v>
      </c>
      <c r="T1233" t="s">
        <v>65</v>
      </c>
      <c r="U1233" t="s">
        <v>30</v>
      </c>
      <c r="V1233">
        <v>103364</v>
      </c>
      <c r="W1233">
        <v>3.72</v>
      </c>
      <c r="X1233">
        <v>4</v>
      </c>
    </row>
    <row r="1234" spans="1:24" x14ac:dyDescent="0.3">
      <c r="A1234" t="s">
        <v>63</v>
      </c>
      <c r="B1234" t="s">
        <v>67</v>
      </c>
      <c r="C1234">
        <v>2026</v>
      </c>
      <c r="D1234" t="s">
        <v>33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48</v>
      </c>
      <c r="N1234">
        <v>5</v>
      </c>
      <c r="O1234" t="s">
        <v>50</v>
      </c>
      <c r="P1234">
        <v>34.799999999999997</v>
      </c>
      <c r="Q1234">
        <v>1500</v>
      </c>
      <c r="R1234">
        <v>4</v>
      </c>
      <c r="S1234">
        <v>0</v>
      </c>
      <c r="T1234" t="s">
        <v>65</v>
      </c>
      <c r="U1234" t="s">
        <v>33</v>
      </c>
      <c r="V1234">
        <v>118872</v>
      </c>
      <c r="W1234">
        <v>3.49</v>
      </c>
      <c r="X1234">
        <v>4</v>
      </c>
    </row>
    <row r="1235" spans="1:24" x14ac:dyDescent="0.3">
      <c r="A1235" t="s">
        <v>46</v>
      </c>
      <c r="B1235" t="s">
        <v>49</v>
      </c>
      <c r="C1235">
        <v>2025</v>
      </c>
      <c r="D1235" t="s">
        <v>61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48</v>
      </c>
      <c r="N1235">
        <v>5</v>
      </c>
      <c r="O1235" t="s">
        <v>58</v>
      </c>
      <c r="P1235">
        <v>32.1</v>
      </c>
      <c r="Q1235">
        <v>1616</v>
      </c>
      <c r="R1235">
        <v>4</v>
      </c>
      <c r="S1235">
        <v>2</v>
      </c>
      <c r="T1235" t="s">
        <v>41</v>
      </c>
      <c r="U1235" t="s">
        <v>33</v>
      </c>
      <c r="V1235">
        <v>461008</v>
      </c>
      <c r="W1235">
        <v>3.78</v>
      </c>
      <c r="X1235">
        <v>6</v>
      </c>
    </row>
    <row r="1236" spans="1:24" x14ac:dyDescent="0.3">
      <c r="A1236" t="s">
        <v>83</v>
      </c>
      <c r="B1236" t="s">
        <v>84</v>
      </c>
      <c r="C1236">
        <v>2020</v>
      </c>
      <c r="D1236" t="s">
        <v>33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48</v>
      </c>
      <c r="N1236">
        <v>5</v>
      </c>
      <c r="O1236" t="s">
        <v>28</v>
      </c>
      <c r="P1236">
        <v>79.3</v>
      </c>
      <c r="Q1236">
        <v>2413</v>
      </c>
      <c r="R1236">
        <v>5</v>
      </c>
      <c r="S1236">
        <v>1</v>
      </c>
      <c r="T1236" t="s">
        <v>29</v>
      </c>
      <c r="U1236" t="s">
        <v>33</v>
      </c>
      <c r="V1236">
        <v>53466</v>
      </c>
      <c r="W1236">
        <v>3.48</v>
      </c>
      <c r="X1236">
        <v>6</v>
      </c>
    </row>
    <row r="1237" spans="1:24" x14ac:dyDescent="0.3">
      <c r="A1237" t="s">
        <v>24</v>
      </c>
      <c r="B1237" t="s">
        <v>75</v>
      </c>
      <c r="C1237">
        <v>2024</v>
      </c>
      <c r="D1237" t="s">
        <v>26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27</v>
      </c>
      <c r="N1237">
        <v>7</v>
      </c>
      <c r="O1237" t="s">
        <v>58</v>
      </c>
      <c r="P1237">
        <v>34.1</v>
      </c>
      <c r="Q1237">
        <v>1511</v>
      </c>
      <c r="R1237">
        <v>4</v>
      </c>
      <c r="S1237">
        <v>0</v>
      </c>
      <c r="T1237" t="s">
        <v>29</v>
      </c>
      <c r="U1237" t="s">
        <v>30</v>
      </c>
      <c r="V1237">
        <v>296594</v>
      </c>
      <c r="W1237">
        <v>3.51</v>
      </c>
      <c r="X1237">
        <v>4</v>
      </c>
    </row>
    <row r="1238" spans="1:24" x14ac:dyDescent="0.3">
      <c r="A1238" t="s">
        <v>52</v>
      </c>
      <c r="B1238" t="s">
        <v>126</v>
      </c>
      <c r="C1238">
        <v>2023</v>
      </c>
      <c r="D1238" t="s">
        <v>61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34</v>
      </c>
      <c r="N1238">
        <v>7</v>
      </c>
      <c r="O1238" t="s">
        <v>50</v>
      </c>
      <c r="P1238">
        <v>20.7</v>
      </c>
      <c r="Q1238">
        <v>1640</v>
      </c>
      <c r="R1238">
        <v>5</v>
      </c>
      <c r="S1238">
        <v>2</v>
      </c>
      <c r="T1238" t="s">
        <v>29</v>
      </c>
      <c r="U1238" t="s">
        <v>30</v>
      </c>
      <c r="V1238">
        <v>57178</v>
      </c>
      <c r="W1238">
        <v>3.68</v>
      </c>
      <c r="X1238">
        <v>7</v>
      </c>
    </row>
    <row r="1239" spans="1:24" x14ac:dyDescent="0.3">
      <c r="A1239" t="s">
        <v>68</v>
      </c>
      <c r="B1239" t="s">
        <v>90</v>
      </c>
      <c r="C1239">
        <v>2023</v>
      </c>
      <c r="D1239" t="s">
        <v>44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34</v>
      </c>
      <c r="N1239">
        <v>7</v>
      </c>
      <c r="O1239" t="s">
        <v>40</v>
      </c>
      <c r="P1239">
        <v>79.599999999999994</v>
      </c>
      <c r="Q1239">
        <v>1594</v>
      </c>
      <c r="R1239">
        <v>4</v>
      </c>
      <c r="S1239">
        <v>0</v>
      </c>
      <c r="T1239" t="s">
        <v>45</v>
      </c>
      <c r="U1239" t="s">
        <v>37</v>
      </c>
      <c r="V1239">
        <v>128198</v>
      </c>
      <c r="W1239">
        <v>3.66</v>
      </c>
      <c r="X1239">
        <v>4</v>
      </c>
    </row>
    <row r="1240" spans="1:24" x14ac:dyDescent="0.3">
      <c r="A1240" t="s">
        <v>59</v>
      </c>
      <c r="B1240" t="s">
        <v>60</v>
      </c>
      <c r="C1240">
        <v>2025</v>
      </c>
      <c r="D1240" t="s">
        <v>33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27</v>
      </c>
      <c r="N1240">
        <v>7</v>
      </c>
      <c r="O1240" t="s">
        <v>40</v>
      </c>
      <c r="P1240">
        <v>66.900000000000006</v>
      </c>
      <c r="Q1240">
        <v>1500</v>
      </c>
      <c r="R1240">
        <v>5</v>
      </c>
      <c r="S1240">
        <v>2</v>
      </c>
      <c r="T1240" t="s">
        <v>41</v>
      </c>
      <c r="U1240" t="s">
        <v>30</v>
      </c>
      <c r="V1240">
        <v>8757</v>
      </c>
      <c r="W1240">
        <v>3.62</v>
      </c>
      <c r="X1240">
        <v>4</v>
      </c>
    </row>
    <row r="1241" spans="1:24" x14ac:dyDescent="0.3">
      <c r="A1241" t="s">
        <v>46</v>
      </c>
      <c r="B1241" t="s">
        <v>49</v>
      </c>
      <c r="C1241">
        <v>2026</v>
      </c>
      <c r="D1241" t="s">
        <v>33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27</v>
      </c>
      <c r="N1241">
        <v>5</v>
      </c>
      <c r="O1241" t="s">
        <v>35</v>
      </c>
      <c r="P1241">
        <v>36.200000000000003</v>
      </c>
      <c r="Q1241">
        <v>2157</v>
      </c>
      <c r="R1241">
        <v>4</v>
      </c>
      <c r="S1241">
        <v>3</v>
      </c>
      <c r="T1241" t="s">
        <v>41</v>
      </c>
      <c r="U1241" t="s">
        <v>37</v>
      </c>
      <c r="V1241">
        <v>467657</v>
      </c>
      <c r="W1241">
        <v>3.42</v>
      </c>
      <c r="X1241">
        <v>5</v>
      </c>
    </row>
    <row r="1242" spans="1:24" x14ac:dyDescent="0.3">
      <c r="A1242" t="s">
        <v>52</v>
      </c>
      <c r="B1242" t="s">
        <v>103</v>
      </c>
      <c r="C1242">
        <v>2025</v>
      </c>
      <c r="D1242" t="s">
        <v>33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48</v>
      </c>
      <c r="N1242">
        <v>5</v>
      </c>
      <c r="O1242" t="s">
        <v>35</v>
      </c>
      <c r="P1242">
        <v>58</v>
      </c>
      <c r="Q1242">
        <v>2182</v>
      </c>
      <c r="R1242">
        <v>4</v>
      </c>
      <c r="S1242">
        <v>2</v>
      </c>
      <c r="T1242" t="s">
        <v>29</v>
      </c>
      <c r="U1242" t="s">
        <v>30</v>
      </c>
      <c r="V1242">
        <v>58457</v>
      </c>
      <c r="W1242">
        <v>3.3</v>
      </c>
      <c r="X1242">
        <v>8</v>
      </c>
    </row>
    <row r="1243" spans="1:24" x14ac:dyDescent="0.3">
      <c r="A1243" t="s">
        <v>76</v>
      </c>
      <c r="B1243" t="s">
        <v>91</v>
      </c>
      <c r="C1243">
        <v>2025</v>
      </c>
      <c r="D1243" t="s">
        <v>33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48</v>
      </c>
      <c r="N1243">
        <v>4</v>
      </c>
      <c r="O1243" t="s">
        <v>28</v>
      </c>
      <c r="P1243">
        <v>65.7</v>
      </c>
      <c r="Q1243">
        <v>2810</v>
      </c>
      <c r="R1243">
        <v>5</v>
      </c>
      <c r="S1243">
        <v>1</v>
      </c>
      <c r="T1243" t="s">
        <v>41</v>
      </c>
      <c r="U1243" t="s">
        <v>33</v>
      </c>
      <c r="V1243">
        <v>67161</v>
      </c>
      <c r="W1243">
        <v>3.21</v>
      </c>
      <c r="X1243">
        <v>3</v>
      </c>
    </row>
    <row r="1244" spans="1:24" x14ac:dyDescent="0.3">
      <c r="A1244" t="s">
        <v>76</v>
      </c>
      <c r="B1244" t="s">
        <v>81</v>
      </c>
      <c r="C1244">
        <v>2022</v>
      </c>
      <c r="D1244" t="s">
        <v>44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48</v>
      </c>
      <c r="N1244">
        <v>7</v>
      </c>
      <c r="O1244" t="s">
        <v>35</v>
      </c>
      <c r="P1244">
        <v>54.2</v>
      </c>
      <c r="Q1244">
        <v>1709</v>
      </c>
      <c r="R1244">
        <v>5</v>
      </c>
      <c r="S1244">
        <v>1</v>
      </c>
      <c r="T1244" t="s">
        <v>41</v>
      </c>
      <c r="U1244" t="s">
        <v>37</v>
      </c>
      <c r="V1244">
        <v>77918</v>
      </c>
      <c r="W1244">
        <v>3.48</v>
      </c>
      <c r="X1244">
        <v>5</v>
      </c>
    </row>
    <row r="1245" spans="1:24" x14ac:dyDescent="0.3">
      <c r="A1245" t="s">
        <v>52</v>
      </c>
      <c r="B1245" t="s">
        <v>97</v>
      </c>
      <c r="C1245">
        <v>2026</v>
      </c>
      <c r="D1245" t="s">
        <v>44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27</v>
      </c>
      <c r="N1245">
        <v>7</v>
      </c>
      <c r="O1245" t="s">
        <v>35</v>
      </c>
      <c r="P1245">
        <v>44.2</v>
      </c>
      <c r="Q1245">
        <v>1927</v>
      </c>
      <c r="R1245">
        <v>5</v>
      </c>
      <c r="S1245">
        <v>1</v>
      </c>
      <c r="T1245" t="s">
        <v>29</v>
      </c>
      <c r="U1245" t="s">
        <v>30</v>
      </c>
      <c r="V1245">
        <v>45500</v>
      </c>
      <c r="W1245">
        <v>3.92</v>
      </c>
      <c r="X1245">
        <v>6</v>
      </c>
    </row>
    <row r="1246" spans="1:24" x14ac:dyDescent="0.3">
      <c r="A1246" t="s">
        <v>38</v>
      </c>
      <c r="B1246" t="s">
        <v>118</v>
      </c>
      <c r="C1246">
        <v>2026</v>
      </c>
      <c r="D1246" t="s">
        <v>44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34</v>
      </c>
      <c r="N1246">
        <v>5</v>
      </c>
      <c r="O1246" t="s">
        <v>28</v>
      </c>
      <c r="P1246">
        <v>67.099999999999994</v>
      </c>
      <c r="Q1246">
        <v>2136</v>
      </c>
      <c r="R1246">
        <v>3</v>
      </c>
      <c r="S1246">
        <v>2</v>
      </c>
      <c r="T1246" t="s">
        <v>41</v>
      </c>
      <c r="U1246" t="s">
        <v>33</v>
      </c>
      <c r="V1246">
        <v>18197</v>
      </c>
      <c r="W1246">
        <v>3.62</v>
      </c>
      <c r="X1246">
        <v>4</v>
      </c>
    </row>
    <row r="1247" spans="1:24" x14ac:dyDescent="0.3">
      <c r="A1247" t="s">
        <v>83</v>
      </c>
      <c r="B1247" t="s">
        <v>84</v>
      </c>
      <c r="C1247">
        <v>2023</v>
      </c>
      <c r="D1247" t="s">
        <v>26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48</v>
      </c>
      <c r="N1247">
        <v>7</v>
      </c>
      <c r="O1247" t="s">
        <v>51</v>
      </c>
      <c r="P1247">
        <v>30.3</v>
      </c>
      <c r="Q1247">
        <v>1630</v>
      </c>
      <c r="R1247">
        <v>5</v>
      </c>
      <c r="S1247">
        <v>2</v>
      </c>
      <c r="T1247" t="s">
        <v>29</v>
      </c>
      <c r="U1247" t="s">
        <v>30</v>
      </c>
      <c r="V1247">
        <v>71997</v>
      </c>
      <c r="W1247">
        <v>3.55</v>
      </c>
      <c r="X1247">
        <v>6</v>
      </c>
    </row>
    <row r="1248" spans="1:24" x14ac:dyDescent="0.3">
      <c r="A1248" t="s">
        <v>46</v>
      </c>
      <c r="B1248" t="s">
        <v>57</v>
      </c>
      <c r="C1248">
        <v>2025</v>
      </c>
      <c r="D1248" t="s">
        <v>56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48</v>
      </c>
      <c r="N1248">
        <v>5</v>
      </c>
      <c r="O1248" t="s">
        <v>50</v>
      </c>
      <c r="P1248">
        <v>25.3</v>
      </c>
      <c r="Q1248">
        <v>1673</v>
      </c>
      <c r="R1248">
        <v>4</v>
      </c>
      <c r="S1248">
        <v>2</v>
      </c>
      <c r="T1248" t="s">
        <v>41</v>
      </c>
      <c r="U1248" t="s">
        <v>37</v>
      </c>
      <c r="V1248">
        <v>205263</v>
      </c>
      <c r="W1248">
        <v>3.88</v>
      </c>
      <c r="X1248">
        <v>5</v>
      </c>
    </row>
    <row r="1249" spans="1:24" x14ac:dyDescent="0.3">
      <c r="A1249" t="s">
        <v>46</v>
      </c>
      <c r="B1249" t="s">
        <v>72</v>
      </c>
      <c r="C1249">
        <v>2022</v>
      </c>
      <c r="D1249" t="s">
        <v>56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27</v>
      </c>
      <c r="N1249">
        <v>5</v>
      </c>
      <c r="O1249" t="s">
        <v>28</v>
      </c>
      <c r="P1249">
        <v>66.8</v>
      </c>
      <c r="Q1249">
        <v>2657</v>
      </c>
      <c r="R1249">
        <v>5</v>
      </c>
      <c r="S1249">
        <v>2</v>
      </c>
      <c r="T1249" t="s">
        <v>41</v>
      </c>
      <c r="U1249" t="s">
        <v>66</v>
      </c>
      <c r="V1249">
        <v>223257</v>
      </c>
      <c r="W1249">
        <v>3.91</v>
      </c>
      <c r="X1249">
        <v>6</v>
      </c>
    </row>
    <row r="1250" spans="1:24" x14ac:dyDescent="0.3">
      <c r="A1250" t="s">
        <v>94</v>
      </c>
      <c r="B1250" t="s">
        <v>120</v>
      </c>
      <c r="C1250">
        <v>2024</v>
      </c>
      <c r="D1250" t="s">
        <v>61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48</v>
      </c>
      <c r="N1250">
        <v>5</v>
      </c>
      <c r="O1250" t="s">
        <v>50</v>
      </c>
      <c r="P1250">
        <v>31.3</v>
      </c>
      <c r="Q1250">
        <v>1941</v>
      </c>
      <c r="R1250">
        <v>5</v>
      </c>
      <c r="S1250">
        <v>0</v>
      </c>
      <c r="T1250" t="s">
        <v>41</v>
      </c>
      <c r="U1250" t="s">
        <v>33</v>
      </c>
      <c r="V1250">
        <v>12601</v>
      </c>
      <c r="W1250">
        <v>3.59</v>
      </c>
      <c r="X1250">
        <v>5</v>
      </c>
    </row>
    <row r="1251" spans="1:24" x14ac:dyDescent="0.3">
      <c r="A1251" t="s">
        <v>42</v>
      </c>
      <c r="B1251" t="s">
        <v>71</v>
      </c>
      <c r="C1251">
        <v>2026</v>
      </c>
      <c r="D1251" t="s">
        <v>61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34</v>
      </c>
      <c r="N1251">
        <v>7</v>
      </c>
      <c r="O1251" t="s">
        <v>40</v>
      </c>
      <c r="P1251">
        <v>63</v>
      </c>
      <c r="Q1251">
        <v>1500</v>
      </c>
      <c r="R1251">
        <v>4</v>
      </c>
      <c r="S1251">
        <v>0</v>
      </c>
      <c r="T1251" t="s">
        <v>45</v>
      </c>
      <c r="U1251" t="s">
        <v>37</v>
      </c>
      <c r="V1251">
        <v>84955</v>
      </c>
      <c r="W1251">
        <v>3.44</v>
      </c>
      <c r="X1251">
        <v>5</v>
      </c>
    </row>
    <row r="1252" spans="1:24" x14ac:dyDescent="0.3">
      <c r="A1252" t="s">
        <v>76</v>
      </c>
      <c r="B1252" t="s">
        <v>81</v>
      </c>
      <c r="C1252">
        <v>2024</v>
      </c>
      <c r="D1252" t="s">
        <v>44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48</v>
      </c>
      <c r="N1252">
        <v>7</v>
      </c>
      <c r="O1252" t="s">
        <v>51</v>
      </c>
      <c r="P1252">
        <v>28</v>
      </c>
      <c r="Q1252">
        <v>1500</v>
      </c>
      <c r="R1252">
        <v>5</v>
      </c>
      <c r="S1252">
        <v>0</v>
      </c>
      <c r="T1252" t="s">
        <v>41</v>
      </c>
      <c r="U1252" t="s">
        <v>33</v>
      </c>
      <c r="V1252">
        <v>72596</v>
      </c>
      <c r="W1252">
        <v>3.61</v>
      </c>
      <c r="X1252">
        <v>5</v>
      </c>
    </row>
    <row r="1253" spans="1:24" x14ac:dyDescent="0.3">
      <c r="A1253" t="s">
        <v>68</v>
      </c>
      <c r="B1253" t="s">
        <v>69</v>
      </c>
      <c r="C1253">
        <v>2026</v>
      </c>
      <c r="D1253" t="s">
        <v>61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48</v>
      </c>
      <c r="N1253">
        <v>7</v>
      </c>
      <c r="O1253" t="s">
        <v>51</v>
      </c>
      <c r="P1253">
        <v>28.7</v>
      </c>
      <c r="Q1253">
        <v>1750</v>
      </c>
      <c r="R1253">
        <v>5</v>
      </c>
      <c r="S1253">
        <v>0</v>
      </c>
      <c r="T1253" t="s">
        <v>45</v>
      </c>
      <c r="U1253" t="s">
        <v>37</v>
      </c>
      <c r="V1253">
        <v>89861</v>
      </c>
      <c r="W1253">
        <v>3.5</v>
      </c>
      <c r="X1253">
        <v>3</v>
      </c>
    </row>
    <row r="1254" spans="1:24" x14ac:dyDescent="0.3">
      <c r="A1254" t="s">
        <v>46</v>
      </c>
      <c r="B1254" t="s">
        <v>57</v>
      </c>
      <c r="C1254">
        <v>2025</v>
      </c>
      <c r="D1254" t="s">
        <v>33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48</v>
      </c>
      <c r="N1254">
        <v>5</v>
      </c>
      <c r="O1254" t="s">
        <v>35</v>
      </c>
      <c r="P1254">
        <v>64</v>
      </c>
      <c r="Q1254">
        <v>2096</v>
      </c>
      <c r="R1254">
        <v>5</v>
      </c>
      <c r="S1254">
        <v>2</v>
      </c>
      <c r="T1254" t="s">
        <v>41</v>
      </c>
      <c r="U1254" t="s">
        <v>30</v>
      </c>
      <c r="V1254">
        <v>124407</v>
      </c>
      <c r="W1254">
        <v>3.58</v>
      </c>
      <c r="X1254">
        <v>4</v>
      </c>
    </row>
    <row r="1255" spans="1:24" x14ac:dyDescent="0.3">
      <c r="A1255" t="s">
        <v>46</v>
      </c>
      <c r="B1255" t="s">
        <v>47</v>
      </c>
      <c r="C1255">
        <v>2026</v>
      </c>
      <c r="D1255" t="s">
        <v>44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48</v>
      </c>
      <c r="N1255">
        <v>5</v>
      </c>
      <c r="O1255" t="s">
        <v>28</v>
      </c>
      <c r="P1255">
        <v>79.400000000000006</v>
      </c>
      <c r="Q1255">
        <v>2940</v>
      </c>
      <c r="R1255">
        <v>5</v>
      </c>
      <c r="S1255">
        <v>2</v>
      </c>
      <c r="T1255" t="s">
        <v>41</v>
      </c>
      <c r="U1255" t="s">
        <v>30</v>
      </c>
      <c r="V1255">
        <v>162803</v>
      </c>
      <c r="W1255">
        <v>4.05</v>
      </c>
      <c r="X1255">
        <v>5</v>
      </c>
    </row>
    <row r="1256" spans="1:24" x14ac:dyDescent="0.3">
      <c r="A1256" t="s">
        <v>83</v>
      </c>
      <c r="B1256" t="s">
        <v>89</v>
      </c>
      <c r="C1256">
        <v>2024</v>
      </c>
      <c r="D1256" t="s">
        <v>61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34</v>
      </c>
      <c r="N1256">
        <v>5</v>
      </c>
      <c r="O1256" t="s">
        <v>35</v>
      </c>
      <c r="P1256">
        <v>59</v>
      </c>
      <c r="Q1256">
        <v>1704</v>
      </c>
      <c r="R1256">
        <v>5</v>
      </c>
      <c r="S1256">
        <v>2</v>
      </c>
      <c r="T1256" t="s">
        <v>29</v>
      </c>
      <c r="U1256" t="s">
        <v>30</v>
      </c>
      <c r="V1256">
        <v>72604</v>
      </c>
      <c r="W1256">
        <v>3.14</v>
      </c>
      <c r="X1256">
        <v>6</v>
      </c>
    </row>
    <row r="1257" spans="1:24" x14ac:dyDescent="0.3">
      <c r="A1257" t="s">
        <v>24</v>
      </c>
      <c r="B1257" t="s">
        <v>74</v>
      </c>
      <c r="C1257">
        <v>2024</v>
      </c>
      <c r="D1257" t="s">
        <v>33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27</v>
      </c>
      <c r="N1257">
        <v>5</v>
      </c>
      <c r="O1257" t="s">
        <v>28</v>
      </c>
      <c r="P1257">
        <v>70.099999999999994</v>
      </c>
      <c r="Q1257">
        <v>2308</v>
      </c>
      <c r="R1257">
        <v>5</v>
      </c>
      <c r="S1257">
        <v>0</v>
      </c>
      <c r="T1257" t="s">
        <v>29</v>
      </c>
      <c r="U1257" t="s">
        <v>37</v>
      </c>
      <c r="V1257">
        <v>246474</v>
      </c>
      <c r="W1257">
        <v>3.55</v>
      </c>
      <c r="X1257">
        <v>5</v>
      </c>
    </row>
    <row r="1258" spans="1:24" x14ac:dyDescent="0.3">
      <c r="A1258" t="s">
        <v>46</v>
      </c>
      <c r="B1258" t="s">
        <v>78</v>
      </c>
      <c r="C1258">
        <v>2024</v>
      </c>
      <c r="D1258" t="s">
        <v>33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27</v>
      </c>
      <c r="N1258">
        <v>5</v>
      </c>
      <c r="O1258" t="s">
        <v>35</v>
      </c>
      <c r="P1258">
        <v>42.4</v>
      </c>
      <c r="Q1258">
        <v>1670</v>
      </c>
      <c r="R1258">
        <v>4</v>
      </c>
      <c r="S1258">
        <v>3</v>
      </c>
      <c r="T1258" t="s">
        <v>41</v>
      </c>
      <c r="U1258" t="s">
        <v>30</v>
      </c>
      <c r="V1258">
        <v>163095</v>
      </c>
      <c r="W1258">
        <v>3.57</v>
      </c>
      <c r="X1258">
        <v>4</v>
      </c>
    </row>
    <row r="1259" spans="1:24" x14ac:dyDescent="0.3">
      <c r="A1259" t="s">
        <v>68</v>
      </c>
      <c r="B1259" t="s">
        <v>106</v>
      </c>
      <c r="C1259">
        <v>2024</v>
      </c>
      <c r="D1259" t="s">
        <v>26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34</v>
      </c>
      <c r="N1259">
        <v>7</v>
      </c>
      <c r="O1259" t="s">
        <v>58</v>
      </c>
      <c r="P1259">
        <v>16.2</v>
      </c>
      <c r="Q1259">
        <v>1500</v>
      </c>
      <c r="R1259">
        <v>5</v>
      </c>
      <c r="S1259">
        <v>0</v>
      </c>
      <c r="T1259" t="s">
        <v>45</v>
      </c>
      <c r="U1259" t="s">
        <v>37</v>
      </c>
      <c r="V1259">
        <v>110783</v>
      </c>
      <c r="W1259">
        <v>3.54</v>
      </c>
      <c r="X1259">
        <v>4</v>
      </c>
    </row>
    <row r="1260" spans="1:24" x14ac:dyDescent="0.3">
      <c r="A1260" t="s">
        <v>46</v>
      </c>
      <c r="B1260" t="s">
        <v>47</v>
      </c>
      <c r="C1260">
        <v>2024</v>
      </c>
      <c r="D1260" t="s">
        <v>26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27</v>
      </c>
      <c r="N1260">
        <v>7</v>
      </c>
      <c r="O1260" t="s">
        <v>50</v>
      </c>
      <c r="P1260">
        <v>25.5</v>
      </c>
      <c r="Q1260">
        <v>1590</v>
      </c>
      <c r="R1260">
        <v>3</v>
      </c>
      <c r="S1260">
        <v>2</v>
      </c>
      <c r="T1260" t="s">
        <v>41</v>
      </c>
      <c r="U1260" t="s">
        <v>30</v>
      </c>
      <c r="V1260">
        <v>219324</v>
      </c>
      <c r="W1260">
        <v>3.91</v>
      </c>
      <c r="X1260">
        <v>5</v>
      </c>
    </row>
    <row r="1261" spans="1:24" x14ac:dyDescent="0.3">
      <c r="A1261" t="s">
        <v>42</v>
      </c>
      <c r="B1261" t="s">
        <v>80</v>
      </c>
      <c r="C1261">
        <v>2025</v>
      </c>
      <c r="D1261" t="s">
        <v>56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34</v>
      </c>
      <c r="N1261">
        <v>5</v>
      </c>
      <c r="O1261" t="s">
        <v>35</v>
      </c>
      <c r="P1261">
        <v>61.8</v>
      </c>
      <c r="Q1261">
        <v>2151</v>
      </c>
      <c r="R1261">
        <v>5</v>
      </c>
      <c r="S1261">
        <v>1</v>
      </c>
      <c r="T1261" t="s">
        <v>45</v>
      </c>
      <c r="U1261" t="s">
        <v>66</v>
      </c>
      <c r="V1261">
        <v>76695</v>
      </c>
      <c r="W1261">
        <v>3.1</v>
      </c>
      <c r="X1261">
        <v>3</v>
      </c>
    </row>
    <row r="1262" spans="1:24" x14ac:dyDescent="0.3">
      <c r="A1262" t="s">
        <v>63</v>
      </c>
      <c r="B1262" t="s">
        <v>64</v>
      </c>
      <c r="C1262">
        <v>2025</v>
      </c>
      <c r="D1262" t="s">
        <v>33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27</v>
      </c>
      <c r="N1262">
        <v>5</v>
      </c>
      <c r="O1262" t="s">
        <v>28</v>
      </c>
      <c r="P1262">
        <v>55.5</v>
      </c>
      <c r="Q1262">
        <v>2095</v>
      </c>
      <c r="R1262">
        <v>4</v>
      </c>
      <c r="S1262">
        <v>1</v>
      </c>
      <c r="T1262" t="s">
        <v>65</v>
      </c>
      <c r="U1262" t="s">
        <v>30</v>
      </c>
      <c r="V1262">
        <v>149002</v>
      </c>
      <c r="W1262">
        <v>3.28</v>
      </c>
      <c r="X1262">
        <v>5</v>
      </c>
    </row>
    <row r="1263" spans="1:24" x14ac:dyDescent="0.3">
      <c r="A1263" t="s">
        <v>76</v>
      </c>
      <c r="B1263" t="s">
        <v>98</v>
      </c>
      <c r="C1263">
        <v>2025</v>
      </c>
      <c r="D1263" t="s">
        <v>33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34</v>
      </c>
      <c r="N1263">
        <v>5</v>
      </c>
      <c r="O1263" t="s">
        <v>40</v>
      </c>
      <c r="P1263">
        <v>73.099999999999994</v>
      </c>
      <c r="Q1263">
        <v>1533</v>
      </c>
      <c r="R1263">
        <v>5</v>
      </c>
      <c r="S1263">
        <v>1</v>
      </c>
      <c r="T1263" t="s">
        <v>41</v>
      </c>
      <c r="U1263" t="s">
        <v>37</v>
      </c>
      <c r="V1263">
        <v>41791</v>
      </c>
      <c r="W1263">
        <v>3.47</v>
      </c>
      <c r="X1263">
        <v>3</v>
      </c>
    </row>
    <row r="1264" spans="1:24" x14ac:dyDescent="0.3">
      <c r="A1264" t="s">
        <v>63</v>
      </c>
      <c r="B1264" t="s">
        <v>107</v>
      </c>
      <c r="C1264">
        <v>2023</v>
      </c>
      <c r="D1264" t="s">
        <v>44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34</v>
      </c>
      <c r="N1264">
        <v>7</v>
      </c>
      <c r="O1264" t="s">
        <v>40</v>
      </c>
      <c r="P1264">
        <v>66.7</v>
      </c>
      <c r="Q1264">
        <v>1756</v>
      </c>
      <c r="R1264">
        <v>5</v>
      </c>
      <c r="S1264">
        <v>1</v>
      </c>
      <c r="T1264" t="s">
        <v>65</v>
      </c>
      <c r="U1264" t="s">
        <v>33</v>
      </c>
      <c r="V1264">
        <v>213531</v>
      </c>
      <c r="W1264">
        <v>3.84</v>
      </c>
      <c r="X1264">
        <v>3</v>
      </c>
    </row>
    <row r="1265" spans="1:24" x14ac:dyDescent="0.3">
      <c r="A1265" t="s">
        <v>24</v>
      </c>
      <c r="B1265" t="s">
        <v>25</v>
      </c>
      <c r="C1265">
        <v>2025</v>
      </c>
      <c r="D1265" t="s">
        <v>61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48</v>
      </c>
      <c r="N1265">
        <v>5</v>
      </c>
      <c r="O1265" t="s">
        <v>28</v>
      </c>
      <c r="P1265">
        <v>75.3</v>
      </c>
      <c r="Q1265">
        <v>2623</v>
      </c>
      <c r="R1265">
        <v>3</v>
      </c>
      <c r="S1265">
        <v>0</v>
      </c>
      <c r="T1265" t="s">
        <v>29</v>
      </c>
      <c r="U1265" t="s">
        <v>33</v>
      </c>
      <c r="V1265">
        <v>259718</v>
      </c>
      <c r="W1265">
        <v>3</v>
      </c>
      <c r="X1265">
        <v>5</v>
      </c>
    </row>
    <row r="1266" spans="1:24" x14ac:dyDescent="0.3">
      <c r="A1266" t="s">
        <v>46</v>
      </c>
      <c r="B1266" t="s">
        <v>57</v>
      </c>
      <c r="C1266">
        <v>2023</v>
      </c>
      <c r="D1266" t="s">
        <v>26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48</v>
      </c>
      <c r="N1266">
        <v>7</v>
      </c>
      <c r="O1266" t="s">
        <v>40</v>
      </c>
      <c r="P1266">
        <v>62</v>
      </c>
      <c r="Q1266">
        <v>1500</v>
      </c>
      <c r="R1266">
        <v>3</v>
      </c>
      <c r="S1266">
        <v>2</v>
      </c>
      <c r="T1266" t="s">
        <v>41</v>
      </c>
      <c r="U1266" t="s">
        <v>30</v>
      </c>
      <c r="V1266">
        <v>177006</v>
      </c>
      <c r="W1266">
        <v>3.89</v>
      </c>
      <c r="X1266">
        <v>4</v>
      </c>
    </row>
    <row r="1267" spans="1:24" x14ac:dyDescent="0.3">
      <c r="A1267" t="s">
        <v>46</v>
      </c>
      <c r="B1267" t="s">
        <v>49</v>
      </c>
      <c r="C1267">
        <v>2024</v>
      </c>
      <c r="D1267" t="s">
        <v>44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34</v>
      </c>
      <c r="N1267">
        <v>5</v>
      </c>
      <c r="O1267" t="s">
        <v>40</v>
      </c>
      <c r="P1267">
        <v>74.2</v>
      </c>
      <c r="Q1267">
        <v>1503</v>
      </c>
      <c r="R1267">
        <v>5</v>
      </c>
      <c r="S1267">
        <v>2</v>
      </c>
      <c r="T1267" t="s">
        <v>41</v>
      </c>
      <c r="U1267" t="s">
        <v>30</v>
      </c>
      <c r="V1267">
        <v>416641</v>
      </c>
      <c r="W1267">
        <v>3.68</v>
      </c>
      <c r="X1267">
        <v>5</v>
      </c>
    </row>
    <row r="1268" spans="1:24" x14ac:dyDescent="0.3">
      <c r="A1268" t="s">
        <v>24</v>
      </c>
      <c r="B1268" t="s">
        <v>75</v>
      </c>
      <c r="C1268">
        <v>2026</v>
      </c>
      <c r="D1268" t="s">
        <v>26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48</v>
      </c>
      <c r="N1268">
        <v>5</v>
      </c>
      <c r="O1268" t="s">
        <v>28</v>
      </c>
      <c r="P1268">
        <v>78.099999999999994</v>
      </c>
      <c r="Q1268">
        <v>2341</v>
      </c>
      <c r="R1268">
        <v>5</v>
      </c>
      <c r="S1268">
        <v>0</v>
      </c>
      <c r="T1268" t="s">
        <v>29</v>
      </c>
      <c r="U1268" t="s">
        <v>30</v>
      </c>
      <c r="V1268">
        <v>238315</v>
      </c>
      <c r="W1268">
        <v>3.78</v>
      </c>
      <c r="X1268">
        <v>4</v>
      </c>
    </row>
    <row r="1269" spans="1:24" x14ac:dyDescent="0.3">
      <c r="A1269" t="s">
        <v>68</v>
      </c>
      <c r="B1269" t="s">
        <v>79</v>
      </c>
      <c r="C1269">
        <v>2024</v>
      </c>
      <c r="D1269" t="s">
        <v>33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48</v>
      </c>
      <c r="N1269">
        <v>5</v>
      </c>
      <c r="O1269" t="s">
        <v>28</v>
      </c>
      <c r="P1269">
        <v>71.099999999999994</v>
      </c>
      <c r="Q1269">
        <v>2388</v>
      </c>
      <c r="R1269">
        <v>5</v>
      </c>
      <c r="S1269">
        <v>0</v>
      </c>
      <c r="T1269" t="s">
        <v>45</v>
      </c>
      <c r="U1269" t="s">
        <v>37</v>
      </c>
      <c r="V1269">
        <v>66241</v>
      </c>
      <c r="W1269">
        <v>3.36</v>
      </c>
      <c r="X1269">
        <v>4</v>
      </c>
    </row>
    <row r="1270" spans="1:24" x14ac:dyDescent="0.3">
      <c r="A1270" t="s">
        <v>42</v>
      </c>
      <c r="B1270" t="s">
        <v>80</v>
      </c>
      <c r="C1270">
        <v>2024</v>
      </c>
      <c r="D1270" t="s">
        <v>26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34</v>
      </c>
      <c r="N1270">
        <v>5</v>
      </c>
      <c r="O1270" t="s">
        <v>35</v>
      </c>
      <c r="P1270">
        <v>63.8</v>
      </c>
      <c r="Q1270">
        <v>1774</v>
      </c>
      <c r="R1270">
        <v>3</v>
      </c>
      <c r="S1270">
        <v>0</v>
      </c>
      <c r="T1270" t="s">
        <v>45</v>
      </c>
      <c r="U1270" t="s">
        <v>37</v>
      </c>
      <c r="V1270">
        <v>140441</v>
      </c>
      <c r="W1270">
        <v>3.97</v>
      </c>
      <c r="X1270">
        <v>5</v>
      </c>
    </row>
    <row r="1271" spans="1:24" x14ac:dyDescent="0.3">
      <c r="A1271" t="s">
        <v>63</v>
      </c>
      <c r="B1271" t="s">
        <v>73</v>
      </c>
      <c r="C1271">
        <v>2021</v>
      </c>
      <c r="D1271" t="s">
        <v>56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34</v>
      </c>
      <c r="N1271">
        <v>5</v>
      </c>
      <c r="O1271" t="s">
        <v>28</v>
      </c>
      <c r="P1271">
        <v>64.5</v>
      </c>
      <c r="Q1271">
        <v>2592</v>
      </c>
      <c r="R1271">
        <v>5</v>
      </c>
      <c r="S1271">
        <v>0</v>
      </c>
      <c r="T1271" t="s">
        <v>65</v>
      </c>
      <c r="U1271" t="s">
        <v>66</v>
      </c>
      <c r="V1271">
        <v>206262</v>
      </c>
      <c r="W1271">
        <v>3.68</v>
      </c>
      <c r="X1271">
        <v>4</v>
      </c>
    </row>
    <row r="1272" spans="1:24" x14ac:dyDescent="0.3">
      <c r="A1272" t="s">
        <v>38</v>
      </c>
      <c r="B1272" t="s">
        <v>102</v>
      </c>
      <c r="C1272">
        <v>2024</v>
      </c>
      <c r="D1272" t="s">
        <v>44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34</v>
      </c>
      <c r="N1272">
        <v>7</v>
      </c>
      <c r="O1272" t="s">
        <v>35</v>
      </c>
      <c r="P1272">
        <v>65</v>
      </c>
      <c r="Q1272">
        <v>1846</v>
      </c>
      <c r="R1272">
        <v>4</v>
      </c>
      <c r="S1272">
        <v>2</v>
      </c>
      <c r="T1272" t="s">
        <v>41</v>
      </c>
      <c r="U1272" t="s">
        <v>37</v>
      </c>
      <c r="V1272">
        <v>16859</v>
      </c>
      <c r="W1272">
        <v>3.94</v>
      </c>
      <c r="X1272">
        <v>5</v>
      </c>
    </row>
    <row r="1273" spans="1:24" x14ac:dyDescent="0.3">
      <c r="A1273" t="s">
        <v>52</v>
      </c>
      <c r="B1273" t="s">
        <v>62</v>
      </c>
      <c r="C1273">
        <v>2024</v>
      </c>
      <c r="D1273" t="s">
        <v>44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34</v>
      </c>
      <c r="N1273">
        <v>5</v>
      </c>
      <c r="O1273" t="s">
        <v>40</v>
      </c>
      <c r="P1273">
        <v>76.400000000000006</v>
      </c>
      <c r="Q1273">
        <v>1776</v>
      </c>
      <c r="R1273">
        <v>4</v>
      </c>
      <c r="S1273">
        <v>2</v>
      </c>
      <c r="T1273" t="s">
        <v>29</v>
      </c>
      <c r="U1273" t="s">
        <v>30</v>
      </c>
      <c r="V1273">
        <v>73690</v>
      </c>
      <c r="W1273">
        <v>3.79</v>
      </c>
      <c r="X1273">
        <v>7</v>
      </c>
    </row>
    <row r="1274" spans="1:24" x14ac:dyDescent="0.3">
      <c r="A1274" t="s">
        <v>76</v>
      </c>
      <c r="B1274" t="s">
        <v>81</v>
      </c>
      <c r="C1274">
        <v>2025</v>
      </c>
      <c r="D1274" t="s">
        <v>61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34</v>
      </c>
      <c r="N1274">
        <v>5</v>
      </c>
      <c r="O1274" t="s">
        <v>50</v>
      </c>
      <c r="P1274">
        <v>34.6</v>
      </c>
      <c r="Q1274">
        <v>1556</v>
      </c>
      <c r="R1274">
        <v>4</v>
      </c>
      <c r="S1274">
        <v>0</v>
      </c>
      <c r="T1274" t="s">
        <v>41</v>
      </c>
      <c r="U1274" t="s">
        <v>66</v>
      </c>
      <c r="V1274">
        <v>25887</v>
      </c>
      <c r="W1274">
        <v>3.14</v>
      </c>
      <c r="X1274">
        <v>4</v>
      </c>
    </row>
    <row r="1275" spans="1:24" x14ac:dyDescent="0.3">
      <c r="A1275" t="s">
        <v>46</v>
      </c>
      <c r="B1275" t="s">
        <v>49</v>
      </c>
      <c r="C1275">
        <v>2024</v>
      </c>
      <c r="D1275" t="s">
        <v>33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48</v>
      </c>
      <c r="N1275">
        <v>5</v>
      </c>
      <c r="O1275" t="s">
        <v>51</v>
      </c>
      <c r="P1275">
        <v>22.6</v>
      </c>
      <c r="Q1275">
        <v>1659</v>
      </c>
      <c r="R1275">
        <v>3</v>
      </c>
      <c r="S1275">
        <v>3</v>
      </c>
      <c r="T1275" t="s">
        <v>41</v>
      </c>
      <c r="U1275" t="s">
        <v>30</v>
      </c>
      <c r="V1275">
        <v>434155</v>
      </c>
      <c r="W1275">
        <v>3.8</v>
      </c>
      <c r="X1275">
        <v>6</v>
      </c>
    </row>
    <row r="1276" spans="1:24" x14ac:dyDescent="0.3">
      <c r="A1276" t="s">
        <v>68</v>
      </c>
      <c r="B1276" t="s">
        <v>90</v>
      </c>
      <c r="C1276">
        <v>2020</v>
      </c>
      <c r="D1276" t="s">
        <v>26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27</v>
      </c>
      <c r="N1276">
        <v>7</v>
      </c>
      <c r="O1276" t="s">
        <v>28</v>
      </c>
      <c r="P1276">
        <v>68.400000000000006</v>
      </c>
      <c r="Q1276">
        <v>2759</v>
      </c>
      <c r="R1276">
        <v>5</v>
      </c>
      <c r="S1276">
        <v>1</v>
      </c>
      <c r="T1276" t="s">
        <v>45</v>
      </c>
      <c r="U1276" t="s">
        <v>33</v>
      </c>
      <c r="V1276">
        <v>113130</v>
      </c>
      <c r="W1276">
        <v>3.67</v>
      </c>
      <c r="X1276">
        <v>4</v>
      </c>
    </row>
    <row r="1277" spans="1:24" x14ac:dyDescent="0.3">
      <c r="A1277" t="s">
        <v>46</v>
      </c>
      <c r="B1277" t="s">
        <v>78</v>
      </c>
      <c r="C1277">
        <v>2025</v>
      </c>
      <c r="D1277" t="s">
        <v>26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48</v>
      </c>
      <c r="N1277">
        <v>7</v>
      </c>
      <c r="O1277" t="s">
        <v>28</v>
      </c>
      <c r="P1277">
        <v>60.8</v>
      </c>
      <c r="Q1277">
        <v>2442</v>
      </c>
      <c r="R1277">
        <v>5</v>
      </c>
      <c r="S1277">
        <v>3</v>
      </c>
      <c r="T1277" t="s">
        <v>41</v>
      </c>
      <c r="U1277" t="s">
        <v>33</v>
      </c>
      <c r="V1277">
        <v>160176</v>
      </c>
      <c r="W1277">
        <v>4.04</v>
      </c>
      <c r="X1277">
        <v>5</v>
      </c>
    </row>
    <row r="1278" spans="1:24" x14ac:dyDescent="0.3">
      <c r="A1278" t="s">
        <v>63</v>
      </c>
      <c r="B1278" t="s">
        <v>73</v>
      </c>
      <c r="C1278">
        <v>2026</v>
      </c>
      <c r="D1278" t="s">
        <v>44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48</v>
      </c>
      <c r="N1278">
        <v>5</v>
      </c>
      <c r="O1278" t="s">
        <v>51</v>
      </c>
      <c r="P1278">
        <v>21.4</v>
      </c>
      <c r="Q1278">
        <v>1701</v>
      </c>
      <c r="R1278">
        <v>4</v>
      </c>
      <c r="S1278">
        <v>1</v>
      </c>
      <c r="T1278" t="s">
        <v>65</v>
      </c>
      <c r="U1278" t="s">
        <v>66</v>
      </c>
      <c r="V1278">
        <v>164156</v>
      </c>
      <c r="W1278">
        <v>3.81</v>
      </c>
      <c r="X1278">
        <v>3</v>
      </c>
    </row>
    <row r="1279" spans="1:24" x14ac:dyDescent="0.3">
      <c r="A1279" t="s">
        <v>99</v>
      </c>
      <c r="B1279" t="s">
        <v>100</v>
      </c>
      <c r="C1279">
        <v>2021</v>
      </c>
      <c r="D1279" t="s">
        <v>61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27</v>
      </c>
      <c r="N1279">
        <v>5</v>
      </c>
      <c r="O1279" t="s">
        <v>40</v>
      </c>
      <c r="P1279">
        <v>61.1</v>
      </c>
      <c r="Q1279">
        <v>1678</v>
      </c>
      <c r="R1279">
        <v>5</v>
      </c>
      <c r="S1279">
        <v>1</v>
      </c>
      <c r="T1279" t="s">
        <v>29</v>
      </c>
      <c r="U1279" t="s">
        <v>30</v>
      </c>
      <c r="V1279">
        <v>2340</v>
      </c>
      <c r="W1279">
        <v>4.03</v>
      </c>
      <c r="X1279">
        <v>6</v>
      </c>
    </row>
    <row r="1280" spans="1:24" x14ac:dyDescent="0.3">
      <c r="A1280" t="s">
        <v>46</v>
      </c>
      <c r="B1280" t="s">
        <v>72</v>
      </c>
      <c r="C1280">
        <v>2023</v>
      </c>
      <c r="D1280" t="s">
        <v>33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48</v>
      </c>
      <c r="N1280">
        <v>5</v>
      </c>
      <c r="O1280" t="s">
        <v>28</v>
      </c>
      <c r="P1280">
        <v>69.400000000000006</v>
      </c>
      <c r="Q1280">
        <v>2679</v>
      </c>
      <c r="R1280">
        <v>5</v>
      </c>
      <c r="S1280">
        <v>2</v>
      </c>
      <c r="T1280" t="s">
        <v>41</v>
      </c>
      <c r="U1280" t="s">
        <v>30</v>
      </c>
      <c r="V1280">
        <v>199763</v>
      </c>
      <c r="W1280">
        <v>3.42</v>
      </c>
      <c r="X1280">
        <v>5</v>
      </c>
    </row>
    <row r="1281" spans="1:24" x14ac:dyDescent="0.3">
      <c r="A1281" t="s">
        <v>68</v>
      </c>
      <c r="B1281" t="s">
        <v>69</v>
      </c>
      <c r="C1281">
        <v>2025</v>
      </c>
      <c r="D1281" t="s">
        <v>56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34</v>
      </c>
      <c r="N1281">
        <v>7</v>
      </c>
      <c r="O1281" t="s">
        <v>58</v>
      </c>
      <c r="P1281">
        <v>18.7</v>
      </c>
      <c r="Q1281">
        <v>1504</v>
      </c>
      <c r="R1281">
        <v>5</v>
      </c>
      <c r="S1281">
        <v>1</v>
      </c>
      <c r="T1281" t="s">
        <v>45</v>
      </c>
      <c r="U1281" t="s">
        <v>37</v>
      </c>
      <c r="V1281">
        <v>143815</v>
      </c>
      <c r="W1281">
        <v>3.55</v>
      </c>
      <c r="X1281">
        <v>5</v>
      </c>
    </row>
    <row r="1282" spans="1:24" x14ac:dyDescent="0.3">
      <c r="A1282" t="s">
        <v>42</v>
      </c>
      <c r="B1282" t="s">
        <v>71</v>
      </c>
      <c r="C1282">
        <v>2025</v>
      </c>
      <c r="D1282" t="s">
        <v>26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48</v>
      </c>
      <c r="N1282">
        <v>5</v>
      </c>
      <c r="O1282" t="s">
        <v>35</v>
      </c>
      <c r="P1282">
        <v>54.2</v>
      </c>
      <c r="Q1282">
        <v>1841</v>
      </c>
      <c r="R1282">
        <v>5</v>
      </c>
      <c r="S1282">
        <v>1</v>
      </c>
      <c r="T1282" t="s">
        <v>45</v>
      </c>
      <c r="U1282" t="s">
        <v>33</v>
      </c>
      <c r="V1282">
        <v>60132</v>
      </c>
      <c r="W1282">
        <v>3.63</v>
      </c>
      <c r="X1282">
        <v>4</v>
      </c>
    </row>
    <row r="1283" spans="1:24" x14ac:dyDescent="0.3">
      <c r="A1283" t="s">
        <v>38</v>
      </c>
      <c r="B1283" t="s">
        <v>102</v>
      </c>
      <c r="C1283">
        <v>2025</v>
      </c>
      <c r="D1283" t="s">
        <v>56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27</v>
      </c>
      <c r="N1283">
        <v>5</v>
      </c>
      <c r="O1283" t="s">
        <v>35</v>
      </c>
      <c r="P1283">
        <v>46.1</v>
      </c>
      <c r="Q1283">
        <v>2246</v>
      </c>
      <c r="R1283">
        <v>5</v>
      </c>
      <c r="S1283">
        <v>1</v>
      </c>
      <c r="T1283" t="s">
        <v>41</v>
      </c>
      <c r="U1283" t="s">
        <v>37</v>
      </c>
      <c r="V1283">
        <v>18527</v>
      </c>
      <c r="W1283">
        <v>3.44</v>
      </c>
      <c r="X1283">
        <v>5</v>
      </c>
    </row>
    <row r="1284" spans="1:24" x14ac:dyDescent="0.3">
      <c r="A1284" t="s">
        <v>42</v>
      </c>
      <c r="B1284" t="s">
        <v>115</v>
      </c>
      <c r="C1284">
        <v>2021</v>
      </c>
      <c r="D1284" t="s">
        <v>33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48</v>
      </c>
      <c r="N1284">
        <v>7</v>
      </c>
      <c r="O1284" t="s">
        <v>35</v>
      </c>
      <c r="P1284">
        <v>52.4</v>
      </c>
      <c r="Q1284">
        <v>2083</v>
      </c>
      <c r="R1284">
        <v>4</v>
      </c>
      <c r="S1284">
        <v>1</v>
      </c>
      <c r="T1284" t="s">
        <v>45</v>
      </c>
      <c r="U1284" t="s">
        <v>33</v>
      </c>
      <c r="V1284">
        <v>103135</v>
      </c>
      <c r="W1284">
        <v>3.43</v>
      </c>
      <c r="X1284">
        <v>3</v>
      </c>
    </row>
    <row r="1285" spans="1:24" x14ac:dyDescent="0.3">
      <c r="A1285" t="s">
        <v>46</v>
      </c>
      <c r="B1285" t="s">
        <v>47</v>
      </c>
      <c r="C1285">
        <v>2025</v>
      </c>
      <c r="D1285" t="s">
        <v>61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48</v>
      </c>
      <c r="N1285">
        <v>5</v>
      </c>
      <c r="O1285" t="s">
        <v>28</v>
      </c>
      <c r="P1285">
        <v>58.1</v>
      </c>
      <c r="Q1285">
        <v>2486</v>
      </c>
      <c r="R1285">
        <v>5</v>
      </c>
      <c r="S1285">
        <v>3</v>
      </c>
      <c r="T1285" t="s">
        <v>41</v>
      </c>
      <c r="U1285" t="s">
        <v>37</v>
      </c>
      <c r="V1285">
        <v>177083</v>
      </c>
      <c r="W1285">
        <v>3.7</v>
      </c>
      <c r="X1285">
        <v>6</v>
      </c>
    </row>
    <row r="1286" spans="1:24" x14ac:dyDescent="0.3">
      <c r="A1286" t="s">
        <v>63</v>
      </c>
      <c r="B1286" t="s">
        <v>96</v>
      </c>
      <c r="C1286">
        <v>2025</v>
      </c>
      <c r="D1286" t="s">
        <v>44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48</v>
      </c>
      <c r="N1286">
        <v>7</v>
      </c>
      <c r="O1286" t="s">
        <v>28</v>
      </c>
      <c r="P1286">
        <v>57.3</v>
      </c>
      <c r="Q1286">
        <v>2484</v>
      </c>
      <c r="R1286">
        <v>4</v>
      </c>
      <c r="S1286">
        <v>1</v>
      </c>
      <c r="T1286" t="s">
        <v>65</v>
      </c>
      <c r="U1286" t="s">
        <v>66</v>
      </c>
      <c r="V1286">
        <v>224275</v>
      </c>
      <c r="W1286">
        <v>3.65</v>
      </c>
      <c r="X1286">
        <v>4</v>
      </c>
    </row>
    <row r="1287" spans="1:24" x14ac:dyDescent="0.3">
      <c r="A1287" t="s">
        <v>68</v>
      </c>
      <c r="B1287" t="s">
        <v>106</v>
      </c>
      <c r="C1287">
        <v>2023</v>
      </c>
      <c r="D1287" t="s">
        <v>33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48</v>
      </c>
      <c r="N1287">
        <v>7</v>
      </c>
      <c r="O1287" t="s">
        <v>50</v>
      </c>
      <c r="P1287">
        <v>21</v>
      </c>
      <c r="Q1287">
        <v>1500</v>
      </c>
      <c r="R1287">
        <v>5</v>
      </c>
      <c r="S1287">
        <v>1</v>
      </c>
      <c r="T1287" t="s">
        <v>45</v>
      </c>
      <c r="U1287" t="s">
        <v>37</v>
      </c>
      <c r="V1287">
        <v>118099</v>
      </c>
      <c r="W1287">
        <v>3.33</v>
      </c>
      <c r="X1287">
        <v>4</v>
      </c>
    </row>
    <row r="1288" spans="1:24" x14ac:dyDescent="0.3">
      <c r="A1288" t="s">
        <v>46</v>
      </c>
      <c r="B1288" t="s">
        <v>57</v>
      </c>
      <c r="C1288">
        <v>2023</v>
      </c>
      <c r="D1288" t="s">
        <v>56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27</v>
      </c>
      <c r="N1288">
        <v>5</v>
      </c>
      <c r="O1288" t="s">
        <v>28</v>
      </c>
      <c r="P1288">
        <v>71.3</v>
      </c>
      <c r="Q1288">
        <v>2661</v>
      </c>
      <c r="R1288">
        <v>4</v>
      </c>
      <c r="S1288">
        <v>2</v>
      </c>
      <c r="T1288" t="s">
        <v>41</v>
      </c>
      <c r="U1288" t="s">
        <v>66</v>
      </c>
      <c r="V1288">
        <v>119019</v>
      </c>
      <c r="W1288">
        <v>3.56</v>
      </c>
      <c r="X1288">
        <v>5</v>
      </c>
    </row>
    <row r="1289" spans="1:24" x14ac:dyDescent="0.3">
      <c r="A1289" t="s">
        <v>63</v>
      </c>
      <c r="B1289" t="s">
        <v>73</v>
      </c>
      <c r="C1289">
        <v>2023</v>
      </c>
      <c r="D1289" t="s">
        <v>33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48</v>
      </c>
      <c r="N1289">
        <v>5</v>
      </c>
      <c r="O1289" t="s">
        <v>28</v>
      </c>
      <c r="P1289">
        <v>66.599999999999994</v>
      </c>
      <c r="Q1289">
        <v>2371</v>
      </c>
      <c r="R1289">
        <v>3</v>
      </c>
      <c r="S1289">
        <v>1</v>
      </c>
      <c r="T1289" t="s">
        <v>65</v>
      </c>
      <c r="U1289" t="s">
        <v>37</v>
      </c>
      <c r="V1289">
        <v>249959</v>
      </c>
      <c r="W1289">
        <v>3.49</v>
      </c>
      <c r="X1289">
        <v>4</v>
      </c>
    </row>
    <row r="1290" spans="1:24" x14ac:dyDescent="0.3">
      <c r="A1290" t="s">
        <v>46</v>
      </c>
      <c r="B1290" t="s">
        <v>49</v>
      </c>
      <c r="C1290">
        <v>2025</v>
      </c>
      <c r="D1290" t="s">
        <v>44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48</v>
      </c>
      <c r="N1290">
        <v>5</v>
      </c>
      <c r="O1290" t="s">
        <v>40</v>
      </c>
      <c r="P1290">
        <v>74.400000000000006</v>
      </c>
      <c r="Q1290">
        <v>1500</v>
      </c>
      <c r="R1290">
        <v>4</v>
      </c>
      <c r="S1290">
        <v>2</v>
      </c>
      <c r="T1290" t="s">
        <v>41</v>
      </c>
      <c r="U1290" t="s">
        <v>33</v>
      </c>
      <c r="V1290">
        <v>465765</v>
      </c>
      <c r="W1290">
        <v>3.91</v>
      </c>
      <c r="X1290">
        <v>4</v>
      </c>
    </row>
    <row r="1291" spans="1:24" x14ac:dyDescent="0.3">
      <c r="A1291" t="s">
        <v>46</v>
      </c>
      <c r="B1291" t="s">
        <v>57</v>
      </c>
      <c r="C1291">
        <v>2023</v>
      </c>
      <c r="D1291" t="s">
        <v>44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34</v>
      </c>
      <c r="N1291">
        <v>7</v>
      </c>
      <c r="O1291" t="s">
        <v>40</v>
      </c>
      <c r="P1291">
        <v>65.5</v>
      </c>
      <c r="Q1291">
        <v>1500</v>
      </c>
      <c r="R1291">
        <v>5</v>
      </c>
      <c r="S1291">
        <v>3</v>
      </c>
      <c r="T1291" t="s">
        <v>41</v>
      </c>
      <c r="U1291" t="s">
        <v>37</v>
      </c>
      <c r="V1291">
        <v>211387</v>
      </c>
      <c r="W1291">
        <v>4</v>
      </c>
      <c r="X1291">
        <v>4</v>
      </c>
    </row>
    <row r="1292" spans="1:24" x14ac:dyDescent="0.3">
      <c r="A1292" t="s">
        <v>24</v>
      </c>
      <c r="B1292" t="s">
        <v>74</v>
      </c>
      <c r="C1292">
        <v>2025</v>
      </c>
      <c r="D1292" t="s">
        <v>56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48</v>
      </c>
      <c r="N1292">
        <v>5</v>
      </c>
      <c r="O1292" t="s">
        <v>35</v>
      </c>
      <c r="P1292">
        <v>49</v>
      </c>
      <c r="Q1292">
        <v>2050</v>
      </c>
      <c r="R1292">
        <v>5</v>
      </c>
      <c r="S1292">
        <v>1</v>
      </c>
      <c r="T1292" t="s">
        <v>29</v>
      </c>
      <c r="U1292" t="s">
        <v>37</v>
      </c>
      <c r="V1292">
        <v>290748</v>
      </c>
      <c r="W1292">
        <v>3.43</v>
      </c>
      <c r="X1292">
        <v>3</v>
      </c>
    </row>
    <row r="1293" spans="1:24" x14ac:dyDescent="0.3">
      <c r="A1293" t="s">
        <v>46</v>
      </c>
      <c r="B1293" t="s">
        <v>49</v>
      </c>
      <c r="C1293">
        <v>2024</v>
      </c>
      <c r="D1293" t="s">
        <v>33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27</v>
      </c>
      <c r="N1293">
        <v>7</v>
      </c>
      <c r="O1293" t="s">
        <v>28</v>
      </c>
      <c r="P1293">
        <v>55.5</v>
      </c>
      <c r="Q1293">
        <v>2510</v>
      </c>
      <c r="R1293">
        <v>5</v>
      </c>
      <c r="S1293">
        <v>3</v>
      </c>
      <c r="T1293" t="s">
        <v>41</v>
      </c>
      <c r="U1293" t="s">
        <v>30</v>
      </c>
      <c r="V1293">
        <v>466326</v>
      </c>
      <c r="W1293">
        <v>4.26</v>
      </c>
      <c r="X1293">
        <v>5</v>
      </c>
    </row>
    <row r="1294" spans="1:24" x14ac:dyDescent="0.3">
      <c r="A1294" t="s">
        <v>42</v>
      </c>
      <c r="B1294" t="s">
        <v>71</v>
      </c>
      <c r="C1294">
        <v>2024</v>
      </c>
      <c r="D1294" t="s">
        <v>56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48</v>
      </c>
      <c r="N1294">
        <v>5</v>
      </c>
      <c r="O1294" t="s">
        <v>40</v>
      </c>
      <c r="P1294">
        <v>64.900000000000006</v>
      </c>
      <c r="Q1294">
        <v>1500</v>
      </c>
      <c r="R1294">
        <v>4</v>
      </c>
      <c r="S1294">
        <v>2</v>
      </c>
      <c r="T1294" t="s">
        <v>45</v>
      </c>
      <c r="U1294" t="s">
        <v>33</v>
      </c>
      <c r="V1294">
        <v>123890</v>
      </c>
      <c r="W1294">
        <v>3.66</v>
      </c>
      <c r="X1294">
        <v>3</v>
      </c>
    </row>
    <row r="1295" spans="1:24" x14ac:dyDescent="0.3">
      <c r="A1295" t="s">
        <v>83</v>
      </c>
      <c r="B1295" t="s">
        <v>114</v>
      </c>
      <c r="C1295">
        <v>2024</v>
      </c>
      <c r="D1295" t="s">
        <v>44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34</v>
      </c>
      <c r="N1295">
        <v>5</v>
      </c>
      <c r="O1295" t="s">
        <v>51</v>
      </c>
      <c r="P1295">
        <v>25</v>
      </c>
      <c r="Q1295">
        <v>1713</v>
      </c>
      <c r="R1295">
        <v>4</v>
      </c>
      <c r="S1295">
        <v>2</v>
      </c>
      <c r="T1295" t="s">
        <v>29</v>
      </c>
      <c r="U1295" t="s">
        <v>30</v>
      </c>
      <c r="V1295">
        <v>33138</v>
      </c>
      <c r="W1295">
        <v>3.49</v>
      </c>
      <c r="X1295">
        <v>7</v>
      </c>
    </row>
    <row r="1296" spans="1:24" x14ac:dyDescent="0.3">
      <c r="A1296" t="s">
        <v>76</v>
      </c>
      <c r="B1296" t="s">
        <v>77</v>
      </c>
      <c r="C1296">
        <v>2024</v>
      </c>
      <c r="D1296" t="s">
        <v>56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48</v>
      </c>
      <c r="N1296">
        <v>5</v>
      </c>
      <c r="O1296" t="s">
        <v>40</v>
      </c>
      <c r="P1296">
        <v>73.2</v>
      </c>
      <c r="Q1296">
        <v>1620</v>
      </c>
      <c r="R1296">
        <v>4</v>
      </c>
      <c r="S1296">
        <v>0</v>
      </c>
      <c r="T1296" t="s">
        <v>41</v>
      </c>
      <c r="U1296" t="s">
        <v>37</v>
      </c>
      <c r="V1296">
        <v>60684</v>
      </c>
      <c r="W1296">
        <v>3.43</v>
      </c>
      <c r="X1296">
        <v>4</v>
      </c>
    </row>
    <row r="1297" spans="1:24" x14ac:dyDescent="0.3">
      <c r="A1297" t="s">
        <v>46</v>
      </c>
      <c r="B1297" t="s">
        <v>57</v>
      </c>
      <c r="C1297">
        <v>2024</v>
      </c>
      <c r="D1297" t="s">
        <v>56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27</v>
      </c>
      <c r="N1297">
        <v>7</v>
      </c>
      <c r="O1297" t="s">
        <v>35</v>
      </c>
      <c r="P1297">
        <v>51.3</v>
      </c>
      <c r="Q1297">
        <v>2004</v>
      </c>
      <c r="R1297">
        <v>4</v>
      </c>
      <c r="S1297">
        <v>2</v>
      </c>
      <c r="T1297" t="s">
        <v>41</v>
      </c>
      <c r="U1297" t="s">
        <v>66</v>
      </c>
      <c r="V1297">
        <v>195341</v>
      </c>
      <c r="W1297">
        <v>3.41</v>
      </c>
      <c r="X1297">
        <v>4</v>
      </c>
    </row>
    <row r="1298" spans="1:24" x14ac:dyDescent="0.3">
      <c r="A1298" t="s">
        <v>46</v>
      </c>
      <c r="B1298" t="s">
        <v>72</v>
      </c>
      <c r="C1298">
        <v>2025</v>
      </c>
      <c r="D1298" t="s">
        <v>33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48</v>
      </c>
      <c r="N1298">
        <v>7</v>
      </c>
      <c r="O1298" t="s">
        <v>28</v>
      </c>
      <c r="P1298">
        <v>69</v>
      </c>
      <c r="Q1298">
        <v>2412</v>
      </c>
      <c r="R1298">
        <v>5</v>
      </c>
      <c r="S1298">
        <v>2</v>
      </c>
      <c r="T1298" t="s">
        <v>41</v>
      </c>
      <c r="U1298" t="s">
        <v>33</v>
      </c>
      <c r="V1298">
        <v>146854</v>
      </c>
      <c r="W1298">
        <v>3.53</v>
      </c>
      <c r="X1298">
        <v>5</v>
      </c>
    </row>
    <row r="1299" spans="1:24" x14ac:dyDescent="0.3">
      <c r="A1299" t="s">
        <v>46</v>
      </c>
      <c r="B1299" t="s">
        <v>57</v>
      </c>
      <c r="C1299">
        <v>2025</v>
      </c>
      <c r="D1299" t="s">
        <v>26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48</v>
      </c>
      <c r="N1299">
        <v>7</v>
      </c>
      <c r="O1299" t="s">
        <v>35</v>
      </c>
      <c r="P1299">
        <v>65.900000000000006</v>
      </c>
      <c r="Q1299">
        <v>2014</v>
      </c>
      <c r="R1299">
        <v>4</v>
      </c>
      <c r="S1299">
        <v>3</v>
      </c>
      <c r="T1299" t="s">
        <v>41</v>
      </c>
      <c r="U1299" t="s">
        <v>33</v>
      </c>
      <c r="V1299">
        <v>235320</v>
      </c>
      <c r="W1299">
        <v>4.03</v>
      </c>
      <c r="X1299">
        <v>6</v>
      </c>
    </row>
    <row r="1300" spans="1:24" x14ac:dyDescent="0.3">
      <c r="A1300" t="s">
        <v>83</v>
      </c>
      <c r="B1300" t="s">
        <v>89</v>
      </c>
      <c r="C1300">
        <v>2023</v>
      </c>
      <c r="D1300" t="s">
        <v>44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27</v>
      </c>
      <c r="N1300">
        <v>5</v>
      </c>
      <c r="O1300" t="s">
        <v>50</v>
      </c>
      <c r="P1300">
        <v>33.9</v>
      </c>
      <c r="Q1300">
        <v>1537</v>
      </c>
      <c r="R1300">
        <v>4</v>
      </c>
      <c r="S1300">
        <v>1</v>
      </c>
      <c r="T1300" t="s">
        <v>29</v>
      </c>
      <c r="U1300" t="s">
        <v>30</v>
      </c>
      <c r="V1300">
        <v>31347</v>
      </c>
      <c r="W1300">
        <v>3.49</v>
      </c>
      <c r="X1300">
        <v>7</v>
      </c>
    </row>
    <row r="1301" spans="1:24" x14ac:dyDescent="0.3">
      <c r="A1301" t="s">
        <v>38</v>
      </c>
      <c r="B1301" t="s">
        <v>39</v>
      </c>
      <c r="C1301">
        <v>2024</v>
      </c>
      <c r="D1301" t="s">
        <v>44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27</v>
      </c>
      <c r="N1301">
        <v>7</v>
      </c>
      <c r="O1301" t="s">
        <v>28</v>
      </c>
      <c r="P1301">
        <v>59.3</v>
      </c>
      <c r="Q1301">
        <v>2412</v>
      </c>
      <c r="R1301">
        <v>4</v>
      </c>
      <c r="S1301">
        <v>0</v>
      </c>
      <c r="T1301" t="s">
        <v>41</v>
      </c>
      <c r="U1301" t="s">
        <v>37</v>
      </c>
      <c r="V1301">
        <v>28209</v>
      </c>
      <c r="W1301">
        <v>3.6</v>
      </c>
      <c r="X1301">
        <v>4</v>
      </c>
    </row>
    <row r="1302" spans="1:24" x14ac:dyDescent="0.3">
      <c r="A1302" t="s">
        <v>46</v>
      </c>
      <c r="B1302" t="s">
        <v>49</v>
      </c>
      <c r="C1302">
        <v>2021</v>
      </c>
      <c r="D1302" t="s">
        <v>61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48</v>
      </c>
      <c r="N1302">
        <v>5</v>
      </c>
      <c r="O1302" t="s">
        <v>58</v>
      </c>
      <c r="P1302">
        <v>34.700000000000003</v>
      </c>
      <c r="Q1302">
        <v>1669</v>
      </c>
      <c r="R1302">
        <v>5</v>
      </c>
      <c r="S1302">
        <v>2</v>
      </c>
      <c r="T1302" t="s">
        <v>41</v>
      </c>
      <c r="U1302" t="s">
        <v>30</v>
      </c>
      <c r="V1302">
        <v>458264</v>
      </c>
      <c r="W1302">
        <v>3.95</v>
      </c>
      <c r="X1302">
        <v>6</v>
      </c>
    </row>
    <row r="1303" spans="1:24" x14ac:dyDescent="0.3">
      <c r="A1303" t="s">
        <v>92</v>
      </c>
      <c r="B1303" t="s">
        <v>127</v>
      </c>
      <c r="C1303">
        <v>2025</v>
      </c>
      <c r="D1303" t="s">
        <v>61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48</v>
      </c>
      <c r="N1303">
        <v>7</v>
      </c>
      <c r="O1303" t="s">
        <v>51</v>
      </c>
      <c r="P1303">
        <v>25.4</v>
      </c>
      <c r="Q1303">
        <v>1732</v>
      </c>
      <c r="R1303">
        <v>4</v>
      </c>
      <c r="S1303">
        <v>1</v>
      </c>
      <c r="T1303" t="s">
        <v>65</v>
      </c>
      <c r="U1303" t="s">
        <v>33</v>
      </c>
      <c r="V1303">
        <v>11643</v>
      </c>
      <c r="W1303">
        <v>3.03</v>
      </c>
      <c r="X1303">
        <v>4</v>
      </c>
    </row>
    <row r="1304" spans="1:24" x14ac:dyDescent="0.3">
      <c r="A1304" t="s">
        <v>46</v>
      </c>
      <c r="B1304" t="s">
        <v>57</v>
      </c>
      <c r="C1304">
        <v>2025</v>
      </c>
      <c r="D1304" t="s">
        <v>56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34</v>
      </c>
      <c r="N1304">
        <v>5</v>
      </c>
      <c r="O1304" t="s">
        <v>51</v>
      </c>
      <c r="P1304">
        <v>19.8</v>
      </c>
      <c r="Q1304">
        <v>1727</v>
      </c>
      <c r="R1304">
        <v>5</v>
      </c>
      <c r="S1304">
        <v>3</v>
      </c>
      <c r="T1304" t="s">
        <v>41</v>
      </c>
      <c r="U1304" t="s">
        <v>30</v>
      </c>
      <c r="V1304">
        <v>178229</v>
      </c>
      <c r="W1304">
        <v>3.58</v>
      </c>
      <c r="X1304">
        <v>5</v>
      </c>
    </row>
    <row r="1305" spans="1:24" x14ac:dyDescent="0.3">
      <c r="A1305" t="s">
        <v>42</v>
      </c>
      <c r="B1305" t="s">
        <v>54</v>
      </c>
      <c r="C1305">
        <v>2024</v>
      </c>
      <c r="D1305" t="s">
        <v>61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34</v>
      </c>
      <c r="N1305">
        <v>5</v>
      </c>
      <c r="O1305" t="s">
        <v>40</v>
      </c>
      <c r="P1305">
        <v>64.7</v>
      </c>
      <c r="Q1305">
        <v>1500</v>
      </c>
      <c r="R1305">
        <v>5</v>
      </c>
      <c r="S1305">
        <v>0</v>
      </c>
      <c r="T1305" t="s">
        <v>45</v>
      </c>
      <c r="U1305" t="s">
        <v>37</v>
      </c>
      <c r="V1305">
        <v>90341</v>
      </c>
      <c r="W1305">
        <v>3.35</v>
      </c>
      <c r="X1305">
        <v>4</v>
      </c>
    </row>
    <row r="1306" spans="1:24" x14ac:dyDescent="0.3">
      <c r="A1306" t="s">
        <v>38</v>
      </c>
      <c r="B1306" t="s">
        <v>101</v>
      </c>
      <c r="C1306">
        <v>2025</v>
      </c>
      <c r="D1306" t="s">
        <v>44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27</v>
      </c>
      <c r="N1306">
        <v>5</v>
      </c>
      <c r="O1306" t="s">
        <v>51</v>
      </c>
      <c r="P1306">
        <v>21.8</v>
      </c>
      <c r="Q1306">
        <v>1582</v>
      </c>
      <c r="R1306">
        <v>5</v>
      </c>
      <c r="S1306">
        <v>2</v>
      </c>
      <c r="T1306" t="s">
        <v>41</v>
      </c>
      <c r="U1306" t="s">
        <v>37</v>
      </c>
      <c r="V1306">
        <v>28326</v>
      </c>
      <c r="W1306">
        <v>3.65</v>
      </c>
      <c r="X1306">
        <v>5</v>
      </c>
    </row>
    <row r="1307" spans="1:24" x14ac:dyDescent="0.3">
      <c r="A1307" t="s">
        <v>52</v>
      </c>
      <c r="B1307" t="s">
        <v>97</v>
      </c>
      <c r="C1307">
        <v>2025</v>
      </c>
      <c r="D1307" t="s">
        <v>44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27</v>
      </c>
      <c r="N1307">
        <v>7</v>
      </c>
      <c r="O1307" t="s">
        <v>51</v>
      </c>
      <c r="P1307">
        <v>26.2</v>
      </c>
      <c r="Q1307">
        <v>1500</v>
      </c>
      <c r="R1307">
        <v>4</v>
      </c>
      <c r="S1307">
        <v>1</v>
      </c>
      <c r="T1307" t="s">
        <v>29</v>
      </c>
      <c r="U1307" t="s">
        <v>30</v>
      </c>
      <c r="V1307">
        <v>34019</v>
      </c>
      <c r="W1307">
        <v>4.25</v>
      </c>
      <c r="X1307">
        <v>6</v>
      </c>
    </row>
    <row r="1308" spans="1:24" x14ac:dyDescent="0.3">
      <c r="A1308" t="s">
        <v>38</v>
      </c>
      <c r="B1308" t="s">
        <v>102</v>
      </c>
      <c r="C1308">
        <v>2023</v>
      </c>
      <c r="D1308" t="s">
        <v>44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27</v>
      </c>
      <c r="N1308">
        <v>5</v>
      </c>
      <c r="O1308" t="s">
        <v>35</v>
      </c>
      <c r="P1308">
        <v>56.2</v>
      </c>
      <c r="Q1308">
        <v>1900</v>
      </c>
      <c r="R1308">
        <v>5</v>
      </c>
      <c r="S1308">
        <v>0</v>
      </c>
      <c r="T1308" t="s">
        <v>41</v>
      </c>
      <c r="U1308" t="s">
        <v>37</v>
      </c>
      <c r="V1308">
        <v>9605</v>
      </c>
      <c r="W1308">
        <v>3.25</v>
      </c>
      <c r="X1308">
        <v>5</v>
      </c>
    </row>
    <row r="1309" spans="1:24" x14ac:dyDescent="0.3">
      <c r="A1309" t="s">
        <v>76</v>
      </c>
      <c r="B1309" t="s">
        <v>98</v>
      </c>
      <c r="C1309">
        <v>2025</v>
      </c>
      <c r="D1309" t="s">
        <v>56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27</v>
      </c>
      <c r="N1309">
        <v>5</v>
      </c>
      <c r="O1309" t="s">
        <v>51</v>
      </c>
      <c r="P1309">
        <v>40</v>
      </c>
      <c r="Q1309">
        <v>1500</v>
      </c>
      <c r="R1309">
        <v>5</v>
      </c>
      <c r="S1309">
        <v>1</v>
      </c>
      <c r="T1309" t="s">
        <v>41</v>
      </c>
      <c r="U1309" t="s">
        <v>37</v>
      </c>
      <c r="V1309">
        <v>46977</v>
      </c>
      <c r="W1309">
        <v>3.32</v>
      </c>
      <c r="X1309">
        <v>5</v>
      </c>
    </row>
    <row r="1310" spans="1:24" x14ac:dyDescent="0.3">
      <c r="A1310" t="s">
        <v>63</v>
      </c>
      <c r="B1310" t="s">
        <v>107</v>
      </c>
      <c r="C1310">
        <v>2022</v>
      </c>
      <c r="D1310" t="s">
        <v>56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34</v>
      </c>
      <c r="N1310">
        <v>7</v>
      </c>
      <c r="O1310" t="s">
        <v>51</v>
      </c>
      <c r="P1310">
        <v>31.1</v>
      </c>
      <c r="Q1310">
        <v>1500</v>
      </c>
      <c r="R1310">
        <v>4</v>
      </c>
      <c r="S1310">
        <v>0</v>
      </c>
      <c r="T1310" t="s">
        <v>65</v>
      </c>
      <c r="U1310" t="s">
        <v>66</v>
      </c>
      <c r="V1310">
        <v>166519</v>
      </c>
      <c r="W1310">
        <v>3.3</v>
      </c>
      <c r="X1310">
        <v>4</v>
      </c>
    </row>
    <row r="1311" spans="1:24" x14ac:dyDescent="0.3">
      <c r="A1311" t="s">
        <v>76</v>
      </c>
      <c r="B1311" t="s">
        <v>81</v>
      </c>
      <c r="C1311">
        <v>2020</v>
      </c>
      <c r="D1311" t="s">
        <v>61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27</v>
      </c>
      <c r="N1311">
        <v>5</v>
      </c>
      <c r="O1311" t="s">
        <v>40</v>
      </c>
      <c r="P1311">
        <v>70.599999999999994</v>
      </c>
      <c r="Q1311">
        <v>1500</v>
      </c>
      <c r="R1311">
        <v>5</v>
      </c>
      <c r="S1311">
        <v>1</v>
      </c>
      <c r="T1311" t="s">
        <v>41</v>
      </c>
      <c r="U1311" t="s">
        <v>37</v>
      </c>
      <c r="V1311">
        <v>60595</v>
      </c>
      <c r="W1311">
        <v>3.4</v>
      </c>
      <c r="X1311">
        <v>4</v>
      </c>
    </row>
    <row r="1312" spans="1:24" x14ac:dyDescent="0.3">
      <c r="A1312" t="s">
        <v>46</v>
      </c>
      <c r="B1312" t="s">
        <v>49</v>
      </c>
      <c r="C1312">
        <v>2024</v>
      </c>
      <c r="D1312" t="s">
        <v>26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27</v>
      </c>
      <c r="N1312">
        <v>7</v>
      </c>
      <c r="O1312" t="s">
        <v>50</v>
      </c>
      <c r="P1312">
        <v>32.200000000000003</v>
      </c>
      <c r="Q1312">
        <v>1852</v>
      </c>
      <c r="R1312">
        <v>5</v>
      </c>
      <c r="S1312">
        <v>2</v>
      </c>
      <c r="T1312" t="s">
        <v>41</v>
      </c>
      <c r="U1312" t="s">
        <v>30</v>
      </c>
      <c r="V1312">
        <v>443580</v>
      </c>
      <c r="W1312">
        <v>3.84</v>
      </c>
      <c r="X1312">
        <v>6</v>
      </c>
    </row>
    <row r="1313" spans="1:24" x14ac:dyDescent="0.3">
      <c r="A1313" t="s">
        <v>86</v>
      </c>
      <c r="B1313" t="s">
        <v>117</v>
      </c>
      <c r="C1313">
        <v>2023</v>
      </c>
      <c r="D1313" t="s">
        <v>56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48</v>
      </c>
      <c r="N1313">
        <v>7</v>
      </c>
      <c r="O1313" t="s">
        <v>28</v>
      </c>
      <c r="P1313">
        <v>77.7</v>
      </c>
      <c r="Q1313">
        <v>2642</v>
      </c>
      <c r="R1313">
        <v>5</v>
      </c>
      <c r="S1313">
        <v>2</v>
      </c>
      <c r="T1313" t="s">
        <v>29</v>
      </c>
      <c r="U1313" t="s">
        <v>33</v>
      </c>
      <c r="V1313">
        <v>57167</v>
      </c>
      <c r="W1313">
        <v>3.32</v>
      </c>
      <c r="X1313">
        <v>8</v>
      </c>
    </row>
    <row r="1314" spans="1:24" x14ac:dyDescent="0.3">
      <c r="A1314" t="s">
        <v>42</v>
      </c>
      <c r="B1314" t="s">
        <v>80</v>
      </c>
      <c r="C1314">
        <v>2020</v>
      </c>
      <c r="D1314" t="s">
        <v>44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34</v>
      </c>
      <c r="N1314">
        <v>5</v>
      </c>
      <c r="O1314" t="s">
        <v>35</v>
      </c>
      <c r="P1314">
        <v>45.1</v>
      </c>
      <c r="Q1314">
        <v>2118</v>
      </c>
      <c r="R1314">
        <v>5</v>
      </c>
      <c r="S1314">
        <v>0</v>
      </c>
      <c r="T1314" t="s">
        <v>45</v>
      </c>
      <c r="U1314" t="s">
        <v>33</v>
      </c>
      <c r="V1314">
        <v>63318</v>
      </c>
      <c r="W1314">
        <v>3.7</v>
      </c>
      <c r="X1314">
        <v>4</v>
      </c>
    </row>
    <row r="1315" spans="1:24" x14ac:dyDescent="0.3">
      <c r="A1315" t="s">
        <v>76</v>
      </c>
      <c r="B1315" t="s">
        <v>98</v>
      </c>
      <c r="C1315">
        <v>2026</v>
      </c>
      <c r="D1315" t="s">
        <v>56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48</v>
      </c>
      <c r="N1315">
        <v>7</v>
      </c>
      <c r="O1315" t="s">
        <v>58</v>
      </c>
      <c r="P1315">
        <v>39.799999999999997</v>
      </c>
      <c r="Q1315">
        <v>1714</v>
      </c>
      <c r="R1315">
        <v>4</v>
      </c>
      <c r="S1315">
        <v>0</v>
      </c>
      <c r="T1315" t="s">
        <v>41</v>
      </c>
      <c r="U1315" t="s">
        <v>37</v>
      </c>
      <c r="V1315">
        <v>57282</v>
      </c>
      <c r="W1315">
        <v>3.51</v>
      </c>
      <c r="X1315">
        <v>4</v>
      </c>
    </row>
    <row r="1316" spans="1:24" x14ac:dyDescent="0.3">
      <c r="A1316" t="s">
        <v>24</v>
      </c>
      <c r="B1316" t="s">
        <v>25</v>
      </c>
      <c r="C1316">
        <v>2024</v>
      </c>
      <c r="D1316" t="s">
        <v>26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27</v>
      </c>
      <c r="N1316">
        <v>7</v>
      </c>
      <c r="O1316" t="s">
        <v>28</v>
      </c>
      <c r="P1316">
        <v>58.9</v>
      </c>
      <c r="Q1316">
        <v>2556</v>
      </c>
      <c r="R1316">
        <v>5</v>
      </c>
      <c r="S1316">
        <v>1</v>
      </c>
      <c r="T1316" t="s">
        <v>29</v>
      </c>
      <c r="U1316" t="s">
        <v>37</v>
      </c>
      <c r="V1316">
        <v>257710</v>
      </c>
      <c r="W1316">
        <v>3.56</v>
      </c>
      <c r="X1316">
        <v>3</v>
      </c>
    </row>
    <row r="1317" spans="1:24" x14ac:dyDescent="0.3">
      <c r="A1317" t="s">
        <v>83</v>
      </c>
      <c r="B1317" t="s">
        <v>89</v>
      </c>
      <c r="C1317">
        <v>2021</v>
      </c>
      <c r="D1317" t="s">
        <v>33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27</v>
      </c>
      <c r="N1317">
        <v>5</v>
      </c>
      <c r="O1317" t="s">
        <v>40</v>
      </c>
      <c r="P1317">
        <v>73.900000000000006</v>
      </c>
      <c r="Q1317">
        <v>1533</v>
      </c>
      <c r="R1317">
        <v>5</v>
      </c>
      <c r="S1317">
        <v>1</v>
      </c>
      <c r="T1317" t="s">
        <v>29</v>
      </c>
      <c r="U1317" t="s">
        <v>30</v>
      </c>
      <c r="V1317">
        <v>47944</v>
      </c>
      <c r="W1317">
        <v>3.44</v>
      </c>
      <c r="X1317">
        <v>6</v>
      </c>
    </row>
    <row r="1318" spans="1:24" x14ac:dyDescent="0.3">
      <c r="A1318" t="s">
        <v>68</v>
      </c>
      <c r="B1318" t="s">
        <v>109</v>
      </c>
      <c r="C1318">
        <v>2025</v>
      </c>
      <c r="D1318" t="s">
        <v>61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34</v>
      </c>
      <c r="N1318">
        <v>7</v>
      </c>
      <c r="O1318" t="s">
        <v>51</v>
      </c>
      <c r="P1318">
        <v>21.5</v>
      </c>
      <c r="Q1318">
        <v>1500</v>
      </c>
      <c r="R1318">
        <v>4</v>
      </c>
      <c r="S1318">
        <v>0</v>
      </c>
      <c r="T1318" t="s">
        <v>45</v>
      </c>
      <c r="U1318" t="s">
        <v>33</v>
      </c>
      <c r="V1318">
        <v>125248</v>
      </c>
      <c r="W1318">
        <v>3.22</v>
      </c>
      <c r="X1318">
        <v>3</v>
      </c>
    </row>
    <row r="1319" spans="1:24" x14ac:dyDescent="0.3">
      <c r="A1319" t="s">
        <v>38</v>
      </c>
      <c r="B1319" t="s">
        <v>101</v>
      </c>
      <c r="C1319">
        <v>2025</v>
      </c>
      <c r="D1319" t="s">
        <v>26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34</v>
      </c>
      <c r="N1319">
        <v>5</v>
      </c>
      <c r="O1319" t="s">
        <v>35</v>
      </c>
      <c r="P1319">
        <v>36.5</v>
      </c>
      <c r="Q1319">
        <v>2177</v>
      </c>
      <c r="R1319">
        <v>5</v>
      </c>
      <c r="S1319">
        <v>0</v>
      </c>
      <c r="T1319" t="s">
        <v>41</v>
      </c>
      <c r="U1319" t="s">
        <v>33</v>
      </c>
      <c r="V1319">
        <v>27343</v>
      </c>
      <c r="W1319">
        <v>3.55</v>
      </c>
      <c r="X1319">
        <v>4</v>
      </c>
    </row>
    <row r="1320" spans="1:24" x14ac:dyDescent="0.3">
      <c r="A1320" t="s">
        <v>46</v>
      </c>
      <c r="B1320" t="s">
        <v>72</v>
      </c>
      <c r="C1320">
        <v>2026</v>
      </c>
      <c r="D1320" t="s">
        <v>61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48</v>
      </c>
      <c r="N1320">
        <v>7</v>
      </c>
      <c r="O1320" t="s">
        <v>28</v>
      </c>
      <c r="P1320">
        <v>60.2</v>
      </c>
      <c r="Q1320">
        <v>2600</v>
      </c>
      <c r="R1320">
        <v>4</v>
      </c>
      <c r="S1320">
        <v>2</v>
      </c>
      <c r="T1320" t="s">
        <v>41</v>
      </c>
      <c r="U1320" t="s">
        <v>33</v>
      </c>
      <c r="V1320">
        <v>212130</v>
      </c>
      <c r="W1320">
        <v>3.66</v>
      </c>
      <c r="X1320">
        <v>4</v>
      </c>
    </row>
    <row r="1321" spans="1:24" x14ac:dyDescent="0.3">
      <c r="A1321" t="s">
        <v>46</v>
      </c>
      <c r="B1321" t="s">
        <v>49</v>
      </c>
      <c r="C1321">
        <v>2021</v>
      </c>
      <c r="D1321" t="s">
        <v>56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27</v>
      </c>
      <c r="N1321">
        <v>5</v>
      </c>
      <c r="O1321" t="s">
        <v>40</v>
      </c>
      <c r="P1321">
        <v>63</v>
      </c>
      <c r="Q1321">
        <v>1500</v>
      </c>
      <c r="R1321">
        <v>4</v>
      </c>
      <c r="S1321">
        <v>3</v>
      </c>
      <c r="T1321" t="s">
        <v>41</v>
      </c>
      <c r="U1321" t="s">
        <v>37</v>
      </c>
      <c r="V1321">
        <v>446207</v>
      </c>
      <c r="W1321">
        <v>3.67</v>
      </c>
      <c r="X1321">
        <v>6</v>
      </c>
    </row>
    <row r="1322" spans="1:24" x14ac:dyDescent="0.3">
      <c r="A1322" t="s">
        <v>63</v>
      </c>
      <c r="B1322" t="s">
        <v>64</v>
      </c>
      <c r="C1322">
        <v>2020</v>
      </c>
      <c r="D1322" t="s">
        <v>26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27</v>
      </c>
      <c r="N1322">
        <v>5</v>
      </c>
      <c r="O1322" t="s">
        <v>58</v>
      </c>
      <c r="P1322">
        <v>28.7</v>
      </c>
      <c r="Q1322">
        <v>1600</v>
      </c>
      <c r="R1322">
        <v>5</v>
      </c>
      <c r="S1322">
        <v>0</v>
      </c>
      <c r="T1322" t="s">
        <v>65</v>
      </c>
      <c r="U1322" t="s">
        <v>37</v>
      </c>
      <c r="V1322">
        <v>190643</v>
      </c>
      <c r="W1322">
        <v>3.93</v>
      </c>
      <c r="X1322">
        <v>5</v>
      </c>
    </row>
    <row r="1323" spans="1:24" x14ac:dyDescent="0.3">
      <c r="A1323" t="s">
        <v>46</v>
      </c>
      <c r="B1323" t="s">
        <v>78</v>
      </c>
      <c r="C1323">
        <v>2024</v>
      </c>
      <c r="D1323" t="s">
        <v>56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48</v>
      </c>
      <c r="N1323">
        <v>5</v>
      </c>
      <c r="O1323" t="s">
        <v>51</v>
      </c>
      <c r="P1323">
        <v>26.4</v>
      </c>
      <c r="Q1323">
        <v>1638</v>
      </c>
      <c r="R1323">
        <v>3</v>
      </c>
      <c r="S1323">
        <v>2</v>
      </c>
      <c r="T1323" t="s">
        <v>41</v>
      </c>
      <c r="U1323" t="s">
        <v>33</v>
      </c>
      <c r="V1323">
        <v>177987</v>
      </c>
      <c r="W1323">
        <v>3.6</v>
      </c>
      <c r="X1323">
        <v>6</v>
      </c>
    </row>
    <row r="1324" spans="1:24" x14ac:dyDescent="0.3">
      <c r="A1324" t="s">
        <v>52</v>
      </c>
      <c r="B1324" t="s">
        <v>53</v>
      </c>
      <c r="C1324">
        <v>2023</v>
      </c>
      <c r="D1324" t="s">
        <v>56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34</v>
      </c>
      <c r="N1324">
        <v>7</v>
      </c>
      <c r="O1324" t="s">
        <v>50</v>
      </c>
      <c r="P1324">
        <v>30.6</v>
      </c>
      <c r="Q1324">
        <v>1739</v>
      </c>
      <c r="R1324">
        <v>5</v>
      </c>
      <c r="S1324">
        <v>1</v>
      </c>
      <c r="T1324" t="s">
        <v>29</v>
      </c>
      <c r="U1324" t="s">
        <v>30</v>
      </c>
      <c r="V1324">
        <v>24901</v>
      </c>
      <c r="W1324">
        <v>3.81</v>
      </c>
      <c r="X1324">
        <v>6</v>
      </c>
    </row>
    <row r="1325" spans="1:24" x14ac:dyDescent="0.3">
      <c r="A1325" t="s">
        <v>63</v>
      </c>
      <c r="B1325" t="s">
        <v>64</v>
      </c>
      <c r="C1325">
        <v>2021</v>
      </c>
      <c r="D1325" t="s">
        <v>26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27</v>
      </c>
      <c r="N1325">
        <v>5</v>
      </c>
      <c r="O1325" t="s">
        <v>58</v>
      </c>
      <c r="P1325">
        <v>32.5</v>
      </c>
      <c r="Q1325">
        <v>1675</v>
      </c>
      <c r="R1325">
        <v>5</v>
      </c>
      <c r="S1325">
        <v>0</v>
      </c>
      <c r="T1325" t="s">
        <v>65</v>
      </c>
      <c r="U1325" t="s">
        <v>33</v>
      </c>
      <c r="V1325">
        <v>126447</v>
      </c>
      <c r="W1325">
        <v>3.92</v>
      </c>
      <c r="X1325">
        <v>3</v>
      </c>
    </row>
    <row r="1326" spans="1:24" x14ac:dyDescent="0.3">
      <c r="A1326" t="s">
        <v>124</v>
      </c>
      <c r="B1326" t="s">
        <v>125</v>
      </c>
      <c r="C1326">
        <v>2026</v>
      </c>
      <c r="D1326" t="s">
        <v>56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34</v>
      </c>
      <c r="N1326">
        <v>7</v>
      </c>
      <c r="O1326" t="s">
        <v>28</v>
      </c>
      <c r="P1326">
        <v>53.2</v>
      </c>
      <c r="Q1326">
        <v>2482</v>
      </c>
      <c r="R1326">
        <v>5</v>
      </c>
      <c r="S1326">
        <v>1</v>
      </c>
      <c r="T1326" t="s">
        <v>41</v>
      </c>
      <c r="U1326" t="s">
        <v>30</v>
      </c>
      <c r="V1326">
        <v>21377</v>
      </c>
      <c r="W1326">
        <v>3.21</v>
      </c>
      <c r="X1326">
        <v>5</v>
      </c>
    </row>
    <row r="1327" spans="1:24" x14ac:dyDescent="0.3">
      <c r="A1327" t="s">
        <v>63</v>
      </c>
      <c r="B1327" t="s">
        <v>64</v>
      </c>
      <c r="C1327">
        <v>2025</v>
      </c>
      <c r="D1327" t="s">
        <v>44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27</v>
      </c>
      <c r="N1327">
        <v>5</v>
      </c>
      <c r="O1327" t="s">
        <v>51</v>
      </c>
      <c r="P1327">
        <v>34.200000000000003</v>
      </c>
      <c r="Q1327">
        <v>1878</v>
      </c>
      <c r="R1327">
        <v>4</v>
      </c>
      <c r="S1327">
        <v>2</v>
      </c>
      <c r="T1327" t="s">
        <v>65</v>
      </c>
      <c r="U1327" t="s">
        <v>37</v>
      </c>
      <c r="V1327">
        <v>108943</v>
      </c>
      <c r="W1327">
        <v>4.12</v>
      </c>
      <c r="X1327">
        <v>4</v>
      </c>
    </row>
    <row r="1328" spans="1:24" x14ac:dyDescent="0.3">
      <c r="A1328" t="s">
        <v>46</v>
      </c>
      <c r="B1328" t="s">
        <v>49</v>
      </c>
      <c r="C1328">
        <v>2023</v>
      </c>
      <c r="D1328" t="s">
        <v>56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34</v>
      </c>
      <c r="N1328">
        <v>5</v>
      </c>
      <c r="O1328" t="s">
        <v>40</v>
      </c>
      <c r="P1328">
        <v>63.4</v>
      </c>
      <c r="Q1328">
        <v>1500</v>
      </c>
      <c r="R1328">
        <v>5</v>
      </c>
      <c r="S1328">
        <v>3</v>
      </c>
      <c r="T1328" t="s">
        <v>41</v>
      </c>
      <c r="U1328" t="s">
        <v>30</v>
      </c>
      <c r="V1328">
        <v>485203</v>
      </c>
      <c r="W1328">
        <v>3.66</v>
      </c>
      <c r="X1328">
        <v>4</v>
      </c>
    </row>
    <row r="1329" spans="1:24" x14ac:dyDescent="0.3">
      <c r="A1329" t="s">
        <v>76</v>
      </c>
      <c r="B1329" t="s">
        <v>81</v>
      </c>
      <c r="C1329">
        <v>2025</v>
      </c>
      <c r="D1329" t="s">
        <v>44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27</v>
      </c>
      <c r="N1329">
        <v>5</v>
      </c>
      <c r="O1329" t="s">
        <v>40</v>
      </c>
      <c r="P1329">
        <v>61.8</v>
      </c>
      <c r="Q1329">
        <v>1886</v>
      </c>
      <c r="R1329">
        <v>3</v>
      </c>
      <c r="S1329">
        <v>1</v>
      </c>
      <c r="T1329" t="s">
        <v>41</v>
      </c>
      <c r="U1329" t="s">
        <v>37</v>
      </c>
      <c r="V1329">
        <v>50891</v>
      </c>
      <c r="W1329">
        <v>3.53</v>
      </c>
      <c r="X1329">
        <v>4</v>
      </c>
    </row>
    <row r="1330" spans="1:24" x14ac:dyDescent="0.3">
      <c r="A1330" t="s">
        <v>83</v>
      </c>
      <c r="B1330" t="s">
        <v>104</v>
      </c>
      <c r="C1330">
        <v>2021</v>
      </c>
      <c r="D1330" t="s">
        <v>44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48</v>
      </c>
      <c r="N1330">
        <v>5</v>
      </c>
      <c r="O1330" t="s">
        <v>35</v>
      </c>
      <c r="P1330">
        <v>63.9</v>
      </c>
      <c r="Q1330">
        <v>2095</v>
      </c>
      <c r="R1330">
        <v>3</v>
      </c>
      <c r="S1330">
        <v>2</v>
      </c>
      <c r="T1330" t="s">
        <v>29</v>
      </c>
      <c r="U1330" t="s">
        <v>33</v>
      </c>
      <c r="V1330">
        <v>40089</v>
      </c>
      <c r="W1330">
        <v>3.69</v>
      </c>
      <c r="X1330">
        <v>7</v>
      </c>
    </row>
    <row r="1331" spans="1:24" x14ac:dyDescent="0.3">
      <c r="A1331" t="s">
        <v>68</v>
      </c>
      <c r="B1331" t="s">
        <v>106</v>
      </c>
      <c r="C1331">
        <v>2023</v>
      </c>
      <c r="D1331" t="s">
        <v>26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48</v>
      </c>
      <c r="N1331">
        <v>5</v>
      </c>
      <c r="O1331" t="s">
        <v>35</v>
      </c>
      <c r="P1331">
        <v>60.4</v>
      </c>
      <c r="Q1331">
        <v>2285</v>
      </c>
      <c r="R1331">
        <v>5</v>
      </c>
      <c r="S1331">
        <v>0</v>
      </c>
      <c r="T1331" t="s">
        <v>45</v>
      </c>
      <c r="U1331" t="s">
        <v>30</v>
      </c>
      <c r="V1331">
        <v>67872</v>
      </c>
      <c r="W1331">
        <v>3.44</v>
      </c>
      <c r="X1331">
        <v>4</v>
      </c>
    </row>
    <row r="1332" spans="1:24" x14ac:dyDescent="0.3">
      <c r="A1332" t="s">
        <v>42</v>
      </c>
      <c r="B1332" t="s">
        <v>43</v>
      </c>
      <c r="C1332">
        <v>2025</v>
      </c>
      <c r="D1332" t="s">
        <v>44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48</v>
      </c>
      <c r="N1332">
        <v>5</v>
      </c>
      <c r="O1332" t="s">
        <v>35</v>
      </c>
      <c r="P1332">
        <v>60.2</v>
      </c>
      <c r="Q1332">
        <v>2168</v>
      </c>
      <c r="R1332">
        <v>4</v>
      </c>
      <c r="S1332">
        <v>0</v>
      </c>
      <c r="T1332" t="s">
        <v>45</v>
      </c>
      <c r="U1332" t="s">
        <v>33</v>
      </c>
      <c r="V1332">
        <v>116634</v>
      </c>
      <c r="W1332">
        <v>3.71</v>
      </c>
      <c r="X1332">
        <v>3</v>
      </c>
    </row>
    <row r="1333" spans="1:24" x14ac:dyDescent="0.3">
      <c r="A1333" t="s">
        <v>38</v>
      </c>
      <c r="B1333" t="s">
        <v>101</v>
      </c>
      <c r="C1333">
        <v>2024</v>
      </c>
      <c r="D1333" t="s">
        <v>44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27</v>
      </c>
      <c r="N1333">
        <v>7</v>
      </c>
      <c r="O1333" t="s">
        <v>28</v>
      </c>
      <c r="P1333">
        <v>59.3</v>
      </c>
      <c r="Q1333">
        <v>2617</v>
      </c>
      <c r="R1333">
        <v>4</v>
      </c>
      <c r="S1333">
        <v>0</v>
      </c>
      <c r="T1333" t="s">
        <v>41</v>
      </c>
      <c r="U1333" t="s">
        <v>37</v>
      </c>
      <c r="V1333">
        <v>4380</v>
      </c>
      <c r="W1333">
        <v>3.46</v>
      </c>
      <c r="X1333">
        <v>4</v>
      </c>
    </row>
    <row r="1334" spans="1:24" x14ac:dyDescent="0.3">
      <c r="A1334" t="s">
        <v>63</v>
      </c>
      <c r="B1334" t="s">
        <v>96</v>
      </c>
      <c r="C1334">
        <v>2022</v>
      </c>
      <c r="D1334" t="s">
        <v>44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27</v>
      </c>
      <c r="N1334">
        <v>7</v>
      </c>
      <c r="O1334" t="s">
        <v>51</v>
      </c>
      <c r="P1334">
        <v>21.4</v>
      </c>
      <c r="Q1334">
        <v>1500</v>
      </c>
      <c r="R1334">
        <v>3</v>
      </c>
      <c r="S1334">
        <v>0</v>
      </c>
      <c r="T1334" t="s">
        <v>65</v>
      </c>
      <c r="U1334" t="s">
        <v>37</v>
      </c>
      <c r="V1334">
        <v>203792</v>
      </c>
      <c r="W1334">
        <v>3.47</v>
      </c>
      <c r="X1334">
        <v>3</v>
      </c>
    </row>
    <row r="1335" spans="1:24" x14ac:dyDescent="0.3">
      <c r="A1335" t="s">
        <v>131</v>
      </c>
      <c r="B1335" t="s">
        <v>132</v>
      </c>
      <c r="C1335">
        <v>2025</v>
      </c>
      <c r="D1335" t="s">
        <v>33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27</v>
      </c>
      <c r="N1335">
        <v>5</v>
      </c>
      <c r="O1335" t="s">
        <v>58</v>
      </c>
      <c r="P1335">
        <v>21</v>
      </c>
      <c r="Q1335">
        <v>1521</v>
      </c>
      <c r="R1335">
        <v>4</v>
      </c>
      <c r="S1335">
        <v>0</v>
      </c>
      <c r="T1335" t="s">
        <v>65</v>
      </c>
      <c r="U1335" t="s">
        <v>37</v>
      </c>
      <c r="V1335">
        <v>22327</v>
      </c>
      <c r="W1335">
        <v>3.32</v>
      </c>
      <c r="X1335">
        <v>4</v>
      </c>
    </row>
    <row r="1336" spans="1:24" x14ac:dyDescent="0.3">
      <c r="A1336" t="s">
        <v>124</v>
      </c>
      <c r="B1336" t="s">
        <v>125</v>
      </c>
      <c r="C1336">
        <v>2024</v>
      </c>
      <c r="D1336" t="s">
        <v>33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27</v>
      </c>
      <c r="N1336">
        <v>7</v>
      </c>
      <c r="O1336" t="s">
        <v>50</v>
      </c>
      <c r="P1336">
        <v>16.600000000000001</v>
      </c>
      <c r="Q1336">
        <v>1560</v>
      </c>
      <c r="R1336">
        <v>4</v>
      </c>
      <c r="S1336">
        <v>1</v>
      </c>
      <c r="T1336" t="s">
        <v>41</v>
      </c>
      <c r="U1336" t="s">
        <v>30</v>
      </c>
      <c r="V1336">
        <v>4056</v>
      </c>
      <c r="W1336">
        <v>3.28</v>
      </c>
      <c r="X1336">
        <v>4</v>
      </c>
    </row>
    <row r="1337" spans="1:24" x14ac:dyDescent="0.3">
      <c r="A1337" t="s">
        <v>83</v>
      </c>
      <c r="B1337" t="s">
        <v>84</v>
      </c>
      <c r="C1337">
        <v>2026</v>
      </c>
      <c r="D1337" t="s">
        <v>33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48</v>
      </c>
      <c r="N1337">
        <v>5</v>
      </c>
      <c r="O1337" t="s">
        <v>50</v>
      </c>
      <c r="P1337">
        <v>28.2</v>
      </c>
      <c r="Q1337">
        <v>1713</v>
      </c>
      <c r="R1337">
        <v>5</v>
      </c>
      <c r="S1337">
        <v>2</v>
      </c>
      <c r="T1337" t="s">
        <v>29</v>
      </c>
      <c r="U1337" t="s">
        <v>30</v>
      </c>
      <c r="V1337">
        <v>47587</v>
      </c>
      <c r="W1337">
        <v>3.56</v>
      </c>
      <c r="X1337">
        <v>7</v>
      </c>
    </row>
    <row r="1338" spans="1:24" x14ac:dyDescent="0.3">
      <c r="A1338" t="s">
        <v>46</v>
      </c>
      <c r="B1338" t="s">
        <v>47</v>
      </c>
      <c r="C1338">
        <v>2024</v>
      </c>
      <c r="D1338" t="s">
        <v>33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27</v>
      </c>
      <c r="N1338">
        <v>5</v>
      </c>
      <c r="O1338" t="s">
        <v>35</v>
      </c>
      <c r="P1338">
        <v>62.4</v>
      </c>
      <c r="Q1338">
        <v>1551</v>
      </c>
      <c r="R1338">
        <v>5</v>
      </c>
      <c r="S1338">
        <v>2</v>
      </c>
      <c r="T1338" t="s">
        <v>41</v>
      </c>
      <c r="U1338" t="s">
        <v>30</v>
      </c>
      <c r="V1338">
        <v>172863</v>
      </c>
      <c r="W1338">
        <v>3.88</v>
      </c>
      <c r="X1338">
        <v>5</v>
      </c>
    </row>
    <row r="1339" spans="1:24" x14ac:dyDescent="0.3">
      <c r="A1339" t="s">
        <v>83</v>
      </c>
      <c r="B1339" t="s">
        <v>116</v>
      </c>
      <c r="C1339">
        <v>2025</v>
      </c>
      <c r="D1339" t="s">
        <v>56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27</v>
      </c>
      <c r="N1339">
        <v>5</v>
      </c>
      <c r="O1339" t="s">
        <v>50</v>
      </c>
      <c r="P1339">
        <v>32.4</v>
      </c>
      <c r="Q1339">
        <v>1644</v>
      </c>
      <c r="R1339">
        <v>4</v>
      </c>
      <c r="S1339">
        <v>2</v>
      </c>
      <c r="T1339" t="s">
        <v>29</v>
      </c>
      <c r="U1339" t="s">
        <v>33</v>
      </c>
      <c r="V1339">
        <v>25679</v>
      </c>
      <c r="W1339">
        <v>3.71</v>
      </c>
      <c r="X1339">
        <v>7</v>
      </c>
    </row>
    <row r="1340" spans="1:24" x14ac:dyDescent="0.3">
      <c r="A1340" t="s">
        <v>46</v>
      </c>
      <c r="B1340" t="s">
        <v>57</v>
      </c>
      <c r="C1340">
        <v>2025</v>
      </c>
      <c r="D1340" t="s">
        <v>56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34</v>
      </c>
      <c r="N1340">
        <v>7</v>
      </c>
      <c r="O1340" t="s">
        <v>35</v>
      </c>
      <c r="P1340">
        <v>41.8</v>
      </c>
      <c r="Q1340">
        <v>2139</v>
      </c>
      <c r="R1340">
        <v>4</v>
      </c>
      <c r="S1340">
        <v>2</v>
      </c>
      <c r="T1340" t="s">
        <v>41</v>
      </c>
      <c r="U1340" t="s">
        <v>33</v>
      </c>
      <c r="V1340">
        <v>239872</v>
      </c>
      <c r="W1340">
        <v>3.7</v>
      </c>
      <c r="X1340">
        <v>5</v>
      </c>
    </row>
    <row r="1341" spans="1:24" x14ac:dyDescent="0.3">
      <c r="A1341" t="s">
        <v>46</v>
      </c>
      <c r="B1341" t="s">
        <v>78</v>
      </c>
      <c r="C1341">
        <v>2025</v>
      </c>
      <c r="D1341" t="s">
        <v>33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34</v>
      </c>
      <c r="N1341">
        <v>5</v>
      </c>
      <c r="O1341" t="s">
        <v>28</v>
      </c>
      <c r="P1341">
        <v>60</v>
      </c>
      <c r="Q1341">
        <v>2311</v>
      </c>
      <c r="R1341">
        <v>4</v>
      </c>
      <c r="S1341">
        <v>2</v>
      </c>
      <c r="T1341" t="s">
        <v>41</v>
      </c>
      <c r="U1341" t="s">
        <v>37</v>
      </c>
      <c r="V1341">
        <v>228295</v>
      </c>
      <c r="W1341">
        <v>3.58</v>
      </c>
      <c r="X1341">
        <v>4</v>
      </c>
    </row>
    <row r="1342" spans="1:24" x14ac:dyDescent="0.3">
      <c r="A1342" t="s">
        <v>63</v>
      </c>
      <c r="B1342" t="s">
        <v>82</v>
      </c>
      <c r="C1342">
        <v>2026</v>
      </c>
      <c r="D1342" t="s">
        <v>44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34</v>
      </c>
      <c r="N1342">
        <v>5</v>
      </c>
      <c r="O1342" t="s">
        <v>40</v>
      </c>
      <c r="P1342">
        <v>74.5</v>
      </c>
      <c r="Q1342">
        <v>1500</v>
      </c>
      <c r="R1342">
        <v>4</v>
      </c>
      <c r="S1342">
        <v>0</v>
      </c>
      <c r="T1342" t="s">
        <v>65</v>
      </c>
      <c r="U1342" t="s">
        <v>30</v>
      </c>
      <c r="V1342">
        <v>128300</v>
      </c>
      <c r="W1342">
        <v>3.96</v>
      </c>
      <c r="X1342">
        <v>5</v>
      </c>
    </row>
    <row r="1343" spans="1:24" x14ac:dyDescent="0.3">
      <c r="A1343" t="s">
        <v>68</v>
      </c>
      <c r="B1343" t="s">
        <v>79</v>
      </c>
      <c r="C1343">
        <v>2025</v>
      </c>
      <c r="D1343" t="s">
        <v>44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27</v>
      </c>
      <c r="N1343">
        <v>5</v>
      </c>
      <c r="O1343" t="s">
        <v>28</v>
      </c>
      <c r="P1343">
        <v>59.1</v>
      </c>
      <c r="Q1343">
        <v>2281</v>
      </c>
      <c r="R1343">
        <v>5</v>
      </c>
      <c r="S1343">
        <v>0</v>
      </c>
      <c r="T1343" t="s">
        <v>45</v>
      </c>
      <c r="U1343" t="s">
        <v>33</v>
      </c>
      <c r="V1343">
        <v>146157</v>
      </c>
      <c r="W1343">
        <v>3.67</v>
      </c>
      <c r="X1343">
        <v>4</v>
      </c>
    </row>
    <row r="1344" spans="1:24" x14ac:dyDescent="0.3">
      <c r="A1344" t="s">
        <v>52</v>
      </c>
      <c r="B1344" t="s">
        <v>103</v>
      </c>
      <c r="C1344">
        <v>2026</v>
      </c>
      <c r="D1344" t="s">
        <v>26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34</v>
      </c>
      <c r="N1344">
        <v>5</v>
      </c>
      <c r="O1344" t="s">
        <v>50</v>
      </c>
      <c r="P1344">
        <v>25.3</v>
      </c>
      <c r="Q1344">
        <v>1664</v>
      </c>
      <c r="R1344">
        <v>4</v>
      </c>
      <c r="S1344">
        <v>1</v>
      </c>
      <c r="T1344" t="s">
        <v>29</v>
      </c>
      <c r="U1344" t="s">
        <v>30</v>
      </c>
      <c r="V1344">
        <v>68955</v>
      </c>
      <c r="W1344">
        <v>4.3899999999999997</v>
      </c>
      <c r="X1344">
        <v>7</v>
      </c>
    </row>
    <row r="1345" spans="1:24" x14ac:dyDescent="0.3">
      <c r="A1345" t="s">
        <v>38</v>
      </c>
      <c r="B1345" t="s">
        <v>102</v>
      </c>
      <c r="C1345">
        <v>2023</v>
      </c>
      <c r="D1345" t="s">
        <v>44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34</v>
      </c>
      <c r="N1345">
        <v>5</v>
      </c>
      <c r="O1345" t="s">
        <v>35</v>
      </c>
      <c r="P1345">
        <v>45.3</v>
      </c>
      <c r="Q1345">
        <v>1966</v>
      </c>
      <c r="R1345">
        <v>4</v>
      </c>
      <c r="S1345">
        <v>1</v>
      </c>
      <c r="T1345" t="s">
        <v>41</v>
      </c>
      <c r="U1345" t="s">
        <v>33</v>
      </c>
      <c r="V1345">
        <v>6658</v>
      </c>
      <c r="W1345">
        <v>3.7</v>
      </c>
      <c r="X1345">
        <v>4</v>
      </c>
    </row>
    <row r="1346" spans="1:24" x14ac:dyDescent="0.3">
      <c r="A1346" t="s">
        <v>38</v>
      </c>
      <c r="B1346" t="s">
        <v>102</v>
      </c>
      <c r="C1346">
        <v>2025</v>
      </c>
      <c r="D1346" t="s">
        <v>56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27</v>
      </c>
      <c r="N1346">
        <v>7</v>
      </c>
      <c r="O1346" t="s">
        <v>35</v>
      </c>
      <c r="P1346">
        <v>45.9</v>
      </c>
      <c r="Q1346">
        <v>2008</v>
      </c>
      <c r="R1346">
        <v>4</v>
      </c>
      <c r="S1346">
        <v>2</v>
      </c>
      <c r="T1346" t="s">
        <v>41</v>
      </c>
      <c r="U1346" t="s">
        <v>37</v>
      </c>
      <c r="V1346">
        <v>23069</v>
      </c>
      <c r="W1346">
        <v>3.62</v>
      </c>
      <c r="X1346">
        <v>5</v>
      </c>
    </row>
    <row r="1347" spans="1:24" x14ac:dyDescent="0.3">
      <c r="A1347" t="s">
        <v>24</v>
      </c>
      <c r="B1347" t="s">
        <v>85</v>
      </c>
      <c r="C1347">
        <v>2023</v>
      </c>
      <c r="D1347" t="s">
        <v>61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48</v>
      </c>
      <c r="N1347">
        <v>5</v>
      </c>
      <c r="O1347" t="s">
        <v>50</v>
      </c>
      <c r="P1347">
        <v>22.5</v>
      </c>
      <c r="Q1347">
        <v>1596</v>
      </c>
      <c r="R1347">
        <v>5</v>
      </c>
      <c r="S1347">
        <v>1</v>
      </c>
      <c r="T1347" t="s">
        <v>29</v>
      </c>
      <c r="U1347" t="s">
        <v>66</v>
      </c>
      <c r="V1347">
        <v>283336</v>
      </c>
      <c r="W1347">
        <v>3.52</v>
      </c>
      <c r="X1347">
        <v>3</v>
      </c>
    </row>
    <row r="1348" spans="1:24" x14ac:dyDescent="0.3">
      <c r="A1348" t="s">
        <v>63</v>
      </c>
      <c r="B1348" t="s">
        <v>107</v>
      </c>
      <c r="C1348">
        <v>2026</v>
      </c>
      <c r="D1348" t="s">
        <v>26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48</v>
      </c>
      <c r="N1348">
        <v>7</v>
      </c>
      <c r="O1348" t="s">
        <v>35</v>
      </c>
      <c r="P1348">
        <v>38.6</v>
      </c>
      <c r="Q1348">
        <v>2173</v>
      </c>
      <c r="R1348">
        <v>3</v>
      </c>
      <c r="S1348">
        <v>0</v>
      </c>
      <c r="T1348" t="s">
        <v>65</v>
      </c>
      <c r="U1348" t="s">
        <v>30</v>
      </c>
      <c r="V1348">
        <v>201649</v>
      </c>
      <c r="W1348">
        <v>3.59</v>
      </c>
      <c r="X1348">
        <v>5</v>
      </c>
    </row>
    <row r="1349" spans="1:24" x14ac:dyDescent="0.3">
      <c r="A1349" t="s">
        <v>24</v>
      </c>
      <c r="B1349" t="s">
        <v>25</v>
      </c>
      <c r="C1349">
        <v>2023</v>
      </c>
      <c r="D1349" t="s">
        <v>26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48</v>
      </c>
      <c r="N1349">
        <v>7</v>
      </c>
      <c r="O1349" t="s">
        <v>35</v>
      </c>
      <c r="P1349">
        <v>35.700000000000003</v>
      </c>
      <c r="Q1349">
        <v>2254</v>
      </c>
      <c r="R1349">
        <v>4</v>
      </c>
      <c r="S1349">
        <v>1</v>
      </c>
      <c r="T1349" t="s">
        <v>29</v>
      </c>
      <c r="U1349" t="s">
        <v>30</v>
      </c>
      <c r="V1349">
        <v>297615</v>
      </c>
      <c r="W1349">
        <v>3.66</v>
      </c>
      <c r="X1349">
        <v>4</v>
      </c>
    </row>
    <row r="1350" spans="1:24" x14ac:dyDescent="0.3">
      <c r="A1350" t="s">
        <v>99</v>
      </c>
      <c r="B1350" t="s">
        <v>113</v>
      </c>
      <c r="C1350">
        <v>2025</v>
      </c>
      <c r="D1350" t="s">
        <v>33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48</v>
      </c>
      <c r="N1350">
        <v>7</v>
      </c>
      <c r="O1350" t="s">
        <v>40</v>
      </c>
      <c r="P1350">
        <v>79</v>
      </c>
      <c r="Q1350">
        <v>1500</v>
      </c>
      <c r="R1350">
        <v>5</v>
      </c>
      <c r="S1350">
        <v>1</v>
      </c>
      <c r="T1350" t="s">
        <v>29</v>
      </c>
      <c r="U1350" t="s">
        <v>30</v>
      </c>
      <c r="V1350">
        <v>5234</v>
      </c>
      <c r="W1350">
        <v>3.75</v>
      </c>
      <c r="X1350">
        <v>6</v>
      </c>
    </row>
    <row r="1351" spans="1:24" x14ac:dyDescent="0.3">
      <c r="A1351" t="s">
        <v>46</v>
      </c>
      <c r="B1351" t="s">
        <v>49</v>
      </c>
      <c r="C1351">
        <v>2021</v>
      </c>
      <c r="D1351" t="s">
        <v>33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27</v>
      </c>
      <c r="N1351">
        <v>7</v>
      </c>
      <c r="O1351" t="s">
        <v>58</v>
      </c>
      <c r="P1351">
        <v>17.399999999999999</v>
      </c>
      <c r="Q1351">
        <v>1624</v>
      </c>
      <c r="R1351">
        <v>5</v>
      </c>
      <c r="S1351">
        <v>2</v>
      </c>
      <c r="T1351" t="s">
        <v>41</v>
      </c>
      <c r="U1351" t="s">
        <v>37</v>
      </c>
      <c r="V1351">
        <v>438670</v>
      </c>
      <c r="W1351">
        <v>3.68</v>
      </c>
      <c r="X1351">
        <v>4</v>
      </c>
    </row>
    <row r="1352" spans="1:24" x14ac:dyDescent="0.3">
      <c r="A1352" t="s">
        <v>52</v>
      </c>
      <c r="B1352" t="s">
        <v>126</v>
      </c>
      <c r="C1352">
        <v>2025</v>
      </c>
      <c r="D1352" t="s">
        <v>33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48</v>
      </c>
      <c r="N1352">
        <v>5</v>
      </c>
      <c r="O1352" t="s">
        <v>35</v>
      </c>
      <c r="P1352">
        <v>66.5</v>
      </c>
      <c r="Q1352">
        <v>2382</v>
      </c>
      <c r="R1352">
        <v>5</v>
      </c>
      <c r="S1352">
        <v>1</v>
      </c>
      <c r="T1352" t="s">
        <v>29</v>
      </c>
      <c r="U1352" t="s">
        <v>30</v>
      </c>
      <c r="V1352">
        <v>77200</v>
      </c>
      <c r="W1352">
        <v>3.68</v>
      </c>
      <c r="X1352">
        <v>6</v>
      </c>
    </row>
    <row r="1353" spans="1:24" x14ac:dyDescent="0.3">
      <c r="A1353" t="s">
        <v>42</v>
      </c>
      <c r="B1353" t="s">
        <v>71</v>
      </c>
      <c r="C1353">
        <v>2024</v>
      </c>
      <c r="D1353" t="s">
        <v>61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34</v>
      </c>
      <c r="N1353">
        <v>5</v>
      </c>
      <c r="O1353" t="s">
        <v>50</v>
      </c>
      <c r="P1353">
        <v>20.8</v>
      </c>
      <c r="Q1353">
        <v>1510</v>
      </c>
      <c r="R1353">
        <v>4</v>
      </c>
      <c r="S1353">
        <v>0</v>
      </c>
      <c r="T1353" t="s">
        <v>45</v>
      </c>
      <c r="U1353" t="s">
        <v>66</v>
      </c>
      <c r="V1353">
        <v>123543</v>
      </c>
      <c r="W1353">
        <v>3.02</v>
      </c>
      <c r="X1353">
        <v>3</v>
      </c>
    </row>
    <row r="1354" spans="1:24" x14ac:dyDescent="0.3">
      <c r="A1354" t="s">
        <v>24</v>
      </c>
      <c r="B1354" t="s">
        <v>25</v>
      </c>
      <c r="C1354">
        <v>2025</v>
      </c>
      <c r="D1354" t="s">
        <v>33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48</v>
      </c>
      <c r="N1354">
        <v>5</v>
      </c>
      <c r="O1354" t="s">
        <v>40</v>
      </c>
      <c r="P1354">
        <v>61.6</v>
      </c>
      <c r="Q1354">
        <v>1580</v>
      </c>
      <c r="R1354">
        <v>3</v>
      </c>
      <c r="S1354">
        <v>2</v>
      </c>
      <c r="T1354" t="s">
        <v>29</v>
      </c>
      <c r="U1354" t="s">
        <v>30</v>
      </c>
      <c r="V1354">
        <v>202014</v>
      </c>
      <c r="W1354">
        <v>3.21</v>
      </c>
      <c r="X1354">
        <v>3</v>
      </c>
    </row>
    <row r="1355" spans="1:24" x14ac:dyDescent="0.3">
      <c r="A1355" t="s">
        <v>38</v>
      </c>
      <c r="B1355" t="s">
        <v>39</v>
      </c>
      <c r="C1355">
        <v>2022</v>
      </c>
      <c r="D1355" t="s">
        <v>56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34</v>
      </c>
      <c r="N1355">
        <v>5</v>
      </c>
      <c r="O1355" t="s">
        <v>40</v>
      </c>
      <c r="P1355">
        <v>78</v>
      </c>
      <c r="Q1355">
        <v>1500</v>
      </c>
      <c r="R1355">
        <v>5</v>
      </c>
      <c r="S1355">
        <v>1</v>
      </c>
      <c r="T1355" t="s">
        <v>41</v>
      </c>
      <c r="U1355" t="s">
        <v>37</v>
      </c>
      <c r="V1355">
        <v>19383</v>
      </c>
      <c r="W1355">
        <v>3.42</v>
      </c>
      <c r="X1355">
        <v>4</v>
      </c>
    </row>
    <row r="1356" spans="1:24" x14ac:dyDescent="0.3">
      <c r="A1356" t="s">
        <v>68</v>
      </c>
      <c r="B1356" t="s">
        <v>90</v>
      </c>
      <c r="C1356">
        <v>2021</v>
      </c>
      <c r="D1356" t="s">
        <v>61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27</v>
      </c>
      <c r="N1356">
        <v>7</v>
      </c>
      <c r="O1356" t="s">
        <v>58</v>
      </c>
      <c r="P1356">
        <v>37</v>
      </c>
      <c r="Q1356">
        <v>1766</v>
      </c>
      <c r="R1356">
        <v>3</v>
      </c>
      <c r="S1356">
        <v>0</v>
      </c>
      <c r="T1356" t="s">
        <v>45</v>
      </c>
      <c r="U1356" t="s">
        <v>66</v>
      </c>
      <c r="V1356">
        <v>145242</v>
      </c>
      <c r="W1356">
        <v>3.32</v>
      </c>
      <c r="X1356">
        <v>3</v>
      </c>
    </row>
    <row r="1357" spans="1:24" x14ac:dyDescent="0.3">
      <c r="A1357" t="s">
        <v>86</v>
      </c>
      <c r="B1357" t="s">
        <v>105</v>
      </c>
      <c r="C1357">
        <v>2024</v>
      </c>
      <c r="D1357" t="s">
        <v>56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48</v>
      </c>
      <c r="N1357">
        <v>7</v>
      </c>
      <c r="O1357" t="s">
        <v>58</v>
      </c>
      <c r="P1357">
        <v>32.4</v>
      </c>
      <c r="Q1357">
        <v>1704</v>
      </c>
      <c r="R1357">
        <v>4</v>
      </c>
      <c r="S1357">
        <v>1</v>
      </c>
      <c r="T1357" t="s">
        <v>29</v>
      </c>
      <c r="U1357" t="s">
        <v>37</v>
      </c>
      <c r="V1357">
        <v>64472</v>
      </c>
      <c r="W1357">
        <v>3.5</v>
      </c>
      <c r="X1357">
        <v>6</v>
      </c>
    </row>
    <row r="1358" spans="1:24" x14ac:dyDescent="0.3">
      <c r="A1358" t="s">
        <v>86</v>
      </c>
      <c r="B1358" t="s">
        <v>108</v>
      </c>
      <c r="C1358">
        <v>2025</v>
      </c>
      <c r="D1358" t="s">
        <v>61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34</v>
      </c>
      <c r="N1358">
        <v>5</v>
      </c>
      <c r="O1358" t="s">
        <v>40</v>
      </c>
      <c r="P1358">
        <v>70.099999999999994</v>
      </c>
      <c r="Q1358">
        <v>1701</v>
      </c>
      <c r="R1358">
        <v>5</v>
      </c>
      <c r="S1358">
        <v>2</v>
      </c>
      <c r="T1358" t="s">
        <v>29</v>
      </c>
      <c r="U1358" t="s">
        <v>33</v>
      </c>
      <c r="V1358">
        <v>67104</v>
      </c>
      <c r="W1358">
        <v>3.14</v>
      </c>
      <c r="X1358">
        <v>5</v>
      </c>
    </row>
    <row r="1359" spans="1:24" x14ac:dyDescent="0.3">
      <c r="A1359" t="s">
        <v>24</v>
      </c>
      <c r="B1359" t="s">
        <v>70</v>
      </c>
      <c r="C1359">
        <v>2025</v>
      </c>
      <c r="D1359" t="s">
        <v>56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34</v>
      </c>
      <c r="N1359">
        <v>7</v>
      </c>
      <c r="O1359" t="s">
        <v>40</v>
      </c>
      <c r="P1359">
        <v>61.9</v>
      </c>
      <c r="Q1359">
        <v>1553</v>
      </c>
      <c r="R1359">
        <v>5</v>
      </c>
      <c r="S1359">
        <v>0</v>
      </c>
      <c r="T1359" t="s">
        <v>29</v>
      </c>
      <c r="U1359" t="s">
        <v>33</v>
      </c>
      <c r="V1359">
        <v>283626</v>
      </c>
      <c r="W1359">
        <v>3.43</v>
      </c>
      <c r="X1359">
        <v>4</v>
      </c>
    </row>
    <row r="1360" spans="1:24" x14ac:dyDescent="0.3">
      <c r="A1360" t="s">
        <v>63</v>
      </c>
      <c r="B1360" t="s">
        <v>82</v>
      </c>
      <c r="C1360">
        <v>2024</v>
      </c>
      <c r="D1360" t="s">
        <v>44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34</v>
      </c>
      <c r="N1360">
        <v>5</v>
      </c>
      <c r="O1360" t="s">
        <v>58</v>
      </c>
      <c r="P1360">
        <v>32.200000000000003</v>
      </c>
      <c r="Q1360">
        <v>1759</v>
      </c>
      <c r="R1360">
        <v>4</v>
      </c>
      <c r="S1360">
        <v>0</v>
      </c>
      <c r="T1360" t="s">
        <v>65</v>
      </c>
      <c r="U1360" t="s">
        <v>33</v>
      </c>
      <c r="V1360">
        <v>220772</v>
      </c>
      <c r="W1360">
        <v>3.68</v>
      </c>
      <c r="X1360">
        <v>3</v>
      </c>
    </row>
    <row r="1361" spans="1:24" x14ac:dyDescent="0.3">
      <c r="A1361" t="s">
        <v>42</v>
      </c>
      <c r="B1361" t="s">
        <v>80</v>
      </c>
      <c r="C1361">
        <v>2023</v>
      </c>
      <c r="D1361" t="s">
        <v>26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27</v>
      </c>
      <c r="N1361">
        <v>5</v>
      </c>
      <c r="O1361" t="s">
        <v>35</v>
      </c>
      <c r="P1361">
        <v>55.3</v>
      </c>
      <c r="Q1361">
        <v>2179</v>
      </c>
      <c r="R1361">
        <v>4</v>
      </c>
      <c r="S1361">
        <v>0</v>
      </c>
      <c r="T1361" t="s">
        <v>45</v>
      </c>
      <c r="U1361" t="s">
        <v>33</v>
      </c>
      <c r="V1361">
        <v>99948</v>
      </c>
      <c r="W1361">
        <v>3.66</v>
      </c>
      <c r="X1361">
        <v>5</v>
      </c>
    </row>
    <row r="1362" spans="1:24" x14ac:dyDescent="0.3">
      <c r="A1362" t="s">
        <v>86</v>
      </c>
      <c r="B1362" t="s">
        <v>117</v>
      </c>
      <c r="C1362">
        <v>2025</v>
      </c>
      <c r="D1362" t="s">
        <v>61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48</v>
      </c>
      <c r="N1362">
        <v>5</v>
      </c>
      <c r="O1362" t="s">
        <v>58</v>
      </c>
      <c r="P1362">
        <v>28.1</v>
      </c>
      <c r="Q1362">
        <v>1635</v>
      </c>
      <c r="R1362">
        <v>5</v>
      </c>
      <c r="S1362">
        <v>2</v>
      </c>
      <c r="T1362" t="s">
        <v>29</v>
      </c>
      <c r="U1362" t="s">
        <v>30</v>
      </c>
      <c r="V1362">
        <v>48973</v>
      </c>
      <c r="W1362">
        <v>3.68</v>
      </c>
      <c r="X1362">
        <v>6</v>
      </c>
    </row>
    <row r="1363" spans="1:24" x14ac:dyDescent="0.3">
      <c r="A1363" t="s">
        <v>63</v>
      </c>
      <c r="B1363" t="s">
        <v>67</v>
      </c>
      <c r="C1363">
        <v>2025</v>
      </c>
      <c r="D1363" t="s">
        <v>33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27</v>
      </c>
      <c r="N1363">
        <v>5</v>
      </c>
      <c r="O1363" t="s">
        <v>35</v>
      </c>
      <c r="P1363">
        <v>43.8</v>
      </c>
      <c r="Q1363">
        <v>2109</v>
      </c>
      <c r="R1363">
        <v>5</v>
      </c>
      <c r="S1363">
        <v>0</v>
      </c>
      <c r="T1363" t="s">
        <v>65</v>
      </c>
      <c r="U1363" t="s">
        <v>37</v>
      </c>
      <c r="V1363">
        <v>119429</v>
      </c>
      <c r="W1363">
        <v>3.24</v>
      </c>
      <c r="X1363">
        <v>5</v>
      </c>
    </row>
    <row r="1364" spans="1:24" x14ac:dyDescent="0.3">
      <c r="A1364" t="s">
        <v>83</v>
      </c>
      <c r="B1364" t="s">
        <v>89</v>
      </c>
      <c r="C1364">
        <v>2023</v>
      </c>
      <c r="D1364" t="s">
        <v>26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48</v>
      </c>
      <c r="N1364">
        <v>5</v>
      </c>
      <c r="O1364" t="s">
        <v>51</v>
      </c>
      <c r="P1364">
        <v>24.4</v>
      </c>
      <c r="Q1364">
        <v>1636</v>
      </c>
      <c r="R1364">
        <v>4</v>
      </c>
      <c r="S1364">
        <v>1</v>
      </c>
      <c r="T1364" t="s">
        <v>29</v>
      </c>
      <c r="U1364" t="s">
        <v>30</v>
      </c>
      <c r="V1364">
        <v>41408</v>
      </c>
      <c r="W1364">
        <v>3.72</v>
      </c>
      <c r="X1364">
        <v>6</v>
      </c>
    </row>
    <row r="1365" spans="1:24" x14ac:dyDescent="0.3">
      <c r="A1365" t="s">
        <v>83</v>
      </c>
      <c r="B1365" t="s">
        <v>104</v>
      </c>
      <c r="C1365">
        <v>2024</v>
      </c>
      <c r="D1365" t="s">
        <v>26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27</v>
      </c>
      <c r="N1365">
        <v>5</v>
      </c>
      <c r="O1365" t="s">
        <v>51</v>
      </c>
      <c r="P1365">
        <v>32.5</v>
      </c>
      <c r="Q1365">
        <v>1939</v>
      </c>
      <c r="R1365">
        <v>5</v>
      </c>
      <c r="S1365">
        <v>2</v>
      </c>
      <c r="T1365" t="s">
        <v>29</v>
      </c>
      <c r="U1365" t="s">
        <v>30</v>
      </c>
      <c r="V1365">
        <v>68965</v>
      </c>
      <c r="W1365">
        <v>3.76</v>
      </c>
      <c r="X1365">
        <v>7</v>
      </c>
    </row>
    <row r="1366" spans="1:24" x14ac:dyDescent="0.3">
      <c r="A1366" t="s">
        <v>38</v>
      </c>
      <c r="B1366" t="s">
        <v>39</v>
      </c>
      <c r="C1366">
        <v>2024</v>
      </c>
      <c r="D1366" t="s">
        <v>44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48</v>
      </c>
      <c r="N1366">
        <v>5</v>
      </c>
      <c r="O1366" t="s">
        <v>51</v>
      </c>
      <c r="P1366">
        <v>28.5</v>
      </c>
      <c r="Q1366">
        <v>1500</v>
      </c>
      <c r="R1366">
        <v>5</v>
      </c>
      <c r="S1366">
        <v>1</v>
      </c>
      <c r="T1366" t="s">
        <v>41</v>
      </c>
      <c r="U1366" t="s">
        <v>37</v>
      </c>
      <c r="V1366">
        <v>805</v>
      </c>
      <c r="W1366">
        <v>3.76</v>
      </c>
      <c r="X1366">
        <v>3</v>
      </c>
    </row>
    <row r="1367" spans="1:24" x14ac:dyDescent="0.3">
      <c r="A1367" t="s">
        <v>46</v>
      </c>
      <c r="B1367" t="s">
        <v>57</v>
      </c>
      <c r="C1367">
        <v>2023</v>
      </c>
      <c r="D1367" t="s">
        <v>33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27</v>
      </c>
      <c r="N1367">
        <v>7</v>
      </c>
      <c r="O1367" t="s">
        <v>50</v>
      </c>
      <c r="P1367">
        <v>38.9</v>
      </c>
      <c r="Q1367">
        <v>1689</v>
      </c>
      <c r="R1367">
        <v>4</v>
      </c>
      <c r="S1367">
        <v>2</v>
      </c>
      <c r="T1367" t="s">
        <v>41</v>
      </c>
      <c r="U1367" t="s">
        <v>30</v>
      </c>
      <c r="V1367">
        <v>220716</v>
      </c>
      <c r="W1367">
        <v>3.73</v>
      </c>
      <c r="X1367">
        <v>5</v>
      </c>
    </row>
    <row r="1368" spans="1:24" x14ac:dyDescent="0.3">
      <c r="A1368" t="s">
        <v>38</v>
      </c>
      <c r="B1368" t="s">
        <v>101</v>
      </c>
      <c r="C1368">
        <v>2026</v>
      </c>
      <c r="D1368" t="s">
        <v>33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27</v>
      </c>
      <c r="N1368">
        <v>5</v>
      </c>
      <c r="O1368" t="s">
        <v>28</v>
      </c>
      <c r="P1368">
        <v>64.7</v>
      </c>
      <c r="Q1368">
        <v>2568</v>
      </c>
      <c r="R1368">
        <v>5</v>
      </c>
      <c r="S1368">
        <v>1</v>
      </c>
      <c r="T1368" t="s">
        <v>41</v>
      </c>
      <c r="U1368" t="s">
        <v>37</v>
      </c>
      <c r="V1368">
        <v>5490</v>
      </c>
      <c r="W1368">
        <v>3.27</v>
      </c>
      <c r="X1368">
        <v>3</v>
      </c>
    </row>
    <row r="1369" spans="1:24" x14ac:dyDescent="0.3">
      <c r="A1369" t="s">
        <v>86</v>
      </c>
      <c r="B1369" t="s">
        <v>108</v>
      </c>
      <c r="C1369">
        <v>2024</v>
      </c>
      <c r="D1369" t="s">
        <v>61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34</v>
      </c>
      <c r="N1369">
        <v>5</v>
      </c>
      <c r="O1369" t="s">
        <v>50</v>
      </c>
      <c r="P1369">
        <v>26.3</v>
      </c>
      <c r="Q1369">
        <v>1707</v>
      </c>
      <c r="R1369">
        <v>5</v>
      </c>
      <c r="S1369">
        <v>1</v>
      </c>
      <c r="T1369" t="s">
        <v>29</v>
      </c>
      <c r="U1369" t="s">
        <v>30</v>
      </c>
      <c r="V1369">
        <v>58813</v>
      </c>
      <c r="W1369">
        <v>3.28</v>
      </c>
      <c r="X1369">
        <v>8</v>
      </c>
    </row>
    <row r="1370" spans="1:24" x14ac:dyDescent="0.3">
      <c r="A1370" t="s">
        <v>46</v>
      </c>
      <c r="B1370" t="s">
        <v>78</v>
      </c>
      <c r="C1370">
        <v>2024</v>
      </c>
      <c r="D1370" t="s">
        <v>26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48</v>
      </c>
      <c r="N1370">
        <v>5</v>
      </c>
      <c r="O1370" t="s">
        <v>35</v>
      </c>
      <c r="P1370">
        <v>40.6</v>
      </c>
      <c r="Q1370">
        <v>2108</v>
      </c>
      <c r="R1370">
        <v>5</v>
      </c>
      <c r="S1370">
        <v>3</v>
      </c>
      <c r="T1370" t="s">
        <v>41</v>
      </c>
      <c r="U1370" t="s">
        <v>33</v>
      </c>
      <c r="V1370">
        <v>136484</v>
      </c>
      <c r="W1370">
        <v>3.83</v>
      </c>
      <c r="X1370">
        <v>6</v>
      </c>
    </row>
    <row r="1371" spans="1:24" x14ac:dyDescent="0.3">
      <c r="A1371" t="s">
        <v>63</v>
      </c>
      <c r="B1371" t="s">
        <v>67</v>
      </c>
      <c r="C1371">
        <v>2025</v>
      </c>
      <c r="D1371" t="s">
        <v>33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48</v>
      </c>
      <c r="N1371">
        <v>5</v>
      </c>
      <c r="O1371" t="s">
        <v>40</v>
      </c>
      <c r="P1371">
        <v>75.900000000000006</v>
      </c>
      <c r="Q1371">
        <v>1505</v>
      </c>
      <c r="R1371">
        <v>4</v>
      </c>
      <c r="S1371">
        <v>0</v>
      </c>
      <c r="T1371" t="s">
        <v>65</v>
      </c>
      <c r="U1371" t="s">
        <v>66</v>
      </c>
      <c r="V1371">
        <v>129109</v>
      </c>
      <c r="W1371">
        <v>3.09</v>
      </c>
      <c r="X1371">
        <v>4</v>
      </c>
    </row>
    <row r="1372" spans="1:24" x14ac:dyDescent="0.3">
      <c r="A1372" t="s">
        <v>59</v>
      </c>
      <c r="B1372" t="s">
        <v>111</v>
      </c>
      <c r="C1372">
        <v>2026</v>
      </c>
      <c r="D1372" t="s">
        <v>61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27</v>
      </c>
      <c r="N1372">
        <v>5</v>
      </c>
      <c r="O1372" t="s">
        <v>58</v>
      </c>
      <c r="P1372">
        <v>16</v>
      </c>
      <c r="Q1372">
        <v>1500</v>
      </c>
      <c r="R1372">
        <v>5</v>
      </c>
      <c r="S1372">
        <v>0</v>
      </c>
      <c r="T1372" t="s">
        <v>41</v>
      </c>
      <c r="U1372" t="s">
        <v>33</v>
      </c>
      <c r="V1372">
        <v>26063</v>
      </c>
      <c r="W1372">
        <v>3.56</v>
      </c>
      <c r="X1372">
        <v>4</v>
      </c>
    </row>
    <row r="1373" spans="1:24" x14ac:dyDescent="0.3">
      <c r="A1373" t="s">
        <v>46</v>
      </c>
      <c r="B1373" t="s">
        <v>78</v>
      </c>
      <c r="C1373">
        <v>2022</v>
      </c>
      <c r="D1373" t="s">
        <v>33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27</v>
      </c>
      <c r="N1373">
        <v>5</v>
      </c>
      <c r="O1373" t="s">
        <v>50</v>
      </c>
      <c r="P1373">
        <v>37.4</v>
      </c>
      <c r="Q1373">
        <v>1500</v>
      </c>
      <c r="R1373">
        <v>4</v>
      </c>
      <c r="S1373">
        <v>2</v>
      </c>
      <c r="T1373" t="s">
        <v>41</v>
      </c>
      <c r="U1373" t="s">
        <v>33</v>
      </c>
      <c r="V1373">
        <v>114033</v>
      </c>
      <c r="W1373">
        <v>3.63</v>
      </c>
      <c r="X1373">
        <v>4</v>
      </c>
    </row>
    <row r="1374" spans="1:24" x14ac:dyDescent="0.3">
      <c r="A1374" t="s">
        <v>52</v>
      </c>
      <c r="B1374" t="s">
        <v>103</v>
      </c>
      <c r="C1374">
        <v>2022</v>
      </c>
      <c r="D1374" t="s">
        <v>33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27</v>
      </c>
      <c r="N1374">
        <v>7</v>
      </c>
      <c r="O1374" t="s">
        <v>40</v>
      </c>
      <c r="P1374">
        <v>62.1</v>
      </c>
      <c r="Q1374">
        <v>1800</v>
      </c>
      <c r="R1374">
        <v>5</v>
      </c>
      <c r="S1374">
        <v>1</v>
      </c>
      <c r="T1374" t="s">
        <v>29</v>
      </c>
      <c r="U1374" t="s">
        <v>33</v>
      </c>
      <c r="V1374">
        <v>32471</v>
      </c>
      <c r="W1374">
        <v>3.81</v>
      </c>
      <c r="X1374">
        <v>8</v>
      </c>
    </row>
    <row r="1375" spans="1:24" x14ac:dyDescent="0.3">
      <c r="A1375" t="s">
        <v>68</v>
      </c>
      <c r="B1375" t="s">
        <v>69</v>
      </c>
      <c r="C1375">
        <v>2026</v>
      </c>
      <c r="D1375" t="s">
        <v>61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34</v>
      </c>
      <c r="N1375">
        <v>5</v>
      </c>
      <c r="O1375" t="s">
        <v>50</v>
      </c>
      <c r="P1375">
        <v>25.8</v>
      </c>
      <c r="Q1375">
        <v>1607</v>
      </c>
      <c r="R1375">
        <v>5</v>
      </c>
      <c r="S1375">
        <v>1</v>
      </c>
      <c r="T1375" t="s">
        <v>45</v>
      </c>
      <c r="U1375" t="s">
        <v>33</v>
      </c>
      <c r="V1375">
        <v>75804</v>
      </c>
      <c r="W1375">
        <v>3.31</v>
      </c>
      <c r="X1375">
        <v>3</v>
      </c>
    </row>
    <row r="1376" spans="1:24" x14ac:dyDescent="0.3">
      <c r="A1376" t="s">
        <v>63</v>
      </c>
      <c r="B1376" t="s">
        <v>107</v>
      </c>
      <c r="C1376">
        <v>2023</v>
      </c>
      <c r="D1376" t="s">
        <v>26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27</v>
      </c>
      <c r="N1376">
        <v>5</v>
      </c>
      <c r="O1376" t="s">
        <v>50</v>
      </c>
      <c r="P1376">
        <v>19.7</v>
      </c>
      <c r="Q1376">
        <v>1555</v>
      </c>
      <c r="R1376">
        <v>5</v>
      </c>
      <c r="S1376">
        <v>0</v>
      </c>
      <c r="T1376" t="s">
        <v>65</v>
      </c>
      <c r="U1376" t="s">
        <v>33</v>
      </c>
      <c r="V1376">
        <v>198687</v>
      </c>
      <c r="W1376">
        <v>4</v>
      </c>
      <c r="X1376">
        <v>3</v>
      </c>
    </row>
    <row r="1377" spans="1:24" x14ac:dyDescent="0.3">
      <c r="A1377" t="s">
        <v>52</v>
      </c>
      <c r="B1377" t="s">
        <v>97</v>
      </c>
      <c r="C1377">
        <v>2026</v>
      </c>
      <c r="D1377" t="s">
        <v>26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34</v>
      </c>
      <c r="N1377">
        <v>7</v>
      </c>
      <c r="O1377" t="s">
        <v>51</v>
      </c>
      <c r="P1377">
        <v>26.6</v>
      </c>
      <c r="Q1377">
        <v>1500</v>
      </c>
      <c r="R1377">
        <v>4</v>
      </c>
      <c r="S1377">
        <v>1</v>
      </c>
      <c r="T1377" t="s">
        <v>29</v>
      </c>
      <c r="U1377" t="s">
        <v>30</v>
      </c>
      <c r="V1377">
        <v>51560</v>
      </c>
      <c r="W1377">
        <v>3.97</v>
      </c>
      <c r="X1377">
        <v>7</v>
      </c>
    </row>
    <row r="1378" spans="1:24" x14ac:dyDescent="0.3">
      <c r="A1378" t="s">
        <v>24</v>
      </c>
      <c r="B1378" t="s">
        <v>75</v>
      </c>
      <c r="C1378">
        <v>2024</v>
      </c>
      <c r="D1378" t="s">
        <v>56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27</v>
      </c>
      <c r="N1378">
        <v>5</v>
      </c>
      <c r="O1378" t="s">
        <v>35</v>
      </c>
      <c r="P1378">
        <v>47.3</v>
      </c>
      <c r="Q1378">
        <v>2163</v>
      </c>
      <c r="R1378">
        <v>5</v>
      </c>
      <c r="S1378">
        <v>1</v>
      </c>
      <c r="T1378" t="s">
        <v>29</v>
      </c>
      <c r="U1378" t="s">
        <v>37</v>
      </c>
      <c r="V1378">
        <v>231690</v>
      </c>
      <c r="W1378">
        <v>3.59</v>
      </c>
      <c r="X1378">
        <v>4</v>
      </c>
    </row>
    <row r="1379" spans="1:24" x14ac:dyDescent="0.3">
      <c r="A1379" t="s">
        <v>68</v>
      </c>
      <c r="B1379" t="s">
        <v>109</v>
      </c>
      <c r="C1379">
        <v>2024</v>
      </c>
      <c r="D1379" t="s">
        <v>56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34</v>
      </c>
      <c r="N1379">
        <v>7</v>
      </c>
      <c r="O1379" t="s">
        <v>58</v>
      </c>
      <c r="P1379">
        <v>22.6</v>
      </c>
      <c r="Q1379">
        <v>1500</v>
      </c>
      <c r="R1379">
        <v>5</v>
      </c>
      <c r="S1379">
        <v>0</v>
      </c>
      <c r="T1379" t="s">
        <v>45</v>
      </c>
      <c r="U1379" t="s">
        <v>37</v>
      </c>
      <c r="V1379">
        <v>55119</v>
      </c>
      <c r="W1379">
        <v>3.5</v>
      </c>
      <c r="X1379">
        <v>5</v>
      </c>
    </row>
    <row r="1380" spans="1:24" x14ac:dyDescent="0.3">
      <c r="A1380" t="s">
        <v>24</v>
      </c>
      <c r="B1380" t="s">
        <v>75</v>
      </c>
      <c r="C1380">
        <v>2022</v>
      </c>
      <c r="D1380" t="s">
        <v>56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27</v>
      </c>
      <c r="N1380">
        <v>5</v>
      </c>
      <c r="O1380" t="s">
        <v>40</v>
      </c>
      <c r="P1380">
        <v>69.599999999999994</v>
      </c>
      <c r="Q1380">
        <v>1799</v>
      </c>
      <c r="R1380">
        <v>5</v>
      </c>
      <c r="S1380">
        <v>0</v>
      </c>
      <c r="T1380" t="s">
        <v>29</v>
      </c>
      <c r="U1380" t="s">
        <v>66</v>
      </c>
      <c r="V1380">
        <v>200434</v>
      </c>
      <c r="W1380">
        <v>3.19</v>
      </c>
      <c r="X1380">
        <v>5</v>
      </c>
    </row>
    <row r="1381" spans="1:24" x14ac:dyDescent="0.3">
      <c r="A1381" t="s">
        <v>42</v>
      </c>
      <c r="B1381" t="s">
        <v>71</v>
      </c>
      <c r="C1381">
        <v>2024</v>
      </c>
      <c r="D1381" t="s">
        <v>56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34</v>
      </c>
      <c r="N1381">
        <v>5</v>
      </c>
      <c r="O1381" t="s">
        <v>40</v>
      </c>
      <c r="P1381">
        <v>69.599999999999994</v>
      </c>
      <c r="Q1381">
        <v>1642</v>
      </c>
      <c r="R1381">
        <v>4</v>
      </c>
      <c r="S1381">
        <v>2</v>
      </c>
      <c r="T1381" t="s">
        <v>45</v>
      </c>
      <c r="U1381" t="s">
        <v>66</v>
      </c>
      <c r="V1381">
        <v>143619</v>
      </c>
      <c r="W1381">
        <v>3.26</v>
      </c>
      <c r="X1381">
        <v>4</v>
      </c>
    </row>
    <row r="1382" spans="1:24" x14ac:dyDescent="0.3">
      <c r="A1382" t="s">
        <v>46</v>
      </c>
      <c r="B1382" t="s">
        <v>47</v>
      </c>
      <c r="C1382">
        <v>2025</v>
      </c>
      <c r="D1382" t="s">
        <v>33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27</v>
      </c>
      <c r="N1382">
        <v>7</v>
      </c>
      <c r="O1382" t="s">
        <v>50</v>
      </c>
      <c r="P1382">
        <v>20.3</v>
      </c>
      <c r="Q1382">
        <v>1630</v>
      </c>
      <c r="R1382">
        <v>4</v>
      </c>
      <c r="S1382">
        <v>2</v>
      </c>
      <c r="T1382" t="s">
        <v>41</v>
      </c>
      <c r="U1382" t="s">
        <v>30</v>
      </c>
      <c r="V1382">
        <v>190536</v>
      </c>
      <c r="W1382">
        <v>3.76</v>
      </c>
      <c r="X1382">
        <v>5</v>
      </c>
    </row>
    <row r="1383" spans="1:24" x14ac:dyDescent="0.3">
      <c r="A1383" t="s">
        <v>24</v>
      </c>
      <c r="B1383" t="s">
        <v>70</v>
      </c>
      <c r="C1383">
        <v>2026</v>
      </c>
      <c r="D1383" t="s">
        <v>56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27</v>
      </c>
      <c r="N1383">
        <v>5</v>
      </c>
      <c r="O1383" t="s">
        <v>58</v>
      </c>
      <c r="P1383">
        <v>37.1</v>
      </c>
      <c r="Q1383">
        <v>1759</v>
      </c>
      <c r="R1383">
        <v>4</v>
      </c>
      <c r="S1383">
        <v>1</v>
      </c>
      <c r="T1383" t="s">
        <v>29</v>
      </c>
      <c r="U1383" t="s">
        <v>37</v>
      </c>
      <c r="V1383">
        <v>295672</v>
      </c>
      <c r="W1383">
        <v>3.23</v>
      </c>
      <c r="X1383">
        <v>5</v>
      </c>
    </row>
    <row r="1384" spans="1:24" x14ac:dyDescent="0.3">
      <c r="A1384" t="s">
        <v>59</v>
      </c>
      <c r="B1384" t="s">
        <v>60</v>
      </c>
      <c r="C1384">
        <v>2025</v>
      </c>
      <c r="D1384" t="s">
        <v>56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27</v>
      </c>
      <c r="N1384">
        <v>7</v>
      </c>
      <c r="O1384" t="s">
        <v>40</v>
      </c>
      <c r="P1384">
        <v>69.2</v>
      </c>
      <c r="Q1384">
        <v>1757</v>
      </c>
      <c r="R1384">
        <v>5</v>
      </c>
      <c r="S1384">
        <v>0</v>
      </c>
      <c r="T1384" t="s">
        <v>41</v>
      </c>
      <c r="U1384" t="s">
        <v>37</v>
      </c>
      <c r="V1384">
        <v>2488</v>
      </c>
      <c r="W1384">
        <v>3.18</v>
      </c>
      <c r="X1384">
        <v>4</v>
      </c>
    </row>
    <row r="1385" spans="1:24" x14ac:dyDescent="0.3">
      <c r="A1385" t="s">
        <v>63</v>
      </c>
      <c r="B1385" t="s">
        <v>82</v>
      </c>
      <c r="C1385">
        <v>2025</v>
      </c>
      <c r="D1385" t="s">
        <v>33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27</v>
      </c>
      <c r="N1385">
        <v>7</v>
      </c>
      <c r="O1385" t="s">
        <v>50</v>
      </c>
      <c r="P1385">
        <v>37</v>
      </c>
      <c r="Q1385">
        <v>1619</v>
      </c>
      <c r="R1385">
        <v>3</v>
      </c>
      <c r="S1385">
        <v>1</v>
      </c>
      <c r="T1385" t="s">
        <v>65</v>
      </c>
      <c r="U1385" t="s">
        <v>33</v>
      </c>
      <c r="V1385">
        <v>232340</v>
      </c>
      <c r="W1385">
        <v>3.27</v>
      </c>
      <c r="X1385">
        <v>5</v>
      </c>
    </row>
    <row r="1386" spans="1:24" x14ac:dyDescent="0.3">
      <c r="A1386" t="s">
        <v>83</v>
      </c>
      <c r="B1386" t="s">
        <v>84</v>
      </c>
      <c r="C1386">
        <v>2025</v>
      </c>
      <c r="D1386" t="s">
        <v>26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48</v>
      </c>
      <c r="N1386">
        <v>5</v>
      </c>
      <c r="O1386" t="s">
        <v>40</v>
      </c>
      <c r="P1386">
        <v>66.900000000000006</v>
      </c>
      <c r="Q1386">
        <v>1847</v>
      </c>
      <c r="R1386">
        <v>5</v>
      </c>
      <c r="S1386">
        <v>2</v>
      </c>
      <c r="T1386" t="s">
        <v>29</v>
      </c>
      <c r="U1386" t="s">
        <v>30</v>
      </c>
      <c r="V1386">
        <v>27119</v>
      </c>
      <c r="W1386">
        <v>3.48</v>
      </c>
      <c r="X1386">
        <v>6</v>
      </c>
    </row>
    <row r="1387" spans="1:24" x14ac:dyDescent="0.3">
      <c r="A1387" t="s">
        <v>63</v>
      </c>
      <c r="B1387" t="s">
        <v>88</v>
      </c>
      <c r="C1387">
        <v>2023</v>
      </c>
      <c r="D1387" t="s">
        <v>26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27</v>
      </c>
      <c r="N1387">
        <v>7</v>
      </c>
      <c r="O1387" t="s">
        <v>28</v>
      </c>
      <c r="P1387">
        <v>67.099999999999994</v>
      </c>
      <c r="Q1387">
        <v>2715</v>
      </c>
      <c r="R1387">
        <v>5</v>
      </c>
      <c r="S1387">
        <v>0</v>
      </c>
      <c r="T1387" t="s">
        <v>65</v>
      </c>
      <c r="U1387" t="s">
        <v>30</v>
      </c>
      <c r="V1387">
        <v>226612</v>
      </c>
      <c r="W1387">
        <v>3.99</v>
      </c>
      <c r="X1387">
        <v>4</v>
      </c>
    </row>
    <row r="1388" spans="1:24" x14ac:dyDescent="0.3">
      <c r="A1388" t="s">
        <v>76</v>
      </c>
      <c r="B1388" t="s">
        <v>98</v>
      </c>
      <c r="C1388">
        <v>2025</v>
      </c>
      <c r="D1388" t="s">
        <v>33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48</v>
      </c>
      <c r="N1388">
        <v>5</v>
      </c>
      <c r="O1388" t="s">
        <v>28</v>
      </c>
      <c r="P1388">
        <v>54.1</v>
      </c>
      <c r="Q1388">
        <v>2327</v>
      </c>
      <c r="R1388">
        <v>5</v>
      </c>
      <c r="S1388">
        <v>0</v>
      </c>
      <c r="T1388" t="s">
        <v>41</v>
      </c>
      <c r="U1388" t="s">
        <v>37</v>
      </c>
      <c r="V1388">
        <v>62617</v>
      </c>
      <c r="W1388">
        <v>3.81</v>
      </c>
      <c r="X1388">
        <v>5</v>
      </c>
    </row>
    <row r="1389" spans="1:24" x14ac:dyDescent="0.3">
      <c r="A1389" t="s">
        <v>46</v>
      </c>
      <c r="B1389" t="s">
        <v>47</v>
      </c>
      <c r="C1389">
        <v>2024</v>
      </c>
      <c r="D1389" t="s">
        <v>26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27</v>
      </c>
      <c r="N1389">
        <v>5</v>
      </c>
      <c r="O1389" t="s">
        <v>28</v>
      </c>
      <c r="P1389">
        <v>53.4</v>
      </c>
      <c r="Q1389">
        <v>2409</v>
      </c>
      <c r="R1389">
        <v>4</v>
      </c>
      <c r="S1389">
        <v>2</v>
      </c>
      <c r="T1389" t="s">
        <v>41</v>
      </c>
      <c r="U1389" t="s">
        <v>33</v>
      </c>
      <c r="V1389">
        <v>186712</v>
      </c>
      <c r="W1389">
        <v>4.18</v>
      </c>
      <c r="X1389">
        <v>5</v>
      </c>
    </row>
    <row r="1390" spans="1:24" x14ac:dyDescent="0.3">
      <c r="A1390" t="s">
        <v>59</v>
      </c>
      <c r="B1390" t="s">
        <v>111</v>
      </c>
      <c r="C1390">
        <v>2025</v>
      </c>
      <c r="D1390" t="s">
        <v>44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48</v>
      </c>
      <c r="N1390">
        <v>7</v>
      </c>
      <c r="O1390" t="s">
        <v>51</v>
      </c>
      <c r="P1390">
        <v>25.3</v>
      </c>
      <c r="Q1390">
        <v>1773</v>
      </c>
      <c r="R1390">
        <v>5</v>
      </c>
      <c r="S1390">
        <v>1</v>
      </c>
      <c r="T1390" t="s">
        <v>41</v>
      </c>
      <c r="U1390" t="s">
        <v>33</v>
      </c>
      <c r="V1390">
        <v>12789</v>
      </c>
      <c r="W1390">
        <v>3.33</v>
      </c>
      <c r="X1390">
        <v>4</v>
      </c>
    </row>
    <row r="1391" spans="1:24" x14ac:dyDescent="0.3">
      <c r="A1391" t="s">
        <v>24</v>
      </c>
      <c r="B1391" t="s">
        <v>70</v>
      </c>
      <c r="C1391">
        <v>2023</v>
      </c>
      <c r="D1391" t="s">
        <v>33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27</v>
      </c>
      <c r="N1391">
        <v>5</v>
      </c>
      <c r="O1391" t="s">
        <v>58</v>
      </c>
      <c r="P1391">
        <v>22.4</v>
      </c>
      <c r="Q1391">
        <v>1560</v>
      </c>
      <c r="R1391">
        <v>4</v>
      </c>
      <c r="S1391">
        <v>1</v>
      </c>
      <c r="T1391" t="s">
        <v>29</v>
      </c>
      <c r="U1391" t="s">
        <v>33</v>
      </c>
      <c r="V1391">
        <v>208905</v>
      </c>
      <c r="W1391">
        <v>3.41</v>
      </c>
      <c r="X1391">
        <v>4</v>
      </c>
    </row>
    <row r="1392" spans="1:24" x14ac:dyDescent="0.3">
      <c r="A1392" t="s">
        <v>63</v>
      </c>
      <c r="B1392" t="s">
        <v>88</v>
      </c>
      <c r="C1392">
        <v>2023</v>
      </c>
      <c r="D1392" t="s">
        <v>44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34</v>
      </c>
      <c r="N1392">
        <v>7</v>
      </c>
      <c r="O1392" t="s">
        <v>50</v>
      </c>
      <c r="P1392">
        <v>36.5</v>
      </c>
      <c r="Q1392">
        <v>1560</v>
      </c>
      <c r="R1392">
        <v>5</v>
      </c>
      <c r="S1392">
        <v>0</v>
      </c>
      <c r="T1392" t="s">
        <v>65</v>
      </c>
      <c r="U1392" t="s">
        <v>66</v>
      </c>
      <c r="V1392">
        <v>111239</v>
      </c>
      <c r="W1392">
        <v>3.49</v>
      </c>
      <c r="X1392">
        <v>4</v>
      </c>
    </row>
    <row r="1393" spans="1:24" x14ac:dyDescent="0.3">
      <c r="A1393" t="s">
        <v>46</v>
      </c>
      <c r="B1393" t="s">
        <v>78</v>
      </c>
      <c r="C1393">
        <v>2022</v>
      </c>
      <c r="D1393" t="s">
        <v>26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48</v>
      </c>
      <c r="N1393">
        <v>5</v>
      </c>
      <c r="O1393" t="s">
        <v>28</v>
      </c>
      <c r="P1393">
        <v>67.599999999999994</v>
      </c>
      <c r="Q1393">
        <v>2497</v>
      </c>
      <c r="R1393">
        <v>5</v>
      </c>
      <c r="S1393">
        <v>2</v>
      </c>
      <c r="T1393" t="s">
        <v>41</v>
      </c>
      <c r="U1393" t="s">
        <v>30</v>
      </c>
      <c r="V1393">
        <v>160982</v>
      </c>
      <c r="W1393">
        <v>3.75</v>
      </c>
      <c r="X1393">
        <v>4</v>
      </c>
    </row>
    <row r="1394" spans="1:24" x14ac:dyDescent="0.3">
      <c r="A1394" t="s">
        <v>46</v>
      </c>
      <c r="B1394" t="s">
        <v>72</v>
      </c>
      <c r="C1394">
        <v>2024</v>
      </c>
      <c r="D1394" t="s">
        <v>26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48</v>
      </c>
      <c r="N1394">
        <v>7</v>
      </c>
      <c r="O1394" t="s">
        <v>28</v>
      </c>
      <c r="P1394">
        <v>52.7</v>
      </c>
      <c r="Q1394">
        <v>2604</v>
      </c>
      <c r="R1394">
        <v>3</v>
      </c>
      <c r="S1394">
        <v>2</v>
      </c>
      <c r="T1394" t="s">
        <v>41</v>
      </c>
      <c r="U1394" t="s">
        <v>30</v>
      </c>
      <c r="V1394">
        <v>156874</v>
      </c>
      <c r="W1394">
        <v>4.08</v>
      </c>
      <c r="X1394">
        <v>5</v>
      </c>
    </row>
    <row r="1395" spans="1:24" x14ac:dyDescent="0.3">
      <c r="A1395" t="s">
        <v>68</v>
      </c>
      <c r="B1395" t="s">
        <v>109</v>
      </c>
      <c r="C1395">
        <v>2025</v>
      </c>
      <c r="D1395" t="s">
        <v>44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34</v>
      </c>
      <c r="N1395">
        <v>7</v>
      </c>
      <c r="O1395" t="s">
        <v>35</v>
      </c>
      <c r="P1395">
        <v>54.6</v>
      </c>
      <c r="Q1395">
        <v>2251</v>
      </c>
      <c r="R1395">
        <v>4</v>
      </c>
      <c r="S1395">
        <v>2</v>
      </c>
      <c r="T1395" t="s">
        <v>45</v>
      </c>
      <c r="U1395" t="s">
        <v>33</v>
      </c>
      <c r="V1395">
        <v>50014</v>
      </c>
      <c r="W1395">
        <v>3.59</v>
      </c>
      <c r="X1395">
        <v>4</v>
      </c>
    </row>
    <row r="1396" spans="1:24" x14ac:dyDescent="0.3">
      <c r="A1396" t="s">
        <v>63</v>
      </c>
      <c r="B1396" t="s">
        <v>67</v>
      </c>
      <c r="C1396">
        <v>2024</v>
      </c>
      <c r="D1396" t="s">
        <v>44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48</v>
      </c>
      <c r="N1396">
        <v>5</v>
      </c>
      <c r="O1396" t="s">
        <v>28</v>
      </c>
      <c r="P1396">
        <v>63.7</v>
      </c>
      <c r="Q1396">
        <v>2686</v>
      </c>
      <c r="R1396">
        <v>3</v>
      </c>
      <c r="S1396">
        <v>1</v>
      </c>
      <c r="T1396" t="s">
        <v>65</v>
      </c>
      <c r="U1396" t="s">
        <v>37</v>
      </c>
      <c r="V1396">
        <v>239018</v>
      </c>
      <c r="W1396">
        <v>3.7</v>
      </c>
      <c r="X1396">
        <v>3</v>
      </c>
    </row>
    <row r="1397" spans="1:24" x14ac:dyDescent="0.3">
      <c r="A1397" t="s">
        <v>52</v>
      </c>
      <c r="B1397" t="s">
        <v>53</v>
      </c>
      <c r="C1397">
        <v>2025</v>
      </c>
      <c r="D1397" t="s">
        <v>26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27</v>
      </c>
      <c r="N1397">
        <v>5</v>
      </c>
      <c r="O1397" t="s">
        <v>35</v>
      </c>
      <c r="P1397">
        <v>38.200000000000003</v>
      </c>
      <c r="Q1397">
        <v>1893</v>
      </c>
      <c r="R1397">
        <v>4</v>
      </c>
      <c r="S1397">
        <v>1</v>
      </c>
      <c r="T1397" t="s">
        <v>29</v>
      </c>
      <c r="U1397" t="s">
        <v>33</v>
      </c>
      <c r="V1397">
        <v>56423</v>
      </c>
      <c r="W1397">
        <v>3.88</v>
      </c>
      <c r="X1397">
        <v>7</v>
      </c>
    </row>
    <row r="1398" spans="1:24" x14ac:dyDescent="0.3">
      <c r="A1398" t="s">
        <v>24</v>
      </c>
      <c r="B1398" t="s">
        <v>75</v>
      </c>
      <c r="C1398">
        <v>2024</v>
      </c>
      <c r="D1398" t="s">
        <v>33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48</v>
      </c>
      <c r="N1398">
        <v>7</v>
      </c>
      <c r="O1398" t="s">
        <v>51</v>
      </c>
      <c r="P1398">
        <v>32.4</v>
      </c>
      <c r="Q1398">
        <v>1615</v>
      </c>
      <c r="R1398">
        <v>4</v>
      </c>
      <c r="S1398">
        <v>1</v>
      </c>
      <c r="T1398" t="s">
        <v>29</v>
      </c>
      <c r="U1398" t="s">
        <v>37</v>
      </c>
      <c r="V1398">
        <v>268842</v>
      </c>
      <c r="W1398">
        <v>3.31</v>
      </c>
      <c r="X1398">
        <v>4</v>
      </c>
    </row>
    <row r="1399" spans="1:24" x14ac:dyDescent="0.3">
      <c r="A1399" t="s">
        <v>63</v>
      </c>
      <c r="B1399" t="s">
        <v>67</v>
      </c>
      <c r="C1399">
        <v>2022</v>
      </c>
      <c r="D1399" t="s">
        <v>26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48</v>
      </c>
      <c r="N1399">
        <v>7</v>
      </c>
      <c r="O1399" t="s">
        <v>51</v>
      </c>
      <c r="P1399">
        <v>33.299999999999997</v>
      </c>
      <c r="Q1399">
        <v>1500</v>
      </c>
      <c r="R1399">
        <v>4</v>
      </c>
      <c r="S1399">
        <v>0</v>
      </c>
      <c r="T1399" t="s">
        <v>65</v>
      </c>
      <c r="U1399" t="s">
        <v>33</v>
      </c>
      <c r="V1399">
        <v>130723</v>
      </c>
      <c r="W1399">
        <v>3.47</v>
      </c>
      <c r="X1399">
        <v>4</v>
      </c>
    </row>
    <row r="1400" spans="1:24" x14ac:dyDescent="0.3">
      <c r="A1400" t="s">
        <v>42</v>
      </c>
      <c r="B1400" t="s">
        <v>115</v>
      </c>
      <c r="C1400">
        <v>2022</v>
      </c>
      <c r="D1400" t="s">
        <v>33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48</v>
      </c>
      <c r="N1400">
        <v>7</v>
      </c>
      <c r="O1400" t="s">
        <v>58</v>
      </c>
      <c r="P1400">
        <v>28.9</v>
      </c>
      <c r="Q1400">
        <v>1500</v>
      </c>
      <c r="R1400">
        <v>4</v>
      </c>
      <c r="S1400">
        <v>0</v>
      </c>
      <c r="T1400" t="s">
        <v>45</v>
      </c>
      <c r="U1400" t="s">
        <v>37</v>
      </c>
      <c r="V1400">
        <v>51025</v>
      </c>
      <c r="W1400">
        <v>3.4</v>
      </c>
      <c r="X1400">
        <v>5</v>
      </c>
    </row>
    <row r="1401" spans="1:24" x14ac:dyDescent="0.3">
      <c r="A1401" t="s">
        <v>38</v>
      </c>
      <c r="B1401" t="s">
        <v>101</v>
      </c>
      <c r="C1401">
        <v>2023</v>
      </c>
      <c r="D1401" t="s">
        <v>26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27</v>
      </c>
      <c r="N1401">
        <v>5</v>
      </c>
      <c r="O1401" t="s">
        <v>51</v>
      </c>
      <c r="P1401">
        <v>20.399999999999999</v>
      </c>
      <c r="Q1401">
        <v>2090</v>
      </c>
      <c r="R1401">
        <v>4</v>
      </c>
      <c r="S1401">
        <v>1</v>
      </c>
      <c r="T1401" t="s">
        <v>41</v>
      </c>
      <c r="U1401" t="s">
        <v>33</v>
      </c>
      <c r="V1401">
        <v>27191</v>
      </c>
      <c r="W1401">
        <v>3.61</v>
      </c>
      <c r="X1401">
        <v>3</v>
      </c>
    </row>
    <row r="1402" spans="1:24" x14ac:dyDescent="0.3">
      <c r="A1402" t="s">
        <v>46</v>
      </c>
      <c r="B1402" t="s">
        <v>78</v>
      </c>
      <c r="C1402">
        <v>2022</v>
      </c>
      <c r="D1402" t="s">
        <v>56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48</v>
      </c>
      <c r="N1402">
        <v>5</v>
      </c>
      <c r="O1402" t="s">
        <v>40</v>
      </c>
      <c r="P1402">
        <v>63.8</v>
      </c>
      <c r="Q1402">
        <v>1526</v>
      </c>
      <c r="R1402">
        <v>3</v>
      </c>
      <c r="S1402">
        <v>2</v>
      </c>
      <c r="T1402" t="s">
        <v>41</v>
      </c>
      <c r="U1402" t="s">
        <v>37</v>
      </c>
      <c r="V1402">
        <v>148395</v>
      </c>
      <c r="W1402">
        <v>3.64</v>
      </c>
      <c r="X1402">
        <v>6</v>
      </c>
    </row>
    <row r="1403" spans="1:24" x14ac:dyDescent="0.3">
      <c r="A1403" t="s">
        <v>46</v>
      </c>
      <c r="B1403" t="s">
        <v>78</v>
      </c>
      <c r="C1403">
        <v>2025</v>
      </c>
      <c r="D1403" t="s">
        <v>44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48</v>
      </c>
      <c r="N1403">
        <v>7</v>
      </c>
      <c r="O1403" t="s">
        <v>50</v>
      </c>
      <c r="P1403">
        <v>36.6</v>
      </c>
      <c r="Q1403">
        <v>1849</v>
      </c>
      <c r="R1403">
        <v>4</v>
      </c>
      <c r="S1403">
        <v>3</v>
      </c>
      <c r="T1403" t="s">
        <v>41</v>
      </c>
      <c r="U1403" t="s">
        <v>30</v>
      </c>
      <c r="V1403">
        <v>197625</v>
      </c>
      <c r="W1403">
        <v>3.78</v>
      </c>
      <c r="X1403">
        <v>5</v>
      </c>
    </row>
    <row r="1404" spans="1:24" x14ac:dyDescent="0.3">
      <c r="A1404" t="s">
        <v>46</v>
      </c>
      <c r="B1404" t="s">
        <v>49</v>
      </c>
      <c r="C1404">
        <v>2025</v>
      </c>
      <c r="D1404" t="s">
        <v>26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27</v>
      </c>
      <c r="N1404">
        <v>7</v>
      </c>
      <c r="O1404" t="s">
        <v>58</v>
      </c>
      <c r="P1404">
        <v>19.2</v>
      </c>
      <c r="Q1404">
        <v>1500</v>
      </c>
      <c r="R1404">
        <v>5</v>
      </c>
      <c r="S1404">
        <v>3</v>
      </c>
      <c r="T1404" t="s">
        <v>41</v>
      </c>
      <c r="U1404" t="s">
        <v>30</v>
      </c>
      <c r="V1404">
        <v>419874</v>
      </c>
      <c r="W1404">
        <v>4.32</v>
      </c>
      <c r="X1404">
        <v>6</v>
      </c>
    </row>
    <row r="1405" spans="1:24" x14ac:dyDescent="0.3">
      <c r="A1405" t="s">
        <v>38</v>
      </c>
      <c r="B1405" t="s">
        <v>118</v>
      </c>
      <c r="C1405">
        <v>2026</v>
      </c>
      <c r="D1405" t="s">
        <v>61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48</v>
      </c>
      <c r="N1405">
        <v>7</v>
      </c>
      <c r="O1405" t="s">
        <v>40</v>
      </c>
      <c r="P1405">
        <v>66.599999999999994</v>
      </c>
      <c r="Q1405">
        <v>1781</v>
      </c>
      <c r="R1405">
        <v>4</v>
      </c>
      <c r="S1405">
        <v>2</v>
      </c>
      <c r="T1405" t="s">
        <v>41</v>
      </c>
      <c r="U1405" t="s">
        <v>37</v>
      </c>
      <c r="V1405">
        <v>16372</v>
      </c>
      <c r="W1405">
        <v>3.34</v>
      </c>
      <c r="X1405">
        <v>5</v>
      </c>
    </row>
    <row r="1406" spans="1:24" x14ac:dyDescent="0.3">
      <c r="A1406" t="s">
        <v>83</v>
      </c>
      <c r="B1406" t="s">
        <v>116</v>
      </c>
      <c r="C1406">
        <v>2022</v>
      </c>
      <c r="D1406" t="s">
        <v>26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27</v>
      </c>
      <c r="N1406">
        <v>7</v>
      </c>
      <c r="O1406" t="s">
        <v>50</v>
      </c>
      <c r="P1406">
        <v>31.3</v>
      </c>
      <c r="Q1406">
        <v>1526</v>
      </c>
      <c r="R1406">
        <v>5</v>
      </c>
      <c r="S1406">
        <v>1</v>
      </c>
      <c r="T1406" t="s">
        <v>29</v>
      </c>
      <c r="U1406" t="s">
        <v>30</v>
      </c>
      <c r="V1406">
        <v>57345</v>
      </c>
      <c r="W1406">
        <v>3.89</v>
      </c>
      <c r="X1406">
        <v>5</v>
      </c>
    </row>
    <row r="1407" spans="1:24" x14ac:dyDescent="0.3">
      <c r="A1407" t="s">
        <v>68</v>
      </c>
      <c r="B1407" t="s">
        <v>69</v>
      </c>
      <c r="C1407">
        <v>2026</v>
      </c>
      <c r="D1407" t="s">
        <v>33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27</v>
      </c>
      <c r="N1407">
        <v>7</v>
      </c>
      <c r="O1407" t="s">
        <v>28</v>
      </c>
      <c r="P1407">
        <v>78.400000000000006</v>
      </c>
      <c r="Q1407">
        <v>2368</v>
      </c>
      <c r="R1407">
        <v>4</v>
      </c>
      <c r="S1407">
        <v>2</v>
      </c>
      <c r="T1407" t="s">
        <v>45</v>
      </c>
      <c r="U1407" t="s">
        <v>33</v>
      </c>
      <c r="V1407">
        <v>79142</v>
      </c>
      <c r="W1407">
        <v>3.33</v>
      </c>
      <c r="X1407">
        <v>3</v>
      </c>
    </row>
    <row r="1408" spans="1:24" x14ac:dyDescent="0.3">
      <c r="A1408" t="s">
        <v>52</v>
      </c>
      <c r="B1408" t="s">
        <v>97</v>
      </c>
      <c r="C1408">
        <v>2026</v>
      </c>
      <c r="D1408" t="s">
        <v>33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27</v>
      </c>
      <c r="N1408">
        <v>5</v>
      </c>
      <c r="O1408" t="s">
        <v>58</v>
      </c>
      <c r="P1408">
        <v>33.200000000000003</v>
      </c>
      <c r="Q1408">
        <v>1697</v>
      </c>
      <c r="R1408">
        <v>4</v>
      </c>
      <c r="S1408">
        <v>1</v>
      </c>
      <c r="T1408" t="s">
        <v>29</v>
      </c>
      <c r="U1408" t="s">
        <v>33</v>
      </c>
      <c r="V1408">
        <v>44745</v>
      </c>
      <c r="W1408">
        <v>3.43</v>
      </c>
      <c r="X1408">
        <v>7</v>
      </c>
    </row>
    <row r="1409" spans="1:24" x14ac:dyDescent="0.3">
      <c r="A1409" t="s">
        <v>76</v>
      </c>
      <c r="B1409" t="s">
        <v>98</v>
      </c>
      <c r="C1409">
        <v>2024</v>
      </c>
      <c r="D1409" t="s">
        <v>56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27</v>
      </c>
      <c r="N1409">
        <v>7</v>
      </c>
      <c r="O1409" t="s">
        <v>50</v>
      </c>
      <c r="P1409">
        <v>22</v>
      </c>
      <c r="Q1409">
        <v>1624</v>
      </c>
      <c r="R1409">
        <v>4</v>
      </c>
      <c r="S1409">
        <v>0</v>
      </c>
      <c r="T1409" t="s">
        <v>41</v>
      </c>
      <c r="U1409" t="s">
        <v>37</v>
      </c>
      <c r="V1409">
        <v>26655</v>
      </c>
      <c r="W1409">
        <v>3.51</v>
      </c>
      <c r="X1409">
        <v>4</v>
      </c>
    </row>
    <row r="1410" spans="1:24" x14ac:dyDescent="0.3">
      <c r="A1410" t="s">
        <v>42</v>
      </c>
      <c r="B1410" t="s">
        <v>43</v>
      </c>
      <c r="C1410">
        <v>2022</v>
      </c>
      <c r="D1410" t="s">
        <v>61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34</v>
      </c>
      <c r="N1410">
        <v>5</v>
      </c>
      <c r="O1410" t="s">
        <v>35</v>
      </c>
      <c r="P1410">
        <v>41.4</v>
      </c>
      <c r="Q1410">
        <v>1872</v>
      </c>
      <c r="R1410">
        <v>5</v>
      </c>
      <c r="S1410">
        <v>0</v>
      </c>
      <c r="T1410" t="s">
        <v>45</v>
      </c>
      <c r="U1410" t="s">
        <v>37</v>
      </c>
      <c r="V1410">
        <v>117943</v>
      </c>
      <c r="W1410">
        <v>3.08</v>
      </c>
      <c r="X1410">
        <v>3</v>
      </c>
    </row>
    <row r="1411" spans="1:24" x14ac:dyDescent="0.3">
      <c r="A1411" t="s">
        <v>52</v>
      </c>
      <c r="B1411" t="s">
        <v>126</v>
      </c>
      <c r="C1411">
        <v>2023</v>
      </c>
      <c r="D1411" t="s">
        <v>26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48</v>
      </c>
      <c r="N1411">
        <v>5</v>
      </c>
      <c r="O1411" t="s">
        <v>40</v>
      </c>
      <c r="P1411">
        <v>78.099999999999994</v>
      </c>
      <c r="Q1411">
        <v>1713</v>
      </c>
      <c r="R1411">
        <v>5</v>
      </c>
      <c r="S1411">
        <v>2</v>
      </c>
      <c r="T1411" t="s">
        <v>29</v>
      </c>
      <c r="U1411" t="s">
        <v>33</v>
      </c>
      <c r="V1411">
        <v>45385</v>
      </c>
      <c r="W1411">
        <v>4.0599999999999996</v>
      </c>
      <c r="X1411">
        <v>5</v>
      </c>
    </row>
    <row r="1412" spans="1:24" x14ac:dyDescent="0.3">
      <c r="A1412" t="s">
        <v>63</v>
      </c>
      <c r="B1412" t="s">
        <v>67</v>
      </c>
      <c r="C1412">
        <v>2023</v>
      </c>
      <c r="D1412" t="s">
        <v>33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48</v>
      </c>
      <c r="N1412">
        <v>5</v>
      </c>
      <c r="O1412" t="s">
        <v>50</v>
      </c>
      <c r="P1412">
        <v>38.799999999999997</v>
      </c>
      <c r="Q1412">
        <v>1553</v>
      </c>
      <c r="R1412">
        <v>4</v>
      </c>
      <c r="S1412">
        <v>0</v>
      </c>
      <c r="T1412" t="s">
        <v>65</v>
      </c>
      <c r="U1412" t="s">
        <v>33</v>
      </c>
      <c r="V1412">
        <v>245833</v>
      </c>
      <c r="W1412">
        <v>3.12</v>
      </c>
      <c r="X1412">
        <v>3</v>
      </c>
    </row>
    <row r="1413" spans="1:24" x14ac:dyDescent="0.3">
      <c r="A1413" t="s">
        <v>46</v>
      </c>
      <c r="B1413" t="s">
        <v>49</v>
      </c>
      <c r="C1413">
        <v>2025</v>
      </c>
      <c r="D1413" t="s">
        <v>61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27</v>
      </c>
      <c r="N1413">
        <v>7</v>
      </c>
      <c r="O1413" t="s">
        <v>35</v>
      </c>
      <c r="P1413">
        <v>48.1</v>
      </c>
      <c r="Q1413">
        <v>1677</v>
      </c>
      <c r="R1413">
        <v>3</v>
      </c>
      <c r="S1413">
        <v>2</v>
      </c>
      <c r="T1413" t="s">
        <v>41</v>
      </c>
      <c r="U1413" t="s">
        <v>66</v>
      </c>
      <c r="V1413">
        <v>412935</v>
      </c>
      <c r="W1413">
        <v>3.53</v>
      </c>
      <c r="X1413">
        <v>4</v>
      </c>
    </row>
    <row r="1414" spans="1:24" x14ac:dyDescent="0.3">
      <c r="A1414" t="s">
        <v>63</v>
      </c>
      <c r="B1414" t="s">
        <v>73</v>
      </c>
      <c r="C1414">
        <v>2025</v>
      </c>
      <c r="D1414" t="s">
        <v>61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48</v>
      </c>
      <c r="N1414">
        <v>5</v>
      </c>
      <c r="O1414" t="s">
        <v>28</v>
      </c>
      <c r="P1414">
        <v>53.4</v>
      </c>
      <c r="Q1414">
        <v>2335</v>
      </c>
      <c r="R1414">
        <v>5</v>
      </c>
      <c r="S1414">
        <v>1</v>
      </c>
      <c r="T1414" t="s">
        <v>65</v>
      </c>
      <c r="U1414" t="s">
        <v>66</v>
      </c>
      <c r="V1414">
        <v>106393</v>
      </c>
      <c r="W1414">
        <v>3.6</v>
      </c>
      <c r="X1414">
        <v>5</v>
      </c>
    </row>
    <row r="1415" spans="1:24" x14ac:dyDescent="0.3">
      <c r="A1415" t="s">
        <v>46</v>
      </c>
      <c r="B1415" t="s">
        <v>57</v>
      </c>
      <c r="C1415">
        <v>2025</v>
      </c>
      <c r="D1415" t="s">
        <v>26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27</v>
      </c>
      <c r="N1415">
        <v>5</v>
      </c>
      <c r="O1415" t="s">
        <v>58</v>
      </c>
      <c r="P1415">
        <v>16.600000000000001</v>
      </c>
      <c r="Q1415">
        <v>1663</v>
      </c>
      <c r="R1415">
        <v>5</v>
      </c>
      <c r="S1415">
        <v>2</v>
      </c>
      <c r="T1415" t="s">
        <v>41</v>
      </c>
      <c r="U1415" t="s">
        <v>37</v>
      </c>
      <c r="V1415">
        <v>214239</v>
      </c>
      <c r="W1415">
        <v>3.64</v>
      </c>
      <c r="X1415">
        <v>6</v>
      </c>
    </row>
    <row r="1416" spans="1:24" x14ac:dyDescent="0.3">
      <c r="A1416" t="s">
        <v>68</v>
      </c>
      <c r="B1416" t="s">
        <v>106</v>
      </c>
      <c r="C1416">
        <v>2025</v>
      </c>
      <c r="D1416" t="s">
        <v>26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48</v>
      </c>
      <c r="N1416">
        <v>5</v>
      </c>
      <c r="O1416" t="s">
        <v>51</v>
      </c>
      <c r="P1416">
        <v>15.7</v>
      </c>
      <c r="Q1416">
        <v>1500</v>
      </c>
      <c r="R1416">
        <v>3</v>
      </c>
      <c r="S1416">
        <v>1</v>
      </c>
      <c r="T1416" t="s">
        <v>45</v>
      </c>
      <c r="U1416" t="s">
        <v>33</v>
      </c>
      <c r="V1416">
        <v>81695</v>
      </c>
      <c r="W1416">
        <v>3.65</v>
      </c>
      <c r="X1416">
        <v>3</v>
      </c>
    </row>
    <row r="1417" spans="1:24" x14ac:dyDescent="0.3">
      <c r="A1417" t="s">
        <v>92</v>
      </c>
      <c r="B1417" t="s">
        <v>93</v>
      </c>
      <c r="C1417">
        <v>2025</v>
      </c>
      <c r="D1417" t="s">
        <v>56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27</v>
      </c>
      <c r="N1417">
        <v>5</v>
      </c>
      <c r="O1417" t="s">
        <v>58</v>
      </c>
      <c r="P1417">
        <v>15.2</v>
      </c>
      <c r="Q1417">
        <v>1800</v>
      </c>
      <c r="R1417">
        <v>5</v>
      </c>
      <c r="S1417">
        <v>0</v>
      </c>
      <c r="T1417" t="s">
        <v>65</v>
      </c>
      <c r="U1417" t="s">
        <v>33</v>
      </c>
      <c r="V1417">
        <v>6090</v>
      </c>
      <c r="W1417">
        <v>3.63</v>
      </c>
      <c r="X1417">
        <v>4</v>
      </c>
    </row>
    <row r="1418" spans="1:24" x14ac:dyDescent="0.3">
      <c r="A1418" t="s">
        <v>46</v>
      </c>
      <c r="B1418" t="s">
        <v>49</v>
      </c>
      <c r="C1418">
        <v>2025</v>
      </c>
      <c r="D1418" t="s">
        <v>33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27</v>
      </c>
      <c r="N1418">
        <v>5</v>
      </c>
      <c r="O1418" t="s">
        <v>51</v>
      </c>
      <c r="P1418">
        <v>24</v>
      </c>
      <c r="Q1418">
        <v>1801</v>
      </c>
      <c r="R1418">
        <v>4</v>
      </c>
      <c r="S1418">
        <v>3</v>
      </c>
      <c r="T1418" t="s">
        <v>41</v>
      </c>
      <c r="U1418" t="s">
        <v>37</v>
      </c>
      <c r="V1418">
        <v>439817</v>
      </c>
      <c r="W1418">
        <v>3.53</v>
      </c>
      <c r="X1418">
        <v>4</v>
      </c>
    </row>
    <row r="1419" spans="1:24" x14ac:dyDescent="0.3">
      <c r="A1419" t="s">
        <v>46</v>
      </c>
      <c r="B1419" t="s">
        <v>49</v>
      </c>
      <c r="C1419">
        <v>2025</v>
      </c>
      <c r="D1419" t="s">
        <v>56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34</v>
      </c>
      <c r="N1419">
        <v>5</v>
      </c>
      <c r="O1419" t="s">
        <v>35</v>
      </c>
      <c r="P1419">
        <v>46.7</v>
      </c>
      <c r="Q1419">
        <v>1950</v>
      </c>
      <c r="R1419">
        <v>5</v>
      </c>
      <c r="S1419">
        <v>2</v>
      </c>
      <c r="T1419" t="s">
        <v>41</v>
      </c>
      <c r="U1419" t="s">
        <v>30</v>
      </c>
      <c r="V1419">
        <v>469259</v>
      </c>
      <c r="W1419">
        <v>3.73</v>
      </c>
      <c r="X1419">
        <v>4</v>
      </c>
    </row>
    <row r="1420" spans="1:24" x14ac:dyDescent="0.3">
      <c r="A1420" t="s">
        <v>24</v>
      </c>
      <c r="B1420" t="s">
        <v>75</v>
      </c>
      <c r="C1420">
        <v>2024</v>
      </c>
      <c r="D1420" t="s">
        <v>26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48</v>
      </c>
      <c r="N1420">
        <v>5</v>
      </c>
      <c r="O1420" t="s">
        <v>28</v>
      </c>
      <c r="P1420">
        <v>54</v>
      </c>
      <c r="Q1420">
        <v>2436</v>
      </c>
      <c r="R1420">
        <v>4</v>
      </c>
      <c r="S1420">
        <v>1</v>
      </c>
      <c r="T1420" t="s">
        <v>29</v>
      </c>
      <c r="U1420" t="s">
        <v>33</v>
      </c>
      <c r="V1420">
        <v>216375</v>
      </c>
      <c r="W1420">
        <v>3.43</v>
      </c>
      <c r="X1420">
        <v>5</v>
      </c>
    </row>
    <row r="1421" spans="1:24" x14ac:dyDescent="0.3">
      <c r="A1421" t="s">
        <v>94</v>
      </c>
      <c r="B1421" t="s">
        <v>95</v>
      </c>
      <c r="C1421">
        <v>2025</v>
      </c>
      <c r="D1421" t="s">
        <v>44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34</v>
      </c>
      <c r="N1421">
        <v>5</v>
      </c>
      <c r="O1421" t="s">
        <v>50</v>
      </c>
      <c r="P1421">
        <v>25.5</v>
      </c>
      <c r="Q1421">
        <v>1527</v>
      </c>
      <c r="R1421">
        <v>4</v>
      </c>
      <c r="S1421">
        <v>1</v>
      </c>
      <c r="T1421" t="s">
        <v>41</v>
      </c>
      <c r="U1421" t="s">
        <v>30</v>
      </c>
      <c r="V1421">
        <v>20140</v>
      </c>
      <c r="W1421">
        <v>3.46</v>
      </c>
      <c r="X1421">
        <v>5</v>
      </c>
    </row>
    <row r="1422" spans="1:24" x14ac:dyDescent="0.3">
      <c r="A1422" t="s">
        <v>63</v>
      </c>
      <c r="B1422" t="s">
        <v>88</v>
      </c>
      <c r="C1422">
        <v>2023</v>
      </c>
      <c r="D1422" t="s">
        <v>56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48</v>
      </c>
      <c r="N1422">
        <v>5</v>
      </c>
      <c r="O1422" t="s">
        <v>40</v>
      </c>
      <c r="P1422">
        <v>79.400000000000006</v>
      </c>
      <c r="Q1422">
        <v>1923</v>
      </c>
      <c r="R1422">
        <v>4</v>
      </c>
      <c r="S1422">
        <v>1</v>
      </c>
      <c r="T1422" t="s">
        <v>65</v>
      </c>
      <c r="U1422" t="s">
        <v>66</v>
      </c>
      <c r="V1422">
        <v>208014</v>
      </c>
      <c r="W1422">
        <v>3.15</v>
      </c>
      <c r="X1422">
        <v>4</v>
      </c>
    </row>
    <row r="1423" spans="1:24" x14ac:dyDescent="0.3">
      <c r="A1423" t="s">
        <v>68</v>
      </c>
      <c r="B1423" t="s">
        <v>79</v>
      </c>
      <c r="C1423">
        <v>2024</v>
      </c>
      <c r="D1423" t="s">
        <v>26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27</v>
      </c>
      <c r="N1423">
        <v>5</v>
      </c>
      <c r="O1423" t="s">
        <v>50</v>
      </c>
      <c r="P1423">
        <v>19.7</v>
      </c>
      <c r="Q1423">
        <v>1500</v>
      </c>
      <c r="R1423">
        <v>5</v>
      </c>
      <c r="S1423">
        <v>1</v>
      </c>
      <c r="T1423" t="s">
        <v>45</v>
      </c>
      <c r="U1423" t="s">
        <v>33</v>
      </c>
      <c r="V1423">
        <v>105426</v>
      </c>
      <c r="W1423">
        <v>3.83</v>
      </c>
      <c r="X1423">
        <v>4</v>
      </c>
    </row>
    <row r="1424" spans="1:24" x14ac:dyDescent="0.3">
      <c r="A1424" t="s">
        <v>46</v>
      </c>
      <c r="B1424" t="s">
        <v>72</v>
      </c>
      <c r="C1424">
        <v>2024</v>
      </c>
      <c r="D1424" t="s">
        <v>33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27</v>
      </c>
      <c r="N1424">
        <v>5</v>
      </c>
      <c r="O1424" t="s">
        <v>28</v>
      </c>
      <c r="P1424">
        <v>56.2</v>
      </c>
      <c r="Q1424">
        <v>2564</v>
      </c>
      <c r="R1424">
        <v>5</v>
      </c>
      <c r="S1424">
        <v>2</v>
      </c>
      <c r="T1424" t="s">
        <v>41</v>
      </c>
      <c r="U1424" t="s">
        <v>30</v>
      </c>
      <c r="V1424">
        <v>138409</v>
      </c>
      <c r="W1424">
        <v>3.94</v>
      </c>
      <c r="X1424">
        <v>5</v>
      </c>
    </row>
    <row r="1425" spans="1:24" x14ac:dyDescent="0.3">
      <c r="A1425" t="s">
        <v>46</v>
      </c>
      <c r="B1425" t="s">
        <v>78</v>
      </c>
      <c r="C1425">
        <v>2025</v>
      </c>
      <c r="D1425" t="s">
        <v>33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27</v>
      </c>
      <c r="N1425">
        <v>7</v>
      </c>
      <c r="O1425" t="s">
        <v>40</v>
      </c>
      <c r="P1425">
        <v>78.099999999999994</v>
      </c>
      <c r="Q1425">
        <v>1625</v>
      </c>
      <c r="R1425">
        <v>4</v>
      </c>
      <c r="S1425">
        <v>2</v>
      </c>
      <c r="T1425" t="s">
        <v>41</v>
      </c>
      <c r="U1425" t="s">
        <v>30</v>
      </c>
      <c r="V1425">
        <v>240825</v>
      </c>
      <c r="W1425">
        <v>3.17</v>
      </c>
      <c r="X1425">
        <v>6</v>
      </c>
    </row>
    <row r="1426" spans="1:24" x14ac:dyDescent="0.3">
      <c r="A1426" t="s">
        <v>99</v>
      </c>
      <c r="B1426" t="s">
        <v>100</v>
      </c>
      <c r="C1426">
        <v>2023</v>
      </c>
      <c r="D1426" t="s">
        <v>61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27</v>
      </c>
      <c r="N1426">
        <v>5</v>
      </c>
      <c r="O1426" t="s">
        <v>35</v>
      </c>
      <c r="P1426">
        <v>39.700000000000003</v>
      </c>
      <c r="Q1426">
        <v>1666</v>
      </c>
      <c r="R1426">
        <v>4</v>
      </c>
      <c r="S1426">
        <v>2</v>
      </c>
      <c r="T1426" t="s">
        <v>29</v>
      </c>
      <c r="U1426" t="s">
        <v>30</v>
      </c>
      <c r="V1426">
        <v>2249</v>
      </c>
      <c r="W1426">
        <v>3.5</v>
      </c>
      <c r="X1426">
        <v>8</v>
      </c>
    </row>
    <row r="1427" spans="1:24" x14ac:dyDescent="0.3">
      <c r="A1427" t="s">
        <v>59</v>
      </c>
      <c r="B1427" t="s">
        <v>111</v>
      </c>
      <c r="C1427">
        <v>2023</v>
      </c>
      <c r="D1427" t="s">
        <v>33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27</v>
      </c>
      <c r="N1427">
        <v>5</v>
      </c>
      <c r="O1427" t="s">
        <v>58</v>
      </c>
      <c r="P1427">
        <v>36.700000000000003</v>
      </c>
      <c r="Q1427">
        <v>1500</v>
      </c>
      <c r="R1427">
        <v>5</v>
      </c>
      <c r="S1427">
        <v>0</v>
      </c>
      <c r="T1427" t="s">
        <v>41</v>
      </c>
      <c r="U1427" t="s">
        <v>30</v>
      </c>
      <c r="V1427">
        <v>27700</v>
      </c>
      <c r="W1427">
        <v>3.3</v>
      </c>
      <c r="X1427">
        <v>5</v>
      </c>
    </row>
    <row r="1428" spans="1:24" x14ac:dyDescent="0.3">
      <c r="A1428" t="s">
        <v>46</v>
      </c>
      <c r="B1428" t="s">
        <v>72</v>
      </c>
      <c r="C1428">
        <v>2024</v>
      </c>
      <c r="D1428" t="s">
        <v>56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34</v>
      </c>
      <c r="N1428">
        <v>5</v>
      </c>
      <c r="O1428" t="s">
        <v>28</v>
      </c>
      <c r="P1428">
        <v>69.8</v>
      </c>
      <c r="Q1428">
        <v>2742</v>
      </c>
      <c r="R1428">
        <v>4</v>
      </c>
      <c r="S1428">
        <v>3</v>
      </c>
      <c r="T1428" t="s">
        <v>41</v>
      </c>
      <c r="U1428" t="s">
        <v>30</v>
      </c>
      <c r="V1428">
        <v>200169</v>
      </c>
      <c r="W1428">
        <v>3.59</v>
      </c>
      <c r="X1428">
        <v>5</v>
      </c>
    </row>
    <row r="1429" spans="1:24" x14ac:dyDescent="0.3">
      <c r="A1429" t="s">
        <v>31</v>
      </c>
      <c r="B1429" t="s">
        <v>112</v>
      </c>
      <c r="C1429">
        <v>2024</v>
      </c>
      <c r="D1429" t="s">
        <v>61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34</v>
      </c>
      <c r="N1429">
        <v>5</v>
      </c>
      <c r="O1429" t="s">
        <v>35</v>
      </c>
      <c r="P1429">
        <v>41.6</v>
      </c>
      <c r="Q1429">
        <v>2093</v>
      </c>
      <c r="R1429">
        <v>5</v>
      </c>
      <c r="S1429">
        <v>0</v>
      </c>
      <c r="T1429" t="s">
        <v>36</v>
      </c>
      <c r="U1429" t="s">
        <v>33</v>
      </c>
      <c r="V1429">
        <v>21633</v>
      </c>
      <c r="W1429">
        <v>3.39</v>
      </c>
      <c r="X1429">
        <v>5</v>
      </c>
    </row>
    <row r="1430" spans="1:24" x14ac:dyDescent="0.3">
      <c r="A1430" t="s">
        <v>83</v>
      </c>
      <c r="B1430" t="s">
        <v>116</v>
      </c>
      <c r="C1430">
        <v>2025</v>
      </c>
      <c r="D1430" t="s">
        <v>33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27</v>
      </c>
      <c r="N1430">
        <v>7</v>
      </c>
      <c r="O1430" t="s">
        <v>51</v>
      </c>
      <c r="P1430">
        <v>16</v>
      </c>
      <c r="Q1430">
        <v>1795</v>
      </c>
      <c r="R1430">
        <v>5</v>
      </c>
      <c r="S1430">
        <v>1</v>
      </c>
      <c r="T1430" t="s">
        <v>29</v>
      </c>
      <c r="U1430" t="s">
        <v>30</v>
      </c>
      <c r="V1430">
        <v>54751</v>
      </c>
      <c r="W1430">
        <v>3.42</v>
      </c>
      <c r="X1430">
        <v>8</v>
      </c>
    </row>
    <row r="1431" spans="1:24" x14ac:dyDescent="0.3">
      <c r="A1431" t="s">
        <v>52</v>
      </c>
      <c r="B1431" t="s">
        <v>126</v>
      </c>
      <c r="C1431">
        <v>2025</v>
      </c>
      <c r="D1431" t="s">
        <v>56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34</v>
      </c>
      <c r="N1431">
        <v>7</v>
      </c>
      <c r="O1431" t="s">
        <v>28</v>
      </c>
      <c r="P1431">
        <v>74.400000000000006</v>
      </c>
      <c r="Q1431">
        <v>2720</v>
      </c>
      <c r="R1431">
        <v>4</v>
      </c>
      <c r="S1431">
        <v>1</v>
      </c>
      <c r="T1431" t="s">
        <v>29</v>
      </c>
      <c r="U1431" t="s">
        <v>30</v>
      </c>
      <c r="V1431">
        <v>50741</v>
      </c>
      <c r="W1431">
        <v>4.1900000000000004</v>
      </c>
      <c r="X1431">
        <v>7</v>
      </c>
    </row>
    <row r="1432" spans="1:24" x14ac:dyDescent="0.3">
      <c r="A1432" t="s">
        <v>24</v>
      </c>
      <c r="B1432" t="s">
        <v>85</v>
      </c>
      <c r="C1432">
        <v>2022</v>
      </c>
      <c r="D1432" t="s">
        <v>56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34</v>
      </c>
      <c r="N1432">
        <v>5</v>
      </c>
      <c r="O1432" t="s">
        <v>35</v>
      </c>
      <c r="P1432">
        <v>44.8</v>
      </c>
      <c r="Q1432">
        <v>2264</v>
      </c>
      <c r="R1432">
        <v>4</v>
      </c>
      <c r="S1432">
        <v>0</v>
      </c>
      <c r="T1432" t="s">
        <v>29</v>
      </c>
      <c r="U1432" t="s">
        <v>37</v>
      </c>
      <c r="V1432">
        <v>208794</v>
      </c>
      <c r="W1432">
        <v>3.39</v>
      </c>
      <c r="X1432">
        <v>4</v>
      </c>
    </row>
    <row r="1433" spans="1:24" x14ac:dyDescent="0.3">
      <c r="A1433" t="s">
        <v>68</v>
      </c>
      <c r="B1433" t="s">
        <v>90</v>
      </c>
      <c r="C1433">
        <v>2021</v>
      </c>
      <c r="D1433" t="s">
        <v>26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34</v>
      </c>
      <c r="N1433">
        <v>7</v>
      </c>
      <c r="O1433" t="s">
        <v>50</v>
      </c>
      <c r="P1433">
        <v>17.8</v>
      </c>
      <c r="Q1433">
        <v>1707</v>
      </c>
      <c r="R1433">
        <v>4</v>
      </c>
      <c r="S1433">
        <v>1</v>
      </c>
      <c r="T1433" t="s">
        <v>45</v>
      </c>
      <c r="U1433" t="s">
        <v>37</v>
      </c>
      <c r="V1433">
        <v>110889</v>
      </c>
      <c r="W1433">
        <v>3.69</v>
      </c>
      <c r="X1433">
        <v>4</v>
      </c>
    </row>
    <row r="1434" spans="1:24" x14ac:dyDescent="0.3">
      <c r="A1434" t="s">
        <v>68</v>
      </c>
      <c r="B1434" t="s">
        <v>90</v>
      </c>
      <c r="C1434">
        <v>2023</v>
      </c>
      <c r="D1434" t="s">
        <v>26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27</v>
      </c>
      <c r="N1434">
        <v>5</v>
      </c>
      <c r="O1434" t="s">
        <v>40</v>
      </c>
      <c r="P1434">
        <v>62</v>
      </c>
      <c r="Q1434">
        <v>1643</v>
      </c>
      <c r="R1434">
        <v>5</v>
      </c>
      <c r="S1434">
        <v>1</v>
      </c>
      <c r="T1434" t="s">
        <v>45</v>
      </c>
      <c r="U1434" t="s">
        <v>33</v>
      </c>
      <c r="V1434">
        <v>127527</v>
      </c>
      <c r="W1434">
        <v>3.55</v>
      </c>
      <c r="X1434">
        <v>4</v>
      </c>
    </row>
    <row r="1435" spans="1:24" x14ac:dyDescent="0.3">
      <c r="A1435" t="s">
        <v>83</v>
      </c>
      <c r="B1435" t="s">
        <v>116</v>
      </c>
      <c r="C1435">
        <v>2024</v>
      </c>
      <c r="D1435" t="s">
        <v>56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34</v>
      </c>
      <c r="N1435">
        <v>7</v>
      </c>
      <c r="O1435" t="s">
        <v>58</v>
      </c>
      <c r="P1435">
        <v>15.4</v>
      </c>
      <c r="Q1435">
        <v>1577</v>
      </c>
      <c r="R1435">
        <v>5</v>
      </c>
      <c r="S1435">
        <v>1</v>
      </c>
      <c r="T1435" t="s">
        <v>29</v>
      </c>
      <c r="U1435" t="s">
        <v>37</v>
      </c>
      <c r="V1435">
        <v>22877</v>
      </c>
      <c r="W1435">
        <v>3.56</v>
      </c>
      <c r="X1435">
        <v>7</v>
      </c>
    </row>
    <row r="1436" spans="1:24" x14ac:dyDescent="0.3">
      <c r="A1436" t="s">
        <v>46</v>
      </c>
      <c r="B1436" t="s">
        <v>49</v>
      </c>
      <c r="C1436">
        <v>2024</v>
      </c>
      <c r="D1436" t="s">
        <v>44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48</v>
      </c>
      <c r="N1436">
        <v>5</v>
      </c>
      <c r="O1436" t="s">
        <v>58</v>
      </c>
      <c r="P1436">
        <v>24.1</v>
      </c>
      <c r="Q1436">
        <v>1587</v>
      </c>
      <c r="R1436">
        <v>4</v>
      </c>
      <c r="S1436">
        <v>2</v>
      </c>
      <c r="T1436" t="s">
        <v>41</v>
      </c>
      <c r="U1436" t="s">
        <v>37</v>
      </c>
      <c r="V1436">
        <v>444988</v>
      </c>
      <c r="W1436">
        <v>3.8</v>
      </c>
      <c r="X1436">
        <v>5</v>
      </c>
    </row>
    <row r="1437" spans="1:24" x14ac:dyDescent="0.3">
      <c r="A1437" t="s">
        <v>46</v>
      </c>
      <c r="B1437" t="s">
        <v>47</v>
      </c>
      <c r="C1437">
        <v>2025</v>
      </c>
      <c r="D1437" t="s">
        <v>33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34</v>
      </c>
      <c r="N1437">
        <v>5</v>
      </c>
      <c r="O1437" t="s">
        <v>35</v>
      </c>
      <c r="P1437">
        <v>61.8</v>
      </c>
      <c r="Q1437">
        <v>2152</v>
      </c>
      <c r="R1437">
        <v>5</v>
      </c>
      <c r="S1437">
        <v>2</v>
      </c>
      <c r="T1437" t="s">
        <v>41</v>
      </c>
      <c r="U1437" t="s">
        <v>30</v>
      </c>
      <c r="V1437">
        <v>125874</v>
      </c>
      <c r="W1437">
        <v>3.89</v>
      </c>
      <c r="X1437">
        <v>4</v>
      </c>
    </row>
    <row r="1438" spans="1:24" x14ac:dyDescent="0.3">
      <c r="A1438" t="s">
        <v>63</v>
      </c>
      <c r="B1438" t="s">
        <v>96</v>
      </c>
      <c r="C1438">
        <v>2026</v>
      </c>
      <c r="D1438" t="s">
        <v>56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48</v>
      </c>
      <c r="N1438">
        <v>5</v>
      </c>
      <c r="O1438" t="s">
        <v>40</v>
      </c>
      <c r="P1438">
        <v>68.900000000000006</v>
      </c>
      <c r="Q1438">
        <v>1867</v>
      </c>
      <c r="R1438">
        <v>4</v>
      </c>
      <c r="S1438">
        <v>1</v>
      </c>
      <c r="T1438" t="s">
        <v>65</v>
      </c>
      <c r="U1438" t="s">
        <v>66</v>
      </c>
      <c r="V1438">
        <v>131662</v>
      </c>
      <c r="W1438">
        <v>3.35</v>
      </c>
      <c r="X1438">
        <v>5</v>
      </c>
    </row>
    <row r="1439" spans="1:24" x14ac:dyDescent="0.3">
      <c r="A1439" t="s">
        <v>38</v>
      </c>
      <c r="B1439" t="s">
        <v>101</v>
      </c>
      <c r="C1439">
        <v>2024</v>
      </c>
      <c r="D1439" t="s">
        <v>26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34</v>
      </c>
      <c r="N1439">
        <v>5</v>
      </c>
      <c r="O1439" t="s">
        <v>58</v>
      </c>
      <c r="P1439">
        <v>17.100000000000001</v>
      </c>
      <c r="Q1439">
        <v>1500</v>
      </c>
      <c r="R1439">
        <v>5</v>
      </c>
      <c r="S1439">
        <v>0</v>
      </c>
      <c r="T1439" t="s">
        <v>41</v>
      </c>
      <c r="U1439" t="s">
        <v>33</v>
      </c>
      <c r="V1439">
        <v>23127</v>
      </c>
      <c r="W1439">
        <v>3.63</v>
      </c>
      <c r="X1439">
        <v>4</v>
      </c>
    </row>
    <row r="1440" spans="1:24" x14ac:dyDescent="0.3">
      <c r="A1440" t="s">
        <v>46</v>
      </c>
      <c r="B1440" t="s">
        <v>72</v>
      </c>
      <c r="C1440">
        <v>2025</v>
      </c>
      <c r="D1440" t="s">
        <v>61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27</v>
      </c>
      <c r="N1440">
        <v>7</v>
      </c>
      <c r="O1440" t="s">
        <v>28</v>
      </c>
      <c r="P1440">
        <v>60.4</v>
      </c>
      <c r="Q1440">
        <v>2681</v>
      </c>
      <c r="R1440">
        <v>5</v>
      </c>
      <c r="S1440">
        <v>2</v>
      </c>
      <c r="T1440" t="s">
        <v>41</v>
      </c>
      <c r="U1440" t="s">
        <v>30</v>
      </c>
      <c r="V1440">
        <v>169238</v>
      </c>
      <c r="W1440">
        <v>3.54</v>
      </c>
      <c r="X1440">
        <v>4</v>
      </c>
    </row>
    <row r="1441" spans="1:24" x14ac:dyDescent="0.3">
      <c r="A1441" t="s">
        <v>83</v>
      </c>
      <c r="B1441" t="s">
        <v>84</v>
      </c>
      <c r="C1441">
        <v>2021</v>
      </c>
      <c r="D1441" t="s">
        <v>56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48</v>
      </c>
      <c r="N1441">
        <v>7</v>
      </c>
      <c r="O1441" t="s">
        <v>58</v>
      </c>
      <c r="P1441">
        <v>34.1</v>
      </c>
      <c r="Q1441">
        <v>1776</v>
      </c>
      <c r="R1441">
        <v>4</v>
      </c>
      <c r="S1441">
        <v>2</v>
      </c>
      <c r="T1441" t="s">
        <v>29</v>
      </c>
      <c r="U1441" t="s">
        <v>33</v>
      </c>
      <c r="V1441">
        <v>30267</v>
      </c>
      <c r="W1441">
        <v>3.08</v>
      </c>
      <c r="X1441">
        <v>5</v>
      </c>
    </row>
    <row r="1442" spans="1:24" x14ac:dyDescent="0.3">
      <c r="A1442" t="s">
        <v>59</v>
      </c>
      <c r="B1442" t="s">
        <v>111</v>
      </c>
      <c r="C1442">
        <v>2025</v>
      </c>
      <c r="D1442" t="s">
        <v>61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27</v>
      </c>
      <c r="N1442">
        <v>7</v>
      </c>
      <c r="O1442" t="s">
        <v>58</v>
      </c>
      <c r="P1442">
        <v>16.100000000000001</v>
      </c>
      <c r="Q1442">
        <v>1812</v>
      </c>
      <c r="R1442">
        <v>4</v>
      </c>
      <c r="S1442">
        <v>1</v>
      </c>
      <c r="T1442" t="s">
        <v>41</v>
      </c>
      <c r="U1442" t="s">
        <v>37</v>
      </c>
      <c r="V1442">
        <v>6983</v>
      </c>
      <c r="W1442">
        <v>3.23</v>
      </c>
      <c r="X1442">
        <v>3</v>
      </c>
    </row>
    <row r="1443" spans="1:24" x14ac:dyDescent="0.3">
      <c r="A1443" t="s">
        <v>46</v>
      </c>
      <c r="B1443" t="s">
        <v>57</v>
      </c>
      <c r="C1443">
        <v>2023</v>
      </c>
      <c r="D1443" t="s">
        <v>44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34</v>
      </c>
      <c r="N1443">
        <v>5</v>
      </c>
      <c r="O1443" t="s">
        <v>35</v>
      </c>
      <c r="P1443">
        <v>55.8</v>
      </c>
      <c r="Q1443">
        <v>2239</v>
      </c>
      <c r="R1443">
        <v>4</v>
      </c>
      <c r="S1443">
        <v>2</v>
      </c>
      <c r="T1443" t="s">
        <v>41</v>
      </c>
      <c r="U1443" t="s">
        <v>30</v>
      </c>
      <c r="V1443">
        <v>114585</v>
      </c>
      <c r="W1443">
        <v>4.09</v>
      </c>
      <c r="X1443">
        <v>4</v>
      </c>
    </row>
    <row r="1444" spans="1:24" x14ac:dyDescent="0.3">
      <c r="A1444" t="s">
        <v>83</v>
      </c>
      <c r="B1444" t="s">
        <v>114</v>
      </c>
      <c r="C1444">
        <v>2024</v>
      </c>
      <c r="D1444" t="s">
        <v>61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48</v>
      </c>
      <c r="N1444">
        <v>7</v>
      </c>
      <c r="O1444" t="s">
        <v>51</v>
      </c>
      <c r="P1444">
        <v>32.6</v>
      </c>
      <c r="Q1444">
        <v>1500</v>
      </c>
      <c r="R1444">
        <v>5</v>
      </c>
      <c r="S1444">
        <v>1</v>
      </c>
      <c r="T1444" t="s">
        <v>29</v>
      </c>
      <c r="U1444" t="s">
        <v>33</v>
      </c>
      <c r="V1444">
        <v>64217</v>
      </c>
      <c r="W1444">
        <v>3.55</v>
      </c>
      <c r="X1444">
        <v>6</v>
      </c>
    </row>
    <row r="1445" spans="1:24" x14ac:dyDescent="0.3">
      <c r="A1445" t="s">
        <v>24</v>
      </c>
      <c r="B1445" t="s">
        <v>25</v>
      </c>
      <c r="C1445">
        <v>2026</v>
      </c>
      <c r="D1445" t="s">
        <v>56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27</v>
      </c>
      <c r="N1445">
        <v>5</v>
      </c>
      <c r="O1445" t="s">
        <v>28</v>
      </c>
      <c r="P1445">
        <v>55.8</v>
      </c>
      <c r="Q1445">
        <v>2544</v>
      </c>
      <c r="R1445">
        <v>5</v>
      </c>
      <c r="S1445">
        <v>2</v>
      </c>
      <c r="T1445" t="s">
        <v>29</v>
      </c>
      <c r="U1445" t="s">
        <v>33</v>
      </c>
      <c r="V1445">
        <v>203039</v>
      </c>
      <c r="W1445">
        <v>3.53</v>
      </c>
      <c r="X1445">
        <v>5</v>
      </c>
    </row>
    <row r="1446" spans="1:24" x14ac:dyDescent="0.3">
      <c r="A1446" t="s">
        <v>52</v>
      </c>
      <c r="B1446" t="s">
        <v>62</v>
      </c>
      <c r="C1446">
        <v>2022</v>
      </c>
      <c r="D1446" t="s">
        <v>44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27</v>
      </c>
      <c r="N1446">
        <v>5</v>
      </c>
      <c r="O1446" t="s">
        <v>50</v>
      </c>
      <c r="P1446">
        <v>23.3</v>
      </c>
      <c r="Q1446">
        <v>1690</v>
      </c>
      <c r="R1446">
        <v>5</v>
      </c>
      <c r="S1446">
        <v>2</v>
      </c>
      <c r="T1446" t="s">
        <v>29</v>
      </c>
      <c r="U1446" t="s">
        <v>33</v>
      </c>
      <c r="V1446">
        <v>75343</v>
      </c>
      <c r="W1446">
        <v>3.85</v>
      </c>
      <c r="X1446">
        <v>7</v>
      </c>
    </row>
    <row r="1447" spans="1:24" x14ac:dyDescent="0.3">
      <c r="A1447" t="s">
        <v>46</v>
      </c>
      <c r="B1447" t="s">
        <v>78</v>
      </c>
      <c r="C1447">
        <v>2026</v>
      </c>
      <c r="D1447" t="s">
        <v>56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27</v>
      </c>
      <c r="N1447">
        <v>5</v>
      </c>
      <c r="O1447" t="s">
        <v>51</v>
      </c>
      <c r="P1447">
        <v>36.9</v>
      </c>
      <c r="Q1447">
        <v>1682</v>
      </c>
      <c r="R1447">
        <v>5</v>
      </c>
      <c r="S1447">
        <v>2</v>
      </c>
      <c r="T1447" t="s">
        <v>41</v>
      </c>
      <c r="U1447" t="s">
        <v>66</v>
      </c>
      <c r="V1447">
        <v>203167</v>
      </c>
      <c r="W1447">
        <v>3.2</v>
      </c>
      <c r="X1447">
        <v>5</v>
      </c>
    </row>
    <row r="1448" spans="1:24" x14ac:dyDescent="0.3">
      <c r="A1448" t="s">
        <v>38</v>
      </c>
      <c r="B1448" t="s">
        <v>118</v>
      </c>
      <c r="C1448">
        <v>2023</v>
      </c>
      <c r="D1448" t="s">
        <v>26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27</v>
      </c>
      <c r="N1448">
        <v>5</v>
      </c>
      <c r="O1448" t="s">
        <v>58</v>
      </c>
      <c r="P1448">
        <v>31.4</v>
      </c>
      <c r="Q1448">
        <v>1903</v>
      </c>
      <c r="R1448">
        <v>4</v>
      </c>
      <c r="S1448">
        <v>2</v>
      </c>
      <c r="T1448" t="s">
        <v>41</v>
      </c>
      <c r="U1448" t="s">
        <v>37</v>
      </c>
      <c r="V1448">
        <v>14040</v>
      </c>
      <c r="W1448">
        <v>3.76</v>
      </c>
      <c r="X1448">
        <v>4</v>
      </c>
    </row>
    <row r="1449" spans="1:24" x14ac:dyDescent="0.3">
      <c r="A1449" t="s">
        <v>52</v>
      </c>
      <c r="B1449" t="s">
        <v>103</v>
      </c>
      <c r="C1449">
        <v>2022</v>
      </c>
      <c r="D1449" t="s">
        <v>44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34</v>
      </c>
      <c r="N1449">
        <v>5</v>
      </c>
      <c r="O1449" t="s">
        <v>50</v>
      </c>
      <c r="P1449">
        <v>33.799999999999997</v>
      </c>
      <c r="Q1449">
        <v>1500</v>
      </c>
      <c r="R1449">
        <v>5</v>
      </c>
      <c r="S1449">
        <v>2</v>
      </c>
      <c r="T1449" t="s">
        <v>29</v>
      </c>
      <c r="U1449" t="s">
        <v>30</v>
      </c>
      <c r="V1449">
        <v>39100</v>
      </c>
      <c r="W1449">
        <v>3.99</v>
      </c>
      <c r="X1449">
        <v>8</v>
      </c>
    </row>
    <row r="1450" spans="1:24" x14ac:dyDescent="0.3">
      <c r="A1450" t="s">
        <v>31</v>
      </c>
      <c r="B1450" t="s">
        <v>112</v>
      </c>
      <c r="C1450">
        <v>2026</v>
      </c>
      <c r="D1450" t="s">
        <v>26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48</v>
      </c>
      <c r="N1450">
        <v>5</v>
      </c>
      <c r="O1450" t="s">
        <v>58</v>
      </c>
      <c r="P1450">
        <v>37.5</v>
      </c>
      <c r="Q1450">
        <v>1549</v>
      </c>
      <c r="R1450">
        <v>4</v>
      </c>
      <c r="S1450">
        <v>0</v>
      </c>
      <c r="T1450" t="s">
        <v>36</v>
      </c>
      <c r="U1450" t="s">
        <v>30</v>
      </c>
      <c r="V1450">
        <v>12763</v>
      </c>
      <c r="W1450">
        <v>3.93</v>
      </c>
      <c r="X1450">
        <v>4</v>
      </c>
    </row>
    <row r="1451" spans="1:24" x14ac:dyDescent="0.3">
      <c r="A1451" t="s">
        <v>83</v>
      </c>
      <c r="B1451" t="s">
        <v>84</v>
      </c>
      <c r="C1451">
        <v>2026</v>
      </c>
      <c r="D1451" t="s">
        <v>26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27</v>
      </c>
      <c r="N1451">
        <v>7</v>
      </c>
      <c r="O1451" t="s">
        <v>40</v>
      </c>
      <c r="P1451">
        <v>70.599999999999994</v>
      </c>
      <c r="Q1451">
        <v>1639</v>
      </c>
      <c r="R1451">
        <v>5</v>
      </c>
      <c r="S1451">
        <v>1</v>
      </c>
      <c r="T1451" t="s">
        <v>29</v>
      </c>
      <c r="U1451" t="s">
        <v>33</v>
      </c>
      <c r="V1451">
        <v>54809</v>
      </c>
      <c r="W1451">
        <v>3.45</v>
      </c>
      <c r="X1451">
        <v>7</v>
      </c>
    </row>
    <row r="1452" spans="1:24" x14ac:dyDescent="0.3">
      <c r="A1452" t="s">
        <v>68</v>
      </c>
      <c r="B1452" t="s">
        <v>109</v>
      </c>
      <c r="C1452">
        <v>2025</v>
      </c>
      <c r="D1452" t="s">
        <v>61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27</v>
      </c>
      <c r="N1452">
        <v>5</v>
      </c>
      <c r="O1452" t="s">
        <v>35</v>
      </c>
      <c r="P1452">
        <v>62.9</v>
      </c>
      <c r="Q1452">
        <v>2024</v>
      </c>
      <c r="R1452">
        <v>5</v>
      </c>
      <c r="S1452">
        <v>2</v>
      </c>
      <c r="T1452" t="s">
        <v>45</v>
      </c>
      <c r="U1452" t="s">
        <v>66</v>
      </c>
      <c r="V1452">
        <v>138439</v>
      </c>
      <c r="W1452">
        <v>3.06</v>
      </c>
      <c r="X1452">
        <v>5</v>
      </c>
    </row>
    <row r="1453" spans="1:24" x14ac:dyDescent="0.3">
      <c r="A1453" t="s">
        <v>42</v>
      </c>
      <c r="B1453" t="s">
        <v>54</v>
      </c>
      <c r="C1453">
        <v>2025</v>
      </c>
      <c r="D1453" t="s">
        <v>33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27</v>
      </c>
      <c r="N1453">
        <v>5</v>
      </c>
      <c r="O1453" t="s">
        <v>35</v>
      </c>
      <c r="P1453">
        <v>49.3</v>
      </c>
      <c r="Q1453">
        <v>1711</v>
      </c>
      <c r="R1453">
        <v>5</v>
      </c>
      <c r="S1453">
        <v>2</v>
      </c>
      <c r="T1453" t="s">
        <v>45</v>
      </c>
      <c r="U1453" t="s">
        <v>37</v>
      </c>
      <c r="V1453">
        <v>62015</v>
      </c>
      <c r="W1453">
        <v>3.3</v>
      </c>
      <c r="X1453">
        <v>3</v>
      </c>
    </row>
    <row r="1454" spans="1:24" x14ac:dyDescent="0.3">
      <c r="A1454" t="s">
        <v>52</v>
      </c>
      <c r="B1454" t="s">
        <v>97</v>
      </c>
      <c r="C1454">
        <v>2022</v>
      </c>
      <c r="D1454" t="s">
        <v>44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27</v>
      </c>
      <c r="N1454">
        <v>7</v>
      </c>
      <c r="O1454" t="s">
        <v>35</v>
      </c>
      <c r="P1454">
        <v>68.400000000000006</v>
      </c>
      <c r="Q1454">
        <v>1923</v>
      </c>
      <c r="R1454">
        <v>4</v>
      </c>
      <c r="S1454">
        <v>1</v>
      </c>
      <c r="T1454" t="s">
        <v>29</v>
      </c>
      <c r="U1454" t="s">
        <v>30</v>
      </c>
      <c r="V1454">
        <v>75929</v>
      </c>
      <c r="W1454">
        <v>3.88</v>
      </c>
      <c r="X1454">
        <v>5</v>
      </c>
    </row>
    <row r="1455" spans="1:24" x14ac:dyDescent="0.3">
      <c r="A1455" t="s">
        <v>42</v>
      </c>
      <c r="B1455" t="s">
        <v>71</v>
      </c>
      <c r="C1455">
        <v>2024</v>
      </c>
      <c r="D1455" t="s">
        <v>33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34</v>
      </c>
      <c r="N1455">
        <v>5</v>
      </c>
      <c r="O1455" t="s">
        <v>40</v>
      </c>
      <c r="P1455">
        <v>79.400000000000006</v>
      </c>
      <c r="Q1455">
        <v>1684</v>
      </c>
      <c r="R1455">
        <v>4</v>
      </c>
      <c r="S1455">
        <v>1</v>
      </c>
      <c r="T1455" t="s">
        <v>45</v>
      </c>
      <c r="U1455" t="s">
        <v>33</v>
      </c>
      <c r="V1455">
        <v>124978</v>
      </c>
      <c r="W1455">
        <v>3.57</v>
      </c>
      <c r="X1455">
        <v>5</v>
      </c>
    </row>
    <row r="1456" spans="1:24" x14ac:dyDescent="0.3">
      <c r="A1456" t="s">
        <v>46</v>
      </c>
      <c r="B1456" t="s">
        <v>47</v>
      </c>
      <c r="C1456">
        <v>2023</v>
      </c>
      <c r="D1456" t="s">
        <v>61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48</v>
      </c>
      <c r="N1456">
        <v>5</v>
      </c>
      <c r="O1456" t="s">
        <v>28</v>
      </c>
      <c r="P1456">
        <v>73.7</v>
      </c>
      <c r="Q1456">
        <v>2335</v>
      </c>
      <c r="R1456">
        <v>5</v>
      </c>
      <c r="S1456">
        <v>2</v>
      </c>
      <c r="T1456" t="s">
        <v>41</v>
      </c>
      <c r="U1456" t="s">
        <v>30</v>
      </c>
      <c r="V1456">
        <v>132614</v>
      </c>
      <c r="W1456">
        <v>3.6</v>
      </c>
      <c r="X1456">
        <v>5</v>
      </c>
    </row>
    <row r="1457" spans="1:24" x14ac:dyDescent="0.3">
      <c r="A1457" t="s">
        <v>94</v>
      </c>
      <c r="B1457" t="s">
        <v>120</v>
      </c>
      <c r="C1457">
        <v>2025</v>
      </c>
      <c r="D1457" t="s">
        <v>33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48</v>
      </c>
      <c r="N1457">
        <v>5</v>
      </c>
      <c r="O1457" t="s">
        <v>58</v>
      </c>
      <c r="P1457">
        <v>33.5</v>
      </c>
      <c r="Q1457">
        <v>1592</v>
      </c>
      <c r="R1457">
        <v>4</v>
      </c>
      <c r="S1457">
        <v>1</v>
      </c>
      <c r="T1457" t="s">
        <v>41</v>
      </c>
      <c r="U1457" t="s">
        <v>30</v>
      </c>
      <c r="V1457">
        <v>10726</v>
      </c>
      <c r="W1457">
        <v>3</v>
      </c>
      <c r="X1457">
        <v>6</v>
      </c>
    </row>
    <row r="1458" spans="1:24" x14ac:dyDescent="0.3">
      <c r="A1458" t="s">
        <v>83</v>
      </c>
      <c r="B1458" t="s">
        <v>116</v>
      </c>
      <c r="C1458">
        <v>2025</v>
      </c>
      <c r="D1458" t="s">
        <v>56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48</v>
      </c>
      <c r="N1458">
        <v>7</v>
      </c>
      <c r="O1458" t="s">
        <v>51</v>
      </c>
      <c r="P1458">
        <v>33</v>
      </c>
      <c r="Q1458">
        <v>1861</v>
      </c>
      <c r="R1458">
        <v>5</v>
      </c>
      <c r="S1458">
        <v>1</v>
      </c>
      <c r="T1458" t="s">
        <v>29</v>
      </c>
      <c r="U1458" t="s">
        <v>33</v>
      </c>
      <c r="V1458">
        <v>50876</v>
      </c>
      <c r="W1458">
        <v>3.34</v>
      </c>
      <c r="X1458">
        <v>6</v>
      </c>
    </row>
    <row r="1459" spans="1:24" x14ac:dyDescent="0.3">
      <c r="A1459" t="s">
        <v>83</v>
      </c>
      <c r="B1459" t="s">
        <v>89</v>
      </c>
      <c r="C1459">
        <v>2025</v>
      </c>
      <c r="D1459" t="s">
        <v>44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34</v>
      </c>
      <c r="N1459">
        <v>5</v>
      </c>
      <c r="O1459" t="s">
        <v>50</v>
      </c>
      <c r="P1459">
        <v>18.7</v>
      </c>
      <c r="Q1459">
        <v>1822</v>
      </c>
      <c r="R1459">
        <v>5</v>
      </c>
      <c r="S1459">
        <v>2</v>
      </c>
      <c r="T1459" t="s">
        <v>29</v>
      </c>
      <c r="U1459" t="s">
        <v>30</v>
      </c>
      <c r="V1459">
        <v>35285</v>
      </c>
      <c r="W1459">
        <v>3.65</v>
      </c>
      <c r="X1459">
        <v>5</v>
      </c>
    </row>
    <row r="1460" spans="1:24" x14ac:dyDescent="0.3">
      <c r="A1460" t="s">
        <v>63</v>
      </c>
      <c r="B1460" t="s">
        <v>64</v>
      </c>
      <c r="C1460">
        <v>2025</v>
      </c>
      <c r="D1460" t="s">
        <v>44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48</v>
      </c>
      <c r="N1460">
        <v>5</v>
      </c>
      <c r="O1460" t="s">
        <v>51</v>
      </c>
      <c r="P1460">
        <v>36.5</v>
      </c>
      <c r="Q1460">
        <v>1807</v>
      </c>
      <c r="R1460">
        <v>4</v>
      </c>
      <c r="S1460">
        <v>1</v>
      </c>
      <c r="T1460" t="s">
        <v>65</v>
      </c>
      <c r="U1460" t="s">
        <v>37</v>
      </c>
      <c r="V1460">
        <v>242908</v>
      </c>
      <c r="W1460">
        <v>4.26</v>
      </c>
      <c r="X1460">
        <v>3</v>
      </c>
    </row>
    <row r="1461" spans="1:24" x14ac:dyDescent="0.3">
      <c r="A1461" t="s">
        <v>83</v>
      </c>
      <c r="B1461" t="s">
        <v>114</v>
      </c>
      <c r="C1461">
        <v>2025</v>
      </c>
      <c r="D1461" t="s">
        <v>56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34</v>
      </c>
      <c r="N1461">
        <v>5</v>
      </c>
      <c r="O1461" t="s">
        <v>35</v>
      </c>
      <c r="P1461">
        <v>58.4</v>
      </c>
      <c r="Q1461">
        <v>2165</v>
      </c>
      <c r="R1461">
        <v>3</v>
      </c>
      <c r="S1461">
        <v>2</v>
      </c>
      <c r="T1461" t="s">
        <v>29</v>
      </c>
      <c r="U1461" t="s">
        <v>30</v>
      </c>
      <c r="V1461">
        <v>30235</v>
      </c>
      <c r="W1461">
        <v>3.27</v>
      </c>
      <c r="X1461">
        <v>6</v>
      </c>
    </row>
    <row r="1462" spans="1:24" x14ac:dyDescent="0.3">
      <c r="A1462" t="s">
        <v>24</v>
      </c>
      <c r="B1462" t="s">
        <v>85</v>
      </c>
      <c r="C1462">
        <v>2025</v>
      </c>
      <c r="D1462" t="s">
        <v>61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48</v>
      </c>
      <c r="N1462">
        <v>7</v>
      </c>
      <c r="O1462" t="s">
        <v>50</v>
      </c>
      <c r="P1462">
        <v>18.600000000000001</v>
      </c>
      <c r="Q1462">
        <v>1960</v>
      </c>
      <c r="R1462">
        <v>5</v>
      </c>
      <c r="S1462">
        <v>0</v>
      </c>
      <c r="T1462" t="s">
        <v>29</v>
      </c>
      <c r="U1462" t="s">
        <v>37</v>
      </c>
      <c r="V1462">
        <v>242781</v>
      </c>
      <c r="W1462">
        <v>3.79</v>
      </c>
      <c r="X1462">
        <v>4</v>
      </c>
    </row>
    <row r="1463" spans="1:24" x14ac:dyDescent="0.3">
      <c r="A1463" t="s">
        <v>83</v>
      </c>
      <c r="B1463" t="s">
        <v>114</v>
      </c>
      <c r="C1463">
        <v>2024</v>
      </c>
      <c r="D1463" t="s">
        <v>26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27</v>
      </c>
      <c r="N1463">
        <v>5</v>
      </c>
      <c r="O1463" t="s">
        <v>28</v>
      </c>
      <c r="P1463">
        <v>65.400000000000006</v>
      </c>
      <c r="Q1463">
        <v>2302</v>
      </c>
      <c r="R1463">
        <v>4</v>
      </c>
      <c r="S1463">
        <v>2</v>
      </c>
      <c r="T1463" t="s">
        <v>29</v>
      </c>
      <c r="U1463" t="s">
        <v>30</v>
      </c>
      <c r="V1463">
        <v>65041</v>
      </c>
      <c r="W1463">
        <v>3.91</v>
      </c>
      <c r="X1463">
        <v>8</v>
      </c>
    </row>
    <row r="1464" spans="1:24" x14ac:dyDescent="0.3">
      <c r="A1464" t="s">
        <v>46</v>
      </c>
      <c r="B1464" t="s">
        <v>57</v>
      </c>
      <c r="C1464">
        <v>2025</v>
      </c>
      <c r="D1464" t="s">
        <v>33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48</v>
      </c>
      <c r="N1464">
        <v>5</v>
      </c>
      <c r="O1464" t="s">
        <v>58</v>
      </c>
      <c r="P1464">
        <v>36.5</v>
      </c>
      <c r="Q1464">
        <v>1606</v>
      </c>
      <c r="R1464">
        <v>4</v>
      </c>
      <c r="S1464">
        <v>3</v>
      </c>
      <c r="T1464" t="s">
        <v>41</v>
      </c>
      <c r="U1464" t="s">
        <v>33</v>
      </c>
      <c r="V1464">
        <v>224851</v>
      </c>
      <c r="W1464">
        <v>3.64</v>
      </c>
      <c r="X1464">
        <v>6</v>
      </c>
    </row>
    <row r="1465" spans="1:24" x14ac:dyDescent="0.3">
      <c r="A1465" t="s">
        <v>83</v>
      </c>
      <c r="B1465" t="s">
        <v>104</v>
      </c>
      <c r="C1465">
        <v>2025</v>
      </c>
      <c r="D1465" t="s">
        <v>61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34</v>
      </c>
      <c r="N1465">
        <v>5</v>
      </c>
      <c r="O1465" t="s">
        <v>40</v>
      </c>
      <c r="P1465">
        <v>74.400000000000006</v>
      </c>
      <c r="Q1465">
        <v>1623</v>
      </c>
      <c r="R1465">
        <v>4</v>
      </c>
      <c r="S1465">
        <v>1</v>
      </c>
      <c r="T1465" t="s">
        <v>29</v>
      </c>
      <c r="U1465" t="s">
        <v>33</v>
      </c>
      <c r="V1465">
        <v>70121</v>
      </c>
      <c r="W1465">
        <v>3.47</v>
      </c>
      <c r="X1465">
        <v>7</v>
      </c>
    </row>
    <row r="1466" spans="1:24" x14ac:dyDescent="0.3">
      <c r="A1466" t="s">
        <v>129</v>
      </c>
      <c r="B1466" t="s">
        <v>138</v>
      </c>
      <c r="C1466">
        <v>2022</v>
      </c>
      <c r="D1466" t="s">
        <v>33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27</v>
      </c>
      <c r="N1466">
        <v>5</v>
      </c>
      <c r="O1466" t="s">
        <v>35</v>
      </c>
      <c r="P1466">
        <v>36.4</v>
      </c>
      <c r="Q1466">
        <v>1943</v>
      </c>
      <c r="R1466">
        <v>4</v>
      </c>
      <c r="S1466">
        <v>2</v>
      </c>
      <c r="T1466" t="s">
        <v>36</v>
      </c>
      <c r="U1466" t="s">
        <v>37</v>
      </c>
      <c r="V1466">
        <v>10748</v>
      </c>
      <c r="W1466">
        <v>3.54</v>
      </c>
      <c r="X1466">
        <v>3</v>
      </c>
    </row>
    <row r="1467" spans="1:24" x14ac:dyDescent="0.3">
      <c r="A1467" t="s">
        <v>46</v>
      </c>
      <c r="B1467" t="s">
        <v>78</v>
      </c>
      <c r="C1467">
        <v>2024</v>
      </c>
      <c r="D1467" t="s">
        <v>33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27</v>
      </c>
      <c r="N1467">
        <v>7</v>
      </c>
      <c r="O1467" t="s">
        <v>28</v>
      </c>
      <c r="P1467">
        <v>68.2</v>
      </c>
      <c r="Q1467">
        <v>2198</v>
      </c>
      <c r="R1467">
        <v>4</v>
      </c>
      <c r="S1467">
        <v>2</v>
      </c>
      <c r="T1467" t="s">
        <v>41</v>
      </c>
      <c r="U1467" t="s">
        <v>37</v>
      </c>
      <c r="V1467">
        <v>108494</v>
      </c>
      <c r="W1467">
        <v>3.65</v>
      </c>
      <c r="X1467">
        <v>5</v>
      </c>
    </row>
    <row r="1468" spans="1:24" x14ac:dyDescent="0.3">
      <c r="A1468" t="s">
        <v>124</v>
      </c>
      <c r="B1468" t="s">
        <v>125</v>
      </c>
      <c r="C1468">
        <v>2026</v>
      </c>
      <c r="D1468" t="s">
        <v>33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48</v>
      </c>
      <c r="N1468">
        <v>7</v>
      </c>
      <c r="O1468" t="s">
        <v>40</v>
      </c>
      <c r="P1468">
        <v>62.9</v>
      </c>
      <c r="Q1468">
        <v>1500</v>
      </c>
      <c r="R1468">
        <v>5</v>
      </c>
      <c r="S1468">
        <v>0</v>
      </c>
      <c r="T1468" t="s">
        <v>41</v>
      </c>
      <c r="U1468" t="s">
        <v>30</v>
      </c>
      <c r="V1468">
        <v>21994</v>
      </c>
      <c r="W1468">
        <v>3.37</v>
      </c>
      <c r="X1468">
        <v>5</v>
      </c>
    </row>
    <row r="1469" spans="1:24" x14ac:dyDescent="0.3">
      <c r="A1469" t="s">
        <v>24</v>
      </c>
      <c r="B1469" t="s">
        <v>25</v>
      </c>
      <c r="C1469">
        <v>2025</v>
      </c>
      <c r="D1469" t="s">
        <v>61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27</v>
      </c>
      <c r="N1469">
        <v>7</v>
      </c>
      <c r="O1469" t="s">
        <v>40</v>
      </c>
      <c r="P1469">
        <v>76.400000000000006</v>
      </c>
      <c r="Q1469">
        <v>1646</v>
      </c>
      <c r="R1469">
        <v>5</v>
      </c>
      <c r="S1469">
        <v>1</v>
      </c>
      <c r="T1469" t="s">
        <v>29</v>
      </c>
      <c r="U1469" t="s">
        <v>33</v>
      </c>
      <c r="V1469">
        <v>253183</v>
      </c>
      <c r="W1469">
        <v>3.49</v>
      </c>
      <c r="X1469">
        <v>3</v>
      </c>
    </row>
    <row r="1470" spans="1:24" x14ac:dyDescent="0.3">
      <c r="A1470" t="s">
        <v>52</v>
      </c>
      <c r="B1470" t="s">
        <v>126</v>
      </c>
      <c r="C1470">
        <v>2024</v>
      </c>
      <c r="D1470" t="s">
        <v>33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27</v>
      </c>
      <c r="N1470">
        <v>7</v>
      </c>
      <c r="O1470" t="s">
        <v>51</v>
      </c>
      <c r="P1470">
        <v>16.8</v>
      </c>
      <c r="Q1470">
        <v>1586</v>
      </c>
      <c r="R1470">
        <v>4</v>
      </c>
      <c r="S1470">
        <v>2</v>
      </c>
      <c r="T1470" t="s">
        <v>29</v>
      </c>
      <c r="U1470" t="s">
        <v>30</v>
      </c>
      <c r="V1470">
        <v>43244</v>
      </c>
      <c r="W1470">
        <v>3.61</v>
      </c>
      <c r="X1470">
        <v>7</v>
      </c>
    </row>
    <row r="1471" spans="1:24" x14ac:dyDescent="0.3">
      <c r="A1471" t="s">
        <v>76</v>
      </c>
      <c r="B1471" t="s">
        <v>77</v>
      </c>
      <c r="C1471">
        <v>2022</v>
      </c>
      <c r="D1471" t="s">
        <v>56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48</v>
      </c>
      <c r="N1471">
        <v>5</v>
      </c>
      <c r="O1471" t="s">
        <v>40</v>
      </c>
      <c r="P1471">
        <v>67.400000000000006</v>
      </c>
      <c r="Q1471">
        <v>1771</v>
      </c>
      <c r="R1471">
        <v>4</v>
      </c>
      <c r="S1471">
        <v>1</v>
      </c>
      <c r="T1471" t="s">
        <v>41</v>
      </c>
      <c r="U1471" t="s">
        <v>37</v>
      </c>
      <c r="V1471">
        <v>37967</v>
      </c>
      <c r="W1471">
        <v>3.06</v>
      </c>
      <c r="X1471">
        <v>4</v>
      </c>
    </row>
    <row r="1472" spans="1:24" x14ac:dyDescent="0.3">
      <c r="A1472" t="s">
        <v>42</v>
      </c>
      <c r="B1472" t="s">
        <v>71</v>
      </c>
      <c r="C1472">
        <v>2024</v>
      </c>
      <c r="D1472" t="s">
        <v>56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27</v>
      </c>
      <c r="N1472">
        <v>7</v>
      </c>
      <c r="O1472" t="s">
        <v>35</v>
      </c>
      <c r="P1472">
        <v>48.7</v>
      </c>
      <c r="Q1472">
        <v>2204</v>
      </c>
      <c r="R1472">
        <v>5</v>
      </c>
      <c r="S1472">
        <v>1</v>
      </c>
      <c r="T1472" t="s">
        <v>45</v>
      </c>
      <c r="U1472" t="s">
        <v>66</v>
      </c>
      <c r="V1472">
        <v>138862</v>
      </c>
      <c r="W1472">
        <v>3.48</v>
      </c>
      <c r="X1472">
        <v>5</v>
      </c>
    </row>
    <row r="1473" spans="1:24" x14ac:dyDescent="0.3">
      <c r="A1473" t="s">
        <v>38</v>
      </c>
      <c r="B1473" t="s">
        <v>55</v>
      </c>
      <c r="C1473">
        <v>2024</v>
      </c>
      <c r="D1473" t="s">
        <v>33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48</v>
      </c>
      <c r="N1473">
        <v>5</v>
      </c>
      <c r="O1473" t="s">
        <v>35</v>
      </c>
      <c r="P1473">
        <v>68.5</v>
      </c>
      <c r="Q1473">
        <v>1728</v>
      </c>
      <c r="R1473">
        <v>5</v>
      </c>
      <c r="S1473">
        <v>0</v>
      </c>
      <c r="T1473" t="s">
        <v>41</v>
      </c>
      <c r="U1473" t="s">
        <v>37</v>
      </c>
      <c r="V1473">
        <v>19610</v>
      </c>
      <c r="W1473">
        <v>3.43</v>
      </c>
      <c r="X1473">
        <v>4</v>
      </c>
    </row>
    <row r="1474" spans="1:24" x14ac:dyDescent="0.3">
      <c r="A1474" t="s">
        <v>86</v>
      </c>
      <c r="B1474" t="s">
        <v>105</v>
      </c>
      <c r="C1474">
        <v>2025</v>
      </c>
      <c r="D1474" t="s">
        <v>26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34</v>
      </c>
      <c r="N1474">
        <v>5</v>
      </c>
      <c r="O1474" t="s">
        <v>51</v>
      </c>
      <c r="P1474">
        <v>31.9</v>
      </c>
      <c r="Q1474">
        <v>1897</v>
      </c>
      <c r="R1474">
        <v>5</v>
      </c>
      <c r="S1474">
        <v>2</v>
      </c>
      <c r="T1474" t="s">
        <v>29</v>
      </c>
      <c r="U1474" t="s">
        <v>33</v>
      </c>
      <c r="V1474">
        <v>77677</v>
      </c>
      <c r="W1474">
        <v>3.68</v>
      </c>
      <c r="X1474">
        <v>6</v>
      </c>
    </row>
    <row r="1475" spans="1:24" x14ac:dyDescent="0.3">
      <c r="A1475" t="s">
        <v>24</v>
      </c>
      <c r="B1475" t="s">
        <v>75</v>
      </c>
      <c r="C1475">
        <v>2025</v>
      </c>
      <c r="D1475" t="s">
        <v>61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34</v>
      </c>
      <c r="N1475">
        <v>7</v>
      </c>
      <c r="O1475" t="s">
        <v>35</v>
      </c>
      <c r="P1475">
        <v>63.2</v>
      </c>
      <c r="Q1475">
        <v>1931</v>
      </c>
      <c r="R1475">
        <v>4</v>
      </c>
      <c r="S1475">
        <v>2</v>
      </c>
      <c r="T1475" t="s">
        <v>29</v>
      </c>
      <c r="U1475" t="s">
        <v>33</v>
      </c>
      <c r="V1475">
        <v>228031</v>
      </c>
      <c r="W1475">
        <v>3.16</v>
      </c>
      <c r="X1475">
        <v>4</v>
      </c>
    </row>
    <row r="1476" spans="1:24" x14ac:dyDescent="0.3">
      <c r="A1476" t="s">
        <v>63</v>
      </c>
      <c r="B1476" t="s">
        <v>82</v>
      </c>
      <c r="C1476">
        <v>2025</v>
      </c>
      <c r="D1476" t="s">
        <v>56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27</v>
      </c>
      <c r="N1476">
        <v>7</v>
      </c>
      <c r="O1476" t="s">
        <v>28</v>
      </c>
      <c r="P1476">
        <v>74.599999999999994</v>
      </c>
      <c r="Q1476">
        <v>2589</v>
      </c>
      <c r="R1476">
        <v>5</v>
      </c>
      <c r="S1476">
        <v>0</v>
      </c>
      <c r="T1476" t="s">
        <v>65</v>
      </c>
      <c r="U1476" t="s">
        <v>66</v>
      </c>
      <c r="V1476">
        <v>106382</v>
      </c>
      <c r="W1476">
        <v>3.56</v>
      </c>
      <c r="X1476">
        <v>4</v>
      </c>
    </row>
    <row r="1477" spans="1:24" x14ac:dyDescent="0.3">
      <c r="A1477" t="s">
        <v>83</v>
      </c>
      <c r="B1477" t="s">
        <v>89</v>
      </c>
      <c r="C1477">
        <v>2025</v>
      </c>
      <c r="D1477" t="s">
        <v>44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48</v>
      </c>
      <c r="N1477">
        <v>5</v>
      </c>
      <c r="O1477" t="s">
        <v>51</v>
      </c>
      <c r="P1477">
        <v>25.6</v>
      </c>
      <c r="Q1477">
        <v>1736</v>
      </c>
      <c r="R1477">
        <v>4</v>
      </c>
      <c r="S1477">
        <v>1</v>
      </c>
      <c r="T1477" t="s">
        <v>29</v>
      </c>
      <c r="U1477" t="s">
        <v>33</v>
      </c>
      <c r="V1477">
        <v>37357</v>
      </c>
      <c r="W1477">
        <v>3.74</v>
      </c>
      <c r="X1477">
        <v>7</v>
      </c>
    </row>
    <row r="1478" spans="1:24" x14ac:dyDescent="0.3">
      <c r="A1478" t="s">
        <v>76</v>
      </c>
      <c r="B1478" t="s">
        <v>91</v>
      </c>
      <c r="C1478">
        <v>2024</v>
      </c>
      <c r="D1478" t="s">
        <v>61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34</v>
      </c>
      <c r="N1478">
        <v>2</v>
      </c>
      <c r="O1478" t="s">
        <v>28</v>
      </c>
      <c r="P1478">
        <v>77.3</v>
      </c>
      <c r="Q1478">
        <v>2728</v>
      </c>
      <c r="R1478">
        <v>5</v>
      </c>
      <c r="S1478">
        <v>2</v>
      </c>
      <c r="T1478" t="s">
        <v>41</v>
      </c>
      <c r="U1478" t="s">
        <v>37</v>
      </c>
      <c r="V1478">
        <v>66132</v>
      </c>
      <c r="W1478">
        <v>3.55</v>
      </c>
      <c r="X1478">
        <v>5</v>
      </c>
    </row>
    <row r="1479" spans="1:24" x14ac:dyDescent="0.3">
      <c r="A1479" t="s">
        <v>76</v>
      </c>
      <c r="B1479" t="s">
        <v>98</v>
      </c>
      <c r="C1479">
        <v>2024</v>
      </c>
      <c r="D1479" t="s">
        <v>26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27</v>
      </c>
      <c r="N1479">
        <v>5</v>
      </c>
      <c r="O1479" t="s">
        <v>51</v>
      </c>
      <c r="P1479">
        <v>31.7</v>
      </c>
      <c r="Q1479">
        <v>1689</v>
      </c>
      <c r="R1479">
        <v>5</v>
      </c>
      <c r="S1479">
        <v>0</v>
      </c>
      <c r="T1479" t="s">
        <v>41</v>
      </c>
      <c r="U1479" t="s">
        <v>37</v>
      </c>
      <c r="V1479">
        <v>29374</v>
      </c>
      <c r="W1479">
        <v>3.68</v>
      </c>
      <c r="X1479">
        <v>3</v>
      </c>
    </row>
    <row r="1480" spans="1:24" x14ac:dyDescent="0.3">
      <c r="A1480" t="s">
        <v>76</v>
      </c>
      <c r="B1480" t="s">
        <v>91</v>
      </c>
      <c r="C1480">
        <v>2026</v>
      </c>
      <c r="D1480" t="s">
        <v>33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27</v>
      </c>
      <c r="N1480">
        <v>2</v>
      </c>
      <c r="O1480" t="s">
        <v>28</v>
      </c>
      <c r="P1480">
        <v>68.599999999999994</v>
      </c>
      <c r="Q1480">
        <v>2484</v>
      </c>
      <c r="R1480">
        <v>5</v>
      </c>
      <c r="S1480">
        <v>2</v>
      </c>
      <c r="T1480" t="s">
        <v>41</v>
      </c>
      <c r="U1480" t="s">
        <v>33</v>
      </c>
      <c r="V1480">
        <v>26454</v>
      </c>
      <c r="W1480">
        <v>3.22</v>
      </c>
      <c r="X1480">
        <v>4</v>
      </c>
    </row>
    <row r="1481" spans="1:24" x14ac:dyDescent="0.3">
      <c r="A1481" t="s">
        <v>24</v>
      </c>
      <c r="B1481" t="s">
        <v>70</v>
      </c>
      <c r="C1481">
        <v>2024</v>
      </c>
      <c r="D1481" t="s">
        <v>26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27</v>
      </c>
      <c r="N1481">
        <v>7</v>
      </c>
      <c r="O1481" t="s">
        <v>35</v>
      </c>
      <c r="P1481">
        <v>68</v>
      </c>
      <c r="Q1481">
        <v>2269</v>
      </c>
      <c r="R1481">
        <v>5</v>
      </c>
      <c r="S1481">
        <v>0</v>
      </c>
      <c r="T1481" t="s">
        <v>29</v>
      </c>
      <c r="U1481" t="s">
        <v>33</v>
      </c>
      <c r="V1481">
        <v>267416</v>
      </c>
      <c r="W1481">
        <v>3.45</v>
      </c>
      <c r="X1481">
        <v>4</v>
      </c>
    </row>
    <row r="1482" spans="1:24" x14ac:dyDescent="0.3">
      <c r="A1482" t="s">
        <v>76</v>
      </c>
      <c r="B1482" t="s">
        <v>91</v>
      </c>
      <c r="C1482">
        <v>2025</v>
      </c>
      <c r="D1482" t="s">
        <v>44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34</v>
      </c>
      <c r="N1482">
        <v>4</v>
      </c>
      <c r="O1482" t="s">
        <v>28</v>
      </c>
      <c r="P1482">
        <v>75.3</v>
      </c>
      <c r="Q1482">
        <v>2664</v>
      </c>
      <c r="R1482">
        <v>4</v>
      </c>
      <c r="S1482">
        <v>0</v>
      </c>
      <c r="T1482" t="s">
        <v>41</v>
      </c>
      <c r="U1482" t="s">
        <v>33</v>
      </c>
      <c r="V1482">
        <v>57497</v>
      </c>
      <c r="W1482">
        <v>3.67</v>
      </c>
      <c r="X1482">
        <v>4</v>
      </c>
    </row>
    <row r="1483" spans="1:24" x14ac:dyDescent="0.3">
      <c r="A1483" t="s">
        <v>46</v>
      </c>
      <c r="B1483" t="s">
        <v>47</v>
      </c>
      <c r="C1483">
        <v>2023</v>
      </c>
      <c r="D1483" t="s">
        <v>61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27</v>
      </c>
      <c r="N1483">
        <v>5</v>
      </c>
      <c r="O1483" t="s">
        <v>40</v>
      </c>
      <c r="P1483">
        <v>79.599999999999994</v>
      </c>
      <c r="Q1483">
        <v>1512</v>
      </c>
      <c r="R1483">
        <v>4</v>
      </c>
      <c r="S1483">
        <v>3</v>
      </c>
      <c r="T1483" t="s">
        <v>41</v>
      </c>
      <c r="U1483" t="s">
        <v>33</v>
      </c>
      <c r="V1483">
        <v>179048</v>
      </c>
      <c r="W1483">
        <v>3.64</v>
      </c>
      <c r="X1483">
        <v>4</v>
      </c>
    </row>
    <row r="1484" spans="1:24" x14ac:dyDescent="0.3">
      <c r="A1484" t="s">
        <v>42</v>
      </c>
      <c r="B1484" t="s">
        <v>80</v>
      </c>
      <c r="C1484">
        <v>2026</v>
      </c>
      <c r="D1484" t="s">
        <v>61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27</v>
      </c>
      <c r="N1484">
        <v>5</v>
      </c>
      <c r="O1484" t="s">
        <v>35</v>
      </c>
      <c r="P1484">
        <v>41.9</v>
      </c>
      <c r="Q1484">
        <v>2334</v>
      </c>
      <c r="R1484">
        <v>5</v>
      </c>
      <c r="S1484">
        <v>0</v>
      </c>
      <c r="T1484" t="s">
        <v>45</v>
      </c>
      <c r="U1484" t="s">
        <v>37</v>
      </c>
      <c r="V1484">
        <v>142095</v>
      </c>
      <c r="W1484">
        <v>3.03</v>
      </c>
      <c r="X1484">
        <v>5</v>
      </c>
    </row>
    <row r="1485" spans="1:24" x14ac:dyDescent="0.3">
      <c r="A1485" t="s">
        <v>46</v>
      </c>
      <c r="B1485" t="s">
        <v>78</v>
      </c>
      <c r="C1485">
        <v>2025</v>
      </c>
      <c r="D1485" t="s">
        <v>44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27</v>
      </c>
      <c r="N1485">
        <v>5</v>
      </c>
      <c r="O1485" t="s">
        <v>40</v>
      </c>
      <c r="P1485">
        <v>77.400000000000006</v>
      </c>
      <c r="Q1485">
        <v>1826</v>
      </c>
      <c r="R1485">
        <v>4</v>
      </c>
      <c r="S1485">
        <v>2</v>
      </c>
      <c r="T1485" t="s">
        <v>41</v>
      </c>
      <c r="U1485" t="s">
        <v>30</v>
      </c>
      <c r="V1485">
        <v>137895</v>
      </c>
      <c r="W1485">
        <v>4.12</v>
      </c>
      <c r="X1485">
        <v>5</v>
      </c>
    </row>
    <row r="1486" spans="1:24" x14ac:dyDescent="0.3">
      <c r="A1486" t="s">
        <v>63</v>
      </c>
      <c r="B1486" t="s">
        <v>88</v>
      </c>
      <c r="C1486">
        <v>2022</v>
      </c>
      <c r="D1486" t="s">
        <v>61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34</v>
      </c>
      <c r="N1486">
        <v>7</v>
      </c>
      <c r="O1486" t="s">
        <v>58</v>
      </c>
      <c r="P1486">
        <v>19.899999999999999</v>
      </c>
      <c r="Q1486">
        <v>1666</v>
      </c>
      <c r="R1486">
        <v>4</v>
      </c>
      <c r="S1486">
        <v>2</v>
      </c>
      <c r="T1486" t="s">
        <v>65</v>
      </c>
      <c r="U1486" t="s">
        <v>37</v>
      </c>
      <c r="V1486">
        <v>241442</v>
      </c>
      <c r="W1486">
        <v>3.15</v>
      </c>
      <c r="X1486">
        <v>4</v>
      </c>
    </row>
    <row r="1487" spans="1:24" x14ac:dyDescent="0.3">
      <c r="A1487" t="s">
        <v>24</v>
      </c>
      <c r="B1487" t="s">
        <v>85</v>
      </c>
      <c r="C1487">
        <v>2025</v>
      </c>
      <c r="D1487" t="s">
        <v>56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27</v>
      </c>
      <c r="N1487">
        <v>7</v>
      </c>
      <c r="O1487" t="s">
        <v>50</v>
      </c>
      <c r="P1487">
        <v>20.9</v>
      </c>
      <c r="Q1487">
        <v>1532</v>
      </c>
      <c r="R1487">
        <v>4</v>
      </c>
      <c r="S1487">
        <v>0</v>
      </c>
      <c r="T1487" t="s">
        <v>29</v>
      </c>
      <c r="U1487" t="s">
        <v>33</v>
      </c>
      <c r="V1487">
        <v>258880</v>
      </c>
      <c r="W1487">
        <v>3.26</v>
      </c>
      <c r="X1487">
        <v>4</v>
      </c>
    </row>
    <row r="1488" spans="1:24" x14ac:dyDescent="0.3">
      <c r="A1488" t="s">
        <v>24</v>
      </c>
      <c r="B1488" t="s">
        <v>70</v>
      </c>
      <c r="C1488">
        <v>2021</v>
      </c>
      <c r="D1488" t="s">
        <v>33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48</v>
      </c>
      <c r="N1488">
        <v>5</v>
      </c>
      <c r="O1488" t="s">
        <v>28</v>
      </c>
      <c r="P1488">
        <v>76.900000000000006</v>
      </c>
      <c r="Q1488">
        <v>2408</v>
      </c>
      <c r="R1488">
        <v>4</v>
      </c>
      <c r="S1488">
        <v>1</v>
      </c>
      <c r="T1488" t="s">
        <v>29</v>
      </c>
      <c r="U1488" t="s">
        <v>30</v>
      </c>
      <c r="V1488">
        <v>297514</v>
      </c>
      <c r="W1488">
        <v>3.44</v>
      </c>
      <c r="X1488">
        <v>5</v>
      </c>
    </row>
    <row r="1489" spans="1:24" x14ac:dyDescent="0.3">
      <c r="A1489" t="s">
        <v>38</v>
      </c>
      <c r="B1489" t="s">
        <v>39</v>
      </c>
      <c r="C1489">
        <v>2024</v>
      </c>
      <c r="D1489" t="s">
        <v>26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27</v>
      </c>
      <c r="N1489">
        <v>7</v>
      </c>
      <c r="O1489" t="s">
        <v>58</v>
      </c>
      <c r="P1489">
        <v>31.1</v>
      </c>
      <c r="Q1489">
        <v>1654</v>
      </c>
      <c r="R1489">
        <v>5</v>
      </c>
      <c r="S1489">
        <v>0</v>
      </c>
      <c r="T1489" t="s">
        <v>41</v>
      </c>
      <c r="U1489" t="s">
        <v>37</v>
      </c>
      <c r="V1489">
        <v>24792</v>
      </c>
      <c r="W1489">
        <v>3.55</v>
      </c>
      <c r="X1489">
        <v>3</v>
      </c>
    </row>
    <row r="1490" spans="1:24" x14ac:dyDescent="0.3">
      <c r="A1490" t="s">
        <v>24</v>
      </c>
      <c r="B1490" t="s">
        <v>75</v>
      </c>
      <c r="C1490">
        <v>2025</v>
      </c>
      <c r="D1490" t="s">
        <v>44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34</v>
      </c>
      <c r="N1490">
        <v>5</v>
      </c>
      <c r="O1490" t="s">
        <v>35</v>
      </c>
      <c r="P1490">
        <v>38.9</v>
      </c>
      <c r="Q1490">
        <v>2029</v>
      </c>
      <c r="R1490">
        <v>4</v>
      </c>
      <c r="S1490">
        <v>1</v>
      </c>
      <c r="T1490" t="s">
        <v>29</v>
      </c>
      <c r="U1490" t="s">
        <v>37</v>
      </c>
      <c r="V1490">
        <v>292808</v>
      </c>
      <c r="W1490">
        <v>3.65</v>
      </c>
      <c r="X1490">
        <v>3</v>
      </c>
    </row>
    <row r="1491" spans="1:24" x14ac:dyDescent="0.3">
      <c r="A1491" t="s">
        <v>24</v>
      </c>
      <c r="B1491" t="s">
        <v>70</v>
      </c>
      <c r="C1491">
        <v>2025</v>
      </c>
      <c r="D1491" t="s">
        <v>56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34</v>
      </c>
      <c r="N1491">
        <v>7</v>
      </c>
      <c r="O1491" t="s">
        <v>50</v>
      </c>
      <c r="P1491">
        <v>21.5</v>
      </c>
      <c r="Q1491">
        <v>1500</v>
      </c>
      <c r="R1491">
        <v>4</v>
      </c>
      <c r="S1491">
        <v>1</v>
      </c>
      <c r="T1491" t="s">
        <v>29</v>
      </c>
      <c r="U1491" t="s">
        <v>33</v>
      </c>
      <c r="V1491">
        <v>282558</v>
      </c>
      <c r="W1491">
        <v>3.33</v>
      </c>
      <c r="X1491">
        <v>4</v>
      </c>
    </row>
    <row r="1492" spans="1:24" x14ac:dyDescent="0.3">
      <c r="A1492" t="s">
        <v>63</v>
      </c>
      <c r="B1492" t="s">
        <v>64</v>
      </c>
      <c r="C1492">
        <v>2024</v>
      </c>
      <c r="D1492" t="s">
        <v>44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27</v>
      </c>
      <c r="N1492">
        <v>7</v>
      </c>
      <c r="O1492" t="s">
        <v>51</v>
      </c>
      <c r="P1492">
        <v>28.1</v>
      </c>
      <c r="Q1492">
        <v>1598</v>
      </c>
      <c r="R1492">
        <v>5</v>
      </c>
      <c r="S1492">
        <v>1</v>
      </c>
      <c r="T1492" t="s">
        <v>65</v>
      </c>
      <c r="U1492" t="s">
        <v>37</v>
      </c>
      <c r="V1492">
        <v>177642</v>
      </c>
      <c r="W1492">
        <v>3.76</v>
      </c>
      <c r="X1492">
        <v>4</v>
      </c>
    </row>
    <row r="1493" spans="1:24" x14ac:dyDescent="0.3">
      <c r="A1493" t="s">
        <v>24</v>
      </c>
      <c r="B1493" t="s">
        <v>74</v>
      </c>
      <c r="C1493">
        <v>2021</v>
      </c>
      <c r="D1493" t="s">
        <v>44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27</v>
      </c>
      <c r="N1493">
        <v>7</v>
      </c>
      <c r="O1493" t="s">
        <v>58</v>
      </c>
      <c r="P1493">
        <v>24.9</v>
      </c>
      <c r="Q1493">
        <v>1689</v>
      </c>
      <c r="R1493">
        <v>5</v>
      </c>
      <c r="S1493">
        <v>2</v>
      </c>
      <c r="T1493" t="s">
        <v>29</v>
      </c>
      <c r="U1493" t="s">
        <v>37</v>
      </c>
      <c r="V1493">
        <v>254746</v>
      </c>
      <c r="W1493">
        <v>3.41</v>
      </c>
      <c r="X1493">
        <v>4</v>
      </c>
    </row>
    <row r="1494" spans="1:24" x14ac:dyDescent="0.3">
      <c r="A1494" t="s">
        <v>63</v>
      </c>
      <c r="B1494" t="s">
        <v>107</v>
      </c>
      <c r="C1494">
        <v>2021</v>
      </c>
      <c r="D1494" t="s">
        <v>56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48</v>
      </c>
      <c r="N1494">
        <v>5</v>
      </c>
      <c r="O1494" t="s">
        <v>35</v>
      </c>
      <c r="P1494">
        <v>59.6</v>
      </c>
      <c r="Q1494">
        <v>1716</v>
      </c>
      <c r="R1494">
        <v>4</v>
      </c>
      <c r="S1494">
        <v>0</v>
      </c>
      <c r="T1494" t="s">
        <v>65</v>
      </c>
      <c r="U1494" t="s">
        <v>66</v>
      </c>
      <c r="V1494">
        <v>203716</v>
      </c>
      <c r="W1494">
        <v>3.59</v>
      </c>
      <c r="X1494">
        <v>3</v>
      </c>
    </row>
    <row r="1495" spans="1:24" x14ac:dyDescent="0.3">
      <c r="A1495" t="s">
        <v>46</v>
      </c>
      <c r="B1495" t="s">
        <v>49</v>
      </c>
      <c r="C1495">
        <v>2025</v>
      </c>
      <c r="D1495" t="s">
        <v>44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34</v>
      </c>
      <c r="N1495">
        <v>5</v>
      </c>
      <c r="O1495" t="s">
        <v>51</v>
      </c>
      <c r="P1495">
        <v>36.9</v>
      </c>
      <c r="Q1495">
        <v>1711</v>
      </c>
      <c r="R1495">
        <v>4</v>
      </c>
      <c r="S1495">
        <v>2</v>
      </c>
      <c r="T1495" t="s">
        <v>41</v>
      </c>
      <c r="U1495" t="s">
        <v>30</v>
      </c>
      <c r="V1495">
        <v>402120</v>
      </c>
      <c r="W1495">
        <v>3.78</v>
      </c>
      <c r="X1495">
        <v>5</v>
      </c>
    </row>
    <row r="1496" spans="1:24" x14ac:dyDescent="0.3">
      <c r="A1496" t="s">
        <v>42</v>
      </c>
      <c r="B1496" t="s">
        <v>115</v>
      </c>
      <c r="C1496">
        <v>2020</v>
      </c>
      <c r="D1496" t="s">
        <v>61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34</v>
      </c>
      <c r="N1496">
        <v>5</v>
      </c>
      <c r="O1496" t="s">
        <v>35</v>
      </c>
      <c r="P1496">
        <v>68.7</v>
      </c>
      <c r="Q1496">
        <v>2266</v>
      </c>
      <c r="R1496">
        <v>4</v>
      </c>
      <c r="S1496">
        <v>1</v>
      </c>
      <c r="T1496" t="s">
        <v>45</v>
      </c>
      <c r="U1496" t="s">
        <v>66</v>
      </c>
      <c r="V1496">
        <v>61921</v>
      </c>
      <c r="W1496">
        <v>3.18</v>
      </c>
      <c r="X1496">
        <v>3</v>
      </c>
    </row>
    <row r="1497" spans="1:24" x14ac:dyDescent="0.3">
      <c r="A1497" t="s">
        <v>83</v>
      </c>
      <c r="B1497" t="s">
        <v>104</v>
      </c>
      <c r="C1497">
        <v>2024</v>
      </c>
      <c r="D1497" t="s">
        <v>44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34</v>
      </c>
      <c r="N1497">
        <v>5</v>
      </c>
      <c r="O1497" t="s">
        <v>50</v>
      </c>
      <c r="P1497">
        <v>24.9</v>
      </c>
      <c r="Q1497">
        <v>1829</v>
      </c>
      <c r="R1497">
        <v>5</v>
      </c>
      <c r="S1497">
        <v>2</v>
      </c>
      <c r="T1497" t="s">
        <v>29</v>
      </c>
      <c r="U1497" t="s">
        <v>33</v>
      </c>
      <c r="V1497">
        <v>33084</v>
      </c>
      <c r="W1497">
        <v>3.64</v>
      </c>
      <c r="X1497">
        <v>8</v>
      </c>
    </row>
    <row r="1498" spans="1:24" x14ac:dyDescent="0.3">
      <c r="A1498" t="s">
        <v>83</v>
      </c>
      <c r="B1498" t="s">
        <v>89</v>
      </c>
      <c r="C1498">
        <v>2025</v>
      </c>
      <c r="D1498" t="s">
        <v>33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27</v>
      </c>
      <c r="N1498">
        <v>7</v>
      </c>
      <c r="O1498" t="s">
        <v>28</v>
      </c>
      <c r="P1498">
        <v>72.3</v>
      </c>
      <c r="Q1498">
        <v>2516</v>
      </c>
      <c r="R1498">
        <v>5</v>
      </c>
      <c r="S1498">
        <v>2</v>
      </c>
      <c r="T1498" t="s">
        <v>29</v>
      </c>
      <c r="U1498" t="s">
        <v>30</v>
      </c>
      <c r="V1498">
        <v>60610</v>
      </c>
      <c r="W1498">
        <v>3.5</v>
      </c>
      <c r="X1498">
        <v>8</v>
      </c>
    </row>
    <row r="1499" spans="1:24" x14ac:dyDescent="0.3">
      <c r="A1499" t="s">
        <v>68</v>
      </c>
      <c r="B1499" t="s">
        <v>69</v>
      </c>
      <c r="C1499">
        <v>2024</v>
      </c>
      <c r="D1499" t="s">
        <v>26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48</v>
      </c>
      <c r="N1499">
        <v>5</v>
      </c>
      <c r="O1499" t="s">
        <v>35</v>
      </c>
      <c r="P1499">
        <v>41.1</v>
      </c>
      <c r="Q1499">
        <v>2084</v>
      </c>
      <c r="R1499">
        <v>5</v>
      </c>
      <c r="S1499">
        <v>0</v>
      </c>
      <c r="T1499" t="s">
        <v>45</v>
      </c>
      <c r="U1499" t="s">
        <v>37</v>
      </c>
      <c r="V1499">
        <v>106270</v>
      </c>
      <c r="W1499">
        <v>3.67</v>
      </c>
      <c r="X1499">
        <v>3</v>
      </c>
    </row>
    <row r="1500" spans="1:24" x14ac:dyDescent="0.3">
      <c r="A1500" t="s">
        <v>24</v>
      </c>
      <c r="B1500" t="s">
        <v>75</v>
      </c>
      <c r="C1500">
        <v>2023</v>
      </c>
      <c r="D1500" t="s">
        <v>33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27</v>
      </c>
      <c r="N1500">
        <v>5</v>
      </c>
      <c r="O1500" t="s">
        <v>50</v>
      </c>
      <c r="P1500">
        <v>31.9</v>
      </c>
      <c r="Q1500">
        <v>1500</v>
      </c>
      <c r="R1500">
        <v>4</v>
      </c>
      <c r="S1500">
        <v>1</v>
      </c>
      <c r="T1500" t="s">
        <v>29</v>
      </c>
      <c r="U1500" t="s">
        <v>30</v>
      </c>
      <c r="V1500">
        <v>215531</v>
      </c>
      <c r="W1500">
        <v>3.43</v>
      </c>
      <c r="X1500">
        <v>4</v>
      </c>
    </row>
    <row r="1501" spans="1:24" x14ac:dyDescent="0.3">
      <c r="A1501" t="s">
        <v>52</v>
      </c>
      <c r="B1501" t="s">
        <v>103</v>
      </c>
      <c r="C1501">
        <v>2026</v>
      </c>
      <c r="D1501" t="s">
        <v>44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34</v>
      </c>
      <c r="N1501">
        <v>5</v>
      </c>
      <c r="O1501" t="s">
        <v>40</v>
      </c>
      <c r="P1501">
        <v>62</v>
      </c>
      <c r="Q1501">
        <v>1692</v>
      </c>
      <c r="R1501">
        <v>4</v>
      </c>
      <c r="S1501">
        <v>1</v>
      </c>
      <c r="T1501" t="s">
        <v>29</v>
      </c>
      <c r="U1501" t="s">
        <v>33</v>
      </c>
      <c r="V1501">
        <v>50182</v>
      </c>
      <c r="W1501">
        <v>4.07</v>
      </c>
      <c r="X1501">
        <v>5</v>
      </c>
    </row>
    <row r="1502" spans="1:24" x14ac:dyDescent="0.3">
      <c r="A1502" t="s">
        <v>68</v>
      </c>
      <c r="B1502" t="s">
        <v>79</v>
      </c>
      <c r="C1502">
        <v>2024</v>
      </c>
      <c r="D1502" t="s">
        <v>26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27</v>
      </c>
      <c r="N1502">
        <v>7</v>
      </c>
      <c r="O1502" t="s">
        <v>51</v>
      </c>
      <c r="P1502">
        <v>36.4</v>
      </c>
      <c r="Q1502">
        <v>1549</v>
      </c>
      <c r="R1502">
        <v>5</v>
      </c>
      <c r="S1502">
        <v>1</v>
      </c>
      <c r="T1502" t="s">
        <v>45</v>
      </c>
      <c r="U1502" t="s">
        <v>30</v>
      </c>
      <c r="V1502">
        <v>149654</v>
      </c>
      <c r="W1502">
        <v>3.94</v>
      </c>
      <c r="X1502">
        <v>5</v>
      </c>
    </row>
    <row r="1503" spans="1:24" x14ac:dyDescent="0.3">
      <c r="A1503" t="s">
        <v>68</v>
      </c>
      <c r="B1503" t="s">
        <v>90</v>
      </c>
      <c r="C1503">
        <v>2023</v>
      </c>
      <c r="D1503" t="s">
        <v>44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27</v>
      </c>
      <c r="N1503">
        <v>5</v>
      </c>
      <c r="O1503" t="s">
        <v>58</v>
      </c>
      <c r="P1503">
        <v>26.9</v>
      </c>
      <c r="Q1503">
        <v>1500</v>
      </c>
      <c r="R1503">
        <v>4</v>
      </c>
      <c r="S1503">
        <v>2</v>
      </c>
      <c r="T1503" t="s">
        <v>45</v>
      </c>
      <c r="U1503" t="s">
        <v>33</v>
      </c>
      <c r="V1503">
        <v>131774</v>
      </c>
      <c r="W1503">
        <v>3.48</v>
      </c>
      <c r="X1503">
        <v>3</v>
      </c>
    </row>
    <row r="1504" spans="1:24" x14ac:dyDescent="0.3">
      <c r="A1504" t="s">
        <v>46</v>
      </c>
      <c r="B1504" t="s">
        <v>57</v>
      </c>
      <c r="C1504">
        <v>2023</v>
      </c>
      <c r="D1504" t="s">
        <v>33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27</v>
      </c>
      <c r="N1504">
        <v>5</v>
      </c>
      <c r="O1504" t="s">
        <v>35</v>
      </c>
      <c r="P1504">
        <v>44.8</v>
      </c>
      <c r="Q1504">
        <v>1922</v>
      </c>
      <c r="R1504">
        <v>4</v>
      </c>
      <c r="S1504">
        <v>2</v>
      </c>
      <c r="T1504" t="s">
        <v>41</v>
      </c>
      <c r="U1504" t="s">
        <v>33</v>
      </c>
      <c r="V1504">
        <v>193331</v>
      </c>
      <c r="W1504">
        <v>3.64</v>
      </c>
      <c r="X1504">
        <v>5</v>
      </c>
    </row>
    <row r="1505" spans="1:24" x14ac:dyDescent="0.3">
      <c r="A1505" t="s">
        <v>63</v>
      </c>
      <c r="B1505" t="s">
        <v>67</v>
      </c>
      <c r="C1505">
        <v>2025</v>
      </c>
      <c r="D1505" t="s">
        <v>44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27</v>
      </c>
      <c r="N1505">
        <v>5</v>
      </c>
      <c r="O1505" t="s">
        <v>50</v>
      </c>
      <c r="P1505">
        <v>34.4</v>
      </c>
      <c r="Q1505">
        <v>1559</v>
      </c>
      <c r="R1505">
        <v>4</v>
      </c>
      <c r="S1505">
        <v>1</v>
      </c>
      <c r="T1505" t="s">
        <v>65</v>
      </c>
      <c r="U1505" t="s">
        <v>66</v>
      </c>
      <c r="V1505">
        <v>225650</v>
      </c>
      <c r="W1505">
        <v>3.6</v>
      </c>
      <c r="X1505">
        <v>3</v>
      </c>
    </row>
    <row r="1506" spans="1:24" x14ac:dyDescent="0.3">
      <c r="A1506" t="s">
        <v>24</v>
      </c>
      <c r="B1506" t="s">
        <v>25</v>
      </c>
      <c r="C1506">
        <v>2025</v>
      </c>
      <c r="D1506" t="s">
        <v>33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48</v>
      </c>
      <c r="N1506">
        <v>7</v>
      </c>
      <c r="O1506" t="s">
        <v>58</v>
      </c>
      <c r="P1506">
        <v>32.200000000000003</v>
      </c>
      <c r="Q1506">
        <v>1768</v>
      </c>
      <c r="R1506">
        <v>4</v>
      </c>
      <c r="S1506">
        <v>0</v>
      </c>
      <c r="T1506" t="s">
        <v>29</v>
      </c>
      <c r="U1506" t="s">
        <v>33</v>
      </c>
      <c r="V1506">
        <v>243258</v>
      </c>
      <c r="W1506">
        <v>3.56</v>
      </c>
      <c r="X1506">
        <v>5</v>
      </c>
    </row>
    <row r="1507" spans="1:24" x14ac:dyDescent="0.3">
      <c r="A1507" t="s">
        <v>24</v>
      </c>
      <c r="B1507" t="s">
        <v>70</v>
      </c>
      <c r="C1507">
        <v>2024</v>
      </c>
      <c r="D1507" t="s">
        <v>44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27</v>
      </c>
      <c r="N1507">
        <v>5</v>
      </c>
      <c r="O1507" t="s">
        <v>28</v>
      </c>
      <c r="P1507">
        <v>61.1</v>
      </c>
      <c r="Q1507">
        <v>2597</v>
      </c>
      <c r="R1507">
        <v>5</v>
      </c>
      <c r="S1507">
        <v>0</v>
      </c>
      <c r="T1507" t="s">
        <v>29</v>
      </c>
      <c r="U1507" t="s">
        <v>33</v>
      </c>
      <c r="V1507">
        <v>273314</v>
      </c>
      <c r="W1507">
        <v>3.79</v>
      </c>
      <c r="X1507">
        <v>4</v>
      </c>
    </row>
    <row r="1508" spans="1:24" x14ac:dyDescent="0.3">
      <c r="A1508" t="s">
        <v>42</v>
      </c>
      <c r="B1508" t="s">
        <v>115</v>
      </c>
      <c r="C1508">
        <v>2023</v>
      </c>
      <c r="D1508" t="s">
        <v>44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27</v>
      </c>
      <c r="N1508">
        <v>5</v>
      </c>
      <c r="O1508" t="s">
        <v>35</v>
      </c>
      <c r="P1508">
        <v>36.4</v>
      </c>
      <c r="Q1508">
        <v>1755</v>
      </c>
      <c r="R1508">
        <v>4</v>
      </c>
      <c r="S1508">
        <v>0</v>
      </c>
      <c r="T1508" t="s">
        <v>45</v>
      </c>
      <c r="U1508" t="s">
        <v>33</v>
      </c>
      <c r="V1508">
        <v>85490</v>
      </c>
      <c r="W1508">
        <v>3.48</v>
      </c>
      <c r="X1508">
        <v>4</v>
      </c>
    </row>
    <row r="1509" spans="1:24" x14ac:dyDescent="0.3">
      <c r="A1509" t="s">
        <v>68</v>
      </c>
      <c r="B1509" t="s">
        <v>106</v>
      </c>
      <c r="C1509">
        <v>2026</v>
      </c>
      <c r="D1509" t="s">
        <v>26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48</v>
      </c>
      <c r="N1509">
        <v>7</v>
      </c>
      <c r="O1509" t="s">
        <v>35</v>
      </c>
      <c r="P1509">
        <v>52.7</v>
      </c>
      <c r="Q1509">
        <v>2075</v>
      </c>
      <c r="R1509">
        <v>4</v>
      </c>
      <c r="S1509">
        <v>0</v>
      </c>
      <c r="T1509" t="s">
        <v>45</v>
      </c>
      <c r="U1509" t="s">
        <v>37</v>
      </c>
      <c r="V1509">
        <v>73520</v>
      </c>
      <c r="W1509">
        <v>3.68</v>
      </c>
      <c r="X1509">
        <v>4</v>
      </c>
    </row>
    <row r="1510" spans="1:24" x14ac:dyDescent="0.3">
      <c r="A1510" t="s">
        <v>42</v>
      </c>
      <c r="B1510" t="s">
        <v>54</v>
      </c>
      <c r="C1510">
        <v>2023</v>
      </c>
      <c r="D1510" t="s">
        <v>56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34</v>
      </c>
      <c r="N1510">
        <v>5</v>
      </c>
      <c r="O1510" t="s">
        <v>58</v>
      </c>
      <c r="P1510">
        <v>16.600000000000001</v>
      </c>
      <c r="Q1510">
        <v>1500</v>
      </c>
      <c r="R1510">
        <v>3</v>
      </c>
      <c r="S1510">
        <v>0</v>
      </c>
      <c r="T1510" t="s">
        <v>45</v>
      </c>
      <c r="U1510" t="s">
        <v>37</v>
      </c>
      <c r="V1510">
        <v>65815</v>
      </c>
      <c r="W1510">
        <v>3.66</v>
      </c>
      <c r="X1510">
        <v>4</v>
      </c>
    </row>
    <row r="1511" spans="1:24" x14ac:dyDescent="0.3">
      <c r="A1511" t="s">
        <v>76</v>
      </c>
      <c r="B1511" t="s">
        <v>98</v>
      </c>
      <c r="C1511">
        <v>2025</v>
      </c>
      <c r="D1511" t="s">
        <v>56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27</v>
      </c>
      <c r="N1511">
        <v>5</v>
      </c>
      <c r="O1511" t="s">
        <v>28</v>
      </c>
      <c r="P1511">
        <v>74.2</v>
      </c>
      <c r="Q1511">
        <v>2364</v>
      </c>
      <c r="R1511">
        <v>4</v>
      </c>
      <c r="S1511">
        <v>1</v>
      </c>
      <c r="T1511" t="s">
        <v>41</v>
      </c>
      <c r="U1511" t="s">
        <v>66</v>
      </c>
      <c r="V1511">
        <v>25220</v>
      </c>
      <c r="W1511">
        <v>3.43</v>
      </c>
      <c r="X1511">
        <v>4</v>
      </c>
    </row>
    <row r="1512" spans="1:24" x14ac:dyDescent="0.3">
      <c r="A1512" t="s">
        <v>76</v>
      </c>
      <c r="B1512" t="s">
        <v>81</v>
      </c>
      <c r="C1512">
        <v>2025</v>
      </c>
      <c r="D1512" t="s">
        <v>44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48</v>
      </c>
      <c r="N1512">
        <v>5</v>
      </c>
      <c r="O1512" t="s">
        <v>51</v>
      </c>
      <c r="P1512">
        <v>18.100000000000001</v>
      </c>
      <c r="Q1512">
        <v>1680</v>
      </c>
      <c r="R1512">
        <v>4</v>
      </c>
      <c r="S1512">
        <v>1</v>
      </c>
      <c r="T1512" t="s">
        <v>41</v>
      </c>
      <c r="U1512" t="s">
        <v>33</v>
      </c>
      <c r="V1512">
        <v>26936</v>
      </c>
      <c r="W1512">
        <v>3.72</v>
      </c>
      <c r="X1512">
        <v>4</v>
      </c>
    </row>
    <row r="1513" spans="1:24" x14ac:dyDescent="0.3">
      <c r="A1513" t="s">
        <v>38</v>
      </c>
      <c r="B1513" t="s">
        <v>102</v>
      </c>
      <c r="C1513">
        <v>2022</v>
      </c>
      <c r="D1513" t="s">
        <v>56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48</v>
      </c>
      <c r="N1513">
        <v>5</v>
      </c>
      <c r="O1513" t="s">
        <v>35</v>
      </c>
      <c r="P1513">
        <v>64</v>
      </c>
      <c r="Q1513">
        <v>2124</v>
      </c>
      <c r="R1513">
        <v>4</v>
      </c>
      <c r="S1513">
        <v>0</v>
      </c>
      <c r="T1513" t="s">
        <v>41</v>
      </c>
      <c r="U1513" t="s">
        <v>66</v>
      </c>
      <c r="V1513">
        <v>22698</v>
      </c>
      <c r="W1513">
        <v>3.33</v>
      </c>
      <c r="X1513">
        <v>4</v>
      </c>
    </row>
    <row r="1514" spans="1:24" x14ac:dyDescent="0.3">
      <c r="A1514" t="s">
        <v>31</v>
      </c>
      <c r="B1514" t="s">
        <v>32</v>
      </c>
      <c r="C1514">
        <v>2023</v>
      </c>
      <c r="D1514" t="s">
        <v>44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34</v>
      </c>
      <c r="N1514">
        <v>5</v>
      </c>
      <c r="O1514" t="s">
        <v>35</v>
      </c>
      <c r="P1514">
        <v>44.3</v>
      </c>
      <c r="Q1514">
        <v>2030</v>
      </c>
      <c r="R1514">
        <v>4</v>
      </c>
      <c r="S1514">
        <v>1</v>
      </c>
      <c r="T1514" t="s">
        <v>36</v>
      </c>
      <c r="U1514" t="s">
        <v>33</v>
      </c>
      <c r="V1514">
        <v>29619</v>
      </c>
      <c r="W1514">
        <v>3.47</v>
      </c>
      <c r="X1514">
        <v>3</v>
      </c>
    </row>
    <row r="1515" spans="1:24" x14ac:dyDescent="0.3">
      <c r="A1515" t="s">
        <v>46</v>
      </c>
      <c r="B1515" t="s">
        <v>78</v>
      </c>
      <c r="C1515">
        <v>2025</v>
      </c>
      <c r="D1515" t="s">
        <v>33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27</v>
      </c>
      <c r="N1515">
        <v>7</v>
      </c>
      <c r="O1515" t="s">
        <v>28</v>
      </c>
      <c r="P1515">
        <v>52.9</v>
      </c>
      <c r="Q1515">
        <v>2540</v>
      </c>
      <c r="R1515">
        <v>4</v>
      </c>
      <c r="S1515">
        <v>2</v>
      </c>
      <c r="T1515" t="s">
        <v>41</v>
      </c>
      <c r="U1515" t="s">
        <v>30</v>
      </c>
      <c r="V1515">
        <v>225294</v>
      </c>
      <c r="W1515">
        <v>3.41</v>
      </c>
      <c r="X1515">
        <v>5</v>
      </c>
    </row>
    <row r="1516" spans="1:24" x14ac:dyDescent="0.3">
      <c r="A1516" t="s">
        <v>46</v>
      </c>
      <c r="B1516" t="s">
        <v>57</v>
      </c>
      <c r="C1516">
        <v>2025</v>
      </c>
      <c r="D1516" t="s">
        <v>44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34</v>
      </c>
      <c r="N1516">
        <v>7</v>
      </c>
      <c r="O1516" t="s">
        <v>51</v>
      </c>
      <c r="P1516">
        <v>37.5</v>
      </c>
      <c r="Q1516">
        <v>1723</v>
      </c>
      <c r="R1516">
        <v>5</v>
      </c>
      <c r="S1516">
        <v>2</v>
      </c>
      <c r="T1516" t="s">
        <v>41</v>
      </c>
      <c r="U1516" t="s">
        <v>37</v>
      </c>
      <c r="V1516">
        <v>177801</v>
      </c>
      <c r="W1516">
        <v>4.2</v>
      </c>
      <c r="X1516">
        <v>6</v>
      </c>
    </row>
    <row r="1517" spans="1:24" x14ac:dyDescent="0.3">
      <c r="A1517" t="s">
        <v>46</v>
      </c>
      <c r="B1517" t="s">
        <v>78</v>
      </c>
      <c r="C1517">
        <v>2026</v>
      </c>
      <c r="D1517" t="s">
        <v>33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27</v>
      </c>
      <c r="N1517">
        <v>5</v>
      </c>
      <c r="O1517" t="s">
        <v>35</v>
      </c>
      <c r="P1517">
        <v>56.9</v>
      </c>
      <c r="Q1517">
        <v>1899</v>
      </c>
      <c r="R1517">
        <v>4</v>
      </c>
      <c r="S1517">
        <v>3</v>
      </c>
      <c r="T1517" t="s">
        <v>41</v>
      </c>
      <c r="U1517" t="s">
        <v>33</v>
      </c>
      <c r="V1517">
        <v>116766</v>
      </c>
      <c r="W1517">
        <v>3.76</v>
      </c>
      <c r="X1517">
        <v>4</v>
      </c>
    </row>
    <row r="1518" spans="1:24" x14ac:dyDescent="0.3">
      <c r="A1518" t="s">
        <v>83</v>
      </c>
      <c r="B1518" t="s">
        <v>114</v>
      </c>
      <c r="C1518">
        <v>2025</v>
      </c>
      <c r="D1518" t="s">
        <v>44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48</v>
      </c>
      <c r="N1518">
        <v>5</v>
      </c>
      <c r="O1518" t="s">
        <v>58</v>
      </c>
      <c r="P1518">
        <v>38.6</v>
      </c>
      <c r="Q1518">
        <v>1669</v>
      </c>
      <c r="R1518">
        <v>3</v>
      </c>
      <c r="S1518">
        <v>2</v>
      </c>
      <c r="T1518" t="s">
        <v>29</v>
      </c>
      <c r="U1518" t="s">
        <v>30</v>
      </c>
      <c r="V1518">
        <v>49676</v>
      </c>
      <c r="W1518">
        <v>3.74</v>
      </c>
      <c r="X1518">
        <v>6</v>
      </c>
    </row>
    <row r="1519" spans="1:24" x14ac:dyDescent="0.3">
      <c r="A1519" t="s">
        <v>86</v>
      </c>
      <c r="B1519" t="s">
        <v>108</v>
      </c>
      <c r="C1519">
        <v>2025</v>
      </c>
      <c r="D1519" t="s">
        <v>56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34</v>
      </c>
      <c r="N1519">
        <v>5</v>
      </c>
      <c r="O1519" t="s">
        <v>58</v>
      </c>
      <c r="P1519">
        <v>19.100000000000001</v>
      </c>
      <c r="Q1519">
        <v>1500</v>
      </c>
      <c r="R1519">
        <v>5</v>
      </c>
      <c r="S1519">
        <v>2</v>
      </c>
      <c r="T1519" t="s">
        <v>29</v>
      </c>
      <c r="U1519" t="s">
        <v>33</v>
      </c>
      <c r="V1519">
        <v>60589</v>
      </c>
      <c r="W1519">
        <v>3.47</v>
      </c>
      <c r="X1519">
        <v>5</v>
      </c>
    </row>
    <row r="1520" spans="1:24" x14ac:dyDescent="0.3">
      <c r="A1520" t="s">
        <v>63</v>
      </c>
      <c r="B1520" t="s">
        <v>88</v>
      </c>
      <c r="C1520">
        <v>2023</v>
      </c>
      <c r="D1520" t="s">
        <v>26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27</v>
      </c>
      <c r="N1520">
        <v>5</v>
      </c>
      <c r="O1520" t="s">
        <v>40</v>
      </c>
      <c r="P1520">
        <v>68.599999999999994</v>
      </c>
      <c r="Q1520">
        <v>1500</v>
      </c>
      <c r="R1520">
        <v>5</v>
      </c>
      <c r="S1520">
        <v>0</v>
      </c>
      <c r="T1520" t="s">
        <v>65</v>
      </c>
      <c r="U1520" t="s">
        <v>33</v>
      </c>
      <c r="V1520">
        <v>220329</v>
      </c>
      <c r="W1520">
        <v>3.35</v>
      </c>
      <c r="X1520">
        <v>4</v>
      </c>
    </row>
    <row r="1521" spans="1:24" x14ac:dyDescent="0.3">
      <c r="A1521" t="s">
        <v>94</v>
      </c>
      <c r="B1521" t="s">
        <v>120</v>
      </c>
      <c r="C1521">
        <v>2024</v>
      </c>
      <c r="D1521" t="s">
        <v>44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34</v>
      </c>
      <c r="N1521">
        <v>7</v>
      </c>
      <c r="O1521" t="s">
        <v>50</v>
      </c>
      <c r="P1521">
        <v>36.700000000000003</v>
      </c>
      <c r="Q1521">
        <v>1807</v>
      </c>
      <c r="R1521">
        <v>5</v>
      </c>
      <c r="S1521">
        <v>0</v>
      </c>
      <c r="T1521" t="s">
        <v>41</v>
      </c>
      <c r="U1521" t="s">
        <v>33</v>
      </c>
      <c r="V1521">
        <v>20918</v>
      </c>
      <c r="W1521">
        <v>3.83</v>
      </c>
      <c r="X1521">
        <v>6</v>
      </c>
    </row>
    <row r="1522" spans="1:24" x14ac:dyDescent="0.3">
      <c r="A1522" t="s">
        <v>46</v>
      </c>
      <c r="B1522" t="s">
        <v>47</v>
      </c>
      <c r="C1522">
        <v>2024</v>
      </c>
      <c r="D1522" t="s">
        <v>26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27</v>
      </c>
      <c r="N1522">
        <v>5</v>
      </c>
      <c r="O1522" t="s">
        <v>35</v>
      </c>
      <c r="P1522">
        <v>39.700000000000003</v>
      </c>
      <c r="Q1522">
        <v>1870</v>
      </c>
      <c r="R1522">
        <v>5</v>
      </c>
      <c r="S1522">
        <v>2</v>
      </c>
      <c r="T1522" t="s">
        <v>41</v>
      </c>
      <c r="U1522" t="s">
        <v>30</v>
      </c>
      <c r="V1522">
        <v>232616</v>
      </c>
      <c r="W1522">
        <v>3.85</v>
      </c>
      <c r="X1522">
        <v>4</v>
      </c>
    </row>
    <row r="1523" spans="1:24" x14ac:dyDescent="0.3">
      <c r="A1523" t="s">
        <v>92</v>
      </c>
      <c r="B1523" t="s">
        <v>110</v>
      </c>
      <c r="C1523">
        <v>2024</v>
      </c>
      <c r="D1523" t="s">
        <v>44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34</v>
      </c>
      <c r="N1523">
        <v>5</v>
      </c>
      <c r="O1523" t="s">
        <v>28</v>
      </c>
      <c r="P1523">
        <v>63.8</v>
      </c>
      <c r="Q1523">
        <v>2732</v>
      </c>
      <c r="R1523">
        <v>5</v>
      </c>
      <c r="S1523">
        <v>0</v>
      </c>
      <c r="T1523" t="s">
        <v>65</v>
      </c>
      <c r="U1523" t="s">
        <v>30</v>
      </c>
      <c r="V1523">
        <v>11219</v>
      </c>
      <c r="W1523">
        <v>3.72</v>
      </c>
      <c r="X1523">
        <v>5</v>
      </c>
    </row>
    <row r="1524" spans="1:24" x14ac:dyDescent="0.3">
      <c r="A1524" t="s">
        <v>63</v>
      </c>
      <c r="B1524" t="s">
        <v>67</v>
      </c>
      <c r="C1524">
        <v>2025</v>
      </c>
      <c r="D1524" t="s">
        <v>56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27</v>
      </c>
      <c r="N1524">
        <v>7</v>
      </c>
      <c r="O1524" t="s">
        <v>28</v>
      </c>
      <c r="P1524">
        <v>74.400000000000006</v>
      </c>
      <c r="Q1524">
        <v>2640</v>
      </c>
      <c r="R1524">
        <v>4</v>
      </c>
      <c r="S1524">
        <v>1</v>
      </c>
      <c r="T1524" t="s">
        <v>65</v>
      </c>
      <c r="U1524" t="s">
        <v>37</v>
      </c>
      <c r="V1524">
        <v>115977</v>
      </c>
      <c r="W1524">
        <v>3.16</v>
      </c>
      <c r="X1524">
        <v>4</v>
      </c>
    </row>
    <row r="1525" spans="1:24" x14ac:dyDescent="0.3">
      <c r="A1525" t="s">
        <v>46</v>
      </c>
      <c r="B1525" t="s">
        <v>47</v>
      </c>
      <c r="C1525">
        <v>2025</v>
      </c>
      <c r="D1525" t="s">
        <v>44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34</v>
      </c>
      <c r="N1525">
        <v>5</v>
      </c>
      <c r="O1525" t="s">
        <v>28</v>
      </c>
      <c r="P1525">
        <v>79.900000000000006</v>
      </c>
      <c r="Q1525">
        <v>2409</v>
      </c>
      <c r="R1525">
        <v>5</v>
      </c>
      <c r="S1525">
        <v>2</v>
      </c>
      <c r="T1525" t="s">
        <v>41</v>
      </c>
      <c r="U1525" t="s">
        <v>30</v>
      </c>
      <c r="V1525">
        <v>130244</v>
      </c>
      <c r="W1525">
        <v>3.47</v>
      </c>
      <c r="X1525">
        <v>4</v>
      </c>
    </row>
    <row r="1526" spans="1:24" x14ac:dyDescent="0.3">
      <c r="A1526" t="s">
        <v>68</v>
      </c>
      <c r="B1526" t="s">
        <v>69</v>
      </c>
      <c r="C1526">
        <v>2025</v>
      </c>
      <c r="D1526" t="s">
        <v>26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27</v>
      </c>
      <c r="N1526">
        <v>7</v>
      </c>
      <c r="O1526" t="s">
        <v>40</v>
      </c>
      <c r="P1526">
        <v>70.099999999999994</v>
      </c>
      <c r="Q1526">
        <v>1500</v>
      </c>
      <c r="R1526">
        <v>5</v>
      </c>
      <c r="S1526">
        <v>1</v>
      </c>
      <c r="T1526" t="s">
        <v>45</v>
      </c>
      <c r="U1526" t="s">
        <v>33</v>
      </c>
      <c r="V1526">
        <v>95350</v>
      </c>
      <c r="W1526">
        <v>3.54</v>
      </c>
      <c r="X1526">
        <v>4</v>
      </c>
    </row>
    <row r="1527" spans="1:24" x14ac:dyDescent="0.3">
      <c r="A1527" t="s">
        <v>63</v>
      </c>
      <c r="B1527" t="s">
        <v>107</v>
      </c>
      <c r="C1527">
        <v>2022</v>
      </c>
      <c r="D1527" t="s">
        <v>56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48</v>
      </c>
      <c r="N1527">
        <v>5</v>
      </c>
      <c r="O1527" t="s">
        <v>51</v>
      </c>
      <c r="P1527">
        <v>22.3</v>
      </c>
      <c r="Q1527">
        <v>1704</v>
      </c>
      <c r="R1527">
        <v>4</v>
      </c>
      <c r="S1527">
        <v>0</v>
      </c>
      <c r="T1527" t="s">
        <v>65</v>
      </c>
      <c r="U1527" t="s">
        <v>66</v>
      </c>
      <c r="V1527">
        <v>237770</v>
      </c>
      <c r="W1527">
        <v>3.36</v>
      </c>
      <c r="X1527">
        <v>4</v>
      </c>
    </row>
    <row r="1528" spans="1:24" x14ac:dyDescent="0.3">
      <c r="A1528" t="s">
        <v>63</v>
      </c>
      <c r="B1528" t="s">
        <v>67</v>
      </c>
      <c r="C1528">
        <v>2025</v>
      </c>
      <c r="D1528" t="s">
        <v>44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34</v>
      </c>
      <c r="N1528">
        <v>5</v>
      </c>
      <c r="O1528" t="s">
        <v>40</v>
      </c>
      <c r="P1528">
        <v>62.5</v>
      </c>
      <c r="Q1528">
        <v>1649</v>
      </c>
      <c r="R1528">
        <v>4</v>
      </c>
      <c r="S1528">
        <v>2</v>
      </c>
      <c r="T1528" t="s">
        <v>65</v>
      </c>
      <c r="U1528" t="s">
        <v>30</v>
      </c>
      <c r="V1528">
        <v>190907</v>
      </c>
      <c r="W1528">
        <v>3.49</v>
      </c>
      <c r="X1528">
        <v>4</v>
      </c>
    </row>
    <row r="1529" spans="1:24" x14ac:dyDescent="0.3">
      <c r="A1529" t="s">
        <v>63</v>
      </c>
      <c r="B1529" t="s">
        <v>82</v>
      </c>
      <c r="C1529">
        <v>2024</v>
      </c>
      <c r="D1529" t="s">
        <v>56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27</v>
      </c>
      <c r="N1529">
        <v>5</v>
      </c>
      <c r="O1529" t="s">
        <v>28</v>
      </c>
      <c r="P1529">
        <v>76</v>
      </c>
      <c r="Q1529">
        <v>2531</v>
      </c>
      <c r="R1529">
        <v>5</v>
      </c>
      <c r="S1529">
        <v>2</v>
      </c>
      <c r="T1529" t="s">
        <v>65</v>
      </c>
      <c r="U1529" t="s">
        <v>37</v>
      </c>
      <c r="V1529">
        <v>114800</v>
      </c>
      <c r="W1529">
        <v>3.48</v>
      </c>
      <c r="X1529">
        <v>3</v>
      </c>
    </row>
    <row r="1530" spans="1:24" x14ac:dyDescent="0.3">
      <c r="A1530" t="s">
        <v>76</v>
      </c>
      <c r="B1530" t="s">
        <v>77</v>
      </c>
      <c r="C1530">
        <v>2025</v>
      </c>
      <c r="D1530" t="s">
        <v>61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48</v>
      </c>
      <c r="N1530">
        <v>5</v>
      </c>
      <c r="O1530" t="s">
        <v>51</v>
      </c>
      <c r="P1530">
        <v>22</v>
      </c>
      <c r="Q1530">
        <v>1696</v>
      </c>
      <c r="R1530">
        <v>5</v>
      </c>
      <c r="S1530">
        <v>1</v>
      </c>
      <c r="T1530" t="s">
        <v>41</v>
      </c>
      <c r="U1530" t="s">
        <v>33</v>
      </c>
      <c r="V1530">
        <v>25642</v>
      </c>
      <c r="W1530">
        <v>3.34</v>
      </c>
      <c r="X1530">
        <v>5</v>
      </c>
    </row>
    <row r="1531" spans="1:24" x14ac:dyDescent="0.3">
      <c r="A1531" t="s">
        <v>42</v>
      </c>
      <c r="B1531" t="s">
        <v>115</v>
      </c>
      <c r="C1531">
        <v>2025</v>
      </c>
      <c r="D1531" t="s">
        <v>44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34</v>
      </c>
      <c r="N1531">
        <v>5</v>
      </c>
      <c r="O1531" t="s">
        <v>28</v>
      </c>
      <c r="P1531">
        <v>75.099999999999994</v>
      </c>
      <c r="Q1531">
        <v>2677</v>
      </c>
      <c r="R1531">
        <v>4</v>
      </c>
      <c r="S1531">
        <v>2</v>
      </c>
      <c r="T1531" t="s">
        <v>45</v>
      </c>
      <c r="U1531" t="s">
        <v>37</v>
      </c>
      <c r="V1531">
        <v>124966</v>
      </c>
      <c r="W1531">
        <v>3.94</v>
      </c>
      <c r="X1531">
        <v>4</v>
      </c>
    </row>
    <row r="1532" spans="1:24" x14ac:dyDescent="0.3">
      <c r="A1532" t="s">
        <v>63</v>
      </c>
      <c r="B1532" t="s">
        <v>88</v>
      </c>
      <c r="C1532">
        <v>2022</v>
      </c>
      <c r="D1532" t="s">
        <v>61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34</v>
      </c>
      <c r="N1532">
        <v>7</v>
      </c>
      <c r="O1532" t="s">
        <v>40</v>
      </c>
      <c r="P1532">
        <v>64.3</v>
      </c>
      <c r="Q1532">
        <v>1500</v>
      </c>
      <c r="R1532">
        <v>4</v>
      </c>
      <c r="S1532">
        <v>1</v>
      </c>
      <c r="T1532" t="s">
        <v>65</v>
      </c>
      <c r="U1532" t="s">
        <v>33</v>
      </c>
      <c r="V1532">
        <v>232843</v>
      </c>
      <c r="W1532">
        <v>3.32</v>
      </c>
      <c r="X1532">
        <v>4</v>
      </c>
    </row>
    <row r="1533" spans="1:24" x14ac:dyDescent="0.3">
      <c r="A1533" t="s">
        <v>42</v>
      </c>
      <c r="B1533" t="s">
        <v>54</v>
      </c>
      <c r="C1533">
        <v>2022</v>
      </c>
      <c r="D1533" t="s">
        <v>56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48</v>
      </c>
      <c r="N1533">
        <v>7</v>
      </c>
      <c r="O1533" t="s">
        <v>28</v>
      </c>
      <c r="P1533">
        <v>56.4</v>
      </c>
      <c r="Q1533">
        <v>2426</v>
      </c>
      <c r="R1533">
        <v>4</v>
      </c>
      <c r="S1533">
        <v>1</v>
      </c>
      <c r="T1533" t="s">
        <v>45</v>
      </c>
      <c r="U1533" t="s">
        <v>66</v>
      </c>
      <c r="V1533">
        <v>109878</v>
      </c>
      <c r="W1533">
        <v>3.27</v>
      </c>
      <c r="X1533">
        <v>4</v>
      </c>
    </row>
    <row r="1534" spans="1:24" x14ac:dyDescent="0.3">
      <c r="A1534" t="s">
        <v>38</v>
      </c>
      <c r="B1534" t="s">
        <v>39</v>
      </c>
      <c r="C1534">
        <v>2025</v>
      </c>
      <c r="D1534" t="s">
        <v>56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48</v>
      </c>
      <c r="N1534">
        <v>7</v>
      </c>
      <c r="O1534" t="s">
        <v>28</v>
      </c>
      <c r="P1534">
        <v>64.599999999999994</v>
      </c>
      <c r="Q1534">
        <v>2166</v>
      </c>
      <c r="R1534">
        <v>5</v>
      </c>
      <c r="S1534">
        <v>1</v>
      </c>
      <c r="T1534" t="s">
        <v>41</v>
      </c>
      <c r="U1534" t="s">
        <v>66</v>
      </c>
      <c r="V1534">
        <v>18832</v>
      </c>
      <c r="W1534">
        <v>3.2</v>
      </c>
      <c r="X1534">
        <v>4</v>
      </c>
    </row>
    <row r="1535" spans="1:24" x14ac:dyDescent="0.3">
      <c r="A1535" t="s">
        <v>63</v>
      </c>
      <c r="B1535" t="s">
        <v>107</v>
      </c>
      <c r="C1535">
        <v>2023</v>
      </c>
      <c r="D1535" t="s">
        <v>44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27</v>
      </c>
      <c r="N1535">
        <v>5</v>
      </c>
      <c r="O1535" t="s">
        <v>58</v>
      </c>
      <c r="P1535">
        <v>31.5</v>
      </c>
      <c r="Q1535">
        <v>1500</v>
      </c>
      <c r="R1535">
        <v>4</v>
      </c>
      <c r="S1535">
        <v>1</v>
      </c>
      <c r="T1535" t="s">
        <v>65</v>
      </c>
      <c r="U1535" t="s">
        <v>66</v>
      </c>
      <c r="V1535">
        <v>176350</v>
      </c>
      <c r="W1535">
        <v>3.6</v>
      </c>
      <c r="X1535">
        <v>4</v>
      </c>
    </row>
    <row r="1536" spans="1:24" x14ac:dyDescent="0.3">
      <c r="A1536" t="s">
        <v>24</v>
      </c>
      <c r="B1536" t="s">
        <v>70</v>
      </c>
      <c r="C1536">
        <v>2020</v>
      </c>
      <c r="D1536" t="s">
        <v>33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27</v>
      </c>
      <c r="N1536">
        <v>5</v>
      </c>
      <c r="O1536" t="s">
        <v>28</v>
      </c>
      <c r="P1536">
        <v>57.3</v>
      </c>
      <c r="Q1536">
        <v>2188</v>
      </c>
      <c r="R1536">
        <v>5</v>
      </c>
      <c r="S1536">
        <v>1</v>
      </c>
      <c r="T1536" t="s">
        <v>29</v>
      </c>
      <c r="U1536" t="s">
        <v>37</v>
      </c>
      <c r="V1536">
        <v>221203</v>
      </c>
      <c r="W1536">
        <v>3.43</v>
      </c>
      <c r="X1536">
        <v>4</v>
      </c>
    </row>
    <row r="1537" spans="1:24" x14ac:dyDescent="0.3">
      <c r="A1537" t="s">
        <v>46</v>
      </c>
      <c r="B1537" t="s">
        <v>78</v>
      </c>
      <c r="C1537">
        <v>2025</v>
      </c>
      <c r="D1537" t="s">
        <v>56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27</v>
      </c>
      <c r="N1537">
        <v>5</v>
      </c>
      <c r="O1537" t="s">
        <v>58</v>
      </c>
      <c r="P1537">
        <v>24.8</v>
      </c>
      <c r="Q1537">
        <v>1533</v>
      </c>
      <c r="R1537">
        <v>5</v>
      </c>
      <c r="S1537">
        <v>2</v>
      </c>
      <c r="T1537" t="s">
        <v>41</v>
      </c>
      <c r="U1537" t="s">
        <v>66</v>
      </c>
      <c r="V1537">
        <v>248383</v>
      </c>
      <c r="W1537">
        <v>3.55</v>
      </c>
      <c r="X1537">
        <v>4</v>
      </c>
    </row>
    <row r="1538" spans="1:24" x14ac:dyDescent="0.3">
      <c r="A1538" t="s">
        <v>46</v>
      </c>
      <c r="B1538" t="s">
        <v>72</v>
      </c>
      <c r="C1538">
        <v>2023</v>
      </c>
      <c r="D1538" t="s">
        <v>26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27</v>
      </c>
      <c r="N1538">
        <v>5</v>
      </c>
      <c r="O1538" t="s">
        <v>28</v>
      </c>
      <c r="P1538">
        <v>60</v>
      </c>
      <c r="Q1538">
        <v>2669</v>
      </c>
      <c r="R1538">
        <v>4</v>
      </c>
      <c r="S1538">
        <v>3</v>
      </c>
      <c r="T1538" t="s">
        <v>41</v>
      </c>
      <c r="U1538" t="s">
        <v>37</v>
      </c>
      <c r="V1538">
        <v>102435</v>
      </c>
      <c r="W1538">
        <v>4.04</v>
      </c>
      <c r="X1538">
        <v>4</v>
      </c>
    </row>
    <row r="1539" spans="1:24" x14ac:dyDescent="0.3">
      <c r="A1539" t="s">
        <v>83</v>
      </c>
      <c r="B1539" t="s">
        <v>89</v>
      </c>
      <c r="C1539">
        <v>2025</v>
      </c>
      <c r="D1539" t="s">
        <v>61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34</v>
      </c>
      <c r="N1539">
        <v>5</v>
      </c>
      <c r="O1539" t="s">
        <v>58</v>
      </c>
      <c r="P1539">
        <v>19.899999999999999</v>
      </c>
      <c r="Q1539">
        <v>1537</v>
      </c>
      <c r="R1539">
        <v>5</v>
      </c>
      <c r="S1539">
        <v>1</v>
      </c>
      <c r="T1539" t="s">
        <v>29</v>
      </c>
      <c r="U1539" t="s">
        <v>33</v>
      </c>
      <c r="V1539">
        <v>23009</v>
      </c>
      <c r="W1539">
        <v>3.46</v>
      </c>
      <c r="X1539">
        <v>6</v>
      </c>
    </row>
    <row r="1540" spans="1:24" x14ac:dyDescent="0.3">
      <c r="A1540" t="s">
        <v>46</v>
      </c>
      <c r="B1540" t="s">
        <v>57</v>
      </c>
      <c r="C1540">
        <v>2025</v>
      </c>
      <c r="D1540" t="s">
        <v>33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27</v>
      </c>
      <c r="N1540">
        <v>5</v>
      </c>
      <c r="O1540" t="s">
        <v>51</v>
      </c>
      <c r="P1540">
        <v>25.9</v>
      </c>
      <c r="Q1540">
        <v>1648</v>
      </c>
      <c r="R1540">
        <v>4</v>
      </c>
      <c r="S1540">
        <v>2</v>
      </c>
      <c r="T1540" t="s">
        <v>41</v>
      </c>
      <c r="U1540" t="s">
        <v>30</v>
      </c>
      <c r="V1540">
        <v>206373</v>
      </c>
      <c r="W1540">
        <v>3.59</v>
      </c>
      <c r="X1540">
        <v>6</v>
      </c>
    </row>
    <row r="1541" spans="1:24" x14ac:dyDescent="0.3">
      <c r="A1541" t="s">
        <v>68</v>
      </c>
      <c r="B1541" t="s">
        <v>90</v>
      </c>
      <c r="C1541">
        <v>2022</v>
      </c>
      <c r="D1541" t="s">
        <v>61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34</v>
      </c>
      <c r="N1541">
        <v>5</v>
      </c>
      <c r="O1541" t="s">
        <v>35</v>
      </c>
      <c r="P1541">
        <v>51.8</v>
      </c>
      <c r="Q1541">
        <v>1948</v>
      </c>
      <c r="R1541">
        <v>5</v>
      </c>
      <c r="S1541">
        <v>0</v>
      </c>
      <c r="T1541" t="s">
        <v>45</v>
      </c>
      <c r="U1541" t="s">
        <v>37</v>
      </c>
      <c r="V1541">
        <v>50222</v>
      </c>
      <c r="W1541">
        <v>3.32</v>
      </c>
      <c r="X1541">
        <v>4</v>
      </c>
    </row>
    <row r="1542" spans="1:24" x14ac:dyDescent="0.3">
      <c r="A1542" t="s">
        <v>38</v>
      </c>
      <c r="B1542" t="s">
        <v>101</v>
      </c>
      <c r="C1542">
        <v>2025</v>
      </c>
      <c r="D1542" t="s">
        <v>44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27</v>
      </c>
      <c r="N1542">
        <v>7</v>
      </c>
      <c r="O1542" t="s">
        <v>28</v>
      </c>
      <c r="P1542">
        <v>74.099999999999994</v>
      </c>
      <c r="Q1542">
        <v>2456</v>
      </c>
      <c r="R1542">
        <v>4</v>
      </c>
      <c r="S1542">
        <v>0</v>
      </c>
      <c r="T1542" t="s">
        <v>41</v>
      </c>
      <c r="U1542" t="s">
        <v>33</v>
      </c>
      <c r="V1542">
        <v>14842</v>
      </c>
      <c r="W1542">
        <v>3.62</v>
      </c>
      <c r="X1542">
        <v>5</v>
      </c>
    </row>
    <row r="1543" spans="1:24" x14ac:dyDescent="0.3">
      <c r="A1543" t="s">
        <v>46</v>
      </c>
      <c r="B1543" t="s">
        <v>57</v>
      </c>
      <c r="C1543">
        <v>2024</v>
      </c>
      <c r="D1543" t="s">
        <v>26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48</v>
      </c>
      <c r="N1543">
        <v>5</v>
      </c>
      <c r="O1543" t="s">
        <v>40</v>
      </c>
      <c r="P1543">
        <v>71.7</v>
      </c>
      <c r="Q1543">
        <v>1500</v>
      </c>
      <c r="R1543">
        <v>4</v>
      </c>
      <c r="S1543">
        <v>2</v>
      </c>
      <c r="T1543" t="s">
        <v>41</v>
      </c>
      <c r="U1543" t="s">
        <v>37</v>
      </c>
      <c r="V1543">
        <v>248485</v>
      </c>
      <c r="W1543">
        <v>4.42</v>
      </c>
      <c r="X1543">
        <v>4</v>
      </c>
    </row>
    <row r="1544" spans="1:24" x14ac:dyDescent="0.3">
      <c r="A1544" t="s">
        <v>42</v>
      </c>
      <c r="B1544" t="s">
        <v>80</v>
      </c>
      <c r="C1544">
        <v>2023</v>
      </c>
      <c r="D1544" t="s">
        <v>44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34</v>
      </c>
      <c r="N1544">
        <v>7</v>
      </c>
      <c r="O1544" t="s">
        <v>35</v>
      </c>
      <c r="P1544">
        <v>47</v>
      </c>
      <c r="Q1544">
        <v>1905</v>
      </c>
      <c r="R1544">
        <v>5</v>
      </c>
      <c r="S1544">
        <v>0</v>
      </c>
      <c r="T1544" t="s">
        <v>45</v>
      </c>
      <c r="U1544" t="s">
        <v>37</v>
      </c>
      <c r="V1544">
        <v>73090</v>
      </c>
      <c r="W1544">
        <v>3.76</v>
      </c>
      <c r="X1544">
        <v>4</v>
      </c>
    </row>
    <row r="1545" spans="1:24" x14ac:dyDescent="0.3">
      <c r="A1545" t="s">
        <v>63</v>
      </c>
      <c r="B1545" t="s">
        <v>73</v>
      </c>
      <c r="C1545">
        <v>2023</v>
      </c>
      <c r="D1545" t="s">
        <v>33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48</v>
      </c>
      <c r="N1545">
        <v>5</v>
      </c>
      <c r="O1545" t="s">
        <v>50</v>
      </c>
      <c r="P1545">
        <v>36.299999999999997</v>
      </c>
      <c r="Q1545">
        <v>2102</v>
      </c>
      <c r="R1545">
        <v>4</v>
      </c>
      <c r="S1545">
        <v>1</v>
      </c>
      <c r="T1545" t="s">
        <v>65</v>
      </c>
      <c r="U1545" t="s">
        <v>37</v>
      </c>
      <c r="V1545">
        <v>163237</v>
      </c>
      <c r="W1545">
        <v>3.63</v>
      </c>
      <c r="X1545">
        <v>4</v>
      </c>
    </row>
    <row r="1546" spans="1:24" x14ac:dyDescent="0.3">
      <c r="A1546" t="s">
        <v>31</v>
      </c>
      <c r="B1546" t="s">
        <v>32</v>
      </c>
      <c r="C1546">
        <v>2026</v>
      </c>
      <c r="D1546" t="s">
        <v>44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34</v>
      </c>
      <c r="N1546">
        <v>7</v>
      </c>
      <c r="O1546" t="s">
        <v>35</v>
      </c>
      <c r="P1546">
        <v>44.6</v>
      </c>
      <c r="Q1546">
        <v>1924</v>
      </c>
      <c r="R1546">
        <v>4</v>
      </c>
      <c r="S1546">
        <v>1</v>
      </c>
      <c r="T1546" t="s">
        <v>36</v>
      </c>
      <c r="U1546" t="s">
        <v>33</v>
      </c>
      <c r="V1546">
        <v>27998</v>
      </c>
      <c r="W1546">
        <v>3.62</v>
      </c>
      <c r="X1546">
        <v>4</v>
      </c>
    </row>
    <row r="1547" spans="1:24" x14ac:dyDescent="0.3">
      <c r="A1547" t="s">
        <v>68</v>
      </c>
      <c r="B1547" t="s">
        <v>79</v>
      </c>
      <c r="C1547">
        <v>2022</v>
      </c>
      <c r="D1547" t="s">
        <v>26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48</v>
      </c>
      <c r="N1547">
        <v>5</v>
      </c>
      <c r="O1547" t="s">
        <v>51</v>
      </c>
      <c r="P1547">
        <v>29.7</v>
      </c>
      <c r="Q1547">
        <v>1611</v>
      </c>
      <c r="R1547">
        <v>5</v>
      </c>
      <c r="S1547">
        <v>1</v>
      </c>
      <c r="T1547" t="s">
        <v>45</v>
      </c>
      <c r="U1547" t="s">
        <v>37</v>
      </c>
      <c r="V1547">
        <v>141874</v>
      </c>
      <c r="W1547">
        <v>4.18</v>
      </c>
      <c r="X1547">
        <v>4</v>
      </c>
    </row>
    <row r="1548" spans="1:24" x14ac:dyDescent="0.3">
      <c r="A1548" t="s">
        <v>76</v>
      </c>
      <c r="B1548" t="s">
        <v>98</v>
      </c>
      <c r="C1548">
        <v>2022</v>
      </c>
      <c r="D1548" t="s">
        <v>44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48</v>
      </c>
      <c r="N1548">
        <v>5</v>
      </c>
      <c r="O1548" t="s">
        <v>28</v>
      </c>
      <c r="P1548">
        <v>74.400000000000006</v>
      </c>
      <c r="Q1548">
        <v>2525</v>
      </c>
      <c r="R1548">
        <v>5</v>
      </c>
      <c r="S1548">
        <v>2</v>
      </c>
      <c r="T1548" t="s">
        <v>41</v>
      </c>
      <c r="U1548" t="s">
        <v>33</v>
      </c>
      <c r="V1548">
        <v>45060</v>
      </c>
      <c r="W1548">
        <v>3.95</v>
      </c>
      <c r="X1548">
        <v>4</v>
      </c>
    </row>
    <row r="1549" spans="1:24" x14ac:dyDescent="0.3">
      <c r="A1549" t="s">
        <v>42</v>
      </c>
      <c r="B1549" t="s">
        <v>71</v>
      </c>
      <c r="C1549">
        <v>2023</v>
      </c>
      <c r="D1549" t="s">
        <v>26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27</v>
      </c>
      <c r="N1549">
        <v>7</v>
      </c>
      <c r="O1549" t="s">
        <v>58</v>
      </c>
      <c r="P1549">
        <v>29.6</v>
      </c>
      <c r="Q1549">
        <v>1715</v>
      </c>
      <c r="R1549">
        <v>4</v>
      </c>
      <c r="S1549">
        <v>0</v>
      </c>
      <c r="T1549" t="s">
        <v>45</v>
      </c>
      <c r="U1549" t="s">
        <v>33</v>
      </c>
      <c r="V1549">
        <v>109134</v>
      </c>
      <c r="W1549">
        <v>3.67</v>
      </c>
      <c r="X1549">
        <v>4</v>
      </c>
    </row>
    <row r="1550" spans="1:24" x14ac:dyDescent="0.3">
      <c r="A1550" t="s">
        <v>46</v>
      </c>
      <c r="B1550" t="s">
        <v>57</v>
      </c>
      <c r="C1550">
        <v>2025</v>
      </c>
      <c r="D1550" t="s">
        <v>56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34</v>
      </c>
      <c r="N1550">
        <v>5</v>
      </c>
      <c r="O1550" t="s">
        <v>58</v>
      </c>
      <c r="P1550">
        <v>38.9</v>
      </c>
      <c r="Q1550">
        <v>1585</v>
      </c>
      <c r="R1550">
        <v>4</v>
      </c>
      <c r="S1550">
        <v>2</v>
      </c>
      <c r="T1550" t="s">
        <v>41</v>
      </c>
      <c r="U1550" t="s">
        <v>33</v>
      </c>
      <c r="V1550">
        <v>129076</v>
      </c>
      <c r="W1550">
        <v>3.36</v>
      </c>
      <c r="X1550">
        <v>4</v>
      </c>
    </row>
    <row r="1551" spans="1:24" x14ac:dyDescent="0.3">
      <c r="A1551" t="s">
        <v>83</v>
      </c>
      <c r="B1551" t="s">
        <v>104</v>
      </c>
      <c r="C1551">
        <v>2025</v>
      </c>
      <c r="D1551" t="s">
        <v>33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27</v>
      </c>
      <c r="N1551">
        <v>5</v>
      </c>
      <c r="O1551" t="s">
        <v>35</v>
      </c>
      <c r="P1551">
        <v>50.4</v>
      </c>
      <c r="Q1551">
        <v>2012</v>
      </c>
      <c r="R1551">
        <v>5</v>
      </c>
      <c r="S1551">
        <v>1</v>
      </c>
      <c r="T1551" t="s">
        <v>29</v>
      </c>
      <c r="U1551" t="s">
        <v>30</v>
      </c>
      <c r="V1551">
        <v>27376</v>
      </c>
      <c r="W1551">
        <v>3.39</v>
      </c>
      <c r="X1551">
        <v>8</v>
      </c>
    </row>
    <row r="1552" spans="1:24" x14ac:dyDescent="0.3">
      <c r="A1552" t="s">
        <v>31</v>
      </c>
      <c r="B1552" t="s">
        <v>112</v>
      </c>
      <c r="C1552">
        <v>2026</v>
      </c>
      <c r="D1552" t="s">
        <v>33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27</v>
      </c>
      <c r="N1552">
        <v>5</v>
      </c>
      <c r="O1552" t="s">
        <v>58</v>
      </c>
      <c r="P1552">
        <v>17.100000000000001</v>
      </c>
      <c r="Q1552">
        <v>1595</v>
      </c>
      <c r="R1552">
        <v>4</v>
      </c>
      <c r="S1552">
        <v>0</v>
      </c>
      <c r="T1552" t="s">
        <v>36</v>
      </c>
      <c r="U1552" t="s">
        <v>33</v>
      </c>
      <c r="V1552">
        <v>9198</v>
      </c>
      <c r="W1552">
        <v>3.03</v>
      </c>
      <c r="X1552">
        <v>4</v>
      </c>
    </row>
    <row r="1553" spans="1:24" x14ac:dyDescent="0.3">
      <c r="A1553" t="s">
        <v>42</v>
      </c>
      <c r="B1553" t="s">
        <v>71</v>
      </c>
      <c r="C1553">
        <v>2026</v>
      </c>
      <c r="D1553" t="s">
        <v>44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34</v>
      </c>
      <c r="N1553">
        <v>7</v>
      </c>
      <c r="O1553" t="s">
        <v>51</v>
      </c>
      <c r="P1553">
        <v>23.4</v>
      </c>
      <c r="Q1553">
        <v>1883</v>
      </c>
      <c r="R1553">
        <v>5</v>
      </c>
      <c r="S1553">
        <v>1</v>
      </c>
      <c r="T1553" t="s">
        <v>45</v>
      </c>
      <c r="U1553" t="s">
        <v>37</v>
      </c>
      <c r="V1553">
        <v>112650</v>
      </c>
      <c r="W1553">
        <v>3.77</v>
      </c>
      <c r="X1553">
        <v>4</v>
      </c>
    </row>
    <row r="1554" spans="1:24" x14ac:dyDescent="0.3">
      <c r="A1554" t="s">
        <v>76</v>
      </c>
      <c r="B1554" t="s">
        <v>77</v>
      </c>
      <c r="C1554">
        <v>2023</v>
      </c>
      <c r="D1554" t="s">
        <v>61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48</v>
      </c>
      <c r="N1554">
        <v>5</v>
      </c>
      <c r="O1554" t="s">
        <v>50</v>
      </c>
      <c r="P1554">
        <v>34</v>
      </c>
      <c r="Q1554">
        <v>1664</v>
      </c>
      <c r="R1554">
        <v>4</v>
      </c>
      <c r="S1554">
        <v>0</v>
      </c>
      <c r="T1554" t="s">
        <v>41</v>
      </c>
      <c r="U1554" t="s">
        <v>37</v>
      </c>
      <c r="V1554">
        <v>76286</v>
      </c>
      <c r="W1554">
        <v>3.13</v>
      </c>
      <c r="X1554">
        <v>5</v>
      </c>
    </row>
    <row r="1555" spans="1:24" x14ac:dyDescent="0.3">
      <c r="A1555" t="s">
        <v>86</v>
      </c>
      <c r="B1555" t="s">
        <v>117</v>
      </c>
      <c r="C1555">
        <v>2024</v>
      </c>
      <c r="D1555" t="s">
        <v>33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27</v>
      </c>
      <c r="N1555">
        <v>5</v>
      </c>
      <c r="O1555" t="s">
        <v>58</v>
      </c>
      <c r="P1555">
        <v>29.1</v>
      </c>
      <c r="Q1555">
        <v>1715</v>
      </c>
      <c r="R1555">
        <v>4</v>
      </c>
      <c r="S1555">
        <v>1</v>
      </c>
      <c r="T1555" t="s">
        <v>29</v>
      </c>
      <c r="U1555" t="s">
        <v>30</v>
      </c>
      <c r="V1555">
        <v>44054</v>
      </c>
      <c r="W1555">
        <v>3.23</v>
      </c>
      <c r="X1555">
        <v>7</v>
      </c>
    </row>
    <row r="1556" spans="1:24" x14ac:dyDescent="0.3">
      <c r="A1556" t="s">
        <v>63</v>
      </c>
      <c r="B1556" t="s">
        <v>107</v>
      </c>
      <c r="C1556">
        <v>2022</v>
      </c>
      <c r="D1556" t="s">
        <v>33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34</v>
      </c>
      <c r="N1556">
        <v>7</v>
      </c>
      <c r="O1556" t="s">
        <v>50</v>
      </c>
      <c r="P1556">
        <v>20.6</v>
      </c>
      <c r="Q1556">
        <v>1500</v>
      </c>
      <c r="R1556">
        <v>3</v>
      </c>
      <c r="S1556">
        <v>0</v>
      </c>
      <c r="T1556" t="s">
        <v>65</v>
      </c>
      <c r="U1556" t="s">
        <v>37</v>
      </c>
      <c r="V1556">
        <v>143146</v>
      </c>
      <c r="W1556">
        <v>3.46</v>
      </c>
      <c r="X1556">
        <v>3</v>
      </c>
    </row>
    <row r="1557" spans="1:24" x14ac:dyDescent="0.3">
      <c r="A1557" t="s">
        <v>63</v>
      </c>
      <c r="B1557" t="s">
        <v>88</v>
      </c>
      <c r="C1557">
        <v>2023</v>
      </c>
      <c r="D1557" t="s">
        <v>61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48</v>
      </c>
      <c r="N1557">
        <v>5</v>
      </c>
      <c r="O1557" t="s">
        <v>35</v>
      </c>
      <c r="P1557">
        <v>35.9</v>
      </c>
      <c r="Q1557">
        <v>1699</v>
      </c>
      <c r="R1557">
        <v>5</v>
      </c>
      <c r="S1557">
        <v>0</v>
      </c>
      <c r="T1557" t="s">
        <v>65</v>
      </c>
      <c r="U1557" t="s">
        <v>66</v>
      </c>
      <c r="V1557">
        <v>206659</v>
      </c>
      <c r="W1557">
        <v>3.36</v>
      </c>
      <c r="X1557">
        <v>4</v>
      </c>
    </row>
    <row r="1558" spans="1:24" x14ac:dyDescent="0.3">
      <c r="A1558" t="s">
        <v>42</v>
      </c>
      <c r="B1558" t="s">
        <v>43</v>
      </c>
      <c r="C1558">
        <v>2023</v>
      </c>
      <c r="D1558" t="s">
        <v>26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48</v>
      </c>
      <c r="N1558">
        <v>7</v>
      </c>
      <c r="O1558" t="s">
        <v>35</v>
      </c>
      <c r="P1558">
        <v>54.6</v>
      </c>
      <c r="Q1558">
        <v>2003</v>
      </c>
      <c r="R1558">
        <v>4</v>
      </c>
      <c r="S1558">
        <v>0</v>
      </c>
      <c r="T1558" t="s">
        <v>45</v>
      </c>
      <c r="U1558" t="s">
        <v>33</v>
      </c>
      <c r="V1558">
        <v>118664</v>
      </c>
      <c r="W1558">
        <v>3.6</v>
      </c>
      <c r="X1558">
        <v>4</v>
      </c>
    </row>
    <row r="1559" spans="1:24" x14ac:dyDescent="0.3">
      <c r="A1559" t="s">
        <v>24</v>
      </c>
      <c r="B1559" t="s">
        <v>75</v>
      </c>
      <c r="C1559">
        <v>2022</v>
      </c>
      <c r="D1559" t="s">
        <v>44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34</v>
      </c>
      <c r="N1559">
        <v>5</v>
      </c>
      <c r="O1559" t="s">
        <v>28</v>
      </c>
      <c r="P1559">
        <v>50.8</v>
      </c>
      <c r="Q1559">
        <v>2433</v>
      </c>
      <c r="R1559">
        <v>3</v>
      </c>
      <c r="S1559">
        <v>1</v>
      </c>
      <c r="T1559" t="s">
        <v>29</v>
      </c>
      <c r="U1559" t="s">
        <v>33</v>
      </c>
      <c r="V1559">
        <v>255210</v>
      </c>
      <c r="W1559">
        <v>3.55</v>
      </c>
      <c r="X1559">
        <v>4</v>
      </c>
    </row>
    <row r="1560" spans="1:24" x14ac:dyDescent="0.3">
      <c r="A1560" t="s">
        <v>52</v>
      </c>
      <c r="B1560" t="s">
        <v>53</v>
      </c>
      <c r="C1560">
        <v>2022</v>
      </c>
      <c r="D1560" t="s">
        <v>44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27</v>
      </c>
      <c r="N1560">
        <v>5</v>
      </c>
      <c r="O1560" t="s">
        <v>28</v>
      </c>
      <c r="P1560">
        <v>52.1</v>
      </c>
      <c r="Q1560">
        <v>2548</v>
      </c>
      <c r="R1560">
        <v>5</v>
      </c>
      <c r="S1560">
        <v>1</v>
      </c>
      <c r="T1560" t="s">
        <v>29</v>
      </c>
      <c r="U1560" t="s">
        <v>30</v>
      </c>
      <c r="V1560">
        <v>49341</v>
      </c>
      <c r="W1560">
        <v>4.26</v>
      </c>
      <c r="X1560">
        <v>6</v>
      </c>
    </row>
    <row r="1561" spans="1:24" x14ac:dyDescent="0.3">
      <c r="A1561" t="s">
        <v>86</v>
      </c>
      <c r="B1561" t="s">
        <v>105</v>
      </c>
      <c r="C1561">
        <v>2024</v>
      </c>
      <c r="D1561" t="s">
        <v>61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48</v>
      </c>
      <c r="N1561">
        <v>5</v>
      </c>
      <c r="O1561" t="s">
        <v>35</v>
      </c>
      <c r="P1561">
        <v>54.8</v>
      </c>
      <c r="Q1561">
        <v>2094</v>
      </c>
      <c r="R1561">
        <v>4</v>
      </c>
      <c r="S1561">
        <v>1</v>
      </c>
      <c r="T1561" t="s">
        <v>29</v>
      </c>
      <c r="U1561" t="s">
        <v>37</v>
      </c>
      <c r="V1561">
        <v>52734</v>
      </c>
      <c r="W1561">
        <v>3.21</v>
      </c>
      <c r="X1561">
        <v>8</v>
      </c>
    </row>
    <row r="1562" spans="1:24" x14ac:dyDescent="0.3">
      <c r="A1562" t="s">
        <v>63</v>
      </c>
      <c r="B1562" t="s">
        <v>96</v>
      </c>
      <c r="C1562">
        <v>2024</v>
      </c>
      <c r="D1562" t="s">
        <v>44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34</v>
      </c>
      <c r="N1562">
        <v>7</v>
      </c>
      <c r="O1562" t="s">
        <v>58</v>
      </c>
      <c r="P1562">
        <v>20.8</v>
      </c>
      <c r="Q1562">
        <v>1791</v>
      </c>
      <c r="R1562">
        <v>3</v>
      </c>
      <c r="S1562">
        <v>2</v>
      </c>
      <c r="T1562" t="s">
        <v>65</v>
      </c>
      <c r="U1562" t="s">
        <v>33</v>
      </c>
      <c r="V1562">
        <v>149633</v>
      </c>
      <c r="W1562">
        <v>3.65</v>
      </c>
      <c r="X1562">
        <v>5</v>
      </c>
    </row>
    <row r="1563" spans="1:24" x14ac:dyDescent="0.3">
      <c r="A1563" t="s">
        <v>63</v>
      </c>
      <c r="B1563" t="s">
        <v>107</v>
      </c>
      <c r="C1563">
        <v>2022</v>
      </c>
      <c r="D1563" t="s">
        <v>56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27</v>
      </c>
      <c r="N1563">
        <v>5</v>
      </c>
      <c r="O1563" t="s">
        <v>58</v>
      </c>
      <c r="P1563">
        <v>24.2</v>
      </c>
      <c r="Q1563">
        <v>1500</v>
      </c>
      <c r="R1563">
        <v>3</v>
      </c>
      <c r="S1563">
        <v>1</v>
      </c>
      <c r="T1563" t="s">
        <v>65</v>
      </c>
      <c r="U1563" t="s">
        <v>37</v>
      </c>
      <c r="V1563">
        <v>150601</v>
      </c>
      <c r="W1563">
        <v>3.18</v>
      </c>
      <c r="X1563">
        <v>4</v>
      </c>
    </row>
    <row r="1564" spans="1:24" x14ac:dyDescent="0.3">
      <c r="A1564" t="s">
        <v>76</v>
      </c>
      <c r="B1564" t="s">
        <v>77</v>
      </c>
      <c r="C1564">
        <v>2026</v>
      </c>
      <c r="D1564" t="s">
        <v>56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48</v>
      </c>
      <c r="N1564">
        <v>5</v>
      </c>
      <c r="O1564" t="s">
        <v>35</v>
      </c>
      <c r="P1564">
        <v>46.9</v>
      </c>
      <c r="Q1564">
        <v>1834</v>
      </c>
      <c r="R1564">
        <v>5</v>
      </c>
      <c r="S1564">
        <v>2</v>
      </c>
      <c r="T1564" t="s">
        <v>41</v>
      </c>
      <c r="U1564" t="s">
        <v>37</v>
      </c>
      <c r="V1564">
        <v>55997</v>
      </c>
      <c r="W1564">
        <v>3.06</v>
      </c>
      <c r="X1564">
        <v>5</v>
      </c>
    </row>
    <row r="1565" spans="1:24" x14ac:dyDescent="0.3">
      <c r="A1565" t="s">
        <v>63</v>
      </c>
      <c r="B1565" t="s">
        <v>82</v>
      </c>
      <c r="C1565">
        <v>2025</v>
      </c>
      <c r="D1565" t="s">
        <v>33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48</v>
      </c>
      <c r="N1565">
        <v>5</v>
      </c>
      <c r="O1565" t="s">
        <v>58</v>
      </c>
      <c r="P1565">
        <v>18.600000000000001</v>
      </c>
      <c r="Q1565">
        <v>1500</v>
      </c>
      <c r="R1565">
        <v>4</v>
      </c>
      <c r="S1565">
        <v>0</v>
      </c>
      <c r="T1565" t="s">
        <v>65</v>
      </c>
      <c r="U1565" t="s">
        <v>33</v>
      </c>
      <c r="V1565">
        <v>114165</v>
      </c>
      <c r="W1565">
        <v>3.2</v>
      </c>
      <c r="X1565">
        <v>3</v>
      </c>
    </row>
    <row r="1566" spans="1:24" x14ac:dyDescent="0.3">
      <c r="A1566" t="s">
        <v>52</v>
      </c>
      <c r="B1566" t="s">
        <v>53</v>
      </c>
      <c r="C1566">
        <v>2024</v>
      </c>
      <c r="D1566" t="s">
        <v>56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27</v>
      </c>
      <c r="N1566">
        <v>5</v>
      </c>
      <c r="O1566" t="s">
        <v>51</v>
      </c>
      <c r="P1566">
        <v>34.700000000000003</v>
      </c>
      <c r="Q1566">
        <v>1760</v>
      </c>
      <c r="R1566">
        <v>5</v>
      </c>
      <c r="S1566">
        <v>1</v>
      </c>
      <c r="T1566" t="s">
        <v>29</v>
      </c>
      <c r="U1566" t="s">
        <v>30</v>
      </c>
      <c r="V1566">
        <v>31657</v>
      </c>
      <c r="W1566">
        <v>3.57</v>
      </c>
      <c r="X1566">
        <v>6</v>
      </c>
    </row>
    <row r="1567" spans="1:24" x14ac:dyDescent="0.3">
      <c r="A1567" t="s">
        <v>24</v>
      </c>
      <c r="B1567" t="s">
        <v>25</v>
      </c>
      <c r="C1567">
        <v>2021</v>
      </c>
      <c r="D1567" t="s">
        <v>44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34</v>
      </c>
      <c r="N1567">
        <v>5</v>
      </c>
      <c r="O1567" t="s">
        <v>28</v>
      </c>
      <c r="P1567">
        <v>58.6</v>
      </c>
      <c r="Q1567">
        <v>2542</v>
      </c>
      <c r="R1567">
        <v>3</v>
      </c>
      <c r="S1567">
        <v>0</v>
      </c>
      <c r="T1567" t="s">
        <v>29</v>
      </c>
      <c r="U1567" t="s">
        <v>37</v>
      </c>
      <c r="V1567">
        <v>202031</v>
      </c>
      <c r="W1567">
        <v>3.79</v>
      </c>
      <c r="X1567">
        <v>3</v>
      </c>
    </row>
    <row r="1568" spans="1:24" x14ac:dyDescent="0.3">
      <c r="A1568" t="s">
        <v>83</v>
      </c>
      <c r="B1568" t="s">
        <v>116</v>
      </c>
      <c r="C1568">
        <v>2025</v>
      </c>
      <c r="D1568" t="s">
        <v>61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48</v>
      </c>
      <c r="N1568">
        <v>7</v>
      </c>
      <c r="O1568" t="s">
        <v>58</v>
      </c>
      <c r="P1568">
        <v>31.5</v>
      </c>
      <c r="Q1568">
        <v>1500</v>
      </c>
      <c r="R1568">
        <v>4</v>
      </c>
      <c r="S1568">
        <v>1</v>
      </c>
      <c r="T1568" t="s">
        <v>29</v>
      </c>
      <c r="U1568" t="s">
        <v>33</v>
      </c>
      <c r="V1568">
        <v>62828</v>
      </c>
      <c r="W1568">
        <v>3.51</v>
      </c>
      <c r="X1568">
        <v>5</v>
      </c>
    </row>
    <row r="1569" spans="1:24" x14ac:dyDescent="0.3">
      <c r="A1569" t="s">
        <v>46</v>
      </c>
      <c r="B1569" t="s">
        <v>49</v>
      </c>
      <c r="C1569">
        <v>2023</v>
      </c>
      <c r="D1569" t="s">
        <v>56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48</v>
      </c>
      <c r="N1569">
        <v>5</v>
      </c>
      <c r="O1569" t="s">
        <v>50</v>
      </c>
      <c r="P1569">
        <v>21</v>
      </c>
      <c r="Q1569">
        <v>1582</v>
      </c>
      <c r="R1569">
        <v>5</v>
      </c>
      <c r="S1569">
        <v>2</v>
      </c>
      <c r="T1569" t="s">
        <v>41</v>
      </c>
      <c r="U1569" t="s">
        <v>30</v>
      </c>
      <c r="V1569">
        <v>481578</v>
      </c>
      <c r="W1569">
        <v>4.09</v>
      </c>
      <c r="X1569">
        <v>4</v>
      </c>
    </row>
    <row r="1570" spans="1:24" x14ac:dyDescent="0.3">
      <c r="A1570" t="s">
        <v>83</v>
      </c>
      <c r="B1570" t="s">
        <v>116</v>
      </c>
      <c r="C1570">
        <v>2024</v>
      </c>
      <c r="D1570" t="s">
        <v>26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27</v>
      </c>
      <c r="N1570">
        <v>5</v>
      </c>
      <c r="O1570" t="s">
        <v>50</v>
      </c>
      <c r="P1570">
        <v>35.200000000000003</v>
      </c>
      <c r="Q1570">
        <v>1572</v>
      </c>
      <c r="R1570">
        <v>4</v>
      </c>
      <c r="S1570">
        <v>1</v>
      </c>
      <c r="T1570" t="s">
        <v>29</v>
      </c>
      <c r="U1570" t="s">
        <v>33</v>
      </c>
      <c r="V1570">
        <v>59167</v>
      </c>
      <c r="W1570">
        <v>3.9</v>
      </c>
      <c r="X1570">
        <v>6</v>
      </c>
    </row>
    <row r="1571" spans="1:24" x14ac:dyDescent="0.3">
      <c r="A1571" t="s">
        <v>24</v>
      </c>
      <c r="B1571" t="s">
        <v>85</v>
      </c>
      <c r="C1571">
        <v>2024</v>
      </c>
      <c r="D1571" t="s">
        <v>61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48</v>
      </c>
      <c r="N1571">
        <v>7</v>
      </c>
      <c r="O1571" t="s">
        <v>35</v>
      </c>
      <c r="P1571">
        <v>68.7</v>
      </c>
      <c r="Q1571">
        <v>1808</v>
      </c>
      <c r="R1571">
        <v>5</v>
      </c>
      <c r="S1571">
        <v>2</v>
      </c>
      <c r="T1571" t="s">
        <v>29</v>
      </c>
      <c r="U1571" t="s">
        <v>37</v>
      </c>
      <c r="V1571">
        <v>256517</v>
      </c>
      <c r="W1571">
        <v>3.43</v>
      </c>
      <c r="X1571">
        <v>3</v>
      </c>
    </row>
    <row r="1572" spans="1:24" x14ac:dyDescent="0.3">
      <c r="A1572" t="s">
        <v>42</v>
      </c>
      <c r="B1572" t="s">
        <v>54</v>
      </c>
      <c r="C1572">
        <v>2025</v>
      </c>
      <c r="D1572" t="s">
        <v>26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48</v>
      </c>
      <c r="N1572">
        <v>5</v>
      </c>
      <c r="O1572" t="s">
        <v>50</v>
      </c>
      <c r="P1572">
        <v>33.700000000000003</v>
      </c>
      <c r="Q1572">
        <v>1630</v>
      </c>
      <c r="R1572">
        <v>5</v>
      </c>
      <c r="S1572">
        <v>0</v>
      </c>
      <c r="T1572" t="s">
        <v>45</v>
      </c>
      <c r="U1572" t="s">
        <v>37</v>
      </c>
      <c r="V1572">
        <v>99623</v>
      </c>
      <c r="W1572">
        <v>3.84</v>
      </c>
      <c r="X1572">
        <v>4</v>
      </c>
    </row>
    <row r="1573" spans="1:24" x14ac:dyDescent="0.3">
      <c r="A1573" t="s">
        <v>46</v>
      </c>
      <c r="B1573" t="s">
        <v>72</v>
      </c>
      <c r="C1573">
        <v>2024</v>
      </c>
      <c r="D1573" t="s">
        <v>61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27</v>
      </c>
      <c r="N1573">
        <v>7</v>
      </c>
      <c r="O1573" t="s">
        <v>28</v>
      </c>
      <c r="P1573">
        <v>56.6</v>
      </c>
      <c r="Q1573">
        <v>2263</v>
      </c>
      <c r="R1573">
        <v>5</v>
      </c>
      <c r="S1573">
        <v>2</v>
      </c>
      <c r="T1573" t="s">
        <v>41</v>
      </c>
      <c r="U1573" t="s">
        <v>30</v>
      </c>
      <c r="V1573">
        <v>162760</v>
      </c>
      <c r="W1573">
        <v>3.82</v>
      </c>
      <c r="X1573">
        <v>5</v>
      </c>
    </row>
    <row r="1574" spans="1:24" x14ac:dyDescent="0.3">
      <c r="A1574" t="s">
        <v>38</v>
      </c>
      <c r="B1574" t="s">
        <v>55</v>
      </c>
      <c r="C1574">
        <v>2024</v>
      </c>
      <c r="D1574" t="s">
        <v>44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27</v>
      </c>
      <c r="N1574">
        <v>5</v>
      </c>
      <c r="O1574" t="s">
        <v>51</v>
      </c>
      <c r="P1574">
        <v>32.200000000000003</v>
      </c>
      <c r="Q1574">
        <v>1592</v>
      </c>
      <c r="R1574">
        <v>4</v>
      </c>
      <c r="S1574">
        <v>0</v>
      </c>
      <c r="T1574" t="s">
        <v>41</v>
      </c>
      <c r="U1574" t="s">
        <v>37</v>
      </c>
      <c r="V1574">
        <v>22048</v>
      </c>
      <c r="W1574">
        <v>3.73</v>
      </c>
      <c r="X1574">
        <v>4</v>
      </c>
    </row>
    <row r="1575" spans="1:24" x14ac:dyDescent="0.3">
      <c r="A1575" t="s">
        <v>52</v>
      </c>
      <c r="B1575" t="s">
        <v>103</v>
      </c>
      <c r="C1575">
        <v>2024</v>
      </c>
      <c r="D1575" t="s">
        <v>33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48</v>
      </c>
      <c r="N1575">
        <v>7</v>
      </c>
      <c r="O1575" t="s">
        <v>40</v>
      </c>
      <c r="P1575">
        <v>61.4</v>
      </c>
      <c r="Q1575">
        <v>1736</v>
      </c>
      <c r="R1575">
        <v>5</v>
      </c>
      <c r="S1575">
        <v>1</v>
      </c>
      <c r="T1575" t="s">
        <v>29</v>
      </c>
      <c r="U1575" t="s">
        <v>30</v>
      </c>
      <c r="V1575">
        <v>76804</v>
      </c>
      <c r="W1575">
        <v>3.93</v>
      </c>
      <c r="X1575">
        <v>6</v>
      </c>
    </row>
    <row r="1576" spans="1:24" x14ac:dyDescent="0.3">
      <c r="A1576" t="s">
        <v>63</v>
      </c>
      <c r="B1576" t="s">
        <v>107</v>
      </c>
      <c r="C1576">
        <v>2023</v>
      </c>
      <c r="D1576" t="s">
        <v>33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27</v>
      </c>
      <c r="N1576">
        <v>7</v>
      </c>
      <c r="O1576" t="s">
        <v>35</v>
      </c>
      <c r="P1576">
        <v>67.7</v>
      </c>
      <c r="Q1576">
        <v>1930</v>
      </c>
      <c r="R1576">
        <v>4</v>
      </c>
      <c r="S1576">
        <v>0</v>
      </c>
      <c r="T1576" t="s">
        <v>65</v>
      </c>
      <c r="U1576" t="s">
        <v>66</v>
      </c>
      <c r="V1576">
        <v>177176</v>
      </c>
      <c r="W1576">
        <v>3.68</v>
      </c>
      <c r="X1576">
        <v>4</v>
      </c>
    </row>
    <row r="1577" spans="1:24" x14ac:dyDescent="0.3">
      <c r="A1577" t="s">
        <v>46</v>
      </c>
      <c r="B1577" t="s">
        <v>57</v>
      </c>
      <c r="C1577">
        <v>2021</v>
      </c>
      <c r="D1577" t="s">
        <v>33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34</v>
      </c>
      <c r="N1577">
        <v>5</v>
      </c>
      <c r="O1577" t="s">
        <v>35</v>
      </c>
      <c r="P1577">
        <v>41.9</v>
      </c>
      <c r="Q1577">
        <v>2265</v>
      </c>
      <c r="R1577">
        <v>5</v>
      </c>
      <c r="S1577">
        <v>2</v>
      </c>
      <c r="T1577" t="s">
        <v>41</v>
      </c>
      <c r="U1577" t="s">
        <v>30</v>
      </c>
      <c r="V1577">
        <v>139115</v>
      </c>
      <c r="W1577">
        <v>3.55</v>
      </c>
      <c r="X1577">
        <v>5</v>
      </c>
    </row>
    <row r="1578" spans="1:24" x14ac:dyDescent="0.3">
      <c r="A1578" t="s">
        <v>46</v>
      </c>
      <c r="B1578" t="s">
        <v>78</v>
      </c>
      <c r="C1578">
        <v>2021</v>
      </c>
      <c r="D1578" t="s">
        <v>56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27</v>
      </c>
      <c r="N1578">
        <v>7</v>
      </c>
      <c r="O1578" t="s">
        <v>28</v>
      </c>
      <c r="P1578">
        <v>79.2</v>
      </c>
      <c r="Q1578">
        <v>2428</v>
      </c>
      <c r="R1578">
        <v>4</v>
      </c>
      <c r="S1578">
        <v>2</v>
      </c>
      <c r="T1578" t="s">
        <v>41</v>
      </c>
      <c r="U1578" t="s">
        <v>33</v>
      </c>
      <c r="V1578">
        <v>228985</v>
      </c>
      <c r="W1578">
        <v>3.76</v>
      </c>
      <c r="X1578">
        <v>6</v>
      </c>
    </row>
    <row r="1579" spans="1:24" x14ac:dyDescent="0.3">
      <c r="A1579" t="s">
        <v>83</v>
      </c>
      <c r="B1579" t="s">
        <v>104</v>
      </c>
      <c r="C1579">
        <v>2025</v>
      </c>
      <c r="D1579" t="s">
        <v>44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27</v>
      </c>
      <c r="N1579">
        <v>5</v>
      </c>
      <c r="O1579" t="s">
        <v>50</v>
      </c>
      <c r="P1579">
        <v>33.799999999999997</v>
      </c>
      <c r="Q1579">
        <v>1687</v>
      </c>
      <c r="R1579">
        <v>4</v>
      </c>
      <c r="S1579">
        <v>2</v>
      </c>
      <c r="T1579" t="s">
        <v>29</v>
      </c>
      <c r="U1579" t="s">
        <v>30</v>
      </c>
      <c r="V1579">
        <v>36974</v>
      </c>
      <c r="W1579">
        <v>3.78</v>
      </c>
      <c r="X1579">
        <v>6</v>
      </c>
    </row>
    <row r="1580" spans="1:24" x14ac:dyDescent="0.3">
      <c r="A1580" t="s">
        <v>42</v>
      </c>
      <c r="B1580" t="s">
        <v>54</v>
      </c>
      <c r="C1580">
        <v>2025</v>
      </c>
      <c r="D1580" t="s">
        <v>33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48</v>
      </c>
      <c r="N1580">
        <v>7</v>
      </c>
      <c r="O1580" t="s">
        <v>51</v>
      </c>
      <c r="P1580">
        <v>15.8</v>
      </c>
      <c r="Q1580">
        <v>1625</v>
      </c>
      <c r="R1580">
        <v>4</v>
      </c>
      <c r="S1580">
        <v>0</v>
      </c>
      <c r="T1580" t="s">
        <v>45</v>
      </c>
      <c r="U1580" t="s">
        <v>33</v>
      </c>
      <c r="V1580">
        <v>91348</v>
      </c>
      <c r="W1580">
        <v>3.44</v>
      </c>
      <c r="X1580">
        <v>5</v>
      </c>
    </row>
    <row r="1581" spans="1:24" x14ac:dyDescent="0.3">
      <c r="A1581" t="s">
        <v>42</v>
      </c>
      <c r="B1581" t="s">
        <v>115</v>
      </c>
      <c r="C1581">
        <v>2026</v>
      </c>
      <c r="D1581" t="s">
        <v>33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48</v>
      </c>
      <c r="N1581">
        <v>7</v>
      </c>
      <c r="O1581" t="s">
        <v>40</v>
      </c>
      <c r="P1581">
        <v>77.7</v>
      </c>
      <c r="Q1581">
        <v>1877</v>
      </c>
      <c r="R1581">
        <v>5</v>
      </c>
      <c r="S1581">
        <v>1</v>
      </c>
      <c r="T1581" t="s">
        <v>45</v>
      </c>
      <c r="U1581" t="s">
        <v>33</v>
      </c>
      <c r="V1581">
        <v>81075</v>
      </c>
      <c r="W1581">
        <v>3.4</v>
      </c>
      <c r="X1581">
        <v>4</v>
      </c>
    </row>
    <row r="1582" spans="1:24" x14ac:dyDescent="0.3">
      <c r="A1582" t="s">
        <v>63</v>
      </c>
      <c r="B1582" t="s">
        <v>107</v>
      </c>
      <c r="C1582">
        <v>2026</v>
      </c>
      <c r="D1582" t="s">
        <v>33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27</v>
      </c>
      <c r="N1582">
        <v>7</v>
      </c>
      <c r="O1582" t="s">
        <v>40</v>
      </c>
      <c r="P1582">
        <v>71.2</v>
      </c>
      <c r="Q1582">
        <v>1565</v>
      </c>
      <c r="R1582">
        <v>5</v>
      </c>
      <c r="S1582">
        <v>1</v>
      </c>
      <c r="T1582" t="s">
        <v>65</v>
      </c>
      <c r="U1582" t="s">
        <v>33</v>
      </c>
      <c r="V1582">
        <v>153987</v>
      </c>
      <c r="W1582">
        <v>3.28</v>
      </c>
      <c r="X1582">
        <v>5</v>
      </c>
    </row>
    <row r="1583" spans="1:24" x14ac:dyDescent="0.3">
      <c r="A1583" t="s">
        <v>24</v>
      </c>
      <c r="B1583" t="s">
        <v>85</v>
      </c>
      <c r="C1583">
        <v>2023</v>
      </c>
      <c r="D1583" t="s">
        <v>33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27</v>
      </c>
      <c r="N1583">
        <v>5</v>
      </c>
      <c r="O1583" t="s">
        <v>51</v>
      </c>
      <c r="P1583">
        <v>17.8</v>
      </c>
      <c r="Q1583">
        <v>1765</v>
      </c>
      <c r="R1583">
        <v>4</v>
      </c>
      <c r="S1583">
        <v>2</v>
      </c>
      <c r="T1583" t="s">
        <v>29</v>
      </c>
      <c r="U1583" t="s">
        <v>33</v>
      </c>
      <c r="V1583">
        <v>212147</v>
      </c>
      <c r="W1583">
        <v>3.39</v>
      </c>
      <c r="X1583">
        <v>3</v>
      </c>
    </row>
    <row r="1584" spans="1:24" x14ac:dyDescent="0.3">
      <c r="A1584" t="s">
        <v>42</v>
      </c>
      <c r="B1584" t="s">
        <v>54</v>
      </c>
      <c r="C1584">
        <v>2024</v>
      </c>
      <c r="D1584" t="s">
        <v>44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48</v>
      </c>
      <c r="N1584">
        <v>5</v>
      </c>
      <c r="O1584" t="s">
        <v>51</v>
      </c>
      <c r="P1584">
        <v>20.6</v>
      </c>
      <c r="Q1584">
        <v>1542</v>
      </c>
      <c r="R1584">
        <v>5</v>
      </c>
      <c r="S1584">
        <v>1</v>
      </c>
      <c r="T1584" t="s">
        <v>45</v>
      </c>
      <c r="U1584" t="s">
        <v>37</v>
      </c>
      <c r="V1584">
        <v>117679</v>
      </c>
      <c r="W1584">
        <v>3.63</v>
      </c>
      <c r="X1584">
        <v>5</v>
      </c>
    </row>
    <row r="1585" spans="1:24" x14ac:dyDescent="0.3">
      <c r="A1585" t="s">
        <v>68</v>
      </c>
      <c r="B1585" t="s">
        <v>106</v>
      </c>
      <c r="C1585">
        <v>2024</v>
      </c>
      <c r="D1585" t="s">
        <v>61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27</v>
      </c>
      <c r="N1585">
        <v>5</v>
      </c>
      <c r="O1585" t="s">
        <v>51</v>
      </c>
      <c r="P1585">
        <v>31</v>
      </c>
      <c r="Q1585">
        <v>1925</v>
      </c>
      <c r="R1585">
        <v>5</v>
      </c>
      <c r="S1585">
        <v>0</v>
      </c>
      <c r="T1585" t="s">
        <v>45</v>
      </c>
      <c r="U1585" t="s">
        <v>37</v>
      </c>
      <c r="V1585">
        <v>80671</v>
      </c>
      <c r="W1585">
        <v>3.31</v>
      </c>
      <c r="X1585">
        <v>3</v>
      </c>
    </row>
    <row r="1586" spans="1:24" x14ac:dyDescent="0.3">
      <c r="A1586" t="s">
        <v>99</v>
      </c>
      <c r="B1586" t="s">
        <v>100</v>
      </c>
      <c r="C1586">
        <v>2024</v>
      </c>
      <c r="D1586" t="s">
        <v>33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27</v>
      </c>
      <c r="N1586">
        <v>7</v>
      </c>
      <c r="O1586" t="s">
        <v>51</v>
      </c>
      <c r="P1586">
        <v>20.399999999999999</v>
      </c>
      <c r="Q1586">
        <v>1714</v>
      </c>
      <c r="R1586">
        <v>5</v>
      </c>
      <c r="S1586">
        <v>1</v>
      </c>
      <c r="T1586" t="s">
        <v>29</v>
      </c>
      <c r="U1586" t="s">
        <v>30</v>
      </c>
      <c r="V1586">
        <v>14726</v>
      </c>
      <c r="W1586">
        <v>3.66</v>
      </c>
      <c r="X1586">
        <v>6</v>
      </c>
    </row>
    <row r="1587" spans="1:24" x14ac:dyDescent="0.3">
      <c r="A1587" t="s">
        <v>46</v>
      </c>
      <c r="B1587" t="s">
        <v>72</v>
      </c>
      <c r="C1587">
        <v>2022</v>
      </c>
      <c r="D1587" t="s">
        <v>26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34</v>
      </c>
      <c r="N1587">
        <v>5</v>
      </c>
      <c r="O1587" t="s">
        <v>28</v>
      </c>
      <c r="P1587">
        <v>55.4</v>
      </c>
      <c r="Q1587">
        <v>2484</v>
      </c>
      <c r="R1587">
        <v>5</v>
      </c>
      <c r="S1587">
        <v>3</v>
      </c>
      <c r="T1587" t="s">
        <v>41</v>
      </c>
      <c r="U1587" t="s">
        <v>37</v>
      </c>
      <c r="V1587">
        <v>194936</v>
      </c>
      <c r="W1587">
        <v>4.0599999999999996</v>
      </c>
      <c r="X1587">
        <v>6</v>
      </c>
    </row>
    <row r="1588" spans="1:24" x14ac:dyDescent="0.3">
      <c r="A1588" t="s">
        <v>38</v>
      </c>
      <c r="B1588" t="s">
        <v>39</v>
      </c>
      <c r="C1588">
        <v>2021</v>
      </c>
      <c r="D1588" t="s">
        <v>26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34</v>
      </c>
      <c r="N1588">
        <v>5</v>
      </c>
      <c r="O1588" t="s">
        <v>40</v>
      </c>
      <c r="P1588">
        <v>77.5</v>
      </c>
      <c r="Q1588">
        <v>1612</v>
      </c>
      <c r="R1588">
        <v>4</v>
      </c>
      <c r="S1588">
        <v>0</v>
      </c>
      <c r="T1588" t="s">
        <v>41</v>
      </c>
      <c r="U1588" t="s">
        <v>37</v>
      </c>
      <c r="V1588">
        <v>7468</v>
      </c>
      <c r="W1588">
        <v>3.83</v>
      </c>
      <c r="X1588">
        <v>3</v>
      </c>
    </row>
    <row r="1589" spans="1:24" x14ac:dyDescent="0.3">
      <c r="A1589" t="s">
        <v>24</v>
      </c>
      <c r="B1589" t="s">
        <v>74</v>
      </c>
      <c r="C1589">
        <v>2024</v>
      </c>
      <c r="D1589" t="s">
        <v>44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48</v>
      </c>
      <c r="N1589">
        <v>5</v>
      </c>
      <c r="O1589" t="s">
        <v>35</v>
      </c>
      <c r="P1589">
        <v>64.099999999999994</v>
      </c>
      <c r="Q1589">
        <v>1885</v>
      </c>
      <c r="R1589">
        <v>4</v>
      </c>
      <c r="S1589">
        <v>0</v>
      </c>
      <c r="T1589" t="s">
        <v>29</v>
      </c>
      <c r="U1589" t="s">
        <v>37</v>
      </c>
      <c r="V1589">
        <v>214608</v>
      </c>
      <c r="W1589">
        <v>3.82</v>
      </c>
      <c r="X1589">
        <v>4</v>
      </c>
    </row>
    <row r="1590" spans="1:24" x14ac:dyDescent="0.3">
      <c r="A1590" t="s">
        <v>24</v>
      </c>
      <c r="B1590" t="s">
        <v>74</v>
      </c>
      <c r="C1590">
        <v>2022</v>
      </c>
      <c r="D1590" t="s">
        <v>56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27</v>
      </c>
      <c r="N1590">
        <v>7</v>
      </c>
      <c r="O1590" t="s">
        <v>58</v>
      </c>
      <c r="P1590">
        <v>31</v>
      </c>
      <c r="Q1590">
        <v>1750</v>
      </c>
      <c r="R1590">
        <v>5</v>
      </c>
      <c r="S1590">
        <v>1</v>
      </c>
      <c r="T1590" t="s">
        <v>29</v>
      </c>
      <c r="U1590" t="s">
        <v>66</v>
      </c>
      <c r="V1590">
        <v>258777</v>
      </c>
      <c r="W1590">
        <v>3.29</v>
      </c>
      <c r="X1590">
        <v>3</v>
      </c>
    </row>
    <row r="1591" spans="1:24" x14ac:dyDescent="0.3">
      <c r="A1591" t="s">
        <v>38</v>
      </c>
      <c r="B1591" t="s">
        <v>102</v>
      </c>
      <c r="C1591">
        <v>2021</v>
      </c>
      <c r="D1591" t="s">
        <v>44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34</v>
      </c>
      <c r="N1591">
        <v>5</v>
      </c>
      <c r="O1591" t="s">
        <v>35</v>
      </c>
      <c r="P1591">
        <v>47.3</v>
      </c>
      <c r="Q1591">
        <v>2033</v>
      </c>
      <c r="R1591">
        <v>5</v>
      </c>
      <c r="S1591">
        <v>1</v>
      </c>
      <c r="T1591" t="s">
        <v>41</v>
      </c>
      <c r="U1591" t="s">
        <v>37</v>
      </c>
      <c r="V1591">
        <v>9557</v>
      </c>
      <c r="W1591">
        <v>3.66</v>
      </c>
      <c r="X1591">
        <v>3</v>
      </c>
    </row>
    <row r="1592" spans="1:24" x14ac:dyDescent="0.3">
      <c r="A1592" t="s">
        <v>38</v>
      </c>
      <c r="B1592" t="s">
        <v>101</v>
      </c>
      <c r="C1592">
        <v>2025</v>
      </c>
      <c r="D1592" t="s">
        <v>61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34</v>
      </c>
      <c r="N1592">
        <v>5</v>
      </c>
      <c r="O1592" t="s">
        <v>50</v>
      </c>
      <c r="P1592">
        <v>23.6</v>
      </c>
      <c r="Q1592">
        <v>1500</v>
      </c>
      <c r="R1592">
        <v>5</v>
      </c>
      <c r="S1592">
        <v>0</v>
      </c>
      <c r="T1592" t="s">
        <v>41</v>
      </c>
      <c r="U1592" t="s">
        <v>37</v>
      </c>
      <c r="V1592">
        <v>27128</v>
      </c>
      <c r="W1592">
        <v>3.23</v>
      </c>
      <c r="X1592">
        <v>3</v>
      </c>
    </row>
    <row r="1593" spans="1:24" x14ac:dyDescent="0.3">
      <c r="A1593" t="s">
        <v>121</v>
      </c>
      <c r="B1593" t="s">
        <v>137</v>
      </c>
      <c r="C1593">
        <v>2026</v>
      </c>
      <c r="D1593" t="s">
        <v>26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27</v>
      </c>
      <c r="N1593">
        <v>5</v>
      </c>
      <c r="O1593" t="s">
        <v>35</v>
      </c>
      <c r="P1593">
        <v>54.6</v>
      </c>
      <c r="Q1593">
        <v>1917</v>
      </c>
      <c r="R1593">
        <v>4</v>
      </c>
      <c r="S1593">
        <v>1</v>
      </c>
      <c r="T1593" t="s">
        <v>123</v>
      </c>
      <c r="U1593" t="s">
        <v>30</v>
      </c>
      <c r="V1593">
        <v>29548</v>
      </c>
      <c r="W1593">
        <v>3.71</v>
      </c>
      <c r="X1593">
        <v>5</v>
      </c>
    </row>
    <row r="1594" spans="1:24" x14ac:dyDescent="0.3">
      <c r="A1594" t="s">
        <v>46</v>
      </c>
      <c r="B1594" t="s">
        <v>57</v>
      </c>
      <c r="C1594">
        <v>2026</v>
      </c>
      <c r="D1594" t="s">
        <v>61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27</v>
      </c>
      <c r="N1594">
        <v>5</v>
      </c>
      <c r="O1594" t="s">
        <v>35</v>
      </c>
      <c r="P1594">
        <v>69.8</v>
      </c>
      <c r="Q1594">
        <v>2107</v>
      </c>
      <c r="R1594">
        <v>4</v>
      </c>
      <c r="S1594">
        <v>2</v>
      </c>
      <c r="T1594" t="s">
        <v>41</v>
      </c>
      <c r="U1594" t="s">
        <v>33</v>
      </c>
      <c r="V1594">
        <v>117880</v>
      </c>
      <c r="W1594">
        <v>3.75</v>
      </c>
      <c r="X1594">
        <v>6</v>
      </c>
    </row>
    <row r="1595" spans="1:24" x14ac:dyDescent="0.3">
      <c r="A1595" t="s">
        <v>46</v>
      </c>
      <c r="B1595" t="s">
        <v>72</v>
      </c>
      <c r="C1595">
        <v>2026</v>
      </c>
      <c r="D1595" t="s">
        <v>56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48</v>
      </c>
      <c r="N1595">
        <v>7</v>
      </c>
      <c r="O1595" t="s">
        <v>28</v>
      </c>
      <c r="P1595">
        <v>69.8</v>
      </c>
      <c r="Q1595">
        <v>2635</v>
      </c>
      <c r="R1595">
        <v>4</v>
      </c>
      <c r="S1595">
        <v>2</v>
      </c>
      <c r="T1595" t="s">
        <v>41</v>
      </c>
      <c r="U1595" t="s">
        <v>37</v>
      </c>
      <c r="V1595">
        <v>211999</v>
      </c>
      <c r="W1595">
        <v>3.34</v>
      </c>
      <c r="X1595">
        <v>5</v>
      </c>
    </row>
    <row r="1596" spans="1:24" x14ac:dyDescent="0.3">
      <c r="A1596" t="s">
        <v>38</v>
      </c>
      <c r="B1596" t="s">
        <v>102</v>
      </c>
      <c r="C1596">
        <v>2025</v>
      </c>
      <c r="D1596" t="s">
        <v>44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48</v>
      </c>
      <c r="N1596">
        <v>5</v>
      </c>
      <c r="O1596" t="s">
        <v>35</v>
      </c>
      <c r="P1596">
        <v>67.400000000000006</v>
      </c>
      <c r="Q1596">
        <v>2327</v>
      </c>
      <c r="R1596">
        <v>5</v>
      </c>
      <c r="S1596">
        <v>2</v>
      </c>
      <c r="T1596" t="s">
        <v>41</v>
      </c>
      <c r="U1596" t="s">
        <v>37</v>
      </c>
      <c r="V1596">
        <v>29595</v>
      </c>
      <c r="W1596">
        <v>3.76</v>
      </c>
      <c r="X1596">
        <v>4</v>
      </c>
    </row>
    <row r="1597" spans="1:24" x14ac:dyDescent="0.3">
      <c r="A1597" t="s">
        <v>42</v>
      </c>
      <c r="B1597" t="s">
        <v>54</v>
      </c>
      <c r="C1597">
        <v>2024</v>
      </c>
      <c r="D1597" t="s">
        <v>44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27</v>
      </c>
      <c r="N1597">
        <v>5</v>
      </c>
      <c r="O1597" t="s">
        <v>28</v>
      </c>
      <c r="P1597">
        <v>70</v>
      </c>
      <c r="Q1597">
        <v>2631</v>
      </c>
      <c r="R1597">
        <v>4</v>
      </c>
      <c r="S1597">
        <v>0</v>
      </c>
      <c r="T1597" t="s">
        <v>45</v>
      </c>
      <c r="U1597" t="s">
        <v>33</v>
      </c>
      <c r="V1597">
        <v>98307</v>
      </c>
      <c r="W1597">
        <v>3.67</v>
      </c>
      <c r="X1597">
        <v>5</v>
      </c>
    </row>
    <row r="1598" spans="1:24" x14ac:dyDescent="0.3">
      <c r="A1598" t="s">
        <v>63</v>
      </c>
      <c r="B1598" t="s">
        <v>96</v>
      </c>
      <c r="C1598">
        <v>2024</v>
      </c>
      <c r="D1598" t="s">
        <v>33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34</v>
      </c>
      <c r="N1598">
        <v>5</v>
      </c>
      <c r="O1598" t="s">
        <v>50</v>
      </c>
      <c r="P1598">
        <v>19.899999999999999</v>
      </c>
      <c r="Q1598">
        <v>1790</v>
      </c>
      <c r="R1598">
        <v>5</v>
      </c>
      <c r="S1598">
        <v>1</v>
      </c>
      <c r="T1598" t="s">
        <v>65</v>
      </c>
      <c r="U1598" t="s">
        <v>30</v>
      </c>
      <c r="V1598">
        <v>111020</v>
      </c>
      <c r="W1598">
        <v>3.1</v>
      </c>
      <c r="X1598">
        <v>4</v>
      </c>
    </row>
    <row r="1599" spans="1:24" x14ac:dyDescent="0.3">
      <c r="A1599" t="s">
        <v>46</v>
      </c>
      <c r="B1599" t="s">
        <v>49</v>
      </c>
      <c r="C1599">
        <v>2022</v>
      </c>
      <c r="D1599" t="s">
        <v>44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48</v>
      </c>
      <c r="N1599">
        <v>5</v>
      </c>
      <c r="O1599" t="s">
        <v>40</v>
      </c>
      <c r="P1599">
        <v>71.7</v>
      </c>
      <c r="Q1599">
        <v>1563</v>
      </c>
      <c r="R1599">
        <v>4</v>
      </c>
      <c r="S1599">
        <v>2</v>
      </c>
      <c r="T1599" t="s">
        <v>41</v>
      </c>
      <c r="U1599" t="s">
        <v>37</v>
      </c>
      <c r="V1599">
        <v>416114</v>
      </c>
      <c r="W1599">
        <v>4.22</v>
      </c>
      <c r="X1599">
        <v>5</v>
      </c>
    </row>
    <row r="1600" spans="1:24" x14ac:dyDescent="0.3">
      <c r="A1600" t="s">
        <v>46</v>
      </c>
      <c r="B1600" t="s">
        <v>57</v>
      </c>
      <c r="C1600">
        <v>2025</v>
      </c>
      <c r="D1600" t="s">
        <v>33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48</v>
      </c>
      <c r="N1600">
        <v>7</v>
      </c>
      <c r="O1600" t="s">
        <v>35</v>
      </c>
      <c r="P1600">
        <v>36.799999999999997</v>
      </c>
      <c r="Q1600">
        <v>2017</v>
      </c>
      <c r="R1600">
        <v>5</v>
      </c>
      <c r="S1600">
        <v>3</v>
      </c>
      <c r="T1600" t="s">
        <v>41</v>
      </c>
      <c r="U1600" t="s">
        <v>30</v>
      </c>
      <c r="V1600">
        <v>107596</v>
      </c>
      <c r="W1600">
        <v>3.88</v>
      </c>
      <c r="X1600">
        <v>5</v>
      </c>
    </row>
    <row r="1601" spans="1:24" x14ac:dyDescent="0.3">
      <c r="A1601" t="s">
        <v>86</v>
      </c>
      <c r="B1601" t="s">
        <v>105</v>
      </c>
      <c r="C1601">
        <v>2026</v>
      </c>
      <c r="D1601" t="s">
        <v>26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27</v>
      </c>
      <c r="N1601">
        <v>7</v>
      </c>
      <c r="O1601" t="s">
        <v>51</v>
      </c>
      <c r="P1601">
        <v>34.9</v>
      </c>
      <c r="Q1601">
        <v>1660</v>
      </c>
      <c r="R1601">
        <v>5</v>
      </c>
      <c r="S1601">
        <v>2</v>
      </c>
      <c r="T1601" t="s">
        <v>29</v>
      </c>
      <c r="U1601" t="s">
        <v>33</v>
      </c>
      <c r="V1601">
        <v>72672</v>
      </c>
      <c r="W1601">
        <v>4.03</v>
      </c>
      <c r="X1601">
        <v>7</v>
      </c>
    </row>
    <row r="1602" spans="1:24" x14ac:dyDescent="0.3">
      <c r="A1602" t="s">
        <v>46</v>
      </c>
      <c r="B1602" t="s">
        <v>47</v>
      </c>
      <c r="C1602">
        <v>2025</v>
      </c>
      <c r="D1602" t="s">
        <v>56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34</v>
      </c>
      <c r="N1602">
        <v>5</v>
      </c>
      <c r="O1602" t="s">
        <v>40</v>
      </c>
      <c r="P1602">
        <v>68.2</v>
      </c>
      <c r="Q1602">
        <v>1641</v>
      </c>
      <c r="R1602">
        <v>3</v>
      </c>
      <c r="S1602">
        <v>3</v>
      </c>
      <c r="T1602" t="s">
        <v>41</v>
      </c>
      <c r="U1602" t="s">
        <v>37</v>
      </c>
      <c r="V1602">
        <v>169041</v>
      </c>
      <c r="W1602">
        <v>3.2</v>
      </c>
      <c r="X1602">
        <v>4</v>
      </c>
    </row>
    <row r="1603" spans="1:24" x14ac:dyDescent="0.3">
      <c r="A1603" t="s">
        <v>63</v>
      </c>
      <c r="B1603" t="s">
        <v>88</v>
      </c>
      <c r="C1603">
        <v>2025</v>
      </c>
      <c r="D1603" t="s">
        <v>56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27</v>
      </c>
      <c r="N1603">
        <v>5</v>
      </c>
      <c r="O1603" t="s">
        <v>58</v>
      </c>
      <c r="P1603">
        <v>17.399999999999999</v>
      </c>
      <c r="Q1603">
        <v>1500</v>
      </c>
      <c r="R1603">
        <v>3</v>
      </c>
      <c r="S1603">
        <v>1</v>
      </c>
      <c r="T1603" t="s">
        <v>65</v>
      </c>
      <c r="U1603" t="s">
        <v>66</v>
      </c>
      <c r="V1603">
        <v>176238</v>
      </c>
      <c r="W1603">
        <v>3.06</v>
      </c>
      <c r="X1603">
        <v>3</v>
      </c>
    </row>
    <row r="1604" spans="1:24" x14ac:dyDescent="0.3">
      <c r="A1604" t="s">
        <v>63</v>
      </c>
      <c r="B1604" t="s">
        <v>96</v>
      </c>
      <c r="C1604">
        <v>2024</v>
      </c>
      <c r="D1604" t="s">
        <v>44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34</v>
      </c>
      <c r="N1604">
        <v>7</v>
      </c>
      <c r="O1604" t="s">
        <v>35</v>
      </c>
      <c r="P1604">
        <v>55.2</v>
      </c>
      <c r="Q1604">
        <v>1948</v>
      </c>
      <c r="R1604">
        <v>5</v>
      </c>
      <c r="S1604">
        <v>2</v>
      </c>
      <c r="T1604" t="s">
        <v>65</v>
      </c>
      <c r="U1604" t="s">
        <v>37</v>
      </c>
      <c r="V1604">
        <v>188274</v>
      </c>
      <c r="W1604">
        <v>3.73</v>
      </c>
      <c r="X1604">
        <v>4</v>
      </c>
    </row>
    <row r="1605" spans="1:24" x14ac:dyDescent="0.3">
      <c r="A1605" t="s">
        <v>63</v>
      </c>
      <c r="B1605" t="s">
        <v>67</v>
      </c>
      <c r="C1605">
        <v>2024</v>
      </c>
      <c r="D1605" t="s">
        <v>56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27</v>
      </c>
      <c r="N1605">
        <v>7</v>
      </c>
      <c r="O1605" t="s">
        <v>28</v>
      </c>
      <c r="P1605">
        <v>59.3</v>
      </c>
      <c r="Q1605">
        <v>2431</v>
      </c>
      <c r="R1605">
        <v>4</v>
      </c>
      <c r="S1605">
        <v>0</v>
      </c>
      <c r="T1605" t="s">
        <v>65</v>
      </c>
      <c r="U1605" t="s">
        <v>66</v>
      </c>
      <c r="V1605">
        <v>216310</v>
      </c>
      <c r="W1605">
        <v>3.28</v>
      </c>
      <c r="X1605">
        <v>3</v>
      </c>
    </row>
    <row r="1606" spans="1:24" x14ac:dyDescent="0.3">
      <c r="A1606" t="s">
        <v>46</v>
      </c>
      <c r="B1606" t="s">
        <v>49</v>
      </c>
      <c r="C1606">
        <v>2024</v>
      </c>
      <c r="D1606" t="s">
        <v>26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48</v>
      </c>
      <c r="N1606">
        <v>7</v>
      </c>
      <c r="O1606" t="s">
        <v>35</v>
      </c>
      <c r="P1606">
        <v>62.3</v>
      </c>
      <c r="Q1606">
        <v>1904</v>
      </c>
      <c r="R1606">
        <v>5</v>
      </c>
      <c r="S1606">
        <v>2</v>
      </c>
      <c r="T1606" t="s">
        <v>41</v>
      </c>
      <c r="U1606" t="s">
        <v>37</v>
      </c>
      <c r="V1606">
        <v>451073</v>
      </c>
      <c r="W1606">
        <v>4.2300000000000004</v>
      </c>
      <c r="X1606">
        <v>5</v>
      </c>
    </row>
    <row r="1607" spans="1:24" x14ac:dyDescent="0.3">
      <c r="A1607" t="s">
        <v>68</v>
      </c>
      <c r="B1607" t="s">
        <v>90</v>
      </c>
      <c r="C1607">
        <v>2022</v>
      </c>
      <c r="D1607" t="s">
        <v>56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48</v>
      </c>
      <c r="N1607">
        <v>7</v>
      </c>
      <c r="O1607" t="s">
        <v>40</v>
      </c>
      <c r="P1607">
        <v>68.5</v>
      </c>
      <c r="Q1607">
        <v>1572</v>
      </c>
      <c r="R1607">
        <v>3</v>
      </c>
      <c r="S1607">
        <v>0</v>
      </c>
      <c r="T1607" t="s">
        <v>45</v>
      </c>
      <c r="U1607" t="s">
        <v>66</v>
      </c>
      <c r="V1607">
        <v>119899</v>
      </c>
      <c r="W1607">
        <v>3.25</v>
      </c>
      <c r="X1607">
        <v>4</v>
      </c>
    </row>
    <row r="1608" spans="1:24" x14ac:dyDescent="0.3">
      <c r="A1608" t="s">
        <v>46</v>
      </c>
      <c r="B1608" t="s">
        <v>72</v>
      </c>
      <c r="C1608">
        <v>2025</v>
      </c>
      <c r="D1608" t="s">
        <v>56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34</v>
      </c>
      <c r="N1608">
        <v>5</v>
      </c>
      <c r="O1608" t="s">
        <v>28</v>
      </c>
      <c r="P1608">
        <v>56.1</v>
      </c>
      <c r="Q1608">
        <v>2585</v>
      </c>
      <c r="R1608">
        <v>4</v>
      </c>
      <c r="S1608">
        <v>2</v>
      </c>
      <c r="T1608" t="s">
        <v>41</v>
      </c>
      <c r="U1608" t="s">
        <v>33</v>
      </c>
      <c r="V1608">
        <v>102752</v>
      </c>
      <c r="W1608">
        <v>3.5</v>
      </c>
      <c r="X1608">
        <v>6</v>
      </c>
    </row>
    <row r="1609" spans="1:24" x14ac:dyDescent="0.3">
      <c r="A1609" t="s">
        <v>76</v>
      </c>
      <c r="B1609" t="s">
        <v>98</v>
      </c>
      <c r="C1609">
        <v>2025</v>
      </c>
      <c r="D1609" t="s">
        <v>26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27</v>
      </c>
      <c r="N1609">
        <v>5</v>
      </c>
      <c r="O1609" t="s">
        <v>58</v>
      </c>
      <c r="P1609">
        <v>38.200000000000003</v>
      </c>
      <c r="Q1609">
        <v>1687</v>
      </c>
      <c r="R1609">
        <v>4</v>
      </c>
      <c r="S1609">
        <v>1</v>
      </c>
      <c r="T1609" t="s">
        <v>41</v>
      </c>
      <c r="U1609" t="s">
        <v>33</v>
      </c>
      <c r="V1609">
        <v>31804</v>
      </c>
      <c r="W1609">
        <v>3.45</v>
      </c>
      <c r="X1609">
        <v>3</v>
      </c>
    </row>
    <row r="1610" spans="1:24" x14ac:dyDescent="0.3">
      <c r="A1610" t="s">
        <v>63</v>
      </c>
      <c r="B1610" t="s">
        <v>73</v>
      </c>
      <c r="C1610">
        <v>2026</v>
      </c>
      <c r="D1610" t="s">
        <v>61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27</v>
      </c>
      <c r="N1610">
        <v>5</v>
      </c>
      <c r="O1610" t="s">
        <v>50</v>
      </c>
      <c r="P1610">
        <v>19.7</v>
      </c>
      <c r="Q1610">
        <v>1540</v>
      </c>
      <c r="R1610">
        <v>5</v>
      </c>
      <c r="S1610">
        <v>0</v>
      </c>
      <c r="T1610" t="s">
        <v>65</v>
      </c>
      <c r="U1610" t="s">
        <v>33</v>
      </c>
      <c r="V1610">
        <v>232416</v>
      </c>
      <c r="W1610">
        <v>3.5</v>
      </c>
      <c r="X1610">
        <v>4</v>
      </c>
    </row>
    <row r="1611" spans="1:24" x14ac:dyDescent="0.3">
      <c r="A1611" t="s">
        <v>42</v>
      </c>
      <c r="B1611" t="s">
        <v>54</v>
      </c>
      <c r="C1611">
        <v>2025</v>
      </c>
      <c r="D1611" t="s">
        <v>26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34</v>
      </c>
      <c r="N1611">
        <v>7</v>
      </c>
      <c r="O1611" t="s">
        <v>28</v>
      </c>
      <c r="P1611">
        <v>72.099999999999994</v>
      </c>
      <c r="Q1611">
        <v>2484</v>
      </c>
      <c r="R1611">
        <v>4</v>
      </c>
      <c r="S1611">
        <v>0</v>
      </c>
      <c r="T1611" t="s">
        <v>45</v>
      </c>
      <c r="U1611" t="s">
        <v>30</v>
      </c>
      <c r="V1611">
        <v>96875</v>
      </c>
      <c r="W1611">
        <v>3.43</v>
      </c>
      <c r="X1611">
        <v>3</v>
      </c>
    </row>
    <row r="1612" spans="1:24" x14ac:dyDescent="0.3">
      <c r="A1612" t="s">
        <v>86</v>
      </c>
      <c r="B1612" t="s">
        <v>117</v>
      </c>
      <c r="C1612">
        <v>2022</v>
      </c>
      <c r="D1612" t="s">
        <v>33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27</v>
      </c>
      <c r="N1612">
        <v>5</v>
      </c>
      <c r="O1612" t="s">
        <v>35</v>
      </c>
      <c r="P1612">
        <v>56.2</v>
      </c>
      <c r="Q1612">
        <v>2232</v>
      </c>
      <c r="R1612">
        <v>5</v>
      </c>
      <c r="S1612">
        <v>2</v>
      </c>
      <c r="T1612" t="s">
        <v>29</v>
      </c>
      <c r="U1612" t="s">
        <v>30</v>
      </c>
      <c r="V1612">
        <v>57074</v>
      </c>
      <c r="W1612">
        <v>3.06</v>
      </c>
      <c r="X1612">
        <v>6</v>
      </c>
    </row>
    <row r="1613" spans="1:24" x14ac:dyDescent="0.3">
      <c r="A1613" t="s">
        <v>83</v>
      </c>
      <c r="B1613" t="s">
        <v>114</v>
      </c>
      <c r="C1613">
        <v>2025</v>
      </c>
      <c r="D1613" t="s">
        <v>61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48</v>
      </c>
      <c r="N1613">
        <v>5</v>
      </c>
      <c r="O1613" t="s">
        <v>35</v>
      </c>
      <c r="P1613">
        <v>39</v>
      </c>
      <c r="Q1613">
        <v>2137</v>
      </c>
      <c r="R1613">
        <v>5</v>
      </c>
      <c r="S1613">
        <v>1</v>
      </c>
      <c r="T1613" t="s">
        <v>29</v>
      </c>
      <c r="U1613" t="s">
        <v>33</v>
      </c>
      <c r="V1613">
        <v>73975</v>
      </c>
      <c r="W1613">
        <v>3.26</v>
      </c>
      <c r="X1613">
        <v>8</v>
      </c>
    </row>
    <row r="1614" spans="1:24" x14ac:dyDescent="0.3">
      <c r="A1614" t="s">
        <v>68</v>
      </c>
      <c r="B1614" t="s">
        <v>106</v>
      </c>
      <c r="C1614">
        <v>2022</v>
      </c>
      <c r="D1614" t="s">
        <v>33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27</v>
      </c>
      <c r="N1614">
        <v>7</v>
      </c>
      <c r="O1614" t="s">
        <v>51</v>
      </c>
      <c r="P1614">
        <v>19.3</v>
      </c>
      <c r="Q1614">
        <v>1718</v>
      </c>
      <c r="R1614">
        <v>4</v>
      </c>
      <c r="S1614">
        <v>1</v>
      </c>
      <c r="T1614" t="s">
        <v>45</v>
      </c>
      <c r="U1614" t="s">
        <v>37</v>
      </c>
      <c r="V1614">
        <v>57836</v>
      </c>
      <c r="W1614">
        <v>3.14</v>
      </c>
      <c r="X1614">
        <v>3</v>
      </c>
    </row>
    <row r="1615" spans="1:24" x14ac:dyDescent="0.3">
      <c r="A1615" t="s">
        <v>63</v>
      </c>
      <c r="B1615" t="s">
        <v>64</v>
      </c>
      <c r="C1615">
        <v>2025</v>
      </c>
      <c r="D1615" t="s">
        <v>44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34</v>
      </c>
      <c r="N1615">
        <v>7</v>
      </c>
      <c r="O1615" t="s">
        <v>35</v>
      </c>
      <c r="P1615">
        <v>70</v>
      </c>
      <c r="Q1615">
        <v>2024</v>
      </c>
      <c r="R1615">
        <v>5</v>
      </c>
      <c r="S1615">
        <v>0</v>
      </c>
      <c r="T1615" t="s">
        <v>65</v>
      </c>
      <c r="U1615" t="s">
        <v>33</v>
      </c>
      <c r="V1615">
        <v>242291</v>
      </c>
      <c r="W1615">
        <v>3.55</v>
      </c>
      <c r="X1615">
        <v>4</v>
      </c>
    </row>
    <row r="1616" spans="1:24" x14ac:dyDescent="0.3">
      <c r="A1616" t="s">
        <v>63</v>
      </c>
      <c r="B1616" t="s">
        <v>64</v>
      </c>
      <c r="C1616">
        <v>2024</v>
      </c>
      <c r="D1616" t="s">
        <v>33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27</v>
      </c>
      <c r="N1616">
        <v>7</v>
      </c>
      <c r="O1616" t="s">
        <v>58</v>
      </c>
      <c r="P1616">
        <v>38.700000000000003</v>
      </c>
      <c r="Q1616">
        <v>1756</v>
      </c>
      <c r="R1616">
        <v>5</v>
      </c>
      <c r="S1616">
        <v>2</v>
      </c>
      <c r="T1616" t="s">
        <v>65</v>
      </c>
      <c r="U1616" t="s">
        <v>37</v>
      </c>
      <c r="V1616">
        <v>143773</v>
      </c>
      <c r="W1616">
        <v>3.5</v>
      </c>
      <c r="X1616">
        <v>4</v>
      </c>
    </row>
    <row r="1617" spans="1:24" x14ac:dyDescent="0.3">
      <c r="A1617" t="s">
        <v>83</v>
      </c>
      <c r="B1617" t="s">
        <v>114</v>
      </c>
      <c r="C1617">
        <v>2024</v>
      </c>
      <c r="D1617" t="s">
        <v>61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48</v>
      </c>
      <c r="N1617">
        <v>5</v>
      </c>
      <c r="O1617" t="s">
        <v>51</v>
      </c>
      <c r="P1617">
        <v>19.899999999999999</v>
      </c>
      <c r="Q1617">
        <v>1815</v>
      </c>
      <c r="R1617">
        <v>5</v>
      </c>
      <c r="S1617">
        <v>2</v>
      </c>
      <c r="T1617" t="s">
        <v>29</v>
      </c>
      <c r="U1617" t="s">
        <v>33</v>
      </c>
      <c r="V1617">
        <v>76685</v>
      </c>
      <c r="W1617">
        <v>3.38</v>
      </c>
      <c r="X1617">
        <v>5</v>
      </c>
    </row>
    <row r="1618" spans="1:24" x14ac:dyDescent="0.3">
      <c r="A1618" t="s">
        <v>121</v>
      </c>
      <c r="B1618" t="s">
        <v>122</v>
      </c>
      <c r="C1618">
        <v>2022</v>
      </c>
      <c r="D1618" t="s">
        <v>26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27</v>
      </c>
      <c r="N1618">
        <v>5</v>
      </c>
      <c r="O1618" t="s">
        <v>35</v>
      </c>
      <c r="P1618">
        <v>56.2</v>
      </c>
      <c r="Q1618">
        <v>2143</v>
      </c>
      <c r="R1618">
        <v>5</v>
      </c>
      <c r="S1618">
        <v>0</v>
      </c>
      <c r="T1618" t="s">
        <v>123</v>
      </c>
      <c r="U1618" t="s">
        <v>33</v>
      </c>
      <c r="V1618">
        <v>15699</v>
      </c>
      <c r="W1618">
        <v>3.68</v>
      </c>
      <c r="X1618">
        <v>5</v>
      </c>
    </row>
    <row r="1619" spans="1:24" x14ac:dyDescent="0.3">
      <c r="A1619" t="s">
        <v>83</v>
      </c>
      <c r="B1619" t="s">
        <v>84</v>
      </c>
      <c r="C1619">
        <v>2022</v>
      </c>
      <c r="D1619" t="s">
        <v>26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27</v>
      </c>
      <c r="N1619">
        <v>5</v>
      </c>
      <c r="O1619" t="s">
        <v>51</v>
      </c>
      <c r="P1619">
        <v>33</v>
      </c>
      <c r="Q1619">
        <v>1842</v>
      </c>
      <c r="R1619">
        <v>4</v>
      </c>
      <c r="S1619">
        <v>1</v>
      </c>
      <c r="T1619" t="s">
        <v>29</v>
      </c>
      <c r="U1619" t="s">
        <v>30</v>
      </c>
      <c r="V1619">
        <v>26663</v>
      </c>
      <c r="W1619">
        <v>3.51</v>
      </c>
      <c r="X1619">
        <v>7</v>
      </c>
    </row>
    <row r="1620" spans="1:24" x14ac:dyDescent="0.3">
      <c r="A1620" t="s">
        <v>42</v>
      </c>
      <c r="B1620" t="s">
        <v>115</v>
      </c>
      <c r="C1620">
        <v>2025</v>
      </c>
      <c r="D1620" t="s">
        <v>33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27</v>
      </c>
      <c r="N1620">
        <v>5</v>
      </c>
      <c r="O1620" t="s">
        <v>58</v>
      </c>
      <c r="P1620">
        <v>34.6</v>
      </c>
      <c r="Q1620">
        <v>1566</v>
      </c>
      <c r="R1620">
        <v>4</v>
      </c>
      <c r="S1620">
        <v>2</v>
      </c>
      <c r="T1620" t="s">
        <v>45</v>
      </c>
      <c r="U1620" t="s">
        <v>37</v>
      </c>
      <c r="V1620">
        <v>65237</v>
      </c>
      <c r="W1620">
        <v>3.14</v>
      </c>
      <c r="X1620">
        <v>4</v>
      </c>
    </row>
    <row r="1621" spans="1:24" x14ac:dyDescent="0.3">
      <c r="A1621" t="s">
        <v>38</v>
      </c>
      <c r="B1621" t="s">
        <v>55</v>
      </c>
      <c r="C1621">
        <v>2025</v>
      </c>
      <c r="D1621" t="s">
        <v>44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48</v>
      </c>
      <c r="N1621">
        <v>5</v>
      </c>
      <c r="O1621" t="s">
        <v>58</v>
      </c>
      <c r="P1621">
        <v>27.9</v>
      </c>
      <c r="Q1621">
        <v>1690</v>
      </c>
      <c r="R1621">
        <v>4</v>
      </c>
      <c r="S1621">
        <v>1</v>
      </c>
      <c r="T1621" t="s">
        <v>41</v>
      </c>
      <c r="U1621" t="s">
        <v>66</v>
      </c>
      <c r="V1621">
        <v>20827</v>
      </c>
      <c r="W1621">
        <v>3.59</v>
      </c>
      <c r="X1621">
        <v>4</v>
      </c>
    </row>
    <row r="1622" spans="1:24" x14ac:dyDescent="0.3">
      <c r="A1622" t="s">
        <v>68</v>
      </c>
      <c r="B1622" t="s">
        <v>69</v>
      </c>
      <c r="C1622">
        <v>2025</v>
      </c>
      <c r="D1622" t="s">
        <v>61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27</v>
      </c>
      <c r="N1622">
        <v>5</v>
      </c>
      <c r="O1622" t="s">
        <v>50</v>
      </c>
      <c r="P1622">
        <v>39.799999999999997</v>
      </c>
      <c r="Q1622">
        <v>1607</v>
      </c>
      <c r="R1622">
        <v>5</v>
      </c>
      <c r="S1622">
        <v>1</v>
      </c>
      <c r="T1622" t="s">
        <v>45</v>
      </c>
      <c r="U1622" t="s">
        <v>37</v>
      </c>
      <c r="V1622">
        <v>93480</v>
      </c>
      <c r="W1622">
        <v>3.41</v>
      </c>
      <c r="X1622">
        <v>4</v>
      </c>
    </row>
    <row r="1623" spans="1:24" x14ac:dyDescent="0.3">
      <c r="A1623" t="s">
        <v>46</v>
      </c>
      <c r="B1623" t="s">
        <v>57</v>
      </c>
      <c r="C1623">
        <v>2026</v>
      </c>
      <c r="D1623" t="s">
        <v>44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34</v>
      </c>
      <c r="N1623">
        <v>7</v>
      </c>
      <c r="O1623" t="s">
        <v>35</v>
      </c>
      <c r="P1623">
        <v>63.1</v>
      </c>
      <c r="Q1623">
        <v>2140</v>
      </c>
      <c r="R1623">
        <v>5</v>
      </c>
      <c r="S1623">
        <v>2</v>
      </c>
      <c r="T1623" t="s">
        <v>41</v>
      </c>
      <c r="U1623" t="s">
        <v>30</v>
      </c>
      <c r="V1623">
        <v>158325</v>
      </c>
      <c r="W1623">
        <v>4.24</v>
      </c>
      <c r="X1623">
        <v>5</v>
      </c>
    </row>
    <row r="1624" spans="1:24" x14ac:dyDescent="0.3">
      <c r="A1624" t="s">
        <v>42</v>
      </c>
      <c r="B1624" t="s">
        <v>115</v>
      </c>
      <c r="C1624">
        <v>2024</v>
      </c>
      <c r="D1624" t="s">
        <v>61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48</v>
      </c>
      <c r="N1624">
        <v>5</v>
      </c>
      <c r="O1624" t="s">
        <v>58</v>
      </c>
      <c r="P1624">
        <v>25.8</v>
      </c>
      <c r="Q1624">
        <v>1615</v>
      </c>
      <c r="R1624">
        <v>5</v>
      </c>
      <c r="S1624">
        <v>0</v>
      </c>
      <c r="T1624" t="s">
        <v>45</v>
      </c>
      <c r="U1624" t="s">
        <v>66</v>
      </c>
      <c r="V1624">
        <v>74025</v>
      </c>
      <c r="W1624">
        <v>3.37</v>
      </c>
      <c r="X1624">
        <v>4</v>
      </c>
    </row>
    <row r="1625" spans="1:24" x14ac:dyDescent="0.3">
      <c r="A1625" t="s">
        <v>31</v>
      </c>
      <c r="B1625" t="s">
        <v>112</v>
      </c>
      <c r="C1625">
        <v>2025</v>
      </c>
      <c r="D1625" t="s">
        <v>61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34</v>
      </c>
      <c r="N1625">
        <v>5</v>
      </c>
      <c r="O1625" t="s">
        <v>35</v>
      </c>
      <c r="P1625">
        <v>58.3</v>
      </c>
      <c r="Q1625">
        <v>2099</v>
      </c>
      <c r="R1625">
        <v>5</v>
      </c>
      <c r="S1625">
        <v>0</v>
      </c>
      <c r="T1625" t="s">
        <v>36</v>
      </c>
      <c r="U1625" t="s">
        <v>37</v>
      </c>
      <c r="V1625">
        <v>1982</v>
      </c>
      <c r="W1625">
        <v>3.52</v>
      </c>
      <c r="X1625">
        <v>4</v>
      </c>
    </row>
    <row r="1626" spans="1:24" x14ac:dyDescent="0.3">
      <c r="A1626" t="s">
        <v>46</v>
      </c>
      <c r="B1626" t="s">
        <v>78</v>
      </c>
      <c r="C1626">
        <v>2025</v>
      </c>
      <c r="D1626" t="s">
        <v>56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48</v>
      </c>
      <c r="N1626">
        <v>5</v>
      </c>
      <c r="O1626" t="s">
        <v>51</v>
      </c>
      <c r="P1626">
        <v>21.1</v>
      </c>
      <c r="Q1626">
        <v>1896</v>
      </c>
      <c r="R1626">
        <v>5</v>
      </c>
      <c r="S1626">
        <v>2</v>
      </c>
      <c r="T1626" t="s">
        <v>41</v>
      </c>
      <c r="U1626" t="s">
        <v>33</v>
      </c>
      <c r="V1626">
        <v>233990</v>
      </c>
      <c r="W1626">
        <v>3.63</v>
      </c>
      <c r="X1626">
        <v>5</v>
      </c>
    </row>
    <row r="1627" spans="1:24" x14ac:dyDescent="0.3">
      <c r="A1627" t="s">
        <v>83</v>
      </c>
      <c r="B1627" t="s">
        <v>84</v>
      </c>
      <c r="C1627">
        <v>2022</v>
      </c>
      <c r="D1627" t="s">
        <v>33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48</v>
      </c>
      <c r="N1627">
        <v>5</v>
      </c>
      <c r="O1627" t="s">
        <v>40</v>
      </c>
      <c r="P1627">
        <v>65</v>
      </c>
      <c r="Q1627">
        <v>1527</v>
      </c>
      <c r="R1627">
        <v>5</v>
      </c>
      <c r="S1627">
        <v>2</v>
      </c>
      <c r="T1627" t="s">
        <v>29</v>
      </c>
      <c r="U1627" t="s">
        <v>30</v>
      </c>
      <c r="V1627">
        <v>29505</v>
      </c>
      <c r="W1627">
        <v>3.78</v>
      </c>
      <c r="X1627">
        <v>5</v>
      </c>
    </row>
    <row r="1628" spans="1:24" x14ac:dyDescent="0.3">
      <c r="A1628" t="s">
        <v>46</v>
      </c>
      <c r="B1628" t="s">
        <v>72</v>
      </c>
      <c r="C1628">
        <v>2022</v>
      </c>
      <c r="D1628" t="s">
        <v>44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34</v>
      </c>
      <c r="N1628">
        <v>5</v>
      </c>
      <c r="O1628" t="s">
        <v>28</v>
      </c>
      <c r="P1628">
        <v>55.6</v>
      </c>
      <c r="Q1628">
        <v>2380</v>
      </c>
      <c r="R1628">
        <v>4</v>
      </c>
      <c r="S1628">
        <v>3</v>
      </c>
      <c r="T1628" t="s">
        <v>41</v>
      </c>
      <c r="U1628" t="s">
        <v>33</v>
      </c>
      <c r="V1628">
        <v>226922</v>
      </c>
      <c r="W1628">
        <v>4.0199999999999996</v>
      </c>
      <c r="X1628">
        <v>5</v>
      </c>
    </row>
    <row r="1629" spans="1:24" x14ac:dyDescent="0.3">
      <c r="A1629" t="s">
        <v>68</v>
      </c>
      <c r="B1629" t="s">
        <v>106</v>
      </c>
      <c r="C1629">
        <v>2026</v>
      </c>
      <c r="D1629" t="s">
        <v>61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27</v>
      </c>
      <c r="N1629">
        <v>5</v>
      </c>
      <c r="O1629" t="s">
        <v>58</v>
      </c>
      <c r="P1629">
        <v>15.7</v>
      </c>
      <c r="Q1629">
        <v>1500</v>
      </c>
      <c r="R1629">
        <v>4</v>
      </c>
      <c r="S1629">
        <v>1</v>
      </c>
      <c r="T1629" t="s">
        <v>45</v>
      </c>
      <c r="U1629" t="s">
        <v>37</v>
      </c>
      <c r="V1629">
        <v>130091</v>
      </c>
      <c r="W1629">
        <v>3.79</v>
      </c>
      <c r="X1629">
        <v>5</v>
      </c>
    </row>
    <row r="1630" spans="1:24" x14ac:dyDescent="0.3">
      <c r="A1630" t="s">
        <v>46</v>
      </c>
      <c r="B1630" t="s">
        <v>72</v>
      </c>
      <c r="C1630">
        <v>2024</v>
      </c>
      <c r="D1630" t="s">
        <v>33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27</v>
      </c>
      <c r="N1630">
        <v>5</v>
      </c>
      <c r="O1630" t="s">
        <v>28</v>
      </c>
      <c r="P1630">
        <v>72.099999999999994</v>
      </c>
      <c r="Q1630">
        <v>2309</v>
      </c>
      <c r="R1630">
        <v>5</v>
      </c>
      <c r="S1630">
        <v>2</v>
      </c>
      <c r="T1630" t="s">
        <v>41</v>
      </c>
      <c r="U1630" t="s">
        <v>30</v>
      </c>
      <c r="V1630">
        <v>117109</v>
      </c>
      <c r="W1630">
        <v>3.79</v>
      </c>
      <c r="X1630">
        <v>4</v>
      </c>
    </row>
    <row r="1631" spans="1:24" x14ac:dyDescent="0.3">
      <c r="A1631" t="s">
        <v>24</v>
      </c>
      <c r="B1631" t="s">
        <v>25</v>
      </c>
      <c r="C1631">
        <v>2025</v>
      </c>
      <c r="D1631" t="s">
        <v>61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34</v>
      </c>
      <c r="N1631">
        <v>5</v>
      </c>
      <c r="O1631" t="s">
        <v>58</v>
      </c>
      <c r="P1631">
        <v>28.2</v>
      </c>
      <c r="Q1631">
        <v>1783</v>
      </c>
      <c r="R1631">
        <v>5</v>
      </c>
      <c r="S1631">
        <v>1</v>
      </c>
      <c r="T1631" t="s">
        <v>29</v>
      </c>
      <c r="U1631" t="s">
        <v>37</v>
      </c>
      <c r="V1631">
        <v>272524</v>
      </c>
      <c r="W1631">
        <v>3.48</v>
      </c>
      <c r="X1631">
        <v>3</v>
      </c>
    </row>
    <row r="1632" spans="1:24" x14ac:dyDescent="0.3">
      <c r="A1632" t="s">
        <v>38</v>
      </c>
      <c r="B1632" t="s">
        <v>39</v>
      </c>
      <c r="C1632">
        <v>2021</v>
      </c>
      <c r="D1632" t="s">
        <v>56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48</v>
      </c>
      <c r="N1632">
        <v>5</v>
      </c>
      <c r="O1632" t="s">
        <v>40</v>
      </c>
      <c r="P1632">
        <v>72.8</v>
      </c>
      <c r="Q1632">
        <v>1500</v>
      </c>
      <c r="R1632">
        <v>4</v>
      </c>
      <c r="S1632">
        <v>1</v>
      </c>
      <c r="T1632" t="s">
        <v>41</v>
      </c>
      <c r="U1632" t="s">
        <v>37</v>
      </c>
      <c r="V1632">
        <v>3168</v>
      </c>
      <c r="W1632">
        <v>3.49</v>
      </c>
      <c r="X1632">
        <v>4</v>
      </c>
    </row>
    <row r="1633" spans="1:24" x14ac:dyDescent="0.3">
      <c r="A1633" t="s">
        <v>63</v>
      </c>
      <c r="B1633" t="s">
        <v>73</v>
      </c>
      <c r="C1633">
        <v>2026</v>
      </c>
      <c r="D1633" t="s">
        <v>44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34</v>
      </c>
      <c r="N1633">
        <v>7</v>
      </c>
      <c r="O1633" t="s">
        <v>51</v>
      </c>
      <c r="P1633">
        <v>30.8</v>
      </c>
      <c r="Q1633">
        <v>1766</v>
      </c>
      <c r="R1633">
        <v>4</v>
      </c>
      <c r="S1633">
        <v>2</v>
      </c>
      <c r="T1633" t="s">
        <v>65</v>
      </c>
      <c r="U1633" t="s">
        <v>33</v>
      </c>
      <c r="V1633">
        <v>158795</v>
      </c>
      <c r="W1633">
        <v>3.92</v>
      </c>
      <c r="X1633">
        <v>3</v>
      </c>
    </row>
    <row r="1634" spans="1:24" x14ac:dyDescent="0.3">
      <c r="A1634" t="s">
        <v>83</v>
      </c>
      <c r="B1634" t="s">
        <v>114</v>
      </c>
      <c r="C1634">
        <v>2020</v>
      </c>
      <c r="D1634" t="s">
        <v>61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27</v>
      </c>
      <c r="N1634">
        <v>7</v>
      </c>
      <c r="O1634" t="s">
        <v>51</v>
      </c>
      <c r="P1634">
        <v>38.9</v>
      </c>
      <c r="Q1634">
        <v>1511</v>
      </c>
      <c r="R1634">
        <v>4</v>
      </c>
      <c r="S1634">
        <v>1</v>
      </c>
      <c r="T1634" t="s">
        <v>29</v>
      </c>
      <c r="U1634" t="s">
        <v>33</v>
      </c>
      <c r="V1634">
        <v>43577</v>
      </c>
      <c r="W1634">
        <v>3.37</v>
      </c>
      <c r="X1634">
        <v>8</v>
      </c>
    </row>
    <row r="1635" spans="1:24" x14ac:dyDescent="0.3">
      <c r="A1635" t="s">
        <v>76</v>
      </c>
      <c r="B1635" t="s">
        <v>77</v>
      </c>
      <c r="C1635">
        <v>2024</v>
      </c>
      <c r="D1635" t="s">
        <v>56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34</v>
      </c>
      <c r="N1635">
        <v>5</v>
      </c>
      <c r="O1635" t="s">
        <v>50</v>
      </c>
      <c r="P1635">
        <v>15.1</v>
      </c>
      <c r="Q1635">
        <v>1500</v>
      </c>
      <c r="R1635">
        <v>5</v>
      </c>
      <c r="S1635">
        <v>0</v>
      </c>
      <c r="T1635" t="s">
        <v>41</v>
      </c>
      <c r="U1635" t="s">
        <v>37</v>
      </c>
      <c r="V1635">
        <v>25281</v>
      </c>
      <c r="W1635">
        <v>3.55</v>
      </c>
      <c r="X1635">
        <v>4</v>
      </c>
    </row>
    <row r="1636" spans="1:24" x14ac:dyDescent="0.3">
      <c r="A1636" t="s">
        <v>94</v>
      </c>
      <c r="B1636" t="s">
        <v>120</v>
      </c>
      <c r="C1636">
        <v>2020</v>
      </c>
      <c r="D1636" t="s">
        <v>61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48</v>
      </c>
      <c r="N1636">
        <v>5</v>
      </c>
      <c r="O1636" t="s">
        <v>51</v>
      </c>
      <c r="P1636">
        <v>29.5</v>
      </c>
      <c r="Q1636">
        <v>1679</v>
      </c>
      <c r="R1636">
        <v>4</v>
      </c>
      <c r="S1636">
        <v>1</v>
      </c>
      <c r="T1636" t="s">
        <v>41</v>
      </c>
      <c r="U1636" t="s">
        <v>33</v>
      </c>
      <c r="V1636">
        <v>16890</v>
      </c>
      <c r="W1636">
        <v>3.32</v>
      </c>
      <c r="X1636">
        <v>5</v>
      </c>
    </row>
    <row r="1637" spans="1:24" x14ac:dyDescent="0.3">
      <c r="A1637" t="s">
        <v>63</v>
      </c>
      <c r="B1637" t="s">
        <v>82</v>
      </c>
      <c r="C1637">
        <v>2024</v>
      </c>
      <c r="D1637" t="s">
        <v>44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48</v>
      </c>
      <c r="N1637">
        <v>5</v>
      </c>
      <c r="O1637" t="s">
        <v>35</v>
      </c>
      <c r="P1637">
        <v>46.6</v>
      </c>
      <c r="Q1637">
        <v>2029</v>
      </c>
      <c r="R1637">
        <v>4</v>
      </c>
      <c r="S1637">
        <v>0</v>
      </c>
      <c r="T1637" t="s">
        <v>65</v>
      </c>
      <c r="U1637" t="s">
        <v>33</v>
      </c>
      <c r="V1637">
        <v>152424</v>
      </c>
      <c r="W1637">
        <v>3.65</v>
      </c>
      <c r="X1637">
        <v>3</v>
      </c>
    </row>
    <row r="1638" spans="1:24" x14ac:dyDescent="0.3">
      <c r="A1638" t="s">
        <v>24</v>
      </c>
      <c r="B1638" t="s">
        <v>70</v>
      </c>
      <c r="C1638">
        <v>2025</v>
      </c>
      <c r="D1638" t="s">
        <v>61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34</v>
      </c>
      <c r="N1638">
        <v>5</v>
      </c>
      <c r="O1638" t="s">
        <v>50</v>
      </c>
      <c r="P1638">
        <v>34.200000000000003</v>
      </c>
      <c r="Q1638">
        <v>1500</v>
      </c>
      <c r="R1638">
        <v>4</v>
      </c>
      <c r="S1638">
        <v>1</v>
      </c>
      <c r="T1638" t="s">
        <v>29</v>
      </c>
      <c r="U1638" t="s">
        <v>33</v>
      </c>
      <c r="V1638">
        <v>264457</v>
      </c>
      <c r="W1638">
        <v>3.12</v>
      </c>
      <c r="X1638">
        <v>3</v>
      </c>
    </row>
    <row r="1639" spans="1:24" x14ac:dyDescent="0.3">
      <c r="A1639" t="s">
        <v>46</v>
      </c>
      <c r="B1639" t="s">
        <v>78</v>
      </c>
      <c r="C1639">
        <v>2023</v>
      </c>
      <c r="D1639" t="s">
        <v>56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48</v>
      </c>
      <c r="N1639">
        <v>5</v>
      </c>
      <c r="O1639" t="s">
        <v>35</v>
      </c>
      <c r="P1639">
        <v>46.3</v>
      </c>
      <c r="Q1639">
        <v>2166</v>
      </c>
      <c r="R1639">
        <v>3</v>
      </c>
      <c r="S1639">
        <v>3</v>
      </c>
      <c r="T1639" t="s">
        <v>41</v>
      </c>
      <c r="U1639" t="s">
        <v>37</v>
      </c>
      <c r="V1639">
        <v>183636</v>
      </c>
      <c r="W1639">
        <v>3.65</v>
      </c>
      <c r="X1639">
        <v>5</v>
      </c>
    </row>
    <row r="1640" spans="1:24" x14ac:dyDescent="0.3">
      <c r="A1640" t="s">
        <v>121</v>
      </c>
      <c r="B1640" t="s">
        <v>135</v>
      </c>
      <c r="C1640">
        <v>2022</v>
      </c>
      <c r="D1640" t="s">
        <v>56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48</v>
      </c>
      <c r="N1640">
        <v>7</v>
      </c>
      <c r="O1640" t="s">
        <v>50</v>
      </c>
      <c r="P1640">
        <v>17.8</v>
      </c>
      <c r="Q1640">
        <v>1500</v>
      </c>
      <c r="R1640">
        <v>5</v>
      </c>
      <c r="S1640">
        <v>0</v>
      </c>
      <c r="T1640" t="s">
        <v>123</v>
      </c>
      <c r="U1640" t="s">
        <v>37</v>
      </c>
      <c r="V1640">
        <v>3048</v>
      </c>
      <c r="W1640">
        <v>3.39</v>
      </c>
      <c r="X1640">
        <v>4</v>
      </c>
    </row>
    <row r="1641" spans="1:24" x14ac:dyDescent="0.3">
      <c r="A1641" t="s">
        <v>94</v>
      </c>
      <c r="B1641" t="s">
        <v>133</v>
      </c>
      <c r="C1641">
        <v>2020</v>
      </c>
      <c r="D1641" t="s">
        <v>56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34</v>
      </c>
      <c r="N1641">
        <v>2</v>
      </c>
      <c r="O1641" t="s">
        <v>28</v>
      </c>
      <c r="P1641">
        <v>67.599999999999994</v>
      </c>
      <c r="Q1641">
        <v>2714</v>
      </c>
      <c r="R1641">
        <v>5</v>
      </c>
      <c r="S1641">
        <v>0</v>
      </c>
      <c r="T1641" t="s">
        <v>41</v>
      </c>
      <c r="U1641" t="s">
        <v>37</v>
      </c>
      <c r="V1641">
        <v>12678</v>
      </c>
      <c r="W1641">
        <v>3.7</v>
      </c>
      <c r="X1641">
        <v>4</v>
      </c>
    </row>
    <row r="1642" spans="1:24" x14ac:dyDescent="0.3">
      <c r="A1642" t="s">
        <v>42</v>
      </c>
      <c r="B1642" t="s">
        <v>80</v>
      </c>
      <c r="C1642">
        <v>2025</v>
      </c>
      <c r="D1642" t="s">
        <v>44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27</v>
      </c>
      <c r="N1642">
        <v>7</v>
      </c>
      <c r="O1642" t="s">
        <v>35</v>
      </c>
      <c r="P1642">
        <v>51.9</v>
      </c>
      <c r="Q1642">
        <v>2029</v>
      </c>
      <c r="R1642">
        <v>5</v>
      </c>
      <c r="S1642">
        <v>0</v>
      </c>
      <c r="T1642" t="s">
        <v>45</v>
      </c>
      <c r="U1642" t="s">
        <v>37</v>
      </c>
      <c r="V1642">
        <v>139592</v>
      </c>
      <c r="W1642">
        <v>3.62</v>
      </c>
      <c r="X1642">
        <v>4</v>
      </c>
    </row>
    <row r="1643" spans="1:24" x14ac:dyDescent="0.3">
      <c r="A1643" t="s">
        <v>52</v>
      </c>
      <c r="B1643" t="s">
        <v>53</v>
      </c>
      <c r="C1643">
        <v>2024</v>
      </c>
      <c r="D1643" t="s">
        <v>33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48</v>
      </c>
      <c r="N1643">
        <v>5</v>
      </c>
      <c r="O1643" t="s">
        <v>50</v>
      </c>
      <c r="P1643">
        <v>39.6</v>
      </c>
      <c r="Q1643">
        <v>1543</v>
      </c>
      <c r="R1643">
        <v>5</v>
      </c>
      <c r="S1643">
        <v>1</v>
      </c>
      <c r="T1643" t="s">
        <v>29</v>
      </c>
      <c r="U1643" t="s">
        <v>30</v>
      </c>
      <c r="V1643">
        <v>50870</v>
      </c>
      <c r="W1643">
        <v>3.8</v>
      </c>
      <c r="X1643">
        <v>7</v>
      </c>
    </row>
    <row r="1644" spans="1:24" x14ac:dyDescent="0.3">
      <c r="A1644" t="s">
        <v>68</v>
      </c>
      <c r="B1644" t="s">
        <v>69</v>
      </c>
      <c r="C1644">
        <v>2025</v>
      </c>
      <c r="D1644" t="s">
        <v>26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48</v>
      </c>
      <c r="N1644">
        <v>5</v>
      </c>
      <c r="O1644" t="s">
        <v>58</v>
      </c>
      <c r="P1644">
        <v>39.700000000000003</v>
      </c>
      <c r="Q1644">
        <v>1500</v>
      </c>
      <c r="R1644">
        <v>4</v>
      </c>
      <c r="S1644">
        <v>0</v>
      </c>
      <c r="T1644" t="s">
        <v>45</v>
      </c>
      <c r="U1644" t="s">
        <v>33</v>
      </c>
      <c r="V1644">
        <v>65013</v>
      </c>
      <c r="W1644">
        <v>3.72</v>
      </c>
      <c r="X1644">
        <v>4</v>
      </c>
    </row>
    <row r="1645" spans="1:24" x14ac:dyDescent="0.3">
      <c r="A1645" t="s">
        <v>83</v>
      </c>
      <c r="B1645" t="s">
        <v>84</v>
      </c>
      <c r="C1645">
        <v>2023</v>
      </c>
      <c r="D1645" t="s">
        <v>44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48</v>
      </c>
      <c r="N1645">
        <v>7</v>
      </c>
      <c r="O1645" t="s">
        <v>40</v>
      </c>
      <c r="P1645">
        <v>68.7</v>
      </c>
      <c r="Q1645">
        <v>1543</v>
      </c>
      <c r="R1645">
        <v>4</v>
      </c>
      <c r="S1645">
        <v>2</v>
      </c>
      <c r="T1645" t="s">
        <v>29</v>
      </c>
      <c r="U1645" t="s">
        <v>30</v>
      </c>
      <c r="V1645">
        <v>49932</v>
      </c>
      <c r="W1645">
        <v>3.32</v>
      </c>
      <c r="X1645">
        <v>7</v>
      </c>
    </row>
    <row r="1646" spans="1:24" x14ac:dyDescent="0.3">
      <c r="A1646" t="s">
        <v>46</v>
      </c>
      <c r="B1646" t="s">
        <v>49</v>
      </c>
      <c r="C1646">
        <v>2023</v>
      </c>
      <c r="D1646" t="s">
        <v>44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34</v>
      </c>
      <c r="N1646">
        <v>7</v>
      </c>
      <c r="O1646" t="s">
        <v>40</v>
      </c>
      <c r="P1646">
        <v>75.099999999999994</v>
      </c>
      <c r="Q1646">
        <v>1500</v>
      </c>
      <c r="R1646">
        <v>3</v>
      </c>
      <c r="S1646">
        <v>3</v>
      </c>
      <c r="T1646" t="s">
        <v>41</v>
      </c>
      <c r="U1646" t="s">
        <v>37</v>
      </c>
      <c r="V1646">
        <v>462962</v>
      </c>
      <c r="W1646">
        <v>4.05</v>
      </c>
      <c r="X1646">
        <v>4</v>
      </c>
    </row>
    <row r="1647" spans="1:24" x14ac:dyDescent="0.3">
      <c r="A1647" t="s">
        <v>38</v>
      </c>
      <c r="B1647" t="s">
        <v>39</v>
      </c>
      <c r="C1647">
        <v>2025</v>
      </c>
      <c r="D1647" t="s">
        <v>44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27</v>
      </c>
      <c r="N1647">
        <v>7</v>
      </c>
      <c r="O1647" t="s">
        <v>28</v>
      </c>
      <c r="P1647">
        <v>71.900000000000006</v>
      </c>
      <c r="Q1647">
        <v>2310</v>
      </c>
      <c r="R1647">
        <v>4</v>
      </c>
      <c r="S1647">
        <v>2</v>
      </c>
      <c r="T1647" t="s">
        <v>41</v>
      </c>
      <c r="U1647" t="s">
        <v>37</v>
      </c>
      <c r="V1647">
        <v>20559</v>
      </c>
      <c r="W1647">
        <v>3.37</v>
      </c>
      <c r="X1647">
        <v>4</v>
      </c>
    </row>
    <row r="1648" spans="1:24" x14ac:dyDescent="0.3">
      <c r="A1648" t="s">
        <v>46</v>
      </c>
      <c r="B1648" t="s">
        <v>49</v>
      </c>
      <c r="C1648">
        <v>2025</v>
      </c>
      <c r="D1648" t="s">
        <v>33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48</v>
      </c>
      <c r="N1648">
        <v>5</v>
      </c>
      <c r="O1648" t="s">
        <v>35</v>
      </c>
      <c r="P1648">
        <v>53.5</v>
      </c>
      <c r="Q1648">
        <v>2239</v>
      </c>
      <c r="R1648">
        <v>4</v>
      </c>
      <c r="S1648">
        <v>2</v>
      </c>
      <c r="T1648" t="s">
        <v>41</v>
      </c>
      <c r="U1648" t="s">
        <v>37</v>
      </c>
      <c r="V1648">
        <v>484636</v>
      </c>
      <c r="W1648">
        <v>3.69</v>
      </c>
      <c r="X1648">
        <v>5</v>
      </c>
    </row>
    <row r="1649" spans="1:24" x14ac:dyDescent="0.3">
      <c r="A1649" t="s">
        <v>52</v>
      </c>
      <c r="B1649" t="s">
        <v>53</v>
      </c>
      <c r="C1649">
        <v>2024</v>
      </c>
      <c r="D1649" t="s">
        <v>56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27</v>
      </c>
      <c r="N1649">
        <v>7</v>
      </c>
      <c r="O1649" t="s">
        <v>58</v>
      </c>
      <c r="P1649">
        <v>38.700000000000003</v>
      </c>
      <c r="Q1649">
        <v>1698</v>
      </c>
      <c r="R1649">
        <v>4</v>
      </c>
      <c r="S1649">
        <v>1</v>
      </c>
      <c r="T1649" t="s">
        <v>29</v>
      </c>
      <c r="U1649" t="s">
        <v>30</v>
      </c>
      <c r="V1649">
        <v>36359</v>
      </c>
      <c r="W1649">
        <v>3.55</v>
      </c>
      <c r="X1649">
        <v>8</v>
      </c>
    </row>
    <row r="1650" spans="1:24" x14ac:dyDescent="0.3">
      <c r="A1650" t="s">
        <v>76</v>
      </c>
      <c r="B1650" t="s">
        <v>91</v>
      </c>
      <c r="C1650">
        <v>2024</v>
      </c>
      <c r="D1650" t="s">
        <v>26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27</v>
      </c>
      <c r="N1650">
        <v>2</v>
      </c>
      <c r="O1650" t="s">
        <v>28</v>
      </c>
      <c r="P1650">
        <v>77.400000000000006</v>
      </c>
      <c r="Q1650">
        <v>2776</v>
      </c>
      <c r="R1650">
        <v>4</v>
      </c>
      <c r="S1650">
        <v>1</v>
      </c>
      <c r="T1650" t="s">
        <v>41</v>
      </c>
      <c r="U1650" t="s">
        <v>30</v>
      </c>
      <c r="V1650">
        <v>44309</v>
      </c>
      <c r="W1650">
        <v>3.77</v>
      </c>
      <c r="X1650">
        <v>3</v>
      </c>
    </row>
    <row r="1651" spans="1:24" x14ac:dyDescent="0.3">
      <c r="A1651" t="s">
        <v>38</v>
      </c>
      <c r="B1651" t="s">
        <v>101</v>
      </c>
      <c r="C1651">
        <v>2025</v>
      </c>
      <c r="D1651" t="s">
        <v>33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27</v>
      </c>
      <c r="N1651">
        <v>7</v>
      </c>
      <c r="O1651" t="s">
        <v>40</v>
      </c>
      <c r="P1651">
        <v>70.8</v>
      </c>
      <c r="Q1651">
        <v>1527</v>
      </c>
      <c r="R1651">
        <v>5</v>
      </c>
      <c r="S1651">
        <v>0</v>
      </c>
      <c r="T1651" t="s">
        <v>41</v>
      </c>
      <c r="U1651" t="s">
        <v>37</v>
      </c>
      <c r="V1651">
        <v>2175</v>
      </c>
      <c r="W1651">
        <v>3.23</v>
      </c>
      <c r="X1651">
        <v>4</v>
      </c>
    </row>
    <row r="1652" spans="1:24" x14ac:dyDescent="0.3">
      <c r="A1652" t="s">
        <v>46</v>
      </c>
      <c r="B1652" t="s">
        <v>78</v>
      </c>
      <c r="C1652">
        <v>2024</v>
      </c>
      <c r="D1652" t="s">
        <v>56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34</v>
      </c>
      <c r="N1652">
        <v>5</v>
      </c>
      <c r="O1652" t="s">
        <v>28</v>
      </c>
      <c r="P1652">
        <v>54.1</v>
      </c>
      <c r="Q1652">
        <v>2584</v>
      </c>
      <c r="R1652">
        <v>5</v>
      </c>
      <c r="S1652">
        <v>2</v>
      </c>
      <c r="T1652" t="s">
        <v>41</v>
      </c>
      <c r="U1652" t="s">
        <v>33</v>
      </c>
      <c r="V1652">
        <v>135414</v>
      </c>
      <c r="W1652">
        <v>3.99</v>
      </c>
      <c r="X1652">
        <v>4</v>
      </c>
    </row>
    <row r="1653" spans="1:24" x14ac:dyDescent="0.3">
      <c r="A1653" t="s">
        <v>63</v>
      </c>
      <c r="B1653" t="s">
        <v>107</v>
      </c>
      <c r="C1653">
        <v>2025</v>
      </c>
      <c r="D1653" t="s">
        <v>33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48</v>
      </c>
      <c r="N1653">
        <v>5</v>
      </c>
      <c r="O1653" t="s">
        <v>51</v>
      </c>
      <c r="P1653">
        <v>39.200000000000003</v>
      </c>
      <c r="Q1653">
        <v>1710</v>
      </c>
      <c r="R1653">
        <v>5</v>
      </c>
      <c r="S1653">
        <v>0</v>
      </c>
      <c r="T1653" t="s">
        <v>65</v>
      </c>
      <c r="U1653" t="s">
        <v>30</v>
      </c>
      <c r="V1653">
        <v>207780</v>
      </c>
      <c r="W1653">
        <v>3.62</v>
      </c>
      <c r="X1653">
        <v>3</v>
      </c>
    </row>
    <row r="1654" spans="1:24" x14ac:dyDescent="0.3">
      <c r="A1654" t="s">
        <v>63</v>
      </c>
      <c r="B1654" t="s">
        <v>73</v>
      </c>
      <c r="C1654">
        <v>2021</v>
      </c>
      <c r="D1654" t="s">
        <v>26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27</v>
      </c>
      <c r="N1654">
        <v>5</v>
      </c>
      <c r="O1654" t="s">
        <v>51</v>
      </c>
      <c r="P1654">
        <v>29.8</v>
      </c>
      <c r="Q1654">
        <v>1516</v>
      </c>
      <c r="R1654">
        <v>4</v>
      </c>
      <c r="S1654">
        <v>0</v>
      </c>
      <c r="T1654" t="s">
        <v>65</v>
      </c>
      <c r="U1654" t="s">
        <v>37</v>
      </c>
      <c r="V1654">
        <v>110969</v>
      </c>
      <c r="W1654">
        <v>3.76</v>
      </c>
      <c r="X1654">
        <v>4</v>
      </c>
    </row>
    <row r="1655" spans="1:24" x14ac:dyDescent="0.3">
      <c r="A1655" t="s">
        <v>24</v>
      </c>
      <c r="B1655" t="s">
        <v>70</v>
      </c>
      <c r="C1655">
        <v>2024</v>
      </c>
      <c r="D1655" t="s">
        <v>61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48</v>
      </c>
      <c r="N1655">
        <v>7</v>
      </c>
      <c r="O1655" t="s">
        <v>58</v>
      </c>
      <c r="P1655">
        <v>21.5</v>
      </c>
      <c r="Q1655">
        <v>1516</v>
      </c>
      <c r="R1655">
        <v>4</v>
      </c>
      <c r="S1655">
        <v>0</v>
      </c>
      <c r="T1655" t="s">
        <v>29</v>
      </c>
      <c r="U1655" t="s">
        <v>37</v>
      </c>
      <c r="V1655">
        <v>248569</v>
      </c>
      <c r="W1655">
        <v>3.75</v>
      </c>
      <c r="X1655">
        <v>4</v>
      </c>
    </row>
    <row r="1656" spans="1:24" x14ac:dyDescent="0.3">
      <c r="A1656" t="s">
        <v>46</v>
      </c>
      <c r="B1656" t="s">
        <v>49</v>
      </c>
      <c r="C1656">
        <v>2024</v>
      </c>
      <c r="D1656" t="s">
        <v>56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27</v>
      </c>
      <c r="N1656">
        <v>5</v>
      </c>
      <c r="O1656" t="s">
        <v>51</v>
      </c>
      <c r="P1656">
        <v>25</v>
      </c>
      <c r="Q1656">
        <v>1774</v>
      </c>
      <c r="R1656">
        <v>4</v>
      </c>
      <c r="S1656">
        <v>2</v>
      </c>
      <c r="T1656" t="s">
        <v>41</v>
      </c>
      <c r="U1656" t="s">
        <v>30</v>
      </c>
      <c r="V1656">
        <v>402141</v>
      </c>
      <c r="W1656">
        <v>4.01</v>
      </c>
      <c r="X1656">
        <v>5</v>
      </c>
    </row>
    <row r="1657" spans="1:24" x14ac:dyDescent="0.3">
      <c r="A1657" t="s">
        <v>92</v>
      </c>
      <c r="B1657" t="s">
        <v>127</v>
      </c>
      <c r="C1657">
        <v>2022</v>
      </c>
      <c r="D1657" t="s">
        <v>61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27</v>
      </c>
      <c r="N1657">
        <v>5</v>
      </c>
      <c r="O1657" t="s">
        <v>35</v>
      </c>
      <c r="P1657">
        <v>50.8</v>
      </c>
      <c r="Q1657">
        <v>2057</v>
      </c>
      <c r="R1657">
        <v>5</v>
      </c>
      <c r="S1657">
        <v>2</v>
      </c>
      <c r="T1657" t="s">
        <v>65</v>
      </c>
      <c r="U1657" t="s">
        <v>37</v>
      </c>
      <c r="V1657">
        <v>19395</v>
      </c>
      <c r="W1657">
        <v>3.46</v>
      </c>
      <c r="X1657">
        <v>4</v>
      </c>
    </row>
    <row r="1658" spans="1:24" x14ac:dyDescent="0.3">
      <c r="A1658" t="s">
        <v>42</v>
      </c>
      <c r="B1658" t="s">
        <v>54</v>
      </c>
      <c r="C1658">
        <v>2026</v>
      </c>
      <c r="D1658" t="s">
        <v>26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27</v>
      </c>
      <c r="N1658">
        <v>5</v>
      </c>
      <c r="O1658" t="s">
        <v>28</v>
      </c>
      <c r="P1658">
        <v>67.5</v>
      </c>
      <c r="Q1658">
        <v>2916</v>
      </c>
      <c r="R1658">
        <v>5</v>
      </c>
      <c r="S1658">
        <v>0</v>
      </c>
      <c r="T1658" t="s">
        <v>45</v>
      </c>
      <c r="U1658" t="s">
        <v>33</v>
      </c>
      <c r="V1658">
        <v>123775</v>
      </c>
      <c r="W1658">
        <v>3.66</v>
      </c>
      <c r="X1658">
        <v>3</v>
      </c>
    </row>
    <row r="1659" spans="1:24" x14ac:dyDescent="0.3">
      <c r="A1659" t="s">
        <v>63</v>
      </c>
      <c r="B1659" t="s">
        <v>88</v>
      </c>
      <c r="C1659">
        <v>2026</v>
      </c>
      <c r="D1659" t="s">
        <v>26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27</v>
      </c>
      <c r="N1659">
        <v>5</v>
      </c>
      <c r="O1659" t="s">
        <v>51</v>
      </c>
      <c r="P1659">
        <v>20.6</v>
      </c>
      <c r="Q1659">
        <v>1527</v>
      </c>
      <c r="R1659">
        <v>4</v>
      </c>
      <c r="S1659">
        <v>0</v>
      </c>
      <c r="T1659" t="s">
        <v>65</v>
      </c>
      <c r="U1659" t="s">
        <v>33</v>
      </c>
      <c r="V1659">
        <v>234079</v>
      </c>
      <c r="W1659">
        <v>3.75</v>
      </c>
      <c r="X1659">
        <v>4</v>
      </c>
    </row>
    <row r="1660" spans="1:24" x14ac:dyDescent="0.3">
      <c r="A1660" t="s">
        <v>24</v>
      </c>
      <c r="B1660" t="s">
        <v>75</v>
      </c>
      <c r="C1660">
        <v>2023</v>
      </c>
      <c r="D1660" t="s">
        <v>26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48</v>
      </c>
      <c r="N1660">
        <v>7</v>
      </c>
      <c r="O1660" t="s">
        <v>50</v>
      </c>
      <c r="P1660">
        <v>27.1</v>
      </c>
      <c r="Q1660">
        <v>1677</v>
      </c>
      <c r="R1660">
        <v>4</v>
      </c>
      <c r="S1660">
        <v>2</v>
      </c>
      <c r="T1660" t="s">
        <v>29</v>
      </c>
      <c r="U1660" t="s">
        <v>33</v>
      </c>
      <c r="V1660">
        <v>291745</v>
      </c>
      <c r="W1660">
        <v>3.72</v>
      </c>
      <c r="X1660">
        <v>4</v>
      </c>
    </row>
    <row r="1661" spans="1:24" x14ac:dyDescent="0.3">
      <c r="A1661" t="s">
        <v>24</v>
      </c>
      <c r="B1661" t="s">
        <v>70</v>
      </c>
      <c r="C1661">
        <v>2024</v>
      </c>
      <c r="D1661" t="s">
        <v>44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48</v>
      </c>
      <c r="N1661">
        <v>5</v>
      </c>
      <c r="O1661" t="s">
        <v>51</v>
      </c>
      <c r="P1661">
        <v>25.2</v>
      </c>
      <c r="Q1661">
        <v>1500</v>
      </c>
      <c r="R1661">
        <v>4</v>
      </c>
      <c r="S1661">
        <v>0</v>
      </c>
      <c r="T1661" t="s">
        <v>29</v>
      </c>
      <c r="U1661" t="s">
        <v>33</v>
      </c>
      <c r="V1661">
        <v>292447</v>
      </c>
      <c r="W1661">
        <v>3.87</v>
      </c>
      <c r="X1661">
        <v>3</v>
      </c>
    </row>
    <row r="1662" spans="1:24" x14ac:dyDescent="0.3">
      <c r="A1662" t="s">
        <v>42</v>
      </c>
      <c r="B1662" t="s">
        <v>54</v>
      </c>
      <c r="C1662">
        <v>2023</v>
      </c>
      <c r="D1662" t="s">
        <v>26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27</v>
      </c>
      <c r="N1662">
        <v>5</v>
      </c>
      <c r="O1662" t="s">
        <v>51</v>
      </c>
      <c r="P1662">
        <v>20.8</v>
      </c>
      <c r="Q1662">
        <v>1529</v>
      </c>
      <c r="R1662">
        <v>5</v>
      </c>
      <c r="S1662">
        <v>0</v>
      </c>
      <c r="T1662" t="s">
        <v>45</v>
      </c>
      <c r="U1662" t="s">
        <v>37</v>
      </c>
      <c r="V1662">
        <v>97616</v>
      </c>
      <c r="W1662">
        <v>3.74</v>
      </c>
      <c r="X1662">
        <v>4</v>
      </c>
    </row>
    <row r="1663" spans="1:24" x14ac:dyDescent="0.3">
      <c r="A1663" t="s">
        <v>68</v>
      </c>
      <c r="B1663" t="s">
        <v>90</v>
      </c>
      <c r="C1663">
        <v>2024</v>
      </c>
      <c r="D1663" t="s">
        <v>26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27</v>
      </c>
      <c r="N1663">
        <v>5</v>
      </c>
      <c r="O1663" t="s">
        <v>58</v>
      </c>
      <c r="P1663">
        <v>39.299999999999997</v>
      </c>
      <c r="Q1663">
        <v>1500</v>
      </c>
      <c r="R1663">
        <v>5</v>
      </c>
      <c r="S1663">
        <v>1</v>
      </c>
      <c r="T1663" t="s">
        <v>45</v>
      </c>
      <c r="U1663" t="s">
        <v>37</v>
      </c>
      <c r="V1663">
        <v>113793</v>
      </c>
      <c r="W1663">
        <v>4.03</v>
      </c>
      <c r="X1663">
        <v>4</v>
      </c>
    </row>
    <row r="1664" spans="1:24" x14ac:dyDescent="0.3">
      <c r="A1664" t="s">
        <v>94</v>
      </c>
      <c r="B1664" t="s">
        <v>95</v>
      </c>
      <c r="C1664">
        <v>2025</v>
      </c>
      <c r="D1664" t="s">
        <v>61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27</v>
      </c>
      <c r="N1664">
        <v>7</v>
      </c>
      <c r="O1664" t="s">
        <v>35</v>
      </c>
      <c r="P1664">
        <v>53.8</v>
      </c>
      <c r="Q1664">
        <v>2018</v>
      </c>
      <c r="R1664">
        <v>5</v>
      </c>
      <c r="S1664">
        <v>2</v>
      </c>
      <c r="T1664" t="s">
        <v>41</v>
      </c>
      <c r="U1664" t="s">
        <v>33</v>
      </c>
      <c r="V1664">
        <v>28225</v>
      </c>
      <c r="W1664">
        <v>3.26</v>
      </c>
      <c r="X1664">
        <v>5</v>
      </c>
    </row>
    <row r="1665" spans="1:24" x14ac:dyDescent="0.3">
      <c r="A1665" t="s">
        <v>68</v>
      </c>
      <c r="B1665" t="s">
        <v>106</v>
      </c>
      <c r="C1665">
        <v>2025</v>
      </c>
      <c r="D1665" t="s">
        <v>33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27</v>
      </c>
      <c r="N1665">
        <v>7</v>
      </c>
      <c r="O1665" t="s">
        <v>58</v>
      </c>
      <c r="P1665">
        <v>32.299999999999997</v>
      </c>
      <c r="Q1665">
        <v>1506</v>
      </c>
      <c r="R1665">
        <v>5</v>
      </c>
      <c r="S1665">
        <v>2</v>
      </c>
      <c r="T1665" t="s">
        <v>45</v>
      </c>
      <c r="U1665" t="s">
        <v>33</v>
      </c>
      <c r="V1665">
        <v>78985</v>
      </c>
      <c r="W1665">
        <v>3.32</v>
      </c>
      <c r="X1665">
        <v>5</v>
      </c>
    </row>
    <row r="1666" spans="1:24" x14ac:dyDescent="0.3">
      <c r="A1666" t="s">
        <v>121</v>
      </c>
      <c r="B1666" t="s">
        <v>122</v>
      </c>
      <c r="C1666">
        <v>2024</v>
      </c>
      <c r="D1666" t="s">
        <v>61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48</v>
      </c>
      <c r="N1666">
        <v>5</v>
      </c>
      <c r="O1666" t="s">
        <v>40</v>
      </c>
      <c r="P1666">
        <v>72.599999999999994</v>
      </c>
      <c r="Q1666">
        <v>1623</v>
      </c>
      <c r="R1666">
        <v>5</v>
      </c>
      <c r="S1666">
        <v>2</v>
      </c>
      <c r="T1666" t="s">
        <v>123</v>
      </c>
      <c r="U1666" t="s">
        <v>33</v>
      </c>
      <c r="V1666">
        <v>16760</v>
      </c>
      <c r="W1666">
        <v>3.31</v>
      </c>
      <c r="X1666">
        <v>5</v>
      </c>
    </row>
    <row r="1667" spans="1:24" x14ac:dyDescent="0.3">
      <c r="A1667" t="s">
        <v>52</v>
      </c>
      <c r="B1667" t="s">
        <v>62</v>
      </c>
      <c r="C1667">
        <v>2024</v>
      </c>
      <c r="D1667" t="s">
        <v>44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27</v>
      </c>
      <c r="N1667">
        <v>7</v>
      </c>
      <c r="O1667" t="s">
        <v>28</v>
      </c>
      <c r="P1667">
        <v>70.2</v>
      </c>
      <c r="Q1667">
        <v>2380</v>
      </c>
      <c r="R1667">
        <v>3</v>
      </c>
      <c r="S1667">
        <v>1</v>
      </c>
      <c r="T1667" t="s">
        <v>29</v>
      </c>
      <c r="U1667" t="s">
        <v>33</v>
      </c>
      <c r="V1667">
        <v>37523</v>
      </c>
      <c r="W1667">
        <v>4.16</v>
      </c>
      <c r="X1667">
        <v>6</v>
      </c>
    </row>
    <row r="1668" spans="1:24" x14ac:dyDescent="0.3">
      <c r="A1668" t="s">
        <v>63</v>
      </c>
      <c r="B1668" t="s">
        <v>73</v>
      </c>
      <c r="C1668">
        <v>2024</v>
      </c>
      <c r="D1668" t="s">
        <v>44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34</v>
      </c>
      <c r="N1668">
        <v>5</v>
      </c>
      <c r="O1668" t="s">
        <v>50</v>
      </c>
      <c r="P1668">
        <v>18.899999999999999</v>
      </c>
      <c r="Q1668">
        <v>1677</v>
      </c>
      <c r="R1668">
        <v>5</v>
      </c>
      <c r="S1668">
        <v>0</v>
      </c>
      <c r="T1668" t="s">
        <v>65</v>
      </c>
      <c r="U1668" t="s">
        <v>33</v>
      </c>
      <c r="V1668">
        <v>239905</v>
      </c>
      <c r="W1668">
        <v>3.59</v>
      </c>
      <c r="X1668">
        <v>4</v>
      </c>
    </row>
    <row r="1669" spans="1:24" x14ac:dyDescent="0.3">
      <c r="A1669" t="s">
        <v>94</v>
      </c>
      <c r="B1669" t="s">
        <v>128</v>
      </c>
      <c r="C1669">
        <v>2024</v>
      </c>
      <c r="D1669" t="s">
        <v>61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48</v>
      </c>
      <c r="N1669">
        <v>7</v>
      </c>
      <c r="O1669" t="s">
        <v>51</v>
      </c>
      <c r="P1669">
        <v>30.1</v>
      </c>
      <c r="Q1669">
        <v>1500</v>
      </c>
      <c r="R1669">
        <v>5</v>
      </c>
      <c r="S1669">
        <v>1</v>
      </c>
      <c r="T1669" t="s">
        <v>41</v>
      </c>
      <c r="U1669" t="s">
        <v>33</v>
      </c>
      <c r="V1669">
        <v>18207</v>
      </c>
      <c r="W1669">
        <v>3.15</v>
      </c>
      <c r="X1669">
        <v>4</v>
      </c>
    </row>
    <row r="1670" spans="1:24" x14ac:dyDescent="0.3">
      <c r="A1670" t="s">
        <v>46</v>
      </c>
      <c r="B1670" t="s">
        <v>57</v>
      </c>
      <c r="C1670">
        <v>2026</v>
      </c>
      <c r="D1670" t="s">
        <v>26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48</v>
      </c>
      <c r="N1670">
        <v>7</v>
      </c>
      <c r="O1670" t="s">
        <v>28</v>
      </c>
      <c r="P1670">
        <v>65.900000000000006</v>
      </c>
      <c r="Q1670">
        <v>2374</v>
      </c>
      <c r="R1670">
        <v>4</v>
      </c>
      <c r="S1670">
        <v>2</v>
      </c>
      <c r="T1670" t="s">
        <v>41</v>
      </c>
      <c r="U1670" t="s">
        <v>30</v>
      </c>
      <c r="V1670">
        <v>192234</v>
      </c>
      <c r="W1670">
        <v>3.86</v>
      </c>
      <c r="X1670">
        <v>4</v>
      </c>
    </row>
    <row r="1671" spans="1:24" x14ac:dyDescent="0.3">
      <c r="A1671" t="s">
        <v>76</v>
      </c>
      <c r="B1671" t="s">
        <v>98</v>
      </c>
      <c r="C1671">
        <v>2024</v>
      </c>
      <c r="D1671" t="s">
        <v>44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48</v>
      </c>
      <c r="N1671">
        <v>5</v>
      </c>
      <c r="O1671" t="s">
        <v>40</v>
      </c>
      <c r="P1671">
        <v>79.7</v>
      </c>
      <c r="Q1671">
        <v>1566</v>
      </c>
      <c r="R1671">
        <v>4</v>
      </c>
      <c r="S1671">
        <v>2</v>
      </c>
      <c r="T1671" t="s">
        <v>41</v>
      </c>
      <c r="U1671" t="s">
        <v>33</v>
      </c>
      <c r="V1671">
        <v>53055</v>
      </c>
      <c r="W1671">
        <v>3.46</v>
      </c>
      <c r="X1671">
        <v>4</v>
      </c>
    </row>
    <row r="1672" spans="1:24" x14ac:dyDescent="0.3">
      <c r="A1672" t="s">
        <v>24</v>
      </c>
      <c r="B1672" t="s">
        <v>74</v>
      </c>
      <c r="C1672">
        <v>2025</v>
      </c>
      <c r="D1672" t="s">
        <v>61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27</v>
      </c>
      <c r="N1672">
        <v>5</v>
      </c>
      <c r="O1672" t="s">
        <v>58</v>
      </c>
      <c r="P1672">
        <v>29</v>
      </c>
      <c r="Q1672">
        <v>1783</v>
      </c>
      <c r="R1672">
        <v>4</v>
      </c>
      <c r="S1672">
        <v>0</v>
      </c>
      <c r="T1672" t="s">
        <v>29</v>
      </c>
      <c r="U1672" t="s">
        <v>37</v>
      </c>
      <c r="V1672">
        <v>280770</v>
      </c>
      <c r="W1672">
        <v>3.65</v>
      </c>
      <c r="X1672">
        <v>3</v>
      </c>
    </row>
    <row r="1673" spans="1:24" x14ac:dyDescent="0.3">
      <c r="A1673" t="s">
        <v>86</v>
      </c>
      <c r="B1673" t="s">
        <v>105</v>
      </c>
      <c r="C1673">
        <v>2024</v>
      </c>
      <c r="D1673" t="s">
        <v>56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48</v>
      </c>
      <c r="N1673">
        <v>5</v>
      </c>
      <c r="O1673" t="s">
        <v>58</v>
      </c>
      <c r="P1673">
        <v>32.4</v>
      </c>
      <c r="Q1673">
        <v>1555</v>
      </c>
      <c r="R1673">
        <v>5</v>
      </c>
      <c r="S1673">
        <v>1</v>
      </c>
      <c r="T1673" t="s">
        <v>29</v>
      </c>
      <c r="U1673" t="s">
        <v>33</v>
      </c>
      <c r="V1673">
        <v>32172</v>
      </c>
      <c r="W1673">
        <v>3.58</v>
      </c>
      <c r="X1673">
        <v>6</v>
      </c>
    </row>
    <row r="1674" spans="1:24" x14ac:dyDescent="0.3">
      <c r="A1674" t="s">
        <v>52</v>
      </c>
      <c r="B1674" t="s">
        <v>62</v>
      </c>
      <c r="C1674">
        <v>2025</v>
      </c>
      <c r="D1674" t="s">
        <v>33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27</v>
      </c>
      <c r="N1674">
        <v>5</v>
      </c>
      <c r="O1674" t="s">
        <v>51</v>
      </c>
      <c r="P1674">
        <v>25.4</v>
      </c>
      <c r="Q1674">
        <v>1630</v>
      </c>
      <c r="R1674">
        <v>4</v>
      </c>
      <c r="S1674">
        <v>1</v>
      </c>
      <c r="T1674" t="s">
        <v>29</v>
      </c>
      <c r="U1674" t="s">
        <v>30</v>
      </c>
      <c r="V1674">
        <v>79528</v>
      </c>
      <c r="W1674">
        <v>3.66</v>
      </c>
      <c r="X1674">
        <v>8</v>
      </c>
    </row>
    <row r="1675" spans="1:24" x14ac:dyDescent="0.3">
      <c r="A1675" t="s">
        <v>76</v>
      </c>
      <c r="B1675" t="s">
        <v>81</v>
      </c>
      <c r="C1675">
        <v>2024</v>
      </c>
      <c r="D1675" t="s">
        <v>26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27</v>
      </c>
      <c r="N1675">
        <v>7</v>
      </c>
      <c r="O1675" t="s">
        <v>50</v>
      </c>
      <c r="P1675">
        <v>16.7</v>
      </c>
      <c r="Q1675">
        <v>1500</v>
      </c>
      <c r="R1675">
        <v>5</v>
      </c>
      <c r="S1675">
        <v>0</v>
      </c>
      <c r="T1675" t="s">
        <v>41</v>
      </c>
      <c r="U1675" t="s">
        <v>30</v>
      </c>
      <c r="V1675">
        <v>28651</v>
      </c>
      <c r="W1675">
        <v>3.57</v>
      </c>
      <c r="X1675">
        <v>3</v>
      </c>
    </row>
    <row r="1676" spans="1:24" x14ac:dyDescent="0.3">
      <c r="A1676" t="s">
        <v>76</v>
      </c>
      <c r="B1676" t="s">
        <v>98</v>
      </c>
      <c r="C1676">
        <v>2021</v>
      </c>
      <c r="D1676" t="s">
        <v>33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48</v>
      </c>
      <c r="N1676">
        <v>5</v>
      </c>
      <c r="O1676" t="s">
        <v>35</v>
      </c>
      <c r="P1676">
        <v>54.5</v>
      </c>
      <c r="Q1676">
        <v>1826</v>
      </c>
      <c r="R1676">
        <v>4</v>
      </c>
      <c r="S1676">
        <v>0</v>
      </c>
      <c r="T1676" t="s">
        <v>41</v>
      </c>
      <c r="U1676" t="s">
        <v>33</v>
      </c>
      <c r="V1676">
        <v>45842</v>
      </c>
      <c r="W1676">
        <v>3.05</v>
      </c>
      <c r="X1676">
        <v>4</v>
      </c>
    </row>
    <row r="1677" spans="1:24" x14ac:dyDescent="0.3">
      <c r="A1677" t="s">
        <v>63</v>
      </c>
      <c r="B1677" t="s">
        <v>73</v>
      </c>
      <c r="C1677">
        <v>2024</v>
      </c>
      <c r="D1677" t="s">
        <v>61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48</v>
      </c>
      <c r="N1677">
        <v>7</v>
      </c>
      <c r="O1677" t="s">
        <v>40</v>
      </c>
      <c r="P1677">
        <v>64.8</v>
      </c>
      <c r="Q1677">
        <v>1633</v>
      </c>
      <c r="R1677">
        <v>5</v>
      </c>
      <c r="S1677">
        <v>0</v>
      </c>
      <c r="T1677" t="s">
        <v>65</v>
      </c>
      <c r="U1677" t="s">
        <v>37</v>
      </c>
      <c r="V1677">
        <v>109861</v>
      </c>
      <c r="W1677">
        <v>3.54</v>
      </c>
      <c r="X1677">
        <v>5</v>
      </c>
    </row>
    <row r="1678" spans="1:24" x14ac:dyDescent="0.3">
      <c r="A1678" t="s">
        <v>46</v>
      </c>
      <c r="B1678" t="s">
        <v>47</v>
      </c>
      <c r="C1678">
        <v>2025</v>
      </c>
      <c r="D1678" t="s">
        <v>61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27</v>
      </c>
      <c r="N1678">
        <v>7</v>
      </c>
      <c r="O1678" t="s">
        <v>50</v>
      </c>
      <c r="P1678">
        <v>21</v>
      </c>
      <c r="Q1678">
        <v>1500</v>
      </c>
      <c r="R1678">
        <v>5</v>
      </c>
      <c r="S1678">
        <v>2</v>
      </c>
      <c r="T1678" t="s">
        <v>41</v>
      </c>
      <c r="U1678" t="s">
        <v>30</v>
      </c>
      <c r="V1678">
        <v>136780</v>
      </c>
      <c r="W1678">
        <v>3.7</v>
      </c>
      <c r="X1678">
        <v>4</v>
      </c>
    </row>
    <row r="1679" spans="1:24" x14ac:dyDescent="0.3">
      <c r="A1679" t="s">
        <v>24</v>
      </c>
      <c r="B1679" t="s">
        <v>85</v>
      </c>
      <c r="C1679">
        <v>2025</v>
      </c>
      <c r="D1679" t="s">
        <v>44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48</v>
      </c>
      <c r="N1679">
        <v>5</v>
      </c>
      <c r="O1679" t="s">
        <v>51</v>
      </c>
      <c r="P1679">
        <v>16.8</v>
      </c>
      <c r="Q1679">
        <v>1552</v>
      </c>
      <c r="R1679">
        <v>5</v>
      </c>
      <c r="S1679">
        <v>0</v>
      </c>
      <c r="T1679" t="s">
        <v>29</v>
      </c>
      <c r="U1679" t="s">
        <v>37</v>
      </c>
      <c r="V1679">
        <v>243592</v>
      </c>
      <c r="W1679">
        <v>3.37</v>
      </c>
      <c r="X1679">
        <v>5</v>
      </c>
    </row>
    <row r="1680" spans="1:24" x14ac:dyDescent="0.3">
      <c r="A1680" t="s">
        <v>46</v>
      </c>
      <c r="B1680" t="s">
        <v>49</v>
      </c>
      <c r="C1680">
        <v>2025</v>
      </c>
      <c r="D1680" t="s">
        <v>56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27</v>
      </c>
      <c r="N1680">
        <v>7</v>
      </c>
      <c r="O1680" t="s">
        <v>51</v>
      </c>
      <c r="P1680">
        <v>33.1</v>
      </c>
      <c r="Q1680">
        <v>1522</v>
      </c>
      <c r="R1680">
        <v>4</v>
      </c>
      <c r="S1680">
        <v>2</v>
      </c>
      <c r="T1680" t="s">
        <v>41</v>
      </c>
      <c r="U1680" t="s">
        <v>37</v>
      </c>
      <c r="V1680">
        <v>420151</v>
      </c>
      <c r="W1680">
        <v>3.64</v>
      </c>
      <c r="X1680">
        <v>4</v>
      </c>
    </row>
    <row r="1681" spans="1:24" x14ac:dyDescent="0.3">
      <c r="A1681" t="s">
        <v>38</v>
      </c>
      <c r="B1681" t="s">
        <v>39</v>
      </c>
      <c r="C1681">
        <v>2023</v>
      </c>
      <c r="D1681" t="s">
        <v>26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48</v>
      </c>
      <c r="N1681">
        <v>5</v>
      </c>
      <c r="O1681" t="s">
        <v>51</v>
      </c>
      <c r="P1681">
        <v>25</v>
      </c>
      <c r="Q1681">
        <v>1534</v>
      </c>
      <c r="R1681">
        <v>3</v>
      </c>
      <c r="S1681">
        <v>0</v>
      </c>
      <c r="T1681" t="s">
        <v>41</v>
      </c>
      <c r="U1681" t="s">
        <v>37</v>
      </c>
      <c r="V1681">
        <v>9783</v>
      </c>
      <c r="W1681">
        <v>3.17</v>
      </c>
      <c r="X1681">
        <v>5</v>
      </c>
    </row>
    <row r="1682" spans="1:24" x14ac:dyDescent="0.3">
      <c r="A1682" t="s">
        <v>63</v>
      </c>
      <c r="B1682" t="s">
        <v>64</v>
      </c>
      <c r="C1682">
        <v>2025</v>
      </c>
      <c r="D1682" t="s">
        <v>61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27</v>
      </c>
      <c r="N1682">
        <v>7</v>
      </c>
      <c r="O1682" t="s">
        <v>50</v>
      </c>
      <c r="P1682">
        <v>18.100000000000001</v>
      </c>
      <c r="Q1682">
        <v>1522</v>
      </c>
      <c r="R1682">
        <v>4</v>
      </c>
      <c r="S1682">
        <v>1</v>
      </c>
      <c r="T1682" t="s">
        <v>65</v>
      </c>
      <c r="U1682" t="s">
        <v>37</v>
      </c>
      <c r="V1682">
        <v>196975</v>
      </c>
      <c r="W1682">
        <v>3.39</v>
      </c>
      <c r="X1682">
        <v>4</v>
      </c>
    </row>
    <row r="1683" spans="1:24" x14ac:dyDescent="0.3">
      <c r="A1683" t="s">
        <v>124</v>
      </c>
      <c r="B1683" t="s">
        <v>125</v>
      </c>
      <c r="C1683">
        <v>2024</v>
      </c>
      <c r="D1683" t="s">
        <v>26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48</v>
      </c>
      <c r="N1683">
        <v>5</v>
      </c>
      <c r="O1683" t="s">
        <v>35</v>
      </c>
      <c r="P1683">
        <v>54.5</v>
      </c>
      <c r="Q1683">
        <v>2233</v>
      </c>
      <c r="R1683">
        <v>4</v>
      </c>
      <c r="S1683">
        <v>1</v>
      </c>
      <c r="T1683" t="s">
        <v>41</v>
      </c>
      <c r="U1683" t="s">
        <v>30</v>
      </c>
      <c r="V1683">
        <v>13230</v>
      </c>
      <c r="W1683">
        <v>3.53</v>
      </c>
      <c r="X1683">
        <v>5</v>
      </c>
    </row>
    <row r="1684" spans="1:24" x14ac:dyDescent="0.3">
      <c r="A1684" t="s">
        <v>83</v>
      </c>
      <c r="B1684" t="s">
        <v>89</v>
      </c>
      <c r="C1684">
        <v>2024</v>
      </c>
      <c r="D1684" t="s">
        <v>26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34</v>
      </c>
      <c r="N1684">
        <v>7</v>
      </c>
      <c r="O1684" t="s">
        <v>40</v>
      </c>
      <c r="P1684">
        <v>75.599999999999994</v>
      </c>
      <c r="Q1684">
        <v>1584</v>
      </c>
      <c r="R1684">
        <v>4</v>
      </c>
      <c r="S1684">
        <v>1</v>
      </c>
      <c r="T1684" t="s">
        <v>29</v>
      </c>
      <c r="U1684" t="s">
        <v>30</v>
      </c>
      <c r="V1684">
        <v>59392</v>
      </c>
      <c r="W1684">
        <v>3.8</v>
      </c>
      <c r="X1684">
        <v>5</v>
      </c>
    </row>
    <row r="1685" spans="1:24" x14ac:dyDescent="0.3">
      <c r="A1685" t="s">
        <v>52</v>
      </c>
      <c r="B1685" t="s">
        <v>62</v>
      </c>
      <c r="C1685">
        <v>2025</v>
      </c>
      <c r="D1685" t="s">
        <v>33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48</v>
      </c>
      <c r="N1685">
        <v>7</v>
      </c>
      <c r="O1685" t="s">
        <v>58</v>
      </c>
      <c r="P1685">
        <v>21</v>
      </c>
      <c r="Q1685">
        <v>1585</v>
      </c>
      <c r="R1685">
        <v>5</v>
      </c>
      <c r="S1685">
        <v>2</v>
      </c>
      <c r="T1685" t="s">
        <v>29</v>
      </c>
      <c r="U1685" t="s">
        <v>30</v>
      </c>
      <c r="V1685">
        <v>44720</v>
      </c>
      <c r="W1685">
        <v>3.56</v>
      </c>
      <c r="X1685">
        <v>7</v>
      </c>
    </row>
    <row r="1686" spans="1:24" x14ac:dyDescent="0.3">
      <c r="A1686" t="s">
        <v>46</v>
      </c>
      <c r="B1686" t="s">
        <v>78</v>
      </c>
      <c r="C1686">
        <v>2025</v>
      </c>
      <c r="D1686" t="s">
        <v>33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27</v>
      </c>
      <c r="N1686">
        <v>7</v>
      </c>
      <c r="O1686" t="s">
        <v>35</v>
      </c>
      <c r="P1686">
        <v>69.8</v>
      </c>
      <c r="Q1686">
        <v>1918</v>
      </c>
      <c r="R1686">
        <v>4</v>
      </c>
      <c r="S1686">
        <v>3</v>
      </c>
      <c r="T1686" t="s">
        <v>41</v>
      </c>
      <c r="U1686" t="s">
        <v>37</v>
      </c>
      <c r="V1686">
        <v>226355</v>
      </c>
      <c r="W1686">
        <v>3.72</v>
      </c>
      <c r="X1686">
        <v>6</v>
      </c>
    </row>
    <row r="1687" spans="1:24" x14ac:dyDescent="0.3">
      <c r="A1687" t="s">
        <v>52</v>
      </c>
      <c r="B1687" t="s">
        <v>97</v>
      </c>
      <c r="C1687">
        <v>2025</v>
      </c>
      <c r="D1687" t="s">
        <v>33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27</v>
      </c>
      <c r="N1687">
        <v>7</v>
      </c>
      <c r="O1687" t="s">
        <v>58</v>
      </c>
      <c r="P1687">
        <v>16.899999999999999</v>
      </c>
      <c r="Q1687">
        <v>1500</v>
      </c>
      <c r="R1687">
        <v>5</v>
      </c>
      <c r="S1687">
        <v>1</v>
      </c>
      <c r="T1687" t="s">
        <v>29</v>
      </c>
      <c r="U1687" t="s">
        <v>30</v>
      </c>
      <c r="V1687">
        <v>22987</v>
      </c>
      <c r="W1687">
        <v>3.81</v>
      </c>
      <c r="X1687">
        <v>8</v>
      </c>
    </row>
    <row r="1688" spans="1:24" x14ac:dyDescent="0.3">
      <c r="A1688" t="s">
        <v>94</v>
      </c>
      <c r="B1688" t="s">
        <v>120</v>
      </c>
      <c r="C1688">
        <v>2021</v>
      </c>
      <c r="D1688" t="s">
        <v>26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27</v>
      </c>
      <c r="N1688">
        <v>5</v>
      </c>
      <c r="O1688" t="s">
        <v>50</v>
      </c>
      <c r="P1688">
        <v>17.5</v>
      </c>
      <c r="Q1688">
        <v>1500</v>
      </c>
      <c r="R1688">
        <v>5</v>
      </c>
      <c r="S1688">
        <v>2</v>
      </c>
      <c r="T1688" t="s">
        <v>41</v>
      </c>
      <c r="U1688" t="s">
        <v>30</v>
      </c>
      <c r="V1688">
        <v>4505</v>
      </c>
      <c r="W1688">
        <v>3.89</v>
      </c>
      <c r="X1688">
        <v>5</v>
      </c>
    </row>
    <row r="1689" spans="1:24" x14ac:dyDescent="0.3">
      <c r="A1689" t="s">
        <v>68</v>
      </c>
      <c r="B1689" t="s">
        <v>79</v>
      </c>
      <c r="C1689">
        <v>2024</v>
      </c>
      <c r="D1689" t="s">
        <v>26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27</v>
      </c>
      <c r="N1689">
        <v>5</v>
      </c>
      <c r="O1689" t="s">
        <v>50</v>
      </c>
      <c r="P1689">
        <v>28</v>
      </c>
      <c r="Q1689">
        <v>1500</v>
      </c>
      <c r="R1689">
        <v>4</v>
      </c>
      <c r="S1689">
        <v>1</v>
      </c>
      <c r="T1689" t="s">
        <v>45</v>
      </c>
      <c r="U1689" t="s">
        <v>33</v>
      </c>
      <c r="V1689">
        <v>71992</v>
      </c>
      <c r="W1689">
        <v>4.07</v>
      </c>
      <c r="X1689">
        <v>4</v>
      </c>
    </row>
    <row r="1690" spans="1:24" x14ac:dyDescent="0.3">
      <c r="A1690" t="s">
        <v>42</v>
      </c>
      <c r="B1690" t="s">
        <v>43</v>
      </c>
      <c r="C1690">
        <v>2023</v>
      </c>
      <c r="D1690" t="s">
        <v>56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34</v>
      </c>
      <c r="N1690">
        <v>7</v>
      </c>
      <c r="O1690" t="s">
        <v>35</v>
      </c>
      <c r="P1690">
        <v>64</v>
      </c>
      <c r="Q1690">
        <v>2270</v>
      </c>
      <c r="R1690">
        <v>4</v>
      </c>
      <c r="S1690">
        <v>2</v>
      </c>
      <c r="T1690" t="s">
        <v>45</v>
      </c>
      <c r="U1690" t="s">
        <v>37</v>
      </c>
      <c r="V1690">
        <v>57685</v>
      </c>
      <c r="W1690">
        <v>3.6</v>
      </c>
      <c r="X1690">
        <v>4</v>
      </c>
    </row>
    <row r="1691" spans="1:24" x14ac:dyDescent="0.3">
      <c r="A1691" t="s">
        <v>76</v>
      </c>
      <c r="B1691" t="s">
        <v>98</v>
      </c>
      <c r="C1691">
        <v>2025</v>
      </c>
      <c r="D1691" t="s">
        <v>44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27</v>
      </c>
      <c r="N1691">
        <v>5</v>
      </c>
      <c r="O1691" t="s">
        <v>51</v>
      </c>
      <c r="P1691">
        <v>16.5</v>
      </c>
      <c r="Q1691">
        <v>1592</v>
      </c>
      <c r="R1691">
        <v>5</v>
      </c>
      <c r="S1691">
        <v>0</v>
      </c>
      <c r="T1691" t="s">
        <v>41</v>
      </c>
      <c r="U1691" t="s">
        <v>33</v>
      </c>
      <c r="V1691">
        <v>49288</v>
      </c>
      <c r="W1691">
        <v>3.95</v>
      </c>
      <c r="X1691">
        <v>4</v>
      </c>
    </row>
    <row r="1692" spans="1:24" x14ac:dyDescent="0.3">
      <c r="A1692" t="s">
        <v>46</v>
      </c>
      <c r="B1692" t="s">
        <v>72</v>
      </c>
      <c r="C1692">
        <v>2024</v>
      </c>
      <c r="D1692" t="s">
        <v>33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48</v>
      </c>
      <c r="N1692">
        <v>5</v>
      </c>
      <c r="O1692" t="s">
        <v>28</v>
      </c>
      <c r="P1692">
        <v>78.2</v>
      </c>
      <c r="Q1692">
        <v>2528</v>
      </c>
      <c r="R1692">
        <v>5</v>
      </c>
      <c r="S1692">
        <v>2</v>
      </c>
      <c r="T1692" t="s">
        <v>41</v>
      </c>
      <c r="U1692" t="s">
        <v>30</v>
      </c>
      <c r="V1692">
        <v>212436</v>
      </c>
      <c r="W1692">
        <v>3.54</v>
      </c>
      <c r="X1692">
        <v>6</v>
      </c>
    </row>
    <row r="1693" spans="1:24" x14ac:dyDescent="0.3">
      <c r="A1693" t="s">
        <v>68</v>
      </c>
      <c r="B1693" t="s">
        <v>106</v>
      </c>
      <c r="C1693">
        <v>2025</v>
      </c>
      <c r="D1693" t="s">
        <v>61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48</v>
      </c>
      <c r="N1693">
        <v>7</v>
      </c>
      <c r="O1693" t="s">
        <v>28</v>
      </c>
      <c r="P1693">
        <v>67.400000000000006</v>
      </c>
      <c r="Q1693">
        <v>2434</v>
      </c>
      <c r="R1693">
        <v>5</v>
      </c>
      <c r="S1693">
        <v>0</v>
      </c>
      <c r="T1693" t="s">
        <v>45</v>
      </c>
      <c r="U1693" t="s">
        <v>37</v>
      </c>
      <c r="V1693">
        <v>133046</v>
      </c>
      <c r="W1693">
        <v>3.73</v>
      </c>
      <c r="X1693">
        <v>4</v>
      </c>
    </row>
    <row r="1694" spans="1:24" x14ac:dyDescent="0.3">
      <c r="A1694" t="s">
        <v>24</v>
      </c>
      <c r="B1694" t="s">
        <v>75</v>
      </c>
      <c r="C1694">
        <v>2022</v>
      </c>
      <c r="D1694" t="s">
        <v>44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27</v>
      </c>
      <c r="N1694">
        <v>5</v>
      </c>
      <c r="O1694" t="s">
        <v>51</v>
      </c>
      <c r="P1694">
        <v>26.4</v>
      </c>
      <c r="Q1694">
        <v>1710</v>
      </c>
      <c r="R1694">
        <v>5</v>
      </c>
      <c r="S1694">
        <v>0</v>
      </c>
      <c r="T1694" t="s">
        <v>29</v>
      </c>
      <c r="U1694" t="s">
        <v>37</v>
      </c>
      <c r="V1694">
        <v>222081</v>
      </c>
      <c r="W1694">
        <v>3.78</v>
      </c>
      <c r="X1694">
        <v>5</v>
      </c>
    </row>
    <row r="1695" spans="1:24" x14ac:dyDescent="0.3">
      <c r="A1695" t="s">
        <v>46</v>
      </c>
      <c r="B1695" t="s">
        <v>78</v>
      </c>
      <c r="C1695">
        <v>2023</v>
      </c>
      <c r="D1695" t="s">
        <v>26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27</v>
      </c>
      <c r="N1695">
        <v>7</v>
      </c>
      <c r="O1695" t="s">
        <v>50</v>
      </c>
      <c r="P1695">
        <v>24.6</v>
      </c>
      <c r="Q1695">
        <v>1774</v>
      </c>
      <c r="R1695">
        <v>4</v>
      </c>
      <c r="S1695">
        <v>2</v>
      </c>
      <c r="T1695" t="s">
        <v>41</v>
      </c>
      <c r="U1695" t="s">
        <v>30</v>
      </c>
      <c r="V1695">
        <v>176852</v>
      </c>
      <c r="W1695">
        <v>4.05</v>
      </c>
      <c r="X1695">
        <v>5</v>
      </c>
    </row>
    <row r="1696" spans="1:24" x14ac:dyDescent="0.3">
      <c r="A1696" t="s">
        <v>24</v>
      </c>
      <c r="B1696" t="s">
        <v>74</v>
      </c>
      <c r="C1696">
        <v>2025</v>
      </c>
      <c r="D1696" t="s">
        <v>44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34</v>
      </c>
      <c r="N1696">
        <v>5</v>
      </c>
      <c r="O1696" t="s">
        <v>58</v>
      </c>
      <c r="P1696">
        <v>39.700000000000003</v>
      </c>
      <c r="Q1696">
        <v>1868</v>
      </c>
      <c r="R1696">
        <v>4</v>
      </c>
      <c r="S1696">
        <v>0</v>
      </c>
      <c r="T1696" t="s">
        <v>29</v>
      </c>
      <c r="U1696" t="s">
        <v>30</v>
      </c>
      <c r="V1696">
        <v>269645</v>
      </c>
      <c r="W1696">
        <v>3.59</v>
      </c>
      <c r="X1696">
        <v>5</v>
      </c>
    </row>
    <row r="1697" spans="1:24" x14ac:dyDescent="0.3">
      <c r="A1697" t="s">
        <v>46</v>
      </c>
      <c r="B1697" t="s">
        <v>78</v>
      </c>
      <c r="C1697">
        <v>2021</v>
      </c>
      <c r="D1697" t="s">
        <v>33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27</v>
      </c>
      <c r="N1697">
        <v>5</v>
      </c>
      <c r="O1697" t="s">
        <v>50</v>
      </c>
      <c r="P1697">
        <v>23.8</v>
      </c>
      <c r="Q1697">
        <v>1554</v>
      </c>
      <c r="R1697">
        <v>4</v>
      </c>
      <c r="S1697">
        <v>3</v>
      </c>
      <c r="T1697" t="s">
        <v>41</v>
      </c>
      <c r="U1697" t="s">
        <v>30</v>
      </c>
      <c r="V1697">
        <v>177339</v>
      </c>
      <c r="W1697">
        <v>3.7</v>
      </c>
      <c r="X1697">
        <v>5</v>
      </c>
    </row>
    <row r="1698" spans="1:24" x14ac:dyDescent="0.3">
      <c r="A1698" t="s">
        <v>46</v>
      </c>
      <c r="B1698" t="s">
        <v>78</v>
      </c>
      <c r="C1698">
        <v>2024</v>
      </c>
      <c r="D1698" t="s">
        <v>33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48</v>
      </c>
      <c r="N1698">
        <v>5</v>
      </c>
      <c r="O1698" t="s">
        <v>50</v>
      </c>
      <c r="P1698">
        <v>33.4</v>
      </c>
      <c r="Q1698">
        <v>1546</v>
      </c>
      <c r="R1698">
        <v>4</v>
      </c>
      <c r="S1698">
        <v>3</v>
      </c>
      <c r="T1698" t="s">
        <v>41</v>
      </c>
      <c r="U1698" t="s">
        <v>33</v>
      </c>
      <c r="V1698">
        <v>202000</v>
      </c>
      <c r="W1698">
        <v>3.76</v>
      </c>
      <c r="X1698">
        <v>5</v>
      </c>
    </row>
    <row r="1699" spans="1:24" x14ac:dyDescent="0.3">
      <c r="A1699" t="s">
        <v>46</v>
      </c>
      <c r="B1699" t="s">
        <v>78</v>
      </c>
      <c r="C1699">
        <v>2021</v>
      </c>
      <c r="D1699" t="s">
        <v>44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27</v>
      </c>
      <c r="N1699">
        <v>5</v>
      </c>
      <c r="O1699" t="s">
        <v>51</v>
      </c>
      <c r="P1699">
        <v>18.7</v>
      </c>
      <c r="Q1699">
        <v>1733</v>
      </c>
      <c r="R1699">
        <v>5</v>
      </c>
      <c r="S1699">
        <v>2</v>
      </c>
      <c r="T1699" t="s">
        <v>41</v>
      </c>
      <c r="U1699" t="s">
        <v>30</v>
      </c>
      <c r="V1699">
        <v>123098</v>
      </c>
      <c r="W1699">
        <v>3.96</v>
      </c>
      <c r="X1699">
        <v>5</v>
      </c>
    </row>
    <row r="1700" spans="1:24" x14ac:dyDescent="0.3">
      <c r="A1700" t="s">
        <v>31</v>
      </c>
      <c r="B1700" t="s">
        <v>112</v>
      </c>
      <c r="C1700">
        <v>2025</v>
      </c>
      <c r="D1700" t="s">
        <v>61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27</v>
      </c>
      <c r="N1700">
        <v>7</v>
      </c>
      <c r="O1700" t="s">
        <v>51</v>
      </c>
      <c r="P1700">
        <v>20.100000000000001</v>
      </c>
      <c r="Q1700">
        <v>1542</v>
      </c>
      <c r="R1700">
        <v>5</v>
      </c>
      <c r="S1700">
        <v>0</v>
      </c>
      <c r="T1700" t="s">
        <v>36</v>
      </c>
      <c r="U1700" t="s">
        <v>37</v>
      </c>
      <c r="V1700">
        <v>21759</v>
      </c>
      <c r="W1700">
        <v>3.51</v>
      </c>
      <c r="X1700">
        <v>5</v>
      </c>
    </row>
    <row r="1701" spans="1:24" x14ac:dyDescent="0.3">
      <c r="A1701" t="s">
        <v>42</v>
      </c>
      <c r="B1701" t="s">
        <v>115</v>
      </c>
      <c r="C1701">
        <v>2023</v>
      </c>
      <c r="D1701" t="s">
        <v>33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34</v>
      </c>
      <c r="N1701">
        <v>7</v>
      </c>
      <c r="O1701" t="s">
        <v>40</v>
      </c>
      <c r="P1701">
        <v>76.2</v>
      </c>
      <c r="Q1701">
        <v>1788</v>
      </c>
      <c r="R1701">
        <v>4</v>
      </c>
      <c r="S1701">
        <v>0</v>
      </c>
      <c r="T1701" t="s">
        <v>45</v>
      </c>
      <c r="U1701" t="s">
        <v>33</v>
      </c>
      <c r="V1701">
        <v>95064</v>
      </c>
      <c r="W1701">
        <v>3.74</v>
      </c>
      <c r="X1701">
        <v>4</v>
      </c>
    </row>
    <row r="1702" spans="1:24" x14ac:dyDescent="0.3">
      <c r="A1702" t="s">
        <v>59</v>
      </c>
      <c r="B1702" t="s">
        <v>60</v>
      </c>
      <c r="C1702">
        <v>2024</v>
      </c>
      <c r="D1702" t="s">
        <v>56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34</v>
      </c>
      <c r="N1702">
        <v>7</v>
      </c>
      <c r="O1702" t="s">
        <v>35</v>
      </c>
      <c r="P1702">
        <v>55.4</v>
      </c>
      <c r="Q1702">
        <v>1923</v>
      </c>
      <c r="R1702">
        <v>4</v>
      </c>
      <c r="S1702">
        <v>1</v>
      </c>
      <c r="T1702" t="s">
        <v>41</v>
      </c>
      <c r="U1702" t="s">
        <v>33</v>
      </c>
      <c r="V1702">
        <v>25585</v>
      </c>
      <c r="W1702">
        <v>3.16</v>
      </c>
      <c r="X1702">
        <v>4</v>
      </c>
    </row>
    <row r="1703" spans="1:24" x14ac:dyDescent="0.3">
      <c r="A1703" t="s">
        <v>24</v>
      </c>
      <c r="B1703" t="s">
        <v>85</v>
      </c>
      <c r="C1703">
        <v>2024</v>
      </c>
      <c r="D1703" t="s">
        <v>26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48</v>
      </c>
      <c r="N1703">
        <v>5</v>
      </c>
      <c r="O1703" t="s">
        <v>51</v>
      </c>
      <c r="P1703">
        <v>39.9</v>
      </c>
      <c r="Q1703">
        <v>1653</v>
      </c>
      <c r="R1703">
        <v>3</v>
      </c>
      <c r="S1703">
        <v>1</v>
      </c>
      <c r="T1703" t="s">
        <v>29</v>
      </c>
      <c r="U1703" t="s">
        <v>37</v>
      </c>
      <c r="V1703">
        <v>209815</v>
      </c>
      <c r="W1703">
        <v>3.08</v>
      </c>
      <c r="X1703">
        <v>5</v>
      </c>
    </row>
    <row r="1704" spans="1:24" x14ac:dyDescent="0.3">
      <c r="A1704" t="s">
        <v>63</v>
      </c>
      <c r="B1704" t="s">
        <v>107</v>
      </c>
      <c r="C1704">
        <v>2022</v>
      </c>
      <c r="D1704" t="s">
        <v>61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34</v>
      </c>
      <c r="N1704">
        <v>7</v>
      </c>
      <c r="O1704" t="s">
        <v>50</v>
      </c>
      <c r="P1704">
        <v>18.7</v>
      </c>
      <c r="Q1704">
        <v>1558</v>
      </c>
      <c r="R1704">
        <v>3</v>
      </c>
      <c r="S1704">
        <v>1</v>
      </c>
      <c r="T1704" t="s">
        <v>65</v>
      </c>
      <c r="U1704" t="s">
        <v>33</v>
      </c>
      <c r="V1704">
        <v>187796</v>
      </c>
      <c r="W1704">
        <v>3.45</v>
      </c>
      <c r="X1704">
        <v>4</v>
      </c>
    </row>
    <row r="1705" spans="1:24" x14ac:dyDescent="0.3">
      <c r="A1705" t="s">
        <v>68</v>
      </c>
      <c r="B1705" t="s">
        <v>109</v>
      </c>
      <c r="C1705">
        <v>2024</v>
      </c>
      <c r="D1705" t="s">
        <v>61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48</v>
      </c>
      <c r="N1705">
        <v>5</v>
      </c>
      <c r="O1705" t="s">
        <v>28</v>
      </c>
      <c r="P1705">
        <v>72.8</v>
      </c>
      <c r="Q1705">
        <v>2029</v>
      </c>
      <c r="R1705">
        <v>4</v>
      </c>
      <c r="S1705">
        <v>0</v>
      </c>
      <c r="T1705" t="s">
        <v>45</v>
      </c>
      <c r="U1705" t="s">
        <v>66</v>
      </c>
      <c r="V1705">
        <v>83425</v>
      </c>
      <c r="W1705">
        <v>3.35</v>
      </c>
      <c r="X1705">
        <v>4</v>
      </c>
    </row>
    <row r="1706" spans="1:24" x14ac:dyDescent="0.3">
      <c r="A1706" t="s">
        <v>24</v>
      </c>
      <c r="B1706" t="s">
        <v>75</v>
      </c>
      <c r="C1706">
        <v>2022</v>
      </c>
      <c r="D1706" t="s">
        <v>26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48</v>
      </c>
      <c r="N1706">
        <v>7</v>
      </c>
      <c r="O1706" t="s">
        <v>51</v>
      </c>
      <c r="P1706">
        <v>21.9</v>
      </c>
      <c r="Q1706">
        <v>1500</v>
      </c>
      <c r="R1706">
        <v>5</v>
      </c>
      <c r="S1706">
        <v>1</v>
      </c>
      <c r="T1706" t="s">
        <v>29</v>
      </c>
      <c r="U1706" t="s">
        <v>33</v>
      </c>
      <c r="V1706">
        <v>280321</v>
      </c>
      <c r="W1706">
        <v>3.69</v>
      </c>
      <c r="X1706">
        <v>5</v>
      </c>
    </row>
    <row r="1707" spans="1:24" x14ac:dyDescent="0.3">
      <c r="A1707" t="s">
        <v>46</v>
      </c>
      <c r="B1707" t="s">
        <v>47</v>
      </c>
      <c r="C1707">
        <v>2025</v>
      </c>
      <c r="D1707" t="s">
        <v>26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27</v>
      </c>
      <c r="N1707">
        <v>7</v>
      </c>
      <c r="O1707" t="s">
        <v>50</v>
      </c>
      <c r="P1707">
        <v>22.8</v>
      </c>
      <c r="Q1707">
        <v>1570</v>
      </c>
      <c r="R1707">
        <v>4</v>
      </c>
      <c r="S1707">
        <v>2</v>
      </c>
      <c r="T1707" t="s">
        <v>41</v>
      </c>
      <c r="U1707" t="s">
        <v>30</v>
      </c>
      <c r="V1707">
        <v>119703</v>
      </c>
      <c r="W1707">
        <v>4.0199999999999996</v>
      </c>
      <c r="X1707">
        <v>6</v>
      </c>
    </row>
    <row r="1708" spans="1:24" x14ac:dyDescent="0.3">
      <c r="A1708" t="s">
        <v>83</v>
      </c>
      <c r="B1708" t="s">
        <v>89</v>
      </c>
      <c r="C1708">
        <v>2025</v>
      </c>
      <c r="D1708" t="s">
        <v>61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48</v>
      </c>
      <c r="N1708">
        <v>7</v>
      </c>
      <c r="O1708" t="s">
        <v>51</v>
      </c>
      <c r="P1708">
        <v>34.1</v>
      </c>
      <c r="Q1708">
        <v>1500</v>
      </c>
      <c r="R1708">
        <v>4</v>
      </c>
      <c r="S1708">
        <v>1</v>
      </c>
      <c r="T1708" t="s">
        <v>29</v>
      </c>
      <c r="U1708" t="s">
        <v>37</v>
      </c>
      <c r="V1708">
        <v>75130</v>
      </c>
      <c r="W1708">
        <v>3.39</v>
      </c>
      <c r="X1708">
        <v>5</v>
      </c>
    </row>
    <row r="1709" spans="1:24" x14ac:dyDescent="0.3">
      <c r="A1709" t="s">
        <v>63</v>
      </c>
      <c r="B1709" t="s">
        <v>82</v>
      </c>
      <c r="C1709">
        <v>2024</v>
      </c>
      <c r="D1709" t="s">
        <v>26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48</v>
      </c>
      <c r="N1709">
        <v>5</v>
      </c>
      <c r="O1709" t="s">
        <v>51</v>
      </c>
      <c r="P1709">
        <v>31.1</v>
      </c>
      <c r="Q1709">
        <v>1500</v>
      </c>
      <c r="R1709">
        <v>5</v>
      </c>
      <c r="S1709">
        <v>1</v>
      </c>
      <c r="T1709" t="s">
        <v>65</v>
      </c>
      <c r="U1709" t="s">
        <v>37</v>
      </c>
      <c r="V1709">
        <v>225829</v>
      </c>
      <c r="W1709">
        <v>3.87</v>
      </c>
      <c r="X1709">
        <v>4</v>
      </c>
    </row>
    <row r="1710" spans="1:24" x14ac:dyDescent="0.3">
      <c r="A1710" t="s">
        <v>83</v>
      </c>
      <c r="B1710" t="s">
        <v>89</v>
      </c>
      <c r="C1710">
        <v>2025</v>
      </c>
      <c r="D1710" t="s">
        <v>33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48</v>
      </c>
      <c r="N1710">
        <v>5</v>
      </c>
      <c r="O1710" t="s">
        <v>28</v>
      </c>
      <c r="P1710">
        <v>55.7</v>
      </c>
      <c r="Q1710">
        <v>2431</v>
      </c>
      <c r="R1710">
        <v>3</v>
      </c>
      <c r="S1710">
        <v>1</v>
      </c>
      <c r="T1710" t="s">
        <v>29</v>
      </c>
      <c r="U1710" t="s">
        <v>30</v>
      </c>
      <c r="V1710">
        <v>36980</v>
      </c>
      <c r="W1710">
        <v>3.17</v>
      </c>
      <c r="X1710">
        <v>6</v>
      </c>
    </row>
    <row r="1711" spans="1:24" x14ac:dyDescent="0.3">
      <c r="A1711" t="s">
        <v>83</v>
      </c>
      <c r="B1711" t="s">
        <v>114</v>
      </c>
      <c r="C1711">
        <v>2023</v>
      </c>
      <c r="D1711" t="s">
        <v>33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48</v>
      </c>
      <c r="N1711">
        <v>5</v>
      </c>
      <c r="O1711" t="s">
        <v>51</v>
      </c>
      <c r="P1711">
        <v>22.4</v>
      </c>
      <c r="Q1711">
        <v>1510</v>
      </c>
      <c r="R1711">
        <v>5</v>
      </c>
      <c r="S1711">
        <v>1</v>
      </c>
      <c r="T1711" t="s">
        <v>29</v>
      </c>
      <c r="U1711" t="s">
        <v>30</v>
      </c>
      <c r="V1711">
        <v>58894</v>
      </c>
      <c r="W1711">
        <v>3.16</v>
      </c>
      <c r="X1711">
        <v>8</v>
      </c>
    </row>
    <row r="1712" spans="1:24" x14ac:dyDescent="0.3">
      <c r="A1712" t="s">
        <v>46</v>
      </c>
      <c r="B1712" t="s">
        <v>57</v>
      </c>
      <c r="C1712">
        <v>2026</v>
      </c>
      <c r="D1712" t="s">
        <v>26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27</v>
      </c>
      <c r="N1712">
        <v>5</v>
      </c>
      <c r="O1712" t="s">
        <v>40</v>
      </c>
      <c r="P1712">
        <v>63.3</v>
      </c>
      <c r="Q1712">
        <v>1725</v>
      </c>
      <c r="R1712">
        <v>3</v>
      </c>
      <c r="S1712">
        <v>2</v>
      </c>
      <c r="T1712" t="s">
        <v>41</v>
      </c>
      <c r="U1712" t="s">
        <v>30</v>
      </c>
      <c r="V1712">
        <v>139118</v>
      </c>
      <c r="W1712">
        <v>4.3600000000000003</v>
      </c>
      <c r="X1712">
        <v>5</v>
      </c>
    </row>
    <row r="1713" spans="1:24" x14ac:dyDescent="0.3">
      <c r="A1713" t="s">
        <v>46</v>
      </c>
      <c r="B1713" t="s">
        <v>78</v>
      </c>
      <c r="C1713">
        <v>2025</v>
      </c>
      <c r="D1713" t="s">
        <v>61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34</v>
      </c>
      <c r="N1713">
        <v>5</v>
      </c>
      <c r="O1713" t="s">
        <v>50</v>
      </c>
      <c r="P1713">
        <v>36</v>
      </c>
      <c r="Q1713">
        <v>1653</v>
      </c>
      <c r="R1713">
        <v>5</v>
      </c>
      <c r="S1713">
        <v>2</v>
      </c>
      <c r="T1713" t="s">
        <v>41</v>
      </c>
      <c r="U1713" t="s">
        <v>33</v>
      </c>
      <c r="V1713">
        <v>244820</v>
      </c>
      <c r="W1713">
        <v>3.64</v>
      </c>
      <c r="X1713">
        <v>6</v>
      </c>
    </row>
    <row r="1714" spans="1:24" x14ac:dyDescent="0.3">
      <c r="A1714" t="s">
        <v>76</v>
      </c>
      <c r="B1714" t="s">
        <v>91</v>
      </c>
      <c r="C1714">
        <v>2024</v>
      </c>
      <c r="D1714" t="s">
        <v>26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34</v>
      </c>
      <c r="N1714">
        <v>2</v>
      </c>
      <c r="O1714" t="s">
        <v>28</v>
      </c>
      <c r="P1714">
        <v>79.2</v>
      </c>
      <c r="Q1714">
        <v>2490</v>
      </c>
      <c r="R1714">
        <v>5</v>
      </c>
      <c r="S1714">
        <v>0</v>
      </c>
      <c r="T1714" t="s">
        <v>41</v>
      </c>
      <c r="U1714" t="s">
        <v>30</v>
      </c>
      <c r="V1714">
        <v>26657</v>
      </c>
      <c r="W1714">
        <v>3.63</v>
      </c>
      <c r="X1714">
        <v>4</v>
      </c>
    </row>
    <row r="1715" spans="1:24" x14ac:dyDescent="0.3">
      <c r="A1715" t="s">
        <v>68</v>
      </c>
      <c r="B1715" t="s">
        <v>106</v>
      </c>
      <c r="C1715">
        <v>2022</v>
      </c>
      <c r="D1715" t="s">
        <v>26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48</v>
      </c>
      <c r="N1715">
        <v>5</v>
      </c>
      <c r="O1715" t="s">
        <v>28</v>
      </c>
      <c r="P1715">
        <v>50.7</v>
      </c>
      <c r="Q1715">
        <v>2567</v>
      </c>
      <c r="R1715">
        <v>5</v>
      </c>
      <c r="S1715">
        <v>1</v>
      </c>
      <c r="T1715" t="s">
        <v>45</v>
      </c>
      <c r="U1715" t="s">
        <v>33</v>
      </c>
      <c r="V1715">
        <v>73010</v>
      </c>
      <c r="W1715">
        <v>3.41</v>
      </c>
      <c r="X1715">
        <v>5</v>
      </c>
    </row>
    <row r="1716" spans="1:24" x14ac:dyDescent="0.3">
      <c r="A1716" t="s">
        <v>46</v>
      </c>
      <c r="B1716" t="s">
        <v>78</v>
      </c>
      <c r="C1716">
        <v>2022</v>
      </c>
      <c r="D1716" t="s">
        <v>26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27</v>
      </c>
      <c r="N1716">
        <v>5</v>
      </c>
      <c r="O1716" t="s">
        <v>58</v>
      </c>
      <c r="P1716">
        <v>20.8</v>
      </c>
      <c r="Q1716">
        <v>1602</v>
      </c>
      <c r="R1716">
        <v>3</v>
      </c>
      <c r="S1716">
        <v>2</v>
      </c>
      <c r="T1716" t="s">
        <v>41</v>
      </c>
      <c r="U1716" t="s">
        <v>33</v>
      </c>
      <c r="V1716">
        <v>238571</v>
      </c>
      <c r="W1716">
        <v>4.04</v>
      </c>
      <c r="X1716">
        <v>4</v>
      </c>
    </row>
    <row r="1717" spans="1:24" x14ac:dyDescent="0.3">
      <c r="A1717" t="s">
        <v>121</v>
      </c>
      <c r="B1717" t="s">
        <v>135</v>
      </c>
      <c r="C1717">
        <v>2025</v>
      </c>
      <c r="D1717" t="s">
        <v>56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27</v>
      </c>
      <c r="N1717">
        <v>5</v>
      </c>
      <c r="O1717" t="s">
        <v>28</v>
      </c>
      <c r="P1717">
        <v>58.8</v>
      </c>
      <c r="Q1717">
        <v>2197</v>
      </c>
      <c r="R1717">
        <v>4</v>
      </c>
      <c r="S1717">
        <v>1</v>
      </c>
      <c r="T1717" t="s">
        <v>123</v>
      </c>
      <c r="U1717" t="s">
        <v>33</v>
      </c>
      <c r="V1717">
        <v>28712</v>
      </c>
      <c r="W1717">
        <v>3</v>
      </c>
      <c r="X1717">
        <v>3</v>
      </c>
    </row>
    <row r="1718" spans="1:24" x14ac:dyDescent="0.3">
      <c r="A1718" t="s">
        <v>46</v>
      </c>
      <c r="B1718" t="s">
        <v>72</v>
      </c>
      <c r="C1718">
        <v>2023</v>
      </c>
      <c r="D1718" t="s">
        <v>44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48</v>
      </c>
      <c r="N1718">
        <v>7</v>
      </c>
      <c r="O1718" t="s">
        <v>28</v>
      </c>
      <c r="P1718">
        <v>59.9</v>
      </c>
      <c r="Q1718">
        <v>2247</v>
      </c>
      <c r="R1718">
        <v>5</v>
      </c>
      <c r="S1718">
        <v>2</v>
      </c>
      <c r="T1718" t="s">
        <v>41</v>
      </c>
      <c r="U1718" t="s">
        <v>37</v>
      </c>
      <c r="V1718">
        <v>187262</v>
      </c>
      <c r="W1718">
        <v>4.38</v>
      </c>
      <c r="X1718">
        <v>6</v>
      </c>
    </row>
    <row r="1719" spans="1:24" x14ac:dyDescent="0.3">
      <c r="A1719" t="s">
        <v>38</v>
      </c>
      <c r="B1719" t="s">
        <v>102</v>
      </c>
      <c r="C1719">
        <v>2022</v>
      </c>
      <c r="D1719" t="s">
        <v>56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27</v>
      </c>
      <c r="N1719">
        <v>7</v>
      </c>
      <c r="O1719" t="s">
        <v>35</v>
      </c>
      <c r="P1719">
        <v>67.400000000000006</v>
      </c>
      <c r="Q1719">
        <v>1866</v>
      </c>
      <c r="R1719">
        <v>5</v>
      </c>
      <c r="S1719">
        <v>0</v>
      </c>
      <c r="T1719" t="s">
        <v>41</v>
      </c>
      <c r="U1719" t="s">
        <v>66</v>
      </c>
      <c r="V1719">
        <v>26546</v>
      </c>
      <c r="W1719">
        <v>3.6</v>
      </c>
      <c r="X1719">
        <v>4</v>
      </c>
    </row>
    <row r="1720" spans="1:24" x14ac:dyDescent="0.3">
      <c r="A1720" t="s">
        <v>134</v>
      </c>
      <c r="B1720">
        <v>4</v>
      </c>
      <c r="C1720">
        <v>2023</v>
      </c>
      <c r="D1720" t="s">
        <v>26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27</v>
      </c>
      <c r="N1720">
        <v>7</v>
      </c>
      <c r="O1720" t="s">
        <v>51</v>
      </c>
      <c r="P1720">
        <v>28.5</v>
      </c>
      <c r="Q1720">
        <v>1500</v>
      </c>
      <c r="R1720">
        <v>5</v>
      </c>
      <c r="S1720">
        <v>2</v>
      </c>
      <c r="T1720" t="s">
        <v>123</v>
      </c>
      <c r="U1720" t="s">
        <v>33</v>
      </c>
      <c r="V1720">
        <v>18672</v>
      </c>
      <c r="W1720">
        <v>3.64</v>
      </c>
      <c r="X1720">
        <v>3</v>
      </c>
    </row>
    <row r="1721" spans="1:24" x14ac:dyDescent="0.3">
      <c r="A1721" t="s">
        <v>63</v>
      </c>
      <c r="B1721" t="s">
        <v>88</v>
      </c>
      <c r="C1721">
        <v>2023</v>
      </c>
      <c r="D1721" t="s">
        <v>44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48</v>
      </c>
      <c r="N1721">
        <v>5</v>
      </c>
      <c r="O1721" t="s">
        <v>40</v>
      </c>
      <c r="P1721">
        <v>64.7</v>
      </c>
      <c r="Q1721">
        <v>1594</v>
      </c>
      <c r="R1721">
        <v>4</v>
      </c>
      <c r="S1721">
        <v>2</v>
      </c>
      <c r="T1721" t="s">
        <v>65</v>
      </c>
      <c r="U1721" t="s">
        <v>33</v>
      </c>
      <c r="V1721">
        <v>230275</v>
      </c>
      <c r="W1721">
        <v>3.52</v>
      </c>
      <c r="X1721">
        <v>5</v>
      </c>
    </row>
    <row r="1722" spans="1:24" x14ac:dyDescent="0.3">
      <c r="A1722" t="s">
        <v>46</v>
      </c>
      <c r="B1722" t="s">
        <v>78</v>
      </c>
      <c r="C1722">
        <v>2025</v>
      </c>
      <c r="D1722" t="s">
        <v>61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34</v>
      </c>
      <c r="N1722">
        <v>7</v>
      </c>
      <c r="O1722" t="s">
        <v>50</v>
      </c>
      <c r="P1722">
        <v>33.5</v>
      </c>
      <c r="Q1722">
        <v>1665</v>
      </c>
      <c r="R1722">
        <v>5</v>
      </c>
      <c r="S1722">
        <v>2</v>
      </c>
      <c r="T1722" t="s">
        <v>41</v>
      </c>
      <c r="U1722" t="s">
        <v>30</v>
      </c>
      <c r="V1722">
        <v>104109</v>
      </c>
      <c r="W1722">
        <v>3.74</v>
      </c>
      <c r="X1722">
        <v>6</v>
      </c>
    </row>
    <row r="1723" spans="1:24" x14ac:dyDescent="0.3">
      <c r="A1723" t="s">
        <v>46</v>
      </c>
      <c r="B1723" t="s">
        <v>57</v>
      </c>
      <c r="C1723">
        <v>2021</v>
      </c>
      <c r="D1723" t="s">
        <v>26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48</v>
      </c>
      <c r="N1723">
        <v>7</v>
      </c>
      <c r="O1723" t="s">
        <v>51</v>
      </c>
      <c r="P1723">
        <v>20</v>
      </c>
      <c r="Q1723">
        <v>1660</v>
      </c>
      <c r="R1723">
        <v>5</v>
      </c>
      <c r="S1723">
        <v>3</v>
      </c>
      <c r="T1723" t="s">
        <v>41</v>
      </c>
      <c r="U1723" t="s">
        <v>33</v>
      </c>
      <c r="V1723">
        <v>229674</v>
      </c>
      <c r="W1723">
        <v>4</v>
      </c>
      <c r="X1723">
        <v>5</v>
      </c>
    </row>
    <row r="1724" spans="1:24" x14ac:dyDescent="0.3">
      <c r="A1724" t="s">
        <v>63</v>
      </c>
      <c r="B1724" t="s">
        <v>107</v>
      </c>
      <c r="C1724">
        <v>2023</v>
      </c>
      <c r="D1724" t="s">
        <v>44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34</v>
      </c>
      <c r="N1724">
        <v>5</v>
      </c>
      <c r="O1724" t="s">
        <v>58</v>
      </c>
      <c r="P1724">
        <v>31.3</v>
      </c>
      <c r="Q1724">
        <v>1582</v>
      </c>
      <c r="R1724">
        <v>5</v>
      </c>
      <c r="S1724">
        <v>1</v>
      </c>
      <c r="T1724" t="s">
        <v>65</v>
      </c>
      <c r="U1724" t="s">
        <v>37</v>
      </c>
      <c r="V1724">
        <v>146928</v>
      </c>
      <c r="W1724">
        <v>3.27</v>
      </c>
      <c r="X1724">
        <v>4</v>
      </c>
    </row>
    <row r="1725" spans="1:24" x14ac:dyDescent="0.3">
      <c r="A1725" t="s">
        <v>46</v>
      </c>
      <c r="B1725" t="s">
        <v>47</v>
      </c>
      <c r="C1725">
        <v>2025</v>
      </c>
      <c r="D1725" t="s">
        <v>56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48</v>
      </c>
      <c r="N1725">
        <v>7</v>
      </c>
      <c r="O1725" t="s">
        <v>35</v>
      </c>
      <c r="P1725">
        <v>63.7</v>
      </c>
      <c r="Q1725">
        <v>1936</v>
      </c>
      <c r="R1725">
        <v>5</v>
      </c>
      <c r="S1725">
        <v>3</v>
      </c>
      <c r="T1725" t="s">
        <v>41</v>
      </c>
      <c r="U1725" t="s">
        <v>33</v>
      </c>
      <c r="V1725">
        <v>229357</v>
      </c>
      <c r="W1725">
        <v>3.56</v>
      </c>
      <c r="X1725">
        <v>5</v>
      </c>
    </row>
    <row r="1726" spans="1:24" x14ac:dyDescent="0.3">
      <c r="A1726" t="s">
        <v>38</v>
      </c>
      <c r="B1726" t="s">
        <v>101</v>
      </c>
      <c r="C1726">
        <v>2025</v>
      </c>
      <c r="D1726" t="s">
        <v>26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27</v>
      </c>
      <c r="N1726">
        <v>5</v>
      </c>
      <c r="O1726" t="s">
        <v>50</v>
      </c>
      <c r="P1726">
        <v>37.799999999999997</v>
      </c>
      <c r="Q1726">
        <v>1677</v>
      </c>
      <c r="R1726">
        <v>5</v>
      </c>
      <c r="S1726">
        <v>2</v>
      </c>
      <c r="T1726" t="s">
        <v>41</v>
      </c>
      <c r="U1726" t="s">
        <v>37</v>
      </c>
      <c r="V1726">
        <v>7434</v>
      </c>
      <c r="W1726">
        <v>3.72</v>
      </c>
      <c r="X1726">
        <v>4</v>
      </c>
    </row>
    <row r="1727" spans="1:24" x14ac:dyDescent="0.3">
      <c r="A1727" t="s">
        <v>46</v>
      </c>
      <c r="B1727" t="s">
        <v>47</v>
      </c>
      <c r="C1727">
        <v>2025</v>
      </c>
      <c r="D1727" t="s">
        <v>44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48</v>
      </c>
      <c r="N1727">
        <v>5</v>
      </c>
      <c r="O1727" t="s">
        <v>58</v>
      </c>
      <c r="P1727">
        <v>15.4</v>
      </c>
      <c r="Q1727">
        <v>1655</v>
      </c>
      <c r="R1727">
        <v>4</v>
      </c>
      <c r="S1727">
        <v>2</v>
      </c>
      <c r="T1727" t="s">
        <v>41</v>
      </c>
      <c r="U1727" t="s">
        <v>33</v>
      </c>
      <c r="V1727">
        <v>246722</v>
      </c>
      <c r="W1727">
        <v>3.99</v>
      </c>
      <c r="X1727">
        <v>5</v>
      </c>
    </row>
    <row r="1728" spans="1:24" x14ac:dyDescent="0.3">
      <c r="A1728" t="s">
        <v>68</v>
      </c>
      <c r="B1728" t="s">
        <v>109</v>
      </c>
      <c r="C1728">
        <v>2026</v>
      </c>
      <c r="D1728" t="s">
        <v>33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34</v>
      </c>
      <c r="N1728">
        <v>5</v>
      </c>
      <c r="O1728" t="s">
        <v>50</v>
      </c>
      <c r="P1728">
        <v>18.3</v>
      </c>
      <c r="Q1728">
        <v>1791</v>
      </c>
      <c r="R1728">
        <v>3</v>
      </c>
      <c r="S1728">
        <v>2</v>
      </c>
      <c r="T1728" t="s">
        <v>45</v>
      </c>
      <c r="U1728" t="s">
        <v>33</v>
      </c>
      <c r="V1728">
        <v>111030</v>
      </c>
      <c r="W1728">
        <v>3.22</v>
      </c>
      <c r="X1728">
        <v>3</v>
      </c>
    </row>
    <row r="1729" spans="1:24" x14ac:dyDescent="0.3">
      <c r="A1729" t="s">
        <v>131</v>
      </c>
      <c r="B1729" t="s">
        <v>132</v>
      </c>
      <c r="C1729">
        <v>2024</v>
      </c>
      <c r="D1729" t="s">
        <v>33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27</v>
      </c>
      <c r="N1729">
        <v>5</v>
      </c>
      <c r="O1729" t="s">
        <v>35</v>
      </c>
      <c r="P1729">
        <v>56.5</v>
      </c>
      <c r="Q1729">
        <v>1829</v>
      </c>
      <c r="R1729">
        <v>4</v>
      </c>
      <c r="S1729">
        <v>0</v>
      </c>
      <c r="T1729" t="s">
        <v>65</v>
      </c>
      <c r="U1729" t="s">
        <v>33</v>
      </c>
      <c r="V1729">
        <v>29176</v>
      </c>
      <c r="W1729">
        <v>3.31</v>
      </c>
      <c r="X1729">
        <v>3</v>
      </c>
    </row>
    <row r="1730" spans="1:24" x14ac:dyDescent="0.3">
      <c r="A1730" t="s">
        <v>76</v>
      </c>
      <c r="B1730" t="s">
        <v>77</v>
      </c>
      <c r="C1730">
        <v>2024</v>
      </c>
      <c r="D1730" t="s">
        <v>61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48</v>
      </c>
      <c r="N1730">
        <v>5</v>
      </c>
      <c r="O1730" t="s">
        <v>50</v>
      </c>
      <c r="P1730">
        <v>28.6</v>
      </c>
      <c r="Q1730">
        <v>1516</v>
      </c>
      <c r="R1730">
        <v>5</v>
      </c>
      <c r="S1730">
        <v>1</v>
      </c>
      <c r="T1730" t="s">
        <v>41</v>
      </c>
      <c r="U1730" t="s">
        <v>33</v>
      </c>
      <c r="V1730">
        <v>58727</v>
      </c>
      <c r="W1730">
        <v>3.6</v>
      </c>
      <c r="X1730">
        <v>3</v>
      </c>
    </row>
    <row r="1731" spans="1:24" x14ac:dyDescent="0.3">
      <c r="A1731" t="s">
        <v>42</v>
      </c>
      <c r="B1731" t="s">
        <v>54</v>
      </c>
      <c r="C1731">
        <v>2024</v>
      </c>
      <c r="D1731" t="s">
        <v>56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34</v>
      </c>
      <c r="N1731">
        <v>5</v>
      </c>
      <c r="O1731" t="s">
        <v>50</v>
      </c>
      <c r="P1731">
        <v>15.3</v>
      </c>
      <c r="Q1731">
        <v>1503</v>
      </c>
      <c r="R1731">
        <v>5</v>
      </c>
      <c r="S1731">
        <v>0</v>
      </c>
      <c r="T1731" t="s">
        <v>45</v>
      </c>
      <c r="U1731" t="s">
        <v>37</v>
      </c>
      <c r="V1731">
        <v>107160</v>
      </c>
      <c r="W1731">
        <v>3.3</v>
      </c>
      <c r="X1731">
        <v>3</v>
      </c>
    </row>
    <row r="1732" spans="1:24" x14ac:dyDescent="0.3">
      <c r="A1732" t="s">
        <v>63</v>
      </c>
      <c r="B1732" t="s">
        <v>82</v>
      </c>
      <c r="C1732">
        <v>2024</v>
      </c>
      <c r="D1732" t="s">
        <v>61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48</v>
      </c>
      <c r="N1732">
        <v>7</v>
      </c>
      <c r="O1732" t="s">
        <v>58</v>
      </c>
      <c r="P1732">
        <v>17.7</v>
      </c>
      <c r="Q1732">
        <v>1613</v>
      </c>
      <c r="R1732">
        <v>5</v>
      </c>
      <c r="S1732">
        <v>1</v>
      </c>
      <c r="T1732" t="s">
        <v>65</v>
      </c>
      <c r="U1732" t="s">
        <v>66</v>
      </c>
      <c r="V1732">
        <v>116507</v>
      </c>
      <c r="W1732">
        <v>3.18</v>
      </c>
      <c r="X1732">
        <v>4</v>
      </c>
    </row>
    <row r="1733" spans="1:24" x14ac:dyDescent="0.3">
      <c r="A1733" t="s">
        <v>83</v>
      </c>
      <c r="B1733" t="s">
        <v>116</v>
      </c>
      <c r="C1733">
        <v>2025</v>
      </c>
      <c r="D1733" t="s">
        <v>44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48</v>
      </c>
      <c r="N1733">
        <v>5</v>
      </c>
      <c r="O1733" t="s">
        <v>50</v>
      </c>
      <c r="P1733">
        <v>15.7</v>
      </c>
      <c r="Q1733">
        <v>1664</v>
      </c>
      <c r="R1733">
        <v>4</v>
      </c>
      <c r="S1733">
        <v>2</v>
      </c>
      <c r="T1733" t="s">
        <v>29</v>
      </c>
      <c r="U1733" t="s">
        <v>33</v>
      </c>
      <c r="V1733">
        <v>31503</v>
      </c>
      <c r="W1733">
        <v>3.49</v>
      </c>
      <c r="X1733">
        <v>6</v>
      </c>
    </row>
    <row r="1734" spans="1:24" x14ac:dyDescent="0.3">
      <c r="A1734" t="s">
        <v>68</v>
      </c>
      <c r="B1734" t="s">
        <v>90</v>
      </c>
      <c r="C1734">
        <v>2024</v>
      </c>
      <c r="D1734" t="s">
        <v>26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27</v>
      </c>
      <c r="N1734">
        <v>7</v>
      </c>
      <c r="O1734" t="s">
        <v>58</v>
      </c>
      <c r="P1734">
        <v>34.5</v>
      </c>
      <c r="Q1734">
        <v>1595</v>
      </c>
      <c r="R1734">
        <v>5</v>
      </c>
      <c r="S1734">
        <v>1</v>
      </c>
      <c r="T1734" t="s">
        <v>45</v>
      </c>
      <c r="U1734" t="s">
        <v>30</v>
      </c>
      <c r="V1734">
        <v>106892</v>
      </c>
      <c r="W1734">
        <v>4.01</v>
      </c>
      <c r="X1734">
        <v>5</v>
      </c>
    </row>
    <row r="1735" spans="1:24" x14ac:dyDescent="0.3">
      <c r="A1735" t="s">
        <v>24</v>
      </c>
      <c r="B1735" t="s">
        <v>70</v>
      </c>
      <c r="C1735">
        <v>2020</v>
      </c>
      <c r="D1735" t="s">
        <v>56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34</v>
      </c>
      <c r="N1735">
        <v>5</v>
      </c>
      <c r="O1735" t="s">
        <v>50</v>
      </c>
      <c r="P1735">
        <v>39.4</v>
      </c>
      <c r="Q1735">
        <v>1500</v>
      </c>
      <c r="R1735">
        <v>4</v>
      </c>
      <c r="S1735">
        <v>2</v>
      </c>
      <c r="T1735" t="s">
        <v>29</v>
      </c>
      <c r="U1735" t="s">
        <v>66</v>
      </c>
      <c r="V1735">
        <v>271891</v>
      </c>
      <c r="W1735">
        <v>3.57</v>
      </c>
      <c r="X1735">
        <v>4</v>
      </c>
    </row>
    <row r="1736" spans="1:24" x14ac:dyDescent="0.3">
      <c r="A1736" t="s">
        <v>46</v>
      </c>
      <c r="B1736" t="s">
        <v>49</v>
      </c>
      <c r="C1736">
        <v>2026</v>
      </c>
      <c r="D1736" t="s">
        <v>61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48</v>
      </c>
      <c r="N1736">
        <v>7</v>
      </c>
      <c r="O1736" t="s">
        <v>50</v>
      </c>
      <c r="P1736">
        <v>33</v>
      </c>
      <c r="Q1736">
        <v>1818</v>
      </c>
      <c r="R1736">
        <v>4</v>
      </c>
      <c r="S1736">
        <v>2</v>
      </c>
      <c r="T1736" t="s">
        <v>41</v>
      </c>
      <c r="U1736" t="s">
        <v>37</v>
      </c>
      <c r="V1736">
        <v>467122</v>
      </c>
      <c r="W1736">
        <v>3.87</v>
      </c>
      <c r="X1736">
        <v>4</v>
      </c>
    </row>
    <row r="1737" spans="1:24" x14ac:dyDescent="0.3">
      <c r="A1737" t="s">
        <v>86</v>
      </c>
      <c r="B1737" t="s">
        <v>87</v>
      </c>
      <c r="C1737">
        <v>2023</v>
      </c>
      <c r="D1737" t="s">
        <v>33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27</v>
      </c>
      <c r="N1737">
        <v>5</v>
      </c>
      <c r="O1737" t="s">
        <v>51</v>
      </c>
      <c r="P1737">
        <v>32.1</v>
      </c>
      <c r="Q1737">
        <v>1737</v>
      </c>
      <c r="R1737">
        <v>4</v>
      </c>
      <c r="S1737">
        <v>1</v>
      </c>
      <c r="T1737" t="s">
        <v>29</v>
      </c>
      <c r="U1737" t="s">
        <v>33</v>
      </c>
      <c r="V1737">
        <v>66857</v>
      </c>
      <c r="W1737">
        <v>3.24</v>
      </c>
      <c r="X1737">
        <v>5</v>
      </c>
    </row>
    <row r="1738" spans="1:24" x14ac:dyDescent="0.3">
      <c r="A1738" t="s">
        <v>24</v>
      </c>
      <c r="B1738" t="s">
        <v>74</v>
      </c>
      <c r="C1738">
        <v>2025</v>
      </c>
      <c r="D1738" t="s">
        <v>56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48</v>
      </c>
      <c r="N1738">
        <v>5</v>
      </c>
      <c r="O1738" t="s">
        <v>40</v>
      </c>
      <c r="P1738">
        <v>78</v>
      </c>
      <c r="Q1738">
        <v>1585</v>
      </c>
      <c r="R1738">
        <v>4</v>
      </c>
      <c r="S1738">
        <v>2</v>
      </c>
      <c r="T1738" t="s">
        <v>29</v>
      </c>
      <c r="U1738" t="s">
        <v>33</v>
      </c>
      <c r="V1738">
        <v>248734</v>
      </c>
      <c r="W1738">
        <v>3.73</v>
      </c>
      <c r="X1738">
        <v>4</v>
      </c>
    </row>
    <row r="1739" spans="1:24" x14ac:dyDescent="0.3">
      <c r="A1739" t="s">
        <v>46</v>
      </c>
      <c r="B1739" t="s">
        <v>57</v>
      </c>
      <c r="C1739">
        <v>2023</v>
      </c>
      <c r="D1739" t="s">
        <v>56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34</v>
      </c>
      <c r="N1739">
        <v>5</v>
      </c>
      <c r="O1739" t="s">
        <v>58</v>
      </c>
      <c r="P1739">
        <v>20.6</v>
      </c>
      <c r="Q1739">
        <v>1619</v>
      </c>
      <c r="R1739">
        <v>3</v>
      </c>
      <c r="S1739">
        <v>3</v>
      </c>
      <c r="T1739" t="s">
        <v>41</v>
      </c>
      <c r="U1739" t="s">
        <v>37</v>
      </c>
      <c r="V1739">
        <v>116884</v>
      </c>
      <c r="W1739">
        <v>3.58</v>
      </c>
      <c r="X1739">
        <v>5</v>
      </c>
    </row>
    <row r="1740" spans="1:24" x14ac:dyDescent="0.3">
      <c r="A1740" t="s">
        <v>24</v>
      </c>
      <c r="B1740" t="s">
        <v>74</v>
      </c>
      <c r="C1740">
        <v>2024</v>
      </c>
      <c r="D1740" t="s">
        <v>26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48</v>
      </c>
      <c r="N1740">
        <v>7</v>
      </c>
      <c r="O1740" t="s">
        <v>50</v>
      </c>
      <c r="P1740">
        <v>19.899999999999999</v>
      </c>
      <c r="Q1740">
        <v>1694</v>
      </c>
      <c r="R1740">
        <v>4</v>
      </c>
      <c r="S1740">
        <v>2</v>
      </c>
      <c r="T1740" t="s">
        <v>29</v>
      </c>
      <c r="U1740" t="s">
        <v>33</v>
      </c>
      <c r="V1740">
        <v>238867</v>
      </c>
      <c r="W1740">
        <v>3.7</v>
      </c>
      <c r="X1740">
        <v>5</v>
      </c>
    </row>
    <row r="1741" spans="1:24" x14ac:dyDescent="0.3">
      <c r="A1741" t="s">
        <v>24</v>
      </c>
      <c r="B1741" t="s">
        <v>70</v>
      </c>
      <c r="C1741">
        <v>2023</v>
      </c>
      <c r="D1741" t="s">
        <v>44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48</v>
      </c>
      <c r="N1741">
        <v>7</v>
      </c>
      <c r="O1741" t="s">
        <v>51</v>
      </c>
      <c r="P1741">
        <v>31.7</v>
      </c>
      <c r="Q1741">
        <v>1650</v>
      </c>
      <c r="R1741">
        <v>5</v>
      </c>
      <c r="S1741">
        <v>1</v>
      </c>
      <c r="T1741" t="s">
        <v>29</v>
      </c>
      <c r="U1741" t="s">
        <v>37</v>
      </c>
      <c r="V1741">
        <v>250021</v>
      </c>
      <c r="W1741">
        <v>3.64</v>
      </c>
      <c r="X1741">
        <v>3</v>
      </c>
    </row>
    <row r="1742" spans="1:24" x14ac:dyDescent="0.3">
      <c r="A1742" t="s">
        <v>52</v>
      </c>
      <c r="B1742" t="s">
        <v>62</v>
      </c>
      <c r="C1742">
        <v>2025</v>
      </c>
      <c r="D1742" t="s">
        <v>44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27</v>
      </c>
      <c r="N1742">
        <v>5</v>
      </c>
      <c r="O1742" t="s">
        <v>35</v>
      </c>
      <c r="P1742">
        <v>47.3</v>
      </c>
      <c r="Q1742">
        <v>1944</v>
      </c>
      <c r="R1742">
        <v>4</v>
      </c>
      <c r="S1742">
        <v>1</v>
      </c>
      <c r="T1742" t="s">
        <v>29</v>
      </c>
      <c r="U1742" t="s">
        <v>30</v>
      </c>
      <c r="V1742">
        <v>76984</v>
      </c>
      <c r="W1742">
        <v>3.74</v>
      </c>
      <c r="X1742">
        <v>6</v>
      </c>
    </row>
    <row r="1743" spans="1:24" x14ac:dyDescent="0.3">
      <c r="A1743" t="s">
        <v>38</v>
      </c>
      <c r="B1743" t="s">
        <v>101</v>
      </c>
      <c r="C1743">
        <v>2026</v>
      </c>
      <c r="D1743" t="s">
        <v>44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27</v>
      </c>
      <c r="N1743">
        <v>5</v>
      </c>
      <c r="O1743" t="s">
        <v>50</v>
      </c>
      <c r="P1743">
        <v>16.7</v>
      </c>
      <c r="Q1743">
        <v>1600</v>
      </c>
      <c r="R1743">
        <v>5</v>
      </c>
      <c r="S1743">
        <v>0</v>
      </c>
      <c r="T1743" t="s">
        <v>41</v>
      </c>
      <c r="U1743" t="s">
        <v>37</v>
      </c>
      <c r="V1743">
        <v>17331</v>
      </c>
      <c r="W1743">
        <v>3.77</v>
      </c>
      <c r="X1743">
        <v>5</v>
      </c>
    </row>
    <row r="1744" spans="1:24" x14ac:dyDescent="0.3">
      <c r="A1744" t="s">
        <v>76</v>
      </c>
      <c r="B1744" t="s">
        <v>91</v>
      </c>
      <c r="C1744">
        <v>2025</v>
      </c>
      <c r="D1744" t="s">
        <v>56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27</v>
      </c>
      <c r="N1744">
        <v>4</v>
      </c>
      <c r="O1744" t="s">
        <v>28</v>
      </c>
      <c r="P1744">
        <v>73.900000000000006</v>
      </c>
      <c r="Q1744">
        <v>2056</v>
      </c>
      <c r="R1744">
        <v>4</v>
      </c>
      <c r="S1744">
        <v>1</v>
      </c>
      <c r="T1744" t="s">
        <v>41</v>
      </c>
      <c r="U1744" t="s">
        <v>66</v>
      </c>
      <c r="V1744">
        <v>51835</v>
      </c>
      <c r="W1744">
        <v>3.13</v>
      </c>
      <c r="X1744">
        <v>4</v>
      </c>
    </row>
    <row r="1745" spans="1:24" x14ac:dyDescent="0.3">
      <c r="A1745" t="s">
        <v>46</v>
      </c>
      <c r="B1745" t="s">
        <v>49</v>
      </c>
      <c r="C1745">
        <v>2022</v>
      </c>
      <c r="D1745" t="s">
        <v>61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48</v>
      </c>
      <c r="N1745">
        <v>5</v>
      </c>
      <c r="O1745" t="s">
        <v>40</v>
      </c>
      <c r="P1745">
        <v>72</v>
      </c>
      <c r="Q1745">
        <v>1646</v>
      </c>
      <c r="R1745">
        <v>5</v>
      </c>
      <c r="S1745">
        <v>3</v>
      </c>
      <c r="T1745" t="s">
        <v>41</v>
      </c>
      <c r="U1745" t="s">
        <v>33</v>
      </c>
      <c r="V1745">
        <v>464918</v>
      </c>
      <c r="W1745">
        <v>3.52</v>
      </c>
      <c r="X1745">
        <v>6</v>
      </c>
    </row>
    <row r="1746" spans="1:24" x14ac:dyDescent="0.3">
      <c r="A1746" t="s">
        <v>24</v>
      </c>
      <c r="B1746" t="s">
        <v>70</v>
      </c>
      <c r="C1746">
        <v>2024</v>
      </c>
      <c r="D1746" t="s">
        <v>61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34</v>
      </c>
      <c r="N1746">
        <v>5</v>
      </c>
      <c r="O1746" t="s">
        <v>35</v>
      </c>
      <c r="P1746">
        <v>41.2</v>
      </c>
      <c r="Q1746">
        <v>2091</v>
      </c>
      <c r="R1746">
        <v>5</v>
      </c>
      <c r="S1746">
        <v>2</v>
      </c>
      <c r="T1746" t="s">
        <v>29</v>
      </c>
      <c r="U1746" t="s">
        <v>33</v>
      </c>
      <c r="V1746">
        <v>219453</v>
      </c>
      <c r="W1746">
        <v>3.46</v>
      </c>
      <c r="X1746">
        <v>4</v>
      </c>
    </row>
    <row r="1747" spans="1:24" x14ac:dyDescent="0.3">
      <c r="A1747" t="s">
        <v>68</v>
      </c>
      <c r="B1747" t="s">
        <v>69</v>
      </c>
      <c r="C1747">
        <v>2025</v>
      </c>
      <c r="D1747" t="s">
        <v>44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34</v>
      </c>
      <c r="N1747">
        <v>5</v>
      </c>
      <c r="O1747" t="s">
        <v>28</v>
      </c>
      <c r="P1747">
        <v>78.7</v>
      </c>
      <c r="Q1747">
        <v>2699</v>
      </c>
      <c r="R1747">
        <v>5</v>
      </c>
      <c r="S1747">
        <v>2</v>
      </c>
      <c r="T1747" t="s">
        <v>45</v>
      </c>
      <c r="U1747" t="s">
        <v>37</v>
      </c>
      <c r="V1747">
        <v>114002</v>
      </c>
      <c r="W1747">
        <v>3.56</v>
      </c>
      <c r="X1747">
        <v>3</v>
      </c>
    </row>
    <row r="1748" spans="1:24" x14ac:dyDescent="0.3">
      <c r="A1748" t="s">
        <v>46</v>
      </c>
      <c r="B1748" t="s">
        <v>78</v>
      </c>
      <c r="C1748">
        <v>2021</v>
      </c>
      <c r="D1748" t="s">
        <v>33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48</v>
      </c>
      <c r="N1748">
        <v>7</v>
      </c>
      <c r="O1748" t="s">
        <v>35</v>
      </c>
      <c r="P1748">
        <v>62.5</v>
      </c>
      <c r="Q1748">
        <v>1686</v>
      </c>
      <c r="R1748">
        <v>5</v>
      </c>
      <c r="S1748">
        <v>2</v>
      </c>
      <c r="T1748" t="s">
        <v>41</v>
      </c>
      <c r="U1748" t="s">
        <v>30</v>
      </c>
      <c r="V1748">
        <v>201220</v>
      </c>
      <c r="W1748">
        <v>3.9</v>
      </c>
      <c r="X1748">
        <v>5</v>
      </c>
    </row>
    <row r="1749" spans="1:24" x14ac:dyDescent="0.3">
      <c r="A1749" t="s">
        <v>63</v>
      </c>
      <c r="B1749" t="s">
        <v>96</v>
      </c>
      <c r="C1749">
        <v>2026</v>
      </c>
      <c r="D1749" t="s">
        <v>26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27</v>
      </c>
      <c r="N1749">
        <v>5</v>
      </c>
      <c r="O1749" t="s">
        <v>50</v>
      </c>
      <c r="P1749">
        <v>37.5</v>
      </c>
      <c r="Q1749">
        <v>1500</v>
      </c>
      <c r="R1749">
        <v>5</v>
      </c>
      <c r="S1749">
        <v>1</v>
      </c>
      <c r="T1749" t="s">
        <v>65</v>
      </c>
      <c r="U1749" t="s">
        <v>66</v>
      </c>
      <c r="V1749">
        <v>240918</v>
      </c>
      <c r="W1749">
        <v>3.58</v>
      </c>
      <c r="X1749">
        <v>3</v>
      </c>
    </row>
    <row r="1750" spans="1:24" x14ac:dyDescent="0.3">
      <c r="A1750" t="s">
        <v>38</v>
      </c>
      <c r="B1750" t="s">
        <v>55</v>
      </c>
      <c r="C1750">
        <v>2024</v>
      </c>
      <c r="D1750" t="s">
        <v>44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27</v>
      </c>
      <c r="N1750">
        <v>5</v>
      </c>
      <c r="O1750" t="s">
        <v>40</v>
      </c>
      <c r="P1750">
        <v>78.7</v>
      </c>
      <c r="Q1750">
        <v>1666</v>
      </c>
      <c r="R1750">
        <v>4</v>
      </c>
      <c r="S1750">
        <v>0</v>
      </c>
      <c r="T1750" t="s">
        <v>41</v>
      </c>
      <c r="U1750" t="s">
        <v>33</v>
      </c>
      <c r="V1750">
        <v>22091</v>
      </c>
      <c r="W1750">
        <v>3.72</v>
      </c>
      <c r="X1750">
        <v>4</v>
      </c>
    </row>
    <row r="1751" spans="1:24" x14ac:dyDescent="0.3">
      <c r="A1751" t="s">
        <v>46</v>
      </c>
      <c r="B1751" t="s">
        <v>47</v>
      </c>
      <c r="C1751">
        <v>2023</v>
      </c>
      <c r="D1751" t="s">
        <v>26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48</v>
      </c>
      <c r="N1751">
        <v>7</v>
      </c>
      <c r="O1751" t="s">
        <v>40</v>
      </c>
      <c r="P1751">
        <v>62.1</v>
      </c>
      <c r="Q1751">
        <v>1503</v>
      </c>
      <c r="R1751">
        <v>4</v>
      </c>
      <c r="S1751">
        <v>2</v>
      </c>
      <c r="T1751" t="s">
        <v>41</v>
      </c>
      <c r="U1751" t="s">
        <v>37</v>
      </c>
      <c r="V1751">
        <v>123687</v>
      </c>
      <c r="W1751">
        <v>4.34</v>
      </c>
      <c r="X1751">
        <v>5</v>
      </c>
    </row>
    <row r="1752" spans="1:24" x14ac:dyDescent="0.3">
      <c r="A1752" t="s">
        <v>68</v>
      </c>
      <c r="B1752" t="s">
        <v>106</v>
      </c>
      <c r="C1752">
        <v>2023</v>
      </c>
      <c r="D1752" t="s">
        <v>56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34</v>
      </c>
      <c r="N1752">
        <v>5</v>
      </c>
      <c r="O1752" t="s">
        <v>40</v>
      </c>
      <c r="P1752">
        <v>60.2</v>
      </c>
      <c r="Q1752">
        <v>1526</v>
      </c>
      <c r="R1752">
        <v>5</v>
      </c>
      <c r="S1752">
        <v>0</v>
      </c>
      <c r="T1752" t="s">
        <v>45</v>
      </c>
      <c r="U1752" t="s">
        <v>37</v>
      </c>
      <c r="V1752">
        <v>95016</v>
      </c>
      <c r="W1752">
        <v>3.55</v>
      </c>
      <c r="X1752">
        <v>4</v>
      </c>
    </row>
    <row r="1753" spans="1:24" x14ac:dyDescent="0.3">
      <c r="A1753" t="s">
        <v>63</v>
      </c>
      <c r="B1753" t="s">
        <v>64</v>
      </c>
      <c r="C1753">
        <v>2023</v>
      </c>
      <c r="D1753" t="s">
        <v>56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48</v>
      </c>
      <c r="N1753">
        <v>7</v>
      </c>
      <c r="O1753" t="s">
        <v>50</v>
      </c>
      <c r="P1753">
        <v>22.8</v>
      </c>
      <c r="Q1753">
        <v>1591</v>
      </c>
      <c r="R1753">
        <v>5</v>
      </c>
      <c r="S1753">
        <v>1</v>
      </c>
      <c r="T1753" t="s">
        <v>65</v>
      </c>
      <c r="U1753" t="s">
        <v>33</v>
      </c>
      <c r="V1753">
        <v>193019</v>
      </c>
      <c r="W1753">
        <v>3.17</v>
      </c>
      <c r="X1753">
        <v>4</v>
      </c>
    </row>
    <row r="1754" spans="1:24" x14ac:dyDescent="0.3">
      <c r="A1754" t="s">
        <v>46</v>
      </c>
      <c r="B1754" t="s">
        <v>57</v>
      </c>
      <c r="C1754">
        <v>2023</v>
      </c>
      <c r="D1754" t="s">
        <v>33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27</v>
      </c>
      <c r="N1754">
        <v>5</v>
      </c>
      <c r="O1754" t="s">
        <v>40</v>
      </c>
      <c r="P1754">
        <v>64.7</v>
      </c>
      <c r="Q1754">
        <v>1535</v>
      </c>
      <c r="R1754">
        <v>4</v>
      </c>
      <c r="S1754">
        <v>2</v>
      </c>
      <c r="T1754" t="s">
        <v>41</v>
      </c>
      <c r="U1754" t="s">
        <v>33</v>
      </c>
      <c r="V1754">
        <v>231411</v>
      </c>
      <c r="W1754">
        <v>3.84</v>
      </c>
      <c r="X1754">
        <v>4</v>
      </c>
    </row>
    <row r="1755" spans="1:24" x14ac:dyDescent="0.3">
      <c r="A1755" t="s">
        <v>63</v>
      </c>
      <c r="B1755" t="s">
        <v>73</v>
      </c>
      <c r="C1755">
        <v>2026</v>
      </c>
      <c r="D1755" t="s">
        <v>33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48</v>
      </c>
      <c r="N1755">
        <v>5</v>
      </c>
      <c r="O1755" t="s">
        <v>58</v>
      </c>
      <c r="P1755">
        <v>27.7</v>
      </c>
      <c r="Q1755">
        <v>1654</v>
      </c>
      <c r="R1755">
        <v>5</v>
      </c>
      <c r="S1755">
        <v>0</v>
      </c>
      <c r="T1755" t="s">
        <v>65</v>
      </c>
      <c r="U1755" t="s">
        <v>37</v>
      </c>
      <c r="V1755">
        <v>193352</v>
      </c>
      <c r="W1755">
        <v>3.21</v>
      </c>
      <c r="X1755">
        <v>4</v>
      </c>
    </row>
    <row r="1756" spans="1:24" x14ac:dyDescent="0.3">
      <c r="A1756" t="s">
        <v>124</v>
      </c>
      <c r="B1756" t="s">
        <v>139</v>
      </c>
      <c r="C1756">
        <v>2025</v>
      </c>
      <c r="D1756" t="s">
        <v>26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27</v>
      </c>
      <c r="N1756">
        <v>5</v>
      </c>
      <c r="O1756" t="s">
        <v>40</v>
      </c>
      <c r="P1756">
        <v>64.8</v>
      </c>
      <c r="Q1756">
        <v>1555</v>
      </c>
      <c r="R1756">
        <v>5</v>
      </c>
      <c r="S1756">
        <v>0</v>
      </c>
      <c r="T1756" t="s">
        <v>41</v>
      </c>
      <c r="U1756" t="s">
        <v>30</v>
      </c>
      <c r="V1756">
        <v>27265</v>
      </c>
      <c r="W1756">
        <v>3.3</v>
      </c>
      <c r="X1756">
        <v>5</v>
      </c>
    </row>
    <row r="1757" spans="1:24" x14ac:dyDescent="0.3">
      <c r="A1757" t="s">
        <v>76</v>
      </c>
      <c r="B1757" t="s">
        <v>81</v>
      </c>
      <c r="C1757">
        <v>2022</v>
      </c>
      <c r="D1757" t="s">
        <v>26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27</v>
      </c>
      <c r="N1757">
        <v>7</v>
      </c>
      <c r="O1757" t="s">
        <v>51</v>
      </c>
      <c r="P1757">
        <v>21.3</v>
      </c>
      <c r="Q1757">
        <v>1539</v>
      </c>
      <c r="R1757">
        <v>4</v>
      </c>
      <c r="S1757">
        <v>1</v>
      </c>
      <c r="T1757" t="s">
        <v>41</v>
      </c>
      <c r="U1757" t="s">
        <v>33</v>
      </c>
      <c r="V1757">
        <v>25267</v>
      </c>
      <c r="W1757">
        <v>3.64</v>
      </c>
      <c r="X1757">
        <v>4</v>
      </c>
    </row>
    <row r="1758" spans="1:24" x14ac:dyDescent="0.3">
      <c r="A1758" t="s">
        <v>31</v>
      </c>
      <c r="B1758" t="s">
        <v>112</v>
      </c>
      <c r="C1758">
        <v>2021</v>
      </c>
      <c r="D1758" t="s">
        <v>26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27</v>
      </c>
      <c r="N1758">
        <v>7</v>
      </c>
      <c r="O1758" t="s">
        <v>51</v>
      </c>
      <c r="P1758">
        <v>31</v>
      </c>
      <c r="Q1758">
        <v>1520</v>
      </c>
      <c r="R1758">
        <v>5</v>
      </c>
      <c r="S1758">
        <v>0</v>
      </c>
      <c r="T1758" t="s">
        <v>36</v>
      </c>
      <c r="U1758" t="s">
        <v>33</v>
      </c>
      <c r="V1758">
        <v>29112</v>
      </c>
      <c r="W1758">
        <v>3.93</v>
      </c>
      <c r="X1758">
        <v>3</v>
      </c>
    </row>
    <row r="1759" spans="1:24" x14ac:dyDescent="0.3">
      <c r="A1759" t="s">
        <v>68</v>
      </c>
      <c r="B1759" t="s">
        <v>79</v>
      </c>
      <c r="C1759">
        <v>2023</v>
      </c>
      <c r="D1759" t="s">
        <v>44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34</v>
      </c>
      <c r="N1759">
        <v>7</v>
      </c>
      <c r="O1759" t="s">
        <v>40</v>
      </c>
      <c r="P1759">
        <v>75.8</v>
      </c>
      <c r="Q1759">
        <v>1500</v>
      </c>
      <c r="R1759">
        <v>5</v>
      </c>
      <c r="S1759">
        <v>2</v>
      </c>
      <c r="T1759" t="s">
        <v>45</v>
      </c>
      <c r="U1759" t="s">
        <v>33</v>
      </c>
      <c r="V1759">
        <v>120050</v>
      </c>
      <c r="W1759">
        <v>3.41</v>
      </c>
      <c r="X1759">
        <v>3</v>
      </c>
    </row>
    <row r="1760" spans="1:24" x14ac:dyDescent="0.3">
      <c r="A1760" t="s">
        <v>46</v>
      </c>
      <c r="B1760" t="s">
        <v>47</v>
      </c>
      <c r="C1760">
        <v>2022</v>
      </c>
      <c r="D1760" t="s">
        <v>33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27</v>
      </c>
      <c r="N1760">
        <v>7</v>
      </c>
      <c r="O1760" t="s">
        <v>51</v>
      </c>
      <c r="P1760">
        <v>26.6</v>
      </c>
      <c r="Q1760">
        <v>1704</v>
      </c>
      <c r="R1760">
        <v>3</v>
      </c>
      <c r="S1760">
        <v>3</v>
      </c>
      <c r="T1760" t="s">
        <v>41</v>
      </c>
      <c r="U1760" t="s">
        <v>33</v>
      </c>
      <c r="V1760">
        <v>156841</v>
      </c>
      <c r="W1760">
        <v>3.58</v>
      </c>
      <c r="X1760">
        <v>4</v>
      </c>
    </row>
    <row r="1761" spans="1:24" x14ac:dyDescent="0.3">
      <c r="A1761" t="s">
        <v>42</v>
      </c>
      <c r="B1761" t="s">
        <v>54</v>
      </c>
      <c r="C1761">
        <v>2026</v>
      </c>
      <c r="D1761" t="s">
        <v>26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48</v>
      </c>
      <c r="N1761">
        <v>7</v>
      </c>
      <c r="O1761" t="s">
        <v>40</v>
      </c>
      <c r="P1761">
        <v>67.599999999999994</v>
      </c>
      <c r="Q1761">
        <v>1577</v>
      </c>
      <c r="R1761">
        <v>4</v>
      </c>
      <c r="S1761">
        <v>0</v>
      </c>
      <c r="T1761" t="s">
        <v>45</v>
      </c>
      <c r="U1761" t="s">
        <v>33</v>
      </c>
      <c r="V1761">
        <v>55244</v>
      </c>
      <c r="W1761">
        <v>3.99</v>
      </c>
      <c r="X1761">
        <v>4</v>
      </c>
    </row>
    <row r="1762" spans="1:24" x14ac:dyDescent="0.3">
      <c r="A1762" t="s">
        <v>24</v>
      </c>
      <c r="B1762" t="s">
        <v>85</v>
      </c>
      <c r="C1762">
        <v>2020</v>
      </c>
      <c r="D1762" t="s">
        <v>44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48</v>
      </c>
      <c r="N1762">
        <v>7</v>
      </c>
      <c r="O1762" t="s">
        <v>28</v>
      </c>
      <c r="P1762">
        <v>71.7</v>
      </c>
      <c r="Q1762">
        <v>2388</v>
      </c>
      <c r="R1762">
        <v>4</v>
      </c>
      <c r="S1762">
        <v>2</v>
      </c>
      <c r="T1762" t="s">
        <v>29</v>
      </c>
      <c r="U1762" t="s">
        <v>33</v>
      </c>
      <c r="V1762">
        <v>205086</v>
      </c>
      <c r="W1762">
        <v>3.62</v>
      </c>
      <c r="X1762">
        <v>3</v>
      </c>
    </row>
    <row r="1763" spans="1:24" x14ac:dyDescent="0.3">
      <c r="A1763" t="s">
        <v>52</v>
      </c>
      <c r="B1763" t="s">
        <v>103</v>
      </c>
      <c r="C1763">
        <v>2021</v>
      </c>
      <c r="D1763" t="s">
        <v>44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27</v>
      </c>
      <c r="N1763">
        <v>5</v>
      </c>
      <c r="O1763" t="s">
        <v>40</v>
      </c>
      <c r="P1763">
        <v>61.9</v>
      </c>
      <c r="Q1763">
        <v>1500</v>
      </c>
      <c r="R1763">
        <v>4</v>
      </c>
      <c r="S1763">
        <v>2</v>
      </c>
      <c r="T1763" t="s">
        <v>29</v>
      </c>
      <c r="U1763" t="s">
        <v>30</v>
      </c>
      <c r="V1763">
        <v>61011</v>
      </c>
      <c r="W1763">
        <v>4</v>
      </c>
      <c r="X1763">
        <v>7</v>
      </c>
    </row>
    <row r="1764" spans="1:24" x14ac:dyDescent="0.3">
      <c r="A1764" t="s">
        <v>46</v>
      </c>
      <c r="B1764" t="s">
        <v>47</v>
      </c>
      <c r="C1764">
        <v>2026</v>
      </c>
      <c r="D1764" t="s">
        <v>33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27</v>
      </c>
      <c r="N1764">
        <v>5</v>
      </c>
      <c r="O1764" t="s">
        <v>51</v>
      </c>
      <c r="P1764">
        <v>37.200000000000003</v>
      </c>
      <c r="Q1764">
        <v>1684</v>
      </c>
      <c r="R1764">
        <v>4</v>
      </c>
      <c r="S1764">
        <v>3</v>
      </c>
      <c r="T1764" t="s">
        <v>41</v>
      </c>
      <c r="U1764" t="s">
        <v>30</v>
      </c>
      <c r="V1764">
        <v>179193</v>
      </c>
      <c r="W1764">
        <v>3.78</v>
      </c>
      <c r="X1764">
        <v>5</v>
      </c>
    </row>
    <row r="1765" spans="1:24" x14ac:dyDescent="0.3">
      <c r="A1765" t="s">
        <v>68</v>
      </c>
      <c r="B1765" t="s">
        <v>69</v>
      </c>
      <c r="C1765">
        <v>2023</v>
      </c>
      <c r="D1765" t="s">
        <v>44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48</v>
      </c>
      <c r="N1765">
        <v>7</v>
      </c>
      <c r="O1765" t="s">
        <v>35</v>
      </c>
      <c r="P1765">
        <v>69.599999999999994</v>
      </c>
      <c r="Q1765">
        <v>1987</v>
      </c>
      <c r="R1765">
        <v>5</v>
      </c>
      <c r="S1765">
        <v>1</v>
      </c>
      <c r="T1765" t="s">
        <v>45</v>
      </c>
      <c r="U1765" t="s">
        <v>33</v>
      </c>
      <c r="V1765">
        <v>122583</v>
      </c>
      <c r="W1765">
        <v>3.74</v>
      </c>
      <c r="X1765">
        <v>3</v>
      </c>
    </row>
    <row r="1766" spans="1:24" x14ac:dyDescent="0.3">
      <c r="A1766" t="s">
        <v>46</v>
      </c>
      <c r="B1766" t="s">
        <v>57</v>
      </c>
      <c r="C1766">
        <v>2025</v>
      </c>
      <c r="D1766" t="s">
        <v>56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34</v>
      </c>
      <c r="N1766">
        <v>5</v>
      </c>
      <c r="O1766" t="s">
        <v>50</v>
      </c>
      <c r="P1766">
        <v>17.8</v>
      </c>
      <c r="Q1766">
        <v>1500</v>
      </c>
      <c r="R1766">
        <v>5</v>
      </c>
      <c r="S1766">
        <v>3</v>
      </c>
      <c r="T1766" t="s">
        <v>41</v>
      </c>
      <c r="U1766" t="s">
        <v>66</v>
      </c>
      <c r="V1766">
        <v>225676</v>
      </c>
      <c r="W1766">
        <v>3.51</v>
      </c>
      <c r="X1766">
        <v>6</v>
      </c>
    </row>
    <row r="1767" spans="1:24" x14ac:dyDescent="0.3">
      <c r="A1767" t="s">
        <v>63</v>
      </c>
      <c r="B1767" t="s">
        <v>67</v>
      </c>
      <c r="C1767">
        <v>2024</v>
      </c>
      <c r="D1767" t="s">
        <v>61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27</v>
      </c>
      <c r="N1767">
        <v>5</v>
      </c>
      <c r="O1767" t="s">
        <v>50</v>
      </c>
      <c r="P1767">
        <v>34.700000000000003</v>
      </c>
      <c r="Q1767">
        <v>1776</v>
      </c>
      <c r="R1767">
        <v>4</v>
      </c>
      <c r="S1767">
        <v>0</v>
      </c>
      <c r="T1767" t="s">
        <v>65</v>
      </c>
      <c r="U1767" t="s">
        <v>66</v>
      </c>
      <c r="V1767">
        <v>240735</v>
      </c>
      <c r="W1767">
        <v>3.31</v>
      </c>
      <c r="X1767">
        <v>4</v>
      </c>
    </row>
    <row r="1768" spans="1:24" x14ac:dyDescent="0.3">
      <c r="A1768" t="s">
        <v>38</v>
      </c>
      <c r="B1768" t="s">
        <v>39</v>
      </c>
      <c r="C1768">
        <v>2024</v>
      </c>
      <c r="D1768" t="s">
        <v>33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48</v>
      </c>
      <c r="N1768">
        <v>5</v>
      </c>
      <c r="O1768" t="s">
        <v>40</v>
      </c>
      <c r="P1768">
        <v>76.8</v>
      </c>
      <c r="Q1768">
        <v>1529</v>
      </c>
      <c r="R1768">
        <v>4</v>
      </c>
      <c r="S1768">
        <v>0</v>
      </c>
      <c r="T1768" t="s">
        <v>41</v>
      </c>
      <c r="U1768" t="s">
        <v>37</v>
      </c>
      <c r="V1768">
        <v>17461</v>
      </c>
      <c r="W1768">
        <v>3.32</v>
      </c>
      <c r="X1768">
        <v>3</v>
      </c>
    </row>
    <row r="1769" spans="1:24" x14ac:dyDescent="0.3">
      <c r="A1769" t="s">
        <v>68</v>
      </c>
      <c r="B1769" t="s">
        <v>90</v>
      </c>
      <c r="C1769">
        <v>2025</v>
      </c>
      <c r="D1769" t="s">
        <v>33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27</v>
      </c>
      <c r="N1769">
        <v>5</v>
      </c>
      <c r="O1769" t="s">
        <v>35</v>
      </c>
      <c r="P1769">
        <v>66.099999999999994</v>
      </c>
      <c r="Q1769">
        <v>2435</v>
      </c>
      <c r="R1769">
        <v>5</v>
      </c>
      <c r="S1769">
        <v>1</v>
      </c>
      <c r="T1769" t="s">
        <v>45</v>
      </c>
      <c r="U1769" t="s">
        <v>33</v>
      </c>
      <c r="V1769">
        <v>93827</v>
      </c>
      <c r="W1769">
        <v>3.71</v>
      </c>
      <c r="X1769">
        <v>4</v>
      </c>
    </row>
    <row r="1770" spans="1:24" x14ac:dyDescent="0.3">
      <c r="A1770" t="s">
        <v>24</v>
      </c>
      <c r="B1770" t="s">
        <v>74</v>
      </c>
      <c r="C1770">
        <v>2025</v>
      </c>
      <c r="D1770" t="s">
        <v>56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34</v>
      </c>
      <c r="N1770">
        <v>5</v>
      </c>
      <c r="O1770" t="s">
        <v>28</v>
      </c>
      <c r="P1770">
        <v>68.400000000000006</v>
      </c>
      <c r="Q1770">
        <v>2358</v>
      </c>
      <c r="R1770">
        <v>3</v>
      </c>
      <c r="S1770">
        <v>1</v>
      </c>
      <c r="T1770" t="s">
        <v>29</v>
      </c>
      <c r="U1770" t="s">
        <v>66</v>
      </c>
      <c r="V1770">
        <v>223686</v>
      </c>
      <c r="W1770">
        <v>3.31</v>
      </c>
      <c r="X1770">
        <v>3</v>
      </c>
    </row>
    <row r="1771" spans="1:24" x14ac:dyDescent="0.3">
      <c r="A1771" t="s">
        <v>24</v>
      </c>
      <c r="B1771" t="s">
        <v>75</v>
      </c>
      <c r="C1771">
        <v>2024</v>
      </c>
      <c r="D1771" t="s">
        <v>61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34</v>
      </c>
      <c r="N1771">
        <v>5</v>
      </c>
      <c r="O1771" t="s">
        <v>50</v>
      </c>
      <c r="P1771">
        <v>17.5</v>
      </c>
      <c r="Q1771">
        <v>1566</v>
      </c>
      <c r="R1771">
        <v>4</v>
      </c>
      <c r="S1771">
        <v>0</v>
      </c>
      <c r="T1771" t="s">
        <v>29</v>
      </c>
      <c r="U1771" t="s">
        <v>37</v>
      </c>
      <c r="V1771">
        <v>229331</v>
      </c>
      <c r="W1771">
        <v>3.6</v>
      </c>
      <c r="X1771">
        <v>4</v>
      </c>
    </row>
    <row r="1772" spans="1:24" x14ac:dyDescent="0.3">
      <c r="A1772" t="s">
        <v>68</v>
      </c>
      <c r="B1772" t="s">
        <v>69</v>
      </c>
      <c r="C1772">
        <v>2026</v>
      </c>
      <c r="D1772" t="s">
        <v>61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48</v>
      </c>
      <c r="N1772">
        <v>7</v>
      </c>
      <c r="O1772" t="s">
        <v>28</v>
      </c>
      <c r="P1772">
        <v>78.3</v>
      </c>
      <c r="Q1772">
        <v>2639</v>
      </c>
      <c r="R1772">
        <v>4</v>
      </c>
      <c r="S1772">
        <v>0</v>
      </c>
      <c r="T1772" t="s">
        <v>45</v>
      </c>
      <c r="U1772" t="s">
        <v>37</v>
      </c>
      <c r="V1772">
        <v>60452</v>
      </c>
      <c r="W1772">
        <v>3.61</v>
      </c>
      <c r="X1772">
        <v>4</v>
      </c>
    </row>
    <row r="1773" spans="1:24" x14ac:dyDescent="0.3">
      <c r="A1773" t="s">
        <v>76</v>
      </c>
      <c r="B1773" t="s">
        <v>81</v>
      </c>
      <c r="C1773">
        <v>2024</v>
      </c>
      <c r="D1773" t="s">
        <v>26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27</v>
      </c>
      <c r="N1773">
        <v>5</v>
      </c>
      <c r="O1773" t="s">
        <v>35</v>
      </c>
      <c r="P1773">
        <v>58</v>
      </c>
      <c r="Q1773">
        <v>2017</v>
      </c>
      <c r="R1773">
        <v>5</v>
      </c>
      <c r="S1773">
        <v>1</v>
      </c>
      <c r="T1773" t="s">
        <v>41</v>
      </c>
      <c r="U1773" t="s">
        <v>33</v>
      </c>
      <c r="V1773">
        <v>55818</v>
      </c>
      <c r="W1773">
        <v>3.69</v>
      </c>
      <c r="X1773">
        <v>4</v>
      </c>
    </row>
    <row r="1774" spans="1:24" x14ac:dyDescent="0.3">
      <c r="A1774" t="s">
        <v>86</v>
      </c>
      <c r="B1774" t="s">
        <v>105</v>
      </c>
      <c r="C1774">
        <v>2025</v>
      </c>
      <c r="D1774" t="s">
        <v>61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27</v>
      </c>
      <c r="N1774">
        <v>7</v>
      </c>
      <c r="O1774" t="s">
        <v>50</v>
      </c>
      <c r="P1774">
        <v>33.6</v>
      </c>
      <c r="Q1774">
        <v>1677</v>
      </c>
      <c r="R1774">
        <v>5</v>
      </c>
      <c r="S1774">
        <v>2</v>
      </c>
      <c r="T1774" t="s">
        <v>29</v>
      </c>
      <c r="U1774" t="s">
        <v>33</v>
      </c>
      <c r="V1774">
        <v>69050</v>
      </c>
      <c r="W1774">
        <v>3.19</v>
      </c>
      <c r="X1774">
        <v>6</v>
      </c>
    </row>
    <row r="1775" spans="1:24" x14ac:dyDescent="0.3">
      <c r="A1775" t="s">
        <v>31</v>
      </c>
      <c r="B1775" t="s">
        <v>112</v>
      </c>
      <c r="C1775">
        <v>2025</v>
      </c>
      <c r="D1775" t="s">
        <v>44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48</v>
      </c>
      <c r="N1775">
        <v>5</v>
      </c>
      <c r="O1775" t="s">
        <v>50</v>
      </c>
      <c r="P1775">
        <v>26</v>
      </c>
      <c r="Q1775">
        <v>1541</v>
      </c>
      <c r="R1775">
        <v>5</v>
      </c>
      <c r="S1775">
        <v>0</v>
      </c>
      <c r="T1775" t="s">
        <v>36</v>
      </c>
      <c r="U1775" t="s">
        <v>33</v>
      </c>
      <c r="V1775">
        <v>12682</v>
      </c>
      <c r="W1775">
        <v>3.5</v>
      </c>
      <c r="X1775">
        <v>3</v>
      </c>
    </row>
    <row r="1776" spans="1:24" x14ac:dyDescent="0.3">
      <c r="A1776" t="s">
        <v>76</v>
      </c>
      <c r="B1776" t="s">
        <v>77</v>
      </c>
      <c r="C1776">
        <v>2025</v>
      </c>
      <c r="D1776" t="s">
        <v>26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48</v>
      </c>
      <c r="N1776">
        <v>5</v>
      </c>
      <c r="O1776" t="s">
        <v>40</v>
      </c>
      <c r="P1776">
        <v>66.5</v>
      </c>
      <c r="Q1776">
        <v>1939</v>
      </c>
      <c r="R1776">
        <v>3</v>
      </c>
      <c r="S1776">
        <v>2</v>
      </c>
      <c r="T1776" t="s">
        <v>41</v>
      </c>
      <c r="U1776" t="s">
        <v>33</v>
      </c>
      <c r="V1776">
        <v>45964</v>
      </c>
      <c r="W1776">
        <v>3.7</v>
      </c>
      <c r="X1776">
        <v>4</v>
      </c>
    </row>
    <row r="1777" spans="1:24" x14ac:dyDescent="0.3">
      <c r="A1777" t="s">
        <v>63</v>
      </c>
      <c r="B1777" t="s">
        <v>67</v>
      </c>
      <c r="C1777">
        <v>2025</v>
      </c>
      <c r="D1777" t="s">
        <v>44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27</v>
      </c>
      <c r="N1777">
        <v>5</v>
      </c>
      <c r="O1777" t="s">
        <v>28</v>
      </c>
      <c r="P1777">
        <v>71.7</v>
      </c>
      <c r="Q1777">
        <v>2861</v>
      </c>
      <c r="R1777">
        <v>5</v>
      </c>
      <c r="S1777">
        <v>2</v>
      </c>
      <c r="T1777" t="s">
        <v>65</v>
      </c>
      <c r="U1777" t="s">
        <v>66</v>
      </c>
      <c r="V1777">
        <v>233286</v>
      </c>
      <c r="W1777">
        <v>3.51</v>
      </c>
      <c r="X1777">
        <v>5</v>
      </c>
    </row>
    <row r="1778" spans="1:24" x14ac:dyDescent="0.3">
      <c r="A1778" t="s">
        <v>83</v>
      </c>
      <c r="B1778" t="s">
        <v>89</v>
      </c>
      <c r="C1778">
        <v>2023</v>
      </c>
      <c r="D1778" t="s">
        <v>56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48</v>
      </c>
      <c r="N1778">
        <v>7</v>
      </c>
      <c r="O1778" t="s">
        <v>28</v>
      </c>
      <c r="P1778">
        <v>57.6</v>
      </c>
      <c r="Q1778">
        <v>2730</v>
      </c>
      <c r="R1778">
        <v>4</v>
      </c>
      <c r="S1778">
        <v>2</v>
      </c>
      <c r="T1778" t="s">
        <v>29</v>
      </c>
      <c r="U1778" t="s">
        <v>33</v>
      </c>
      <c r="V1778">
        <v>63501</v>
      </c>
      <c r="W1778">
        <v>3.78</v>
      </c>
      <c r="X1778">
        <v>5</v>
      </c>
    </row>
    <row r="1779" spans="1:24" x14ac:dyDescent="0.3">
      <c r="A1779" t="s">
        <v>24</v>
      </c>
      <c r="B1779" t="s">
        <v>74</v>
      </c>
      <c r="C1779">
        <v>2026</v>
      </c>
      <c r="D1779" t="s">
        <v>26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27</v>
      </c>
      <c r="N1779">
        <v>5</v>
      </c>
      <c r="O1779" t="s">
        <v>58</v>
      </c>
      <c r="P1779">
        <v>16.2</v>
      </c>
      <c r="Q1779">
        <v>1564</v>
      </c>
      <c r="R1779">
        <v>4</v>
      </c>
      <c r="S1779">
        <v>0</v>
      </c>
      <c r="T1779" t="s">
        <v>29</v>
      </c>
      <c r="U1779" t="s">
        <v>33</v>
      </c>
      <c r="V1779">
        <v>241869</v>
      </c>
      <c r="W1779">
        <v>4.05</v>
      </c>
      <c r="X1779">
        <v>4</v>
      </c>
    </row>
    <row r="1780" spans="1:24" x14ac:dyDescent="0.3">
      <c r="A1780" t="s">
        <v>63</v>
      </c>
      <c r="B1780" t="s">
        <v>82</v>
      </c>
      <c r="C1780">
        <v>2022</v>
      </c>
      <c r="D1780" t="s">
        <v>44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27</v>
      </c>
      <c r="N1780">
        <v>5</v>
      </c>
      <c r="O1780" t="s">
        <v>28</v>
      </c>
      <c r="P1780">
        <v>76.8</v>
      </c>
      <c r="Q1780">
        <v>2565</v>
      </c>
      <c r="R1780">
        <v>5</v>
      </c>
      <c r="S1780">
        <v>1</v>
      </c>
      <c r="T1780" t="s">
        <v>65</v>
      </c>
      <c r="U1780" t="s">
        <v>33</v>
      </c>
      <c r="V1780">
        <v>170493</v>
      </c>
      <c r="W1780">
        <v>3.64</v>
      </c>
      <c r="X1780">
        <v>3</v>
      </c>
    </row>
    <row r="1781" spans="1:24" x14ac:dyDescent="0.3">
      <c r="A1781" t="s">
        <v>52</v>
      </c>
      <c r="B1781" t="s">
        <v>53</v>
      </c>
      <c r="C1781">
        <v>2023</v>
      </c>
      <c r="D1781" t="s">
        <v>33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27</v>
      </c>
      <c r="N1781">
        <v>5</v>
      </c>
      <c r="O1781" t="s">
        <v>50</v>
      </c>
      <c r="P1781">
        <v>25.7</v>
      </c>
      <c r="Q1781">
        <v>1500</v>
      </c>
      <c r="R1781">
        <v>4</v>
      </c>
      <c r="S1781">
        <v>1</v>
      </c>
      <c r="T1781" t="s">
        <v>29</v>
      </c>
      <c r="U1781" t="s">
        <v>30</v>
      </c>
      <c r="V1781">
        <v>72096</v>
      </c>
      <c r="W1781">
        <v>3.64</v>
      </c>
      <c r="X1781">
        <v>6</v>
      </c>
    </row>
    <row r="1782" spans="1:24" x14ac:dyDescent="0.3">
      <c r="A1782" t="s">
        <v>46</v>
      </c>
      <c r="B1782" t="s">
        <v>57</v>
      </c>
      <c r="C1782">
        <v>2026</v>
      </c>
      <c r="D1782" t="s">
        <v>56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34</v>
      </c>
      <c r="N1782">
        <v>5</v>
      </c>
      <c r="O1782" t="s">
        <v>40</v>
      </c>
      <c r="P1782">
        <v>64.2</v>
      </c>
      <c r="Q1782">
        <v>1667</v>
      </c>
      <c r="R1782">
        <v>4</v>
      </c>
      <c r="S1782">
        <v>2</v>
      </c>
      <c r="T1782" t="s">
        <v>41</v>
      </c>
      <c r="U1782" t="s">
        <v>30</v>
      </c>
      <c r="V1782">
        <v>186324</v>
      </c>
      <c r="W1782">
        <v>3.52</v>
      </c>
      <c r="X1782">
        <v>5</v>
      </c>
    </row>
    <row r="1783" spans="1:24" x14ac:dyDescent="0.3">
      <c r="A1783" t="s">
        <v>86</v>
      </c>
      <c r="B1783" t="s">
        <v>117</v>
      </c>
      <c r="C1783">
        <v>2025</v>
      </c>
      <c r="D1783" t="s">
        <v>61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48</v>
      </c>
      <c r="N1783">
        <v>5</v>
      </c>
      <c r="O1783" t="s">
        <v>40</v>
      </c>
      <c r="P1783">
        <v>68.2</v>
      </c>
      <c r="Q1783">
        <v>1501</v>
      </c>
      <c r="R1783">
        <v>4</v>
      </c>
      <c r="S1783">
        <v>2</v>
      </c>
      <c r="T1783" t="s">
        <v>29</v>
      </c>
      <c r="U1783" t="s">
        <v>37</v>
      </c>
      <c r="V1783">
        <v>79880</v>
      </c>
      <c r="W1783">
        <v>3.21</v>
      </c>
      <c r="X1783">
        <v>7</v>
      </c>
    </row>
    <row r="1784" spans="1:24" x14ac:dyDescent="0.3">
      <c r="A1784" t="s">
        <v>68</v>
      </c>
      <c r="B1784" t="s">
        <v>109</v>
      </c>
      <c r="C1784">
        <v>2026</v>
      </c>
      <c r="D1784" t="s">
        <v>33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27</v>
      </c>
      <c r="N1784">
        <v>5</v>
      </c>
      <c r="O1784" t="s">
        <v>58</v>
      </c>
      <c r="P1784">
        <v>33.1</v>
      </c>
      <c r="Q1784">
        <v>1500</v>
      </c>
      <c r="R1784">
        <v>3</v>
      </c>
      <c r="S1784">
        <v>0</v>
      </c>
      <c r="T1784" t="s">
        <v>45</v>
      </c>
      <c r="U1784" t="s">
        <v>33</v>
      </c>
      <c r="V1784">
        <v>92496</v>
      </c>
      <c r="W1784">
        <v>3.22</v>
      </c>
      <c r="X1784">
        <v>3</v>
      </c>
    </row>
    <row r="1785" spans="1:24" x14ac:dyDescent="0.3">
      <c r="A1785" t="s">
        <v>83</v>
      </c>
      <c r="B1785" t="s">
        <v>104</v>
      </c>
      <c r="C1785">
        <v>2023</v>
      </c>
      <c r="D1785" t="s">
        <v>44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27</v>
      </c>
      <c r="N1785">
        <v>5</v>
      </c>
      <c r="O1785" t="s">
        <v>58</v>
      </c>
      <c r="P1785">
        <v>25</v>
      </c>
      <c r="Q1785">
        <v>1679</v>
      </c>
      <c r="R1785">
        <v>5</v>
      </c>
      <c r="S1785">
        <v>2</v>
      </c>
      <c r="T1785" t="s">
        <v>29</v>
      </c>
      <c r="U1785" t="s">
        <v>30</v>
      </c>
      <c r="V1785">
        <v>62481</v>
      </c>
      <c r="W1785">
        <v>3.82</v>
      </c>
      <c r="X1785">
        <v>6</v>
      </c>
    </row>
    <row r="1786" spans="1:24" x14ac:dyDescent="0.3">
      <c r="A1786" t="s">
        <v>83</v>
      </c>
      <c r="B1786" t="s">
        <v>114</v>
      </c>
      <c r="C1786">
        <v>2024</v>
      </c>
      <c r="D1786" t="s">
        <v>33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27</v>
      </c>
      <c r="N1786">
        <v>7</v>
      </c>
      <c r="O1786" t="s">
        <v>28</v>
      </c>
      <c r="P1786">
        <v>61.5</v>
      </c>
      <c r="Q1786">
        <v>2455</v>
      </c>
      <c r="R1786">
        <v>5</v>
      </c>
      <c r="S1786">
        <v>1</v>
      </c>
      <c r="T1786" t="s">
        <v>29</v>
      </c>
      <c r="U1786" t="s">
        <v>33</v>
      </c>
      <c r="V1786">
        <v>64158</v>
      </c>
      <c r="W1786">
        <v>3.31</v>
      </c>
      <c r="X1786">
        <v>7</v>
      </c>
    </row>
    <row r="1787" spans="1:24" x14ac:dyDescent="0.3">
      <c r="A1787" t="s">
        <v>86</v>
      </c>
      <c r="B1787" t="s">
        <v>117</v>
      </c>
      <c r="C1787">
        <v>2025</v>
      </c>
      <c r="D1787" t="s">
        <v>33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27</v>
      </c>
      <c r="N1787">
        <v>5</v>
      </c>
      <c r="O1787" t="s">
        <v>58</v>
      </c>
      <c r="P1787">
        <v>22.6</v>
      </c>
      <c r="Q1787">
        <v>1646</v>
      </c>
      <c r="R1787">
        <v>5</v>
      </c>
      <c r="S1787">
        <v>2</v>
      </c>
      <c r="T1787" t="s">
        <v>29</v>
      </c>
      <c r="U1787" t="s">
        <v>30</v>
      </c>
      <c r="V1787">
        <v>20728</v>
      </c>
      <c r="W1787">
        <v>3.43</v>
      </c>
      <c r="X1787">
        <v>5</v>
      </c>
    </row>
    <row r="1788" spans="1:24" x14ac:dyDescent="0.3">
      <c r="A1788" t="s">
        <v>83</v>
      </c>
      <c r="B1788" t="s">
        <v>114</v>
      </c>
      <c r="C1788">
        <v>2024</v>
      </c>
      <c r="D1788" t="s">
        <v>61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48</v>
      </c>
      <c r="N1788">
        <v>5</v>
      </c>
      <c r="O1788" t="s">
        <v>50</v>
      </c>
      <c r="P1788">
        <v>22.8</v>
      </c>
      <c r="Q1788">
        <v>1501</v>
      </c>
      <c r="R1788">
        <v>5</v>
      </c>
      <c r="S1788">
        <v>1</v>
      </c>
      <c r="T1788" t="s">
        <v>29</v>
      </c>
      <c r="U1788" t="s">
        <v>33</v>
      </c>
      <c r="V1788">
        <v>28903</v>
      </c>
      <c r="W1788">
        <v>3.53</v>
      </c>
      <c r="X1788">
        <v>6</v>
      </c>
    </row>
    <row r="1789" spans="1:24" x14ac:dyDescent="0.3">
      <c r="A1789" t="s">
        <v>42</v>
      </c>
      <c r="B1789" t="s">
        <v>80</v>
      </c>
      <c r="C1789">
        <v>2021</v>
      </c>
      <c r="D1789" t="s">
        <v>44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34</v>
      </c>
      <c r="N1789">
        <v>5</v>
      </c>
      <c r="O1789" t="s">
        <v>35</v>
      </c>
      <c r="P1789">
        <v>46.4</v>
      </c>
      <c r="Q1789">
        <v>1920</v>
      </c>
      <c r="R1789">
        <v>5</v>
      </c>
      <c r="S1789">
        <v>1</v>
      </c>
      <c r="T1789" t="s">
        <v>45</v>
      </c>
      <c r="U1789" t="s">
        <v>37</v>
      </c>
      <c r="V1789">
        <v>85632</v>
      </c>
      <c r="W1789">
        <v>3.6</v>
      </c>
      <c r="X1789">
        <v>3</v>
      </c>
    </row>
    <row r="1790" spans="1:24" x14ac:dyDescent="0.3">
      <c r="A1790" t="s">
        <v>46</v>
      </c>
      <c r="B1790" t="s">
        <v>49</v>
      </c>
      <c r="C1790">
        <v>2025</v>
      </c>
      <c r="D1790" t="s">
        <v>26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48</v>
      </c>
      <c r="N1790">
        <v>7</v>
      </c>
      <c r="O1790" t="s">
        <v>35</v>
      </c>
      <c r="P1790">
        <v>62.1</v>
      </c>
      <c r="Q1790">
        <v>2000</v>
      </c>
      <c r="R1790">
        <v>5</v>
      </c>
      <c r="S1790">
        <v>2</v>
      </c>
      <c r="T1790" t="s">
        <v>41</v>
      </c>
      <c r="U1790" t="s">
        <v>37</v>
      </c>
      <c r="V1790">
        <v>484952</v>
      </c>
      <c r="W1790">
        <v>4.03</v>
      </c>
      <c r="X1790">
        <v>6</v>
      </c>
    </row>
    <row r="1791" spans="1:24" x14ac:dyDescent="0.3">
      <c r="A1791" t="s">
        <v>68</v>
      </c>
      <c r="B1791" t="s">
        <v>79</v>
      </c>
      <c r="C1791">
        <v>2024</v>
      </c>
      <c r="D1791" t="s">
        <v>26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48</v>
      </c>
      <c r="N1791">
        <v>5</v>
      </c>
      <c r="O1791" t="s">
        <v>50</v>
      </c>
      <c r="P1791">
        <v>25.5</v>
      </c>
      <c r="Q1791">
        <v>1685</v>
      </c>
      <c r="R1791">
        <v>3</v>
      </c>
      <c r="S1791">
        <v>0</v>
      </c>
      <c r="T1791" t="s">
        <v>45</v>
      </c>
      <c r="U1791" t="s">
        <v>37</v>
      </c>
      <c r="V1791">
        <v>119102</v>
      </c>
      <c r="W1791">
        <v>3.6</v>
      </c>
      <c r="X1791">
        <v>4</v>
      </c>
    </row>
    <row r="1792" spans="1:24" x14ac:dyDescent="0.3">
      <c r="A1792" t="s">
        <v>46</v>
      </c>
      <c r="B1792" t="s">
        <v>47</v>
      </c>
      <c r="C1792">
        <v>2023</v>
      </c>
      <c r="D1792" t="s">
        <v>33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48</v>
      </c>
      <c r="N1792">
        <v>7</v>
      </c>
      <c r="O1792" t="s">
        <v>58</v>
      </c>
      <c r="P1792">
        <v>33.9</v>
      </c>
      <c r="Q1792">
        <v>1500</v>
      </c>
      <c r="R1792">
        <v>4</v>
      </c>
      <c r="S1792">
        <v>2</v>
      </c>
      <c r="T1792" t="s">
        <v>41</v>
      </c>
      <c r="U1792" t="s">
        <v>33</v>
      </c>
      <c r="V1792">
        <v>151125</v>
      </c>
      <c r="W1792">
        <v>4.05</v>
      </c>
      <c r="X1792">
        <v>4</v>
      </c>
    </row>
    <row r="1793" spans="1:24" x14ac:dyDescent="0.3">
      <c r="A1793" t="s">
        <v>38</v>
      </c>
      <c r="B1793" t="s">
        <v>102</v>
      </c>
      <c r="C1793">
        <v>2026</v>
      </c>
      <c r="D1793" t="s">
        <v>26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27</v>
      </c>
      <c r="N1793">
        <v>7</v>
      </c>
      <c r="O1793" t="s">
        <v>35</v>
      </c>
      <c r="P1793">
        <v>50</v>
      </c>
      <c r="Q1793">
        <v>1829</v>
      </c>
      <c r="R1793">
        <v>4</v>
      </c>
      <c r="S1793">
        <v>1</v>
      </c>
      <c r="T1793" t="s">
        <v>41</v>
      </c>
      <c r="U1793" t="s">
        <v>33</v>
      </c>
      <c r="V1793">
        <v>4745</v>
      </c>
      <c r="W1793">
        <v>3.45</v>
      </c>
      <c r="X1793">
        <v>4</v>
      </c>
    </row>
    <row r="1794" spans="1:24" x14ac:dyDescent="0.3">
      <c r="A1794" t="s">
        <v>68</v>
      </c>
      <c r="B1794" t="s">
        <v>79</v>
      </c>
      <c r="C1794">
        <v>2024</v>
      </c>
      <c r="D1794" t="s">
        <v>61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48</v>
      </c>
      <c r="N1794">
        <v>7</v>
      </c>
      <c r="O1794" t="s">
        <v>58</v>
      </c>
      <c r="P1794">
        <v>29.9</v>
      </c>
      <c r="Q1794">
        <v>1532</v>
      </c>
      <c r="R1794">
        <v>5</v>
      </c>
      <c r="S1794">
        <v>0</v>
      </c>
      <c r="T1794" t="s">
        <v>45</v>
      </c>
      <c r="U1794" t="s">
        <v>37</v>
      </c>
      <c r="V1794">
        <v>79234</v>
      </c>
      <c r="W1794">
        <v>3.49</v>
      </c>
      <c r="X1794">
        <v>3</v>
      </c>
    </row>
    <row r="1795" spans="1:24" x14ac:dyDescent="0.3">
      <c r="A1795" t="s">
        <v>83</v>
      </c>
      <c r="B1795" t="s">
        <v>89</v>
      </c>
      <c r="C1795">
        <v>2023</v>
      </c>
      <c r="D1795" t="s">
        <v>33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48</v>
      </c>
      <c r="N1795">
        <v>5</v>
      </c>
      <c r="O1795" t="s">
        <v>28</v>
      </c>
      <c r="P1795">
        <v>56.1</v>
      </c>
      <c r="Q1795">
        <v>2766</v>
      </c>
      <c r="R1795">
        <v>4</v>
      </c>
      <c r="S1795">
        <v>1</v>
      </c>
      <c r="T1795" t="s">
        <v>29</v>
      </c>
      <c r="U1795" t="s">
        <v>30</v>
      </c>
      <c r="V1795">
        <v>27018</v>
      </c>
      <c r="W1795">
        <v>3.73</v>
      </c>
      <c r="X1795">
        <v>8</v>
      </c>
    </row>
    <row r="1796" spans="1:24" x14ac:dyDescent="0.3">
      <c r="A1796" t="s">
        <v>46</v>
      </c>
      <c r="B1796" t="s">
        <v>57</v>
      </c>
      <c r="C1796">
        <v>2024</v>
      </c>
      <c r="D1796" t="s">
        <v>44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48</v>
      </c>
      <c r="N1796">
        <v>7</v>
      </c>
      <c r="O1796" t="s">
        <v>50</v>
      </c>
      <c r="P1796">
        <v>16.2</v>
      </c>
      <c r="Q1796">
        <v>1500</v>
      </c>
      <c r="R1796">
        <v>4</v>
      </c>
      <c r="S1796">
        <v>2</v>
      </c>
      <c r="T1796" t="s">
        <v>41</v>
      </c>
      <c r="U1796" t="s">
        <v>33</v>
      </c>
      <c r="V1796">
        <v>174122</v>
      </c>
      <c r="W1796">
        <v>4</v>
      </c>
      <c r="X1796">
        <v>5</v>
      </c>
    </row>
    <row r="1797" spans="1:24" x14ac:dyDescent="0.3">
      <c r="A1797" t="s">
        <v>46</v>
      </c>
      <c r="B1797" t="s">
        <v>72</v>
      </c>
      <c r="C1797">
        <v>2026</v>
      </c>
      <c r="D1797" t="s">
        <v>61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27</v>
      </c>
      <c r="N1797">
        <v>5</v>
      </c>
      <c r="O1797" t="s">
        <v>28</v>
      </c>
      <c r="P1797">
        <v>50.5</v>
      </c>
      <c r="Q1797">
        <v>2479</v>
      </c>
      <c r="R1797">
        <v>4</v>
      </c>
      <c r="S1797">
        <v>2</v>
      </c>
      <c r="T1797" t="s">
        <v>41</v>
      </c>
      <c r="U1797" t="s">
        <v>37</v>
      </c>
      <c r="V1797">
        <v>224642</v>
      </c>
      <c r="W1797">
        <v>3.64</v>
      </c>
      <c r="X1797">
        <v>5</v>
      </c>
    </row>
    <row r="1798" spans="1:24" x14ac:dyDescent="0.3">
      <c r="A1798" t="s">
        <v>38</v>
      </c>
      <c r="B1798" t="s">
        <v>101</v>
      </c>
      <c r="C1798">
        <v>2024</v>
      </c>
      <c r="D1798" t="s">
        <v>33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27</v>
      </c>
      <c r="N1798">
        <v>5</v>
      </c>
      <c r="O1798" t="s">
        <v>35</v>
      </c>
      <c r="P1798">
        <v>54.4</v>
      </c>
      <c r="Q1798">
        <v>2063</v>
      </c>
      <c r="R1798">
        <v>4</v>
      </c>
      <c r="S1798">
        <v>0</v>
      </c>
      <c r="T1798" t="s">
        <v>41</v>
      </c>
      <c r="U1798" t="s">
        <v>33</v>
      </c>
      <c r="V1798">
        <v>10961</v>
      </c>
      <c r="W1798">
        <v>3.51</v>
      </c>
      <c r="X1798">
        <v>5</v>
      </c>
    </row>
    <row r="1799" spans="1:24" x14ac:dyDescent="0.3">
      <c r="A1799" t="s">
        <v>46</v>
      </c>
      <c r="B1799" t="s">
        <v>72</v>
      </c>
      <c r="C1799">
        <v>2023</v>
      </c>
      <c r="D1799" t="s">
        <v>26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27</v>
      </c>
      <c r="N1799">
        <v>5</v>
      </c>
      <c r="O1799" t="s">
        <v>28</v>
      </c>
      <c r="P1799">
        <v>71.099999999999994</v>
      </c>
      <c r="Q1799">
        <v>2927</v>
      </c>
      <c r="R1799">
        <v>5</v>
      </c>
      <c r="S1799">
        <v>3</v>
      </c>
      <c r="T1799" t="s">
        <v>41</v>
      </c>
      <c r="U1799" t="s">
        <v>30</v>
      </c>
      <c r="V1799">
        <v>202403</v>
      </c>
      <c r="W1799">
        <v>3.98</v>
      </c>
      <c r="X1799">
        <v>5</v>
      </c>
    </row>
    <row r="1800" spans="1:24" x14ac:dyDescent="0.3">
      <c r="A1800" t="s">
        <v>46</v>
      </c>
      <c r="B1800" t="s">
        <v>78</v>
      </c>
      <c r="C1800">
        <v>2023</v>
      </c>
      <c r="D1800" t="s">
        <v>33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48</v>
      </c>
      <c r="N1800">
        <v>5</v>
      </c>
      <c r="O1800" t="s">
        <v>35</v>
      </c>
      <c r="P1800">
        <v>60.9</v>
      </c>
      <c r="Q1800">
        <v>1871</v>
      </c>
      <c r="R1800">
        <v>5</v>
      </c>
      <c r="S1800">
        <v>2</v>
      </c>
      <c r="T1800" t="s">
        <v>41</v>
      </c>
      <c r="U1800" t="s">
        <v>37</v>
      </c>
      <c r="V1800">
        <v>134257</v>
      </c>
      <c r="W1800">
        <v>3.73</v>
      </c>
      <c r="X1800">
        <v>6</v>
      </c>
    </row>
    <row r="1801" spans="1:24" x14ac:dyDescent="0.3">
      <c r="A1801" t="s">
        <v>46</v>
      </c>
      <c r="B1801" t="s">
        <v>47</v>
      </c>
      <c r="C1801">
        <v>2025</v>
      </c>
      <c r="D1801" t="s">
        <v>56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48</v>
      </c>
      <c r="N1801">
        <v>7</v>
      </c>
      <c r="O1801" t="s">
        <v>58</v>
      </c>
      <c r="P1801">
        <v>21.6</v>
      </c>
      <c r="Q1801">
        <v>1837</v>
      </c>
      <c r="R1801">
        <v>5</v>
      </c>
      <c r="S1801">
        <v>3</v>
      </c>
      <c r="T1801" t="s">
        <v>41</v>
      </c>
      <c r="U1801" t="s">
        <v>33</v>
      </c>
      <c r="V1801">
        <v>164008</v>
      </c>
      <c r="W1801">
        <v>3.74</v>
      </c>
      <c r="X1801">
        <v>6</v>
      </c>
    </row>
    <row r="1802" spans="1:24" x14ac:dyDescent="0.3">
      <c r="A1802" t="s">
        <v>31</v>
      </c>
      <c r="B1802" t="s">
        <v>112</v>
      </c>
      <c r="C1802">
        <v>2024</v>
      </c>
      <c r="D1802" t="s">
        <v>56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48</v>
      </c>
      <c r="N1802">
        <v>7</v>
      </c>
      <c r="O1802" t="s">
        <v>51</v>
      </c>
      <c r="P1802">
        <v>22.2</v>
      </c>
      <c r="Q1802">
        <v>1500</v>
      </c>
      <c r="R1802">
        <v>4</v>
      </c>
      <c r="S1802">
        <v>2</v>
      </c>
      <c r="T1802" t="s">
        <v>36</v>
      </c>
      <c r="U1802" t="s">
        <v>37</v>
      </c>
      <c r="V1802">
        <v>23683</v>
      </c>
      <c r="W1802">
        <v>3.15</v>
      </c>
      <c r="X1802">
        <v>5</v>
      </c>
    </row>
    <row r="1803" spans="1:24" x14ac:dyDescent="0.3">
      <c r="A1803" t="s">
        <v>38</v>
      </c>
      <c r="B1803" t="s">
        <v>39</v>
      </c>
      <c r="C1803">
        <v>2024</v>
      </c>
      <c r="D1803" t="s">
        <v>61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27</v>
      </c>
      <c r="N1803">
        <v>7</v>
      </c>
      <c r="O1803" t="s">
        <v>58</v>
      </c>
      <c r="P1803">
        <v>21.6</v>
      </c>
      <c r="Q1803">
        <v>1530</v>
      </c>
      <c r="R1803">
        <v>5</v>
      </c>
      <c r="S1803">
        <v>1</v>
      </c>
      <c r="T1803" t="s">
        <v>41</v>
      </c>
      <c r="U1803" t="s">
        <v>37</v>
      </c>
      <c r="V1803">
        <v>15168</v>
      </c>
      <c r="W1803">
        <v>3.46</v>
      </c>
      <c r="X1803">
        <v>4</v>
      </c>
    </row>
    <row r="1804" spans="1:24" x14ac:dyDescent="0.3">
      <c r="A1804" t="s">
        <v>63</v>
      </c>
      <c r="B1804" t="s">
        <v>96</v>
      </c>
      <c r="C1804">
        <v>2021</v>
      </c>
      <c r="D1804" t="s">
        <v>33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27</v>
      </c>
      <c r="N1804">
        <v>7</v>
      </c>
      <c r="O1804" t="s">
        <v>51</v>
      </c>
      <c r="P1804">
        <v>37.6</v>
      </c>
      <c r="Q1804">
        <v>2029</v>
      </c>
      <c r="R1804">
        <v>3</v>
      </c>
      <c r="S1804">
        <v>0</v>
      </c>
      <c r="T1804" t="s">
        <v>65</v>
      </c>
      <c r="U1804" t="s">
        <v>30</v>
      </c>
      <c r="V1804">
        <v>216609</v>
      </c>
      <c r="W1804">
        <v>3.76</v>
      </c>
      <c r="X1804">
        <v>4</v>
      </c>
    </row>
    <row r="1805" spans="1:24" x14ac:dyDescent="0.3">
      <c r="A1805" t="s">
        <v>63</v>
      </c>
      <c r="B1805" t="s">
        <v>67</v>
      </c>
      <c r="C1805">
        <v>2023</v>
      </c>
      <c r="D1805" t="s">
        <v>56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27</v>
      </c>
      <c r="N1805">
        <v>5</v>
      </c>
      <c r="O1805" t="s">
        <v>50</v>
      </c>
      <c r="P1805">
        <v>26.5</v>
      </c>
      <c r="Q1805">
        <v>1839</v>
      </c>
      <c r="R1805">
        <v>5</v>
      </c>
      <c r="S1805">
        <v>0</v>
      </c>
      <c r="T1805" t="s">
        <v>65</v>
      </c>
      <c r="U1805" t="s">
        <v>33</v>
      </c>
      <c r="V1805">
        <v>164917</v>
      </c>
      <c r="W1805">
        <v>3</v>
      </c>
      <c r="X1805">
        <v>4</v>
      </c>
    </row>
    <row r="1806" spans="1:24" x14ac:dyDescent="0.3">
      <c r="A1806" t="s">
        <v>63</v>
      </c>
      <c r="B1806" t="s">
        <v>107</v>
      </c>
      <c r="C1806">
        <v>2025</v>
      </c>
      <c r="D1806" t="s">
        <v>61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27</v>
      </c>
      <c r="N1806">
        <v>7</v>
      </c>
      <c r="O1806" t="s">
        <v>40</v>
      </c>
      <c r="P1806">
        <v>63.6</v>
      </c>
      <c r="Q1806">
        <v>1538</v>
      </c>
      <c r="R1806">
        <v>5</v>
      </c>
      <c r="S1806">
        <v>0</v>
      </c>
      <c r="T1806" t="s">
        <v>65</v>
      </c>
      <c r="U1806" t="s">
        <v>37</v>
      </c>
      <c r="V1806">
        <v>174435</v>
      </c>
      <c r="W1806">
        <v>3.19</v>
      </c>
      <c r="X1806">
        <v>3</v>
      </c>
    </row>
    <row r="1807" spans="1:24" x14ac:dyDescent="0.3">
      <c r="A1807" t="s">
        <v>76</v>
      </c>
      <c r="B1807" t="s">
        <v>98</v>
      </c>
      <c r="C1807">
        <v>2025</v>
      </c>
      <c r="D1807" t="s">
        <v>56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34</v>
      </c>
      <c r="N1807">
        <v>5</v>
      </c>
      <c r="O1807" t="s">
        <v>28</v>
      </c>
      <c r="P1807">
        <v>65.400000000000006</v>
      </c>
      <c r="Q1807">
        <v>2613</v>
      </c>
      <c r="R1807">
        <v>5</v>
      </c>
      <c r="S1807">
        <v>0</v>
      </c>
      <c r="T1807" t="s">
        <v>41</v>
      </c>
      <c r="U1807" t="s">
        <v>33</v>
      </c>
      <c r="V1807">
        <v>21665</v>
      </c>
      <c r="W1807">
        <v>3.61</v>
      </c>
      <c r="X1807">
        <v>5</v>
      </c>
    </row>
    <row r="1808" spans="1:24" x14ac:dyDescent="0.3">
      <c r="A1808" t="s">
        <v>83</v>
      </c>
      <c r="B1808" t="s">
        <v>114</v>
      </c>
      <c r="C1808">
        <v>2025</v>
      </c>
      <c r="D1808" t="s">
        <v>56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34</v>
      </c>
      <c r="N1808">
        <v>5</v>
      </c>
      <c r="O1808" t="s">
        <v>40</v>
      </c>
      <c r="P1808">
        <v>74.7</v>
      </c>
      <c r="Q1808">
        <v>1633</v>
      </c>
      <c r="R1808">
        <v>4</v>
      </c>
      <c r="S1808">
        <v>1</v>
      </c>
      <c r="T1808" t="s">
        <v>29</v>
      </c>
      <c r="U1808" t="s">
        <v>37</v>
      </c>
      <c r="V1808">
        <v>75073</v>
      </c>
      <c r="W1808">
        <v>3.18</v>
      </c>
      <c r="X1808">
        <v>6</v>
      </c>
    </row>
    <row r="1809" spans="1:24" x14ac:dyDescent="0.3">
      <c r="A1809" t="s">
        <v>46</v>
      </c>
      <c r="B1809" t="s">
        <v>78</v>
      </c>
      <c r="C1809">
        <v>2026</v>
      </c>
      <c r="D1809" t="s">
        <v>56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34</v>
      </c>
      <c r="N1809">
        <v>5</v>
      </c>
      <c r="O1809" t="s">
        <v>40</v>
      </c>
      <c r="P1809">
        <v>65.2</v>
      </c>
      <c r="Q1809">
        <v>1525</v>
      </c>
      <c r="R1809">
        <v>4</v>
      </c>
      <c r="S1809">
        <v>2</v>
      </c>
      <c r="T1809" t="s">
        <v>41</v>
      </c>
      <c r="U1809" t="s">
        <v>66</v>
      </c>
      <c r="V1809">
        <v>143060</v>
      </c>
      <c r="W1809">
        <v>3.87</v>
      </c>
      <c r="X1809">
        <v>4</v>
      </c>
    </row>
    <row r="1810" spans="1:24" x14ac:dyDescent="0.3">
      <c r="A1810" t="s">
        <v>46</v>
      </c>
      <c r="B1810" t="s">
        <v>49</v>
      </c>
      <c r="C1810">
        <v>2025</v>
      </c>
      <c r="D1810" t="s">
        <v>44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34</v>
      </c>
      <c r="N1810">
        <v>7</v>
      </c>
      <c r="O1810" t="s">
        <v>51</v>
      </c>
      <c r="P1810">
        <v>19.2</v>
      </c>
      <c r="Q1810">
        <v>1614</v>
      </c>
      <c r="R1810">
        <v>4</v>
      </c>
      <c r="S1810">
        <v>2</v>
      </c>
      <c r="T1810" t="s">
        <v>41</v>
      </c>
      <c r="U1810" t="s">
        <v>33</v>
      </c>
      <c r="V1810">
        <v>443244</v>
      </c>
      <c r="W1810">
        <v>3.91</v>
      </c>
      <c r="X1810">
        <v>4</v>
      </c>
    </row>
    <row r="1811" spans="1:24" x14ac:dyDescent="0.3">
      <c r="A1811" t="s">
        <v>46</v>
      </c>
      <c r="B1811" t="s">
        <v>57</v>
      </c>
      <c r="C1811">
        <v>2023</v>
      </c>
      <c r="D1811" t="s">
        <v>33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27</v>
      </c>
      <c r="N1811">
        <v>5</v>
      </c>
      <c r="O1811" t="s">
        <v>28</v>
      </c>
      <c r="P1811">
        <v>65.8</v>
      </c>
      <c r="Q1811">
        <v>2333</v>
      </c>
      <c r="R1811">
        <v>5</v>
      </c>
      <c r="S1811">
        <v>2</v>
      </c>
      <c r="T1811" t="s">
        <v>41</v>
      </c>
      <c r="U1811" t="s">
        <v>37</v>
      </c>
      <c r="V1811">
        <v>247691</v>
      </c>
      <c r="W1811">
        <v>3.41</v>
      </c>
      <c r="X1811">
        <v>6</v>
      </c>
    </row>
    <row r="1812" spans="1:24" x14ac:dyDescent="0.3">
      <c r="A1812" t="s">
        <v>83</v>
      </c>
      <c r="B1812" t="s">
        <v>104</v>
      </c>
      <c r="C1812">
        <v>2025</v>
      </c>
      <c r="D1812" t="s">
        <v>61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27</v>
      </c>
      <c r="N1812">
        <v>5</v>
      </c>
      <c r="O1812" t="s">
        <v>58</v>
      </c>
      <c r="P1812">
        <v>22.2</v>
      </c>
      <c r="Q1812">
        <v>1554</v>
      </c>
      <c r="R1812">
        <v>4</v>
      </c>
      <c r="S1812">
        <v>1</v>
      </c>
      <c r="T1812" t="s">
        <v>29</v>
      </c>
      <c r="U1812" t="s">
        <v>33</v>
      </c>
      <c r="V1812">
        <v>66889</v>
      </c>
      <c r="W1812">
        <v>3.62</v>
      </c>
      <c r="X1812">
        <v>6</v>
      </c>
    </row>
    <row r="1813" spans="1:24" x14ac:dyDescent="0.3">
      <c r="A1813" t="s">
        <v>76</v>
      </c>
      <c r="B1813" t="s">
        <v>91</v>
      </c>
      <c r="C1813">
        <v>2025</v>
      </c>
      <c r="D1813" t="s">
        <v>61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27</v>
      </c>
      <c r="N1813">
        <v>4</v>
      </c>
      <c r="O1813" t="s">
        <v>28</v>
      </c>
      <c r="P1813">
        <v>78.3</v>
      </c>
      <c r="Q1813">
        <v>2809</v>
      </c>
      <c r="R1813">
        <v>5</v>
      </c>
      <c r="S1813">
        <v>1</v>
      </c>
      <c r="T1813" t="s">
        <v>41</v>
      </c>
      <c r="U1813" t="s">
        <v>33</v>
      </c>
      <c r="V1813">
        <v>69276</v>
      </c>
      <c r="W1813">
        <v>3.36</v>
      </c>
      <c r="X1813">
        <v>5</v>
      </c>
    </row>
    <row r="1814" spans="1:24" x14ac:dyDescent="0.3">
      <c r="A1814" t="s">
        <v>63</v>
      </c>
      <c r="B1814" t="s">
        <v>96</v>
      </c>
      <c r="C1814">
        <v>2024</v>
      </c>
      <c r="D1814" t="s">
        <v>61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34</v>
      </c>
      <c r="N1814">
        <v>5</v>
      </c>
      <c r="O1814" t="s">
        <v>50</v>
      </c>
      <c r="P1814">
        <v>24.2</v>
      </c>
      <c r="Q1814">
        <v>1637</v>
      </c>
      <c r="R1814">
        <v>5</v>
      </c>
      <c r="S1814">
        <v>1</v>
      </c>
      <c r="T1814" t="s">
        <v>65</v>
      </c>
      <c r="U1814" t="s">
        <v>37</v>
      </c>
      <c r="V1814">
        <v>242985</v>
      </c>
      <c r="W1814">
        <v>3.46</v>
      </c>
      <c r="X1814">
        <v>3</v>
      </c>
    </row>
    <row r="1815" spans="1:24" x14ac:dyDescent="0.3">
      <c r="A1815" t="s">
        <v>46</v>
      </c>
      <c r="B1815" t="s">
        <v>49</v>
      </c>
      <c r="C1815">
        <v>2025</v>
      </c>
      <c r="D1815" t="s">
        <v>56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34</v>
      </c>
      <c r="N1815">
        <v>5</v>
      </c>
      <c r="O1815" t="s">
        <v>51</v>
      </c>
      <c r="P1815">
        <v>34.6</v>
      </c>
      <c r="Q1815">
        <v>1534</v>
      </c>
      <c r="R1815">
        <v>3</v>
      </c>
      <c r="S1815">
        <v>2</v>
      </c>
      <c r="T1815" t="s">
        <v>41</v>
      </c>
      <c r="U1815" t="s">
        <v>30</v>
      </c>
      <c r="V1815">
        <v>458139</v>
      </c>
      <c r="W1815">
        <v>3.77</v>
      </c>
      <c r="X1815">
        <v>5</v>
      </c>
    </row>
    <row r="1816" spans="1:24" x14ac:dyDescent="0.3">
      <c r="A1816" t="s">
        <v>46</v>
      </c>
      <c r="B1816" t="s">
        <v>72</v>
      </c>
      <c r="C1816">
        <v>2024</v>
      </c>
      <c r="D1816" t="s">
        <v>61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34</v>
      </c>
      <c r="N1816">
        <v>7</v>
      </c>
      <c r="O1816" t="s">
        <v>28</v>
      </c>
      <c r="P1816">
        <v>69</v>
      </c>
      <c r="Q1816">
        <v>2507</v>
      </c>
      <c r="R1816">
        <v>5</v>
      </c>
      <c r="S1816">
        <v>2</v>
      </c>
      <c r="T1816" t="s">
        <v>41</v>
      </c>
      <c r="U1816" t="s">
        <v>37</v>
      </c>
      <c r="V1816">
        <v>249983</v>
      </c>
      <c r="W1816">
        <v>3.24</v>
      </c>
      <c r="X1816">
        <v>5</v>
      </c>
    </row>
    <row r="1817" spans="1:24" x14ac:dyDescent="0.3">
      <c r="A1817" t="s">
        <v>59</v>
      </c>
      <c r="B1817" t="s">
        <v>111</v>
      </c>
      <c r="C1817">
        <v>2025</v>
      </c>
      <c r="D1817" t="s">
        <v>33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48</v>
      </c>
      <c r="N1817">
        <v>5</v>
      </c>
      <c r="O1817" t="s">
        <v>28</v>
      </c>
      <c r="P1817">
        <v>68.2</v>
      </c>
      <c r="Q1817">
        <v>2045</v>
      </c>
      <c r="R1817">
        <v>4</v>
      </c>
      <c r="S1817">
        <v>2</v>
      </c>
      <c r="T1817" t="s">
        <v>41</v>
      </c>
      <c r="U1817" t="s">
        <v>37</v>
      </c>
      <c r="V1817">
        <v>17793</v>
      </c>
      <c r="W1817">
        <v>3.42</v>
      </c>
      <c r="X1817">
        <v>5</v>
      </c>
    </row>
    <row r="1818" spans="1:24" x14ac:dyDescent="0.3">
      <c r="A1818" t="s">
        <v>63</v>
      </c>
      <c r="B1818" t="s">
        <v>67</v>
      </c>
      <c r="C1818">
        <v>2025</v>
      </c>
      <c r="D1818" t="s">
        <v>33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27</v>
      </c>
      <c r="N1818">
        <v>7</v>
      </c>
      <c r="O1818" t="s">
        <v>51</v>
      </c>
      <c r="P1818">
        <v>21.2</v>
      </c>
      <c r="Q1818">
        <v>1500</v>
      </c>
      <c r="R1818">
        <v>4</v>
      </c>
      <c r="S1818">
        <v>0</v>
      </c>
      <c r="T1818" t="s">
        <v>65</v>
      </c>
      <c r="U1818" t="s">
        <v>66</v>
      </c>
      <c r="V1818">
        <v>145087</v>
      </c>
      <c r="W1818">
        <v>3.26</v>
      </c>
      <c r="X1818">
        <v>4</v>
      </c>
    </row>
    <row r="1819" spans="1:24" x14ac:dyDescent="0.3">
      <c r="A1819" t="s">
        <v>76</v>
      </c>
      <c r="B1819" t="s">
        <v>98</v>
      </c>
      <c r="C1819">
        <v>2025</v>
      </c>
      <c r="D1819" t="s">
        <v>61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34</v>
      </c>
      <c r="N1819">
        <v>5</v>
      </c>
      <c r="O1819" t="s">
        <v>51</v>
      </c>
      <c r="P1819">
        <v>38.200000000000003</v>
      </c>
      <c r="Q1819">
        <v>1509</v>
      </c>
      <c r="R1819">
        <v>3</v>
      </c>
      <c r="S1819">
        <v>1</v>
      </c>
      <c r="T1819" t="s">
        <v>41</v>
      </c>
      <c r="U1819" t="s">
        <v>37</v>
      </c>
      <c r="V1819">
        <v>20597</v>
      </c>
      <c r="W1819">
        <v>3.51</v>
      </c>
      <c r="X1819">
        <v>5</v>
      </c>
    </row>
    <row r="1820" spans="1:24" x14ac:dyDescent="0.3">
      <c r="A1820" t="s">
        <v>83</v>
      </c>
      <c r="B1820" t="s">
        <v>116</v>
      </c>
      <c r="C1820">
        <v>2024</v>
      </c>
      <c r="D1820" t="s">
        <v>44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34</v>
      </c>
      <c r="N1820">
        <v>7</v>
      </c>
      <c r="O1820" t="s">
        <v>35</v>
      </c>
      <c r="P1820">
        <v>41.1</v>
      </c>
      <c r="Q1820">
        <v>2056</v>
      </c>
      <c r="R1820">
        <v>4</v>
      </c>
      <c r="S1820">
        <v>1</v>
      </c>
      <c r="T1820" t="s">
        <v>29</v>
      </c>
      <c r="U1820" t="s">
        <v>33</v>
      </c>
      <c r="V1820">
        <v>42961</v>
      </c>
      <c r="W1820">
        <v>3.63</v>
      </c>
      <c r="X1820">
        <v>5</v>
      </c>
    </row>
    <row r="1821" spans="1:24" x14ac:dyDescent="0.3">
      <c r="A1821" t="s">
        <v>24</v>
      </c>
      <c r="B1821" t="s">
        <v>74</v>
      </c>
      <c r="C1821">
        <v>2025</v>
      </c>
      <c r="D1821" t="s">
        <v>44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27</v>
      </c>
      <c r="N1821">
        <v>7</v>
      </c>
      <c r="O1821" t="s">
        <v>58</v>
      </c>
      <c r="P1821">
        <v>28</v>
      </c>
      <c r="Q1821">
        <v>1693</v>
      </c>
      <c r="R1821">
        <v>3</v>
      </c>
      <c r="S1821">
        <v>1</v>
      </c>
      <c r="T1821" t="s">
        <v>29</v>
      </c>
      <c r="U1821" t="s">
        <v>33</v>
      </c>
      <c r="V1821">
        <v>223250</v>
      </c>
      <c r="W1821">
        <v>3.54</v>
      </c>
      <c r="X1821">
        <v>4</v>
      </c>
    </row>
    <row r="1822" spans="1:24" x14ac:dyDescent="0.3">
      <c r="A1822" t="s">
        <v>63</v>
      </c>
      <c r="B1822" t="s">
        <v>107</v>
      </c>
      <c r="C1822">
        <v>2025</v>
      </c>
      <c r="D1822" t="s">
        <v>33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34</v>
      </c>
      <c r="N1822">
        <v>5</v>
      </c>
      <c r="O1822" t="s">
        <v>28</v>
      </c>
      <c r="P1822">
        <v>75.5</v>
      </c>
      <c r="Q1822">
        <v>2279</v>
      </c>
      <c r="R1822">
        <v>5</v>
      </c>
      <c r="S1822">
        <v>2</v>
      </c>
      <c r="T1822" t="s">
        <v>65</v>
      </c>
      <c r="U1822" t="s">
        <v>66</v>
      </c>
      <c r="V1822">
        <v>220677</v>
      </c>
      <c r="W1822">
        <v>3.2</v>
      </c>
      <c r="X1822">
        <v>5</v>
      </c>
    </row>
    <row r="1823" spans="1:24" x14ac:dyDescent="0.3">
      <c r="A1823" t="s">
        <v>46</v>
      </c>
      <c r="B1823" t="s">
        <v>72</v>
      </c>
      <c r="C1823">
        <v>2025</v>
      </c>
      <c r="D1823" t="s">
        <v>33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34</v>
      </c>
      <c r="N1823">
        <v>5</v>
      </c>
      <c r="O1823" t="s">
        <v>28</v>
      </c>
      <c r="P1823">
        <v>75.400000000000006</v>
      </c>
      <c r="Q1823">
        <v>2642</v>
      </c>
      <c r="R1823">
        <v>4</v>
      </c>
      <c r="S1823">
        <v>2</v>
      </c>
      <c r="T1823" t="s">
        <v>41</v>
      </c>
      <c r="U1823" t="s">
        <v>33</v>
      </c>
      <c r="V1823">
        <v>113008</v>
      </c>
      <c r="W1823">
        <v>3.85</v>
      </c>
      <c r="X1823">
        <v>4</v>
      </c>
    </row>
    <row r="1824" spans="1:24" x14ac:dyDescent="0.3">
      <c r="A1824" t="s">
        <v>42</v>
      </c>
      <c r="B1824" t="s">
        <v>71</v>
      </c>
      <c r="C1824">
        <v>2020</v>
      </c>
      <c r="D1824" t="s">
        <v>26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34</v>
      </c>
      <c r="N1824">
        <v>7</v>
      </c>
      <c r="O1824" t="s">
        <v>40</v>
      </c>
      <c r="P1824">
        <v>78.2</v>
      </c>
      <c r="Q1824">
        <v>1712</v>
      </c>
      <c r="R1824">
        <v>5</v>
      </c>
      <c r="S1824">
        <v>0</v>
      </c>
      <c r="T1824" t="s">
        <v>45</v>
      </c>
      <c r="U1824" t="s">
        <v>37</v>
      </c>
      <c r="V1824">
        <v>106543</v>
      </c>
      <c r="W1824">
        <v>3.82</v>
      </c>
      <c r="X1824">
        <v>4</v>
      </c>
    </row>
    <row r="1825" spans="1:24" x14ac:dyDescent="0.3">
      <c r="A1825" t="s">
        <v>76</v>
      </c>
      <c r="B1825" t="s">
        <v>81</v>
      </c>
      <c r="C1825">
        <v>2023</v>
      </c>
      <c r="D1825" t="s">
        <v>61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34</v>
      </c>
      <c r="N1825">
        <v>7</v>
      </c>
      <c r="O1825" t="s">
        <v>50</v>
      </c>
      <c r="P1825">
        <v>39</v>
      </c>
      <c r="Q1825">
        <v>1682</v>
      </c>
      <c r="R1825">
        <v>4</v>
      </c>
      <c r="S1825">
        <v>2</v>
      </c>
      <c r="T1825" t="s">
        <v>41</v>
      </c>
      <c r="U1825" t="s">
        <v>37</v>
      </c>
      <c r="V1825">
        <v>73417</v>
      </c>
      <c r="W1825">
        <v>3.13</v>
      </c>
      <c r="X1825">
        <v>4</v>
      </c>
    </row>
    <row r="1826" spans="1:24" x14ac:dyDescent="0.3">
      <c r="A1826" t="s">
        <v>83</v>
      </c>
      <c r="B1826" t="s">
        <v>114</v>
      </c>
      <c r="C1826">
        <v>2024</v>
      </c>
      <c r="D1826" t="s">
        <v>56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34</v>
      </c>
      <c r="N1826">
        <v>5</v>
      </c>
      <c r="O1826" t="s">
        <v>51</v>
      </c>
      <c r="P1826">
        <v>35.200000000000003</v>
      </c>
      <c r="Q1826">
        <v>1522</v>
      </c>
      <c r="R1826">
        <v>5</v>
      </c>
      <c r="S1826">
        <v>2</v>
      </c>
      <c r="T1826" t="s">
        <v>29</v>
      </c>
      <c r="U1826" t="s">
        <v>33</v>
      </c>
      <c r="V1826">
        <v>78616</v>
      </c>
      <c r="W1826">
        <v>3.2</v>
      </c>
      <c r="X1826">
        <v>6</v>
      </c>
    </row>
    <row r="1827" spans="1:24" x14ac:dyDescent="0.3">
      <c r="A1827" t="s">
        <v>68</v>
      </c>
      <c r="B1827" t="s">
        <v>69</v>
      </c>
      <c r="C1827">
        <v>2023</v>
      </c>
      <c r="D1827" t="s">
        <v>44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34</v>
      </c>
      <c r="N1827">
        <v>7</v>
      </c>
      <c r="O1827" t="s">
        <v>50</v>
      </c>
      <c r="P1827">
        <v>37.4</v>
      </c>
      <c r="Q1827">
        <v>1766</v>
      </c>
      <c r="R1827">
        <v>5</v>
      </c>
      <c r="S1827">
        <v>1</v>
      </c>
      <c r="T1827" t="s">
        <v>45</v>
      </c>
      <c r="U1827" t="s">
        <v>37</v>
      </c>
      <c r="V1827">
        <v>113770</v>
      </c>
      <c r="W1827">
        <v>3.51</v>
      </c>
      <c r="X1827">
        <v>4</v>
      </c>
    </row>
    <row r="1828" spans="1:24" x14ac:dyDescent="0.3">
      <c r="A1828" t="s">
        <v>46</v>
      </c>
      <c r="B1828" t="s">
        <v>47</v>
      </c>
      <c r="C1828">
        <v>2025</v>
      </c>
      <c r="D1828" t="s">
        <v>33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27</v>
      </c>
      <c r="N1828">
        <v>7</v>
      </c>
      <c r="O1828" t="s">
        <v>35</v>
      </c>
      <c r="P1828">
        <v>54.9</v>
      </c>
      <c r="Q1828">
        <v>1856</v>
      </c>
      <c r="R1828">
        <v>4</v>
      </c>
      <c r="S1828">
        <v>2</v>
      </c>
      <c r="T1828" t="s">
        <v>41</v>
      </c>
      <c r="U1828" t="s">
        <v>30</v>
      </c>
      <c r="V1828">
        <v>225901</v>
      </c>
      <c r="W1828">
        <v>3.6</v>
      </c>
      <c r="X1828">
        <v>5</v>
      </c>
    </row>
    <row r="1829" spans="1:24" x14ac:dyDescent="0.3">
      <c r="A1829" t="s">
        <v>59</v>
      </c>
      <c r="B1829" t="s">
        <v>111</v>
      </c>
      <c r="C1829">
        <v>2023</v>
      </c>
      <c r="D1829" t="s">
        <v>56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34</v>
      </c>
      <c r="N1829">
        <v>5</v>
      </c>
      <c r="O1829" t="s">
        <v>50</v>
      </c>
      <c r="P1829">
        <v>27.3</v>
      </c>
      <c r="Q1829">
        <v>1690</v>
      </c>
      <c r="R1829">
        <v>4</v>
      </c>
      <c r="S1829">
        <v>1</v>
      </c>
      <c r="T1829" t="s">
        <v>41</v>
      </c>
      <c r="U1829" t="s">
        <v>33</v>
      </c>
      <c r="V1829">
        <v>16427</v>
      </c>
      <c r="W1829">
        <v>3.38</v>
      </c>
      <c r="X1829">
        <v>3</v>
      </c>
    </row>
    <row r="1830" spans="1:24" x14ac:dyDescent="0.3">
      <c r="A1830" t="s">
        <v>76</v>
      </c>
      <c r="B1830" t="s">
        <v>91</v>
      </c>
      <c r="C1830">
        <v>2024</v>
      </c>
      <c r="D1830" t="s">
        <v>56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27</v>
      </c>
      <c r="N1830">
        <v>2</v>
      </c>
      <c r="O1830" t="s">
        <v>28</v>
      </c>
      <c r="P1830">
        <v>61</v>
      </c>
      <c r="Q1830">
        <v>2425</v>
      </c>
      <c r="R1830">
        <v>5</v>
      </c>
      <c r="S1830">
        <v>1</v>
      </c>
      <c r="T1830" t="s">
        <v>41</v>
      </c>
      <c r="U1830" t="s">
        <v>66</v>
      </c>
      <c r="V1830">
        <v>77480</v>
      </c>
      <c r="W1830">
        <v>3.1</v>
      </c>
      <c r="X1830">
        <v>3</v>
      </c>
    </row>
    <row r="1831" spans="1:24" x14ac:dyDescent="0.3">
      <c r="A1831" t="s">
        <v>63</v>
      </c>
      <c r="B1831" t="s">
        <v>96</v>
      </c>
      <c r="C1831">
        <v>2024</v>
      </c>
      <c r="D1831" t="s">
        <v>44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48</v>
      </c>
      <c r="N1831">
        <v>5</v>
      </c>
      <c r="O1831" t="s">
        <v>51</v>
      </c>
      <c r="P1831">
        <v>34.1</v>
      </c>
      <c r="Q1831">
        <v>1685</v>
      </c>
      <c r="R1831">
        <v>5</v>
      </c>
      <c r="S1831">
        <v>1</v>
      </c>
      <c r="T1831" t="s">
        <v>65</v>
      </c>
      <c r="U1831" t="s">
        <v>37</v>
      </c>
      <c r="V1831">
        <v>237305</v>
      </c>
      <c r="W1831">
        <v>3.52</v>
      </c>
      <c r="X1831">
        <v>4</v>
      </c>
    </row>
    <row r="1832" spans="1:24" x14ac:dyDescent="0.3">
      <c r="A1832" t="s">
        <v>134</v>
      </c>
      <c r="B1832">
        <v>3</v>
      </c>
      <c r="C1832">
        <v>2023</v>
      </c>
      <c r="D1832" t="s">
        <v>44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48</v>
      </c>
      <c r="N1832">
        <v>5</v>
      </c>
      <c r="O1832" t="s">
        <v>50</v>
      </c>
      <c r="P1832">
        <v>21.3</v>
      </c>
      <c r="Q1832">
        <v>1500</v>
      </c>
      <c r="R1832">
        <v>5</v>
      </c>
      <c r="S1832">
        <v>0</v>
      </c>
      <c r="T1832" t="s">
        <v>123</v>
      </c>
      <c r="U1832" t="s">
        <v>33</v>
      </c>
      <c r="V1832">
        <v>5412</v>
      </c>
      <c r="W1832">
        <v>3.55</v>
      </c>
      <c r="X1832">
        <v>3</v>
      </c>
    </row>
    <row r="1833" spans="1:24" x14ac:dyDescent="0.3">
      <c r="A1833" t="s">
        <v>42</v>
      </c>
      <c r="B1833" t="s">
        <v>71</v>
      </c>
      <c r="C1833">
        <v>2025</v>
      </c>
      <c r="D1833" t="s">
        <v>33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48</v>
      </c>
      <c r="N1833">
        <v>5</v>
      </c>
      <c r="O1833" t="s">
        <v>50</v>
      </c>
      <c r="P1833">
        <v>21.1</v>
      </c>
      <c r="Q1833">
        <v>1503</v>
      </c>
      <c r="R1833">
        <v>3</v>
      </c>
      <c r="S1833">
        <v>1</v>
      </c>
      <c r="T1833" t="s">
        <v>45</v>
      </c>
      <c r="U1833" t="s">
        <v>33</v>
      </c>
      <c r="V1833">
        <v>130227</v>
      </c>
      <c r="W1833">
        <v>3.54</v>
      </c>
      <c r="X1833">
        <v>4</v>
      </c>
    </row>
    <row r="1834" spans="1:24" x14ac:dyDescent="0.3">
      <c r="A1834" t="s">
        <v>42</v>
      </c>
      <c r="B1834" t="s">
        <v>115</v>
      </c>
      <c r="C1834">
        <v>2021</v>
      </c>
      <c r="D1834" t="s">
        <v>33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27</v>
      </c>
      <c r="N1834">
        <v>5</v>
      </c>
      <c r="O1834" t="s">
        <v>35</v>
      </c>
      <c r="P1834">
        <v>45.9</v>
      </c>
      <c r="Q1834">
        <v>2561</v>
      </c>
      <c r="R1834">
        <v>5</v>
      </c>
      <c r="S1834">
        <v>1</v>
      </c>
      <c r="T1834" t="s">
        <v>45</v>
      </c>
      <c r="U1834" t="s">
        <v>37</v>
      </c>
      <c r="V1834">
        <v>73706</v>
      </c>
      <c r="W1834">
        <v>3</v>
      </c>
      <c r="X1834">
        <v>3</v>
      </c>
    </row>
    <row r="1835" spans="1:24" x14ac:dyDescent="0.3">
      <c r="A1835" t="s">
        <v>38</v>
      </c>
      <c r="B1835" t="s">
        <v>102</v>
      </c>
      <c r="C1835">
        <v>2022</v>
      </c>
      <c r="D1835" t="s">
        <v>26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34</v>
      </c>
      <c r="N1835">
        <v>5</v>
      </c>
      <c r="O1835" t="s">
        <v>35</v>
      </c>
      <c r="P1835">
        <v>48.3</v>
      </c>
      <c r="Q1835">
        <v>1650</v>
      </c>
      <c r="R1835">
        <v>3</v>
      </c>
      <c r="S1835">
        <v>0</v>
      </c>
      <c r="T1835" t="s">
        <v>41</v>
      </c>
      <c r="U1835" t="s">
        <v>37</v>
      </c>
      <c r="V1835">
        <v>16751</v>
      </c>
      <c r="W1835">
        <v>3.44</v>
      </c>
      <c r="X1835">
        <v>4</v>
      </c>
    </row>
    <row r="1836" spans="1:24" x14ac:dyDescent="0.3">
      <c r="A1836" t="s">
        <v>76</v>
      </c>
      <c r="B1836" t="s">
        <v>98</v>
      </c>
      <c r="C1836">
        <v>2023</v>
      </c>
      <c r="D1836" t="s">
        <v>61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34</v>
      </c>
      <c r="N1836">
        <v>5</v>
      </c>
      <c r="O1836" t="s">
        <v>28</v>
      </c>
      <c r="P1836">
        <v>76.099999999999994</v>
      </c>
      <c r="Q1836">
        <v>2667</v>
      </c>
      <c r="R1836">
        <v>4</v>
      </c>
      <c r="S1836">
        <v>1</v>
      </c>
      <c r="T1836" t="s">
        <v>41</v>
      </c>
      <c r="U1836" t="s">
        <v>37</v>
      </c>
      <c r="V1836">
        <v>31451</v>
      </c>
      <c r="W1836">
        <v>3.08</v>
      </c>
      <c r="X1836">
        <v>3</v>
      </c>
    </row>
    <row r="1837" spans="1:24" x14ac:dyDescent="0.3">
      <c r="A1837" t="s">
        <v>83</v>
      </c>
      <c r="B1837" t="s">
        <v>89</v>
      </c>
      <c r="C1837">
        <v>2024</v>
      </c>
      <c r="D1837" t="s">
        <v>26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34</v>
      </c>
      <c r="N1837">
        <v>7</v>
      </c>
      <c r="O1837" t="s">
        <v>51</v>
      </c>
      <c r="P1837">
        <v>31.1</v>
      </c>
      <c r="Q1837">
        <v>1547</v>
      </c>
      <c r="R1837">
        <v>5</v>
      </c>
      <c r="S1837">
        <v>1</v>
      </c>
      <c r="T1837" t="s">
        <v>29</v>
      </c>
      <c r="U1837" t="s">
        <v>33</v>
      </c>
      <c r="V1837">
        <v>50214</v>
      </c>
      <c r="W1837">
        <v>3.67</v>
      </c>
      <c r="X1837">
        <v>6</v>
      </c>
    </row>
    <row r="1838" spans="1:24" x14ac:dyDescent="0.3">
      <c r="A1838" t="s">
        <v>46</v>
      </c>
      <c r="B1838" t="s">
        <v>49</v>
      </c>
      <c r="C1838">
        <v>2025</v>
      </c>
      <c r="D1838" t="s">
        <v>44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27</v>
      </c>
      <c r="N1838">
        <v>7</v>
      </c>
      <c r="O1838" t="s">
        <v>58</v>
      </c>
      <c r="P1838">
        <v>24.3</v>
      </c>
      <c r="Q1838">
        <v>1500</v>
      </c>
      <c r="R1838">
        <v>4</v>
      </c>
      <c r="S1838">
        <v>2</v>
      </c>
      <c r="T1838" t="s">
        <v>41</v>
      </c>
      <c r="U1838" t="s">
        <v>30</v>
      </c>
      <c r="V1838">
        <v>455459</v>
      </c>
      <c r="W1838">
        <v>3.98</v>
      </c>
      <c r="X1838">
        <v>5</v>
      </c>
    </row>
    <row r="1839" spans="1:24" x14ac:dyDescent="0.3">
      <c r="A1839" t="s">
        <v>63</v>
      </c>
      <c r="B1839" t="s">
        <v>96</v>
      </c>
      <c r="C1839">
        <v>2024</v>
      </c>
      <c r="D1839" t="s">
        <v>33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27</v>
      </c>
      <c r="N1839">
        <v>7</v>
      </c>
      <c r="O1839" t="s">
        <v>50</v>
      </c>
      <c r="P1839">
        <v>25.6</v>
      </c>
      <c r="Q1839">
        <v>1569</v>
      </c>
      <c r="R1839">
        <v>4</v>
      </c>
      <c r="S1839">
        <v>0</v>
      </c>
      <c r="T1839" t="s">
        <v>65</v>
      </c>
      <c r="U1839" t="s">
        <v>30</v>
      </c>
      <c r="V1839">
        <v>178707</v>
      </c>
      <c r="W1839">
        <v>3.53</v>
      </c>
      <c r="X1839">
        <v>4</v>
      </c>
    </row>
    <row r="1840" spans="1:24" x14ac:dyDescent="0.3">
      <c r="A1840" t="s">
        <v>94</v>
      </c>
      <c r="B1840" t="s">
        <v>95</v>
      </c>
      <c r="C1840">
        <v>2025</v>
      </c>
      <c r="D1840" t="s">
        <v>56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27</v>
      </c>
      <c r="N1840">
        <v>5</v>
      </c>
      <c r="O1840" t="s">
        <v>50</v>
      </c>
      <c r="P1840">
        <v>28.6</v>
      </c>
      <c r="Q1840">
        <v>1769</v>
      </c>
      <c r="R1840">
        <v>3</v>
      </c>
      <c r="S1840">
        <v>0</v>
      </c>
      <c r="T1840" t="s">
        <v>41</v>
      </c>
      <c r="U1840" t="s">
        <v>33</v>
      </c>
      <c r="V1840">
        <v>26875</v>
      </c>
      <c r="W1840">
        <v>3.25</v>
      </c>
      <c r="X1840">
        <v>5</v>
      </c>
    </row>
    <row r="1841" spans="1:24" x14ac:dyDescent="0.3">
      <c r="A1841" t="s">
        <v>63</v>
      </c>
      <c r="B1841" t="s">
        <v>107</v>
      </c>
      <c r="C1841">
        <v>2025</v>
      </c>
      <c r="D1841" t="s">
        <v>26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27</v>
      </c>
      <c r="N1841">
        <v>5</v>
      </c>
      <c r="O1841" t="s">
        <v>50</v>
      </c>
      <c r="P1841">
        <v>17.600000000000001</v>
      </c>
      <c r="Q1841">
        <v>1696</v>
      </c>
      <c r="R1841">
        <v>3</v>
      </c>
      <c r="S1841">
        <v>0</v>
      </c>
      <c r="T1841" t="s">
        <v>65</v>
      </c>
      <c r="U1841" t="s">
        <v>30</v>
      </c>
      <c r="V1841">
        <v>115025</v>
      </c>
      <c r="W1841">
        <v>3.58</v>
      </c>
      <c r="X1841">
        <v>4</v>
      </c>
    </row>
    <row r="1842" spans="1:24" x14ac:dyDescent="0.3">
      <c r="A1842" t="s">
        <v>24</v>
      </c>
      <c r="B1842" t="s">
        <v>85</v>
      </c>
      <c r="C1842">
        <v>2023</v>
      </c>
      <c r="D1842" t="s">
        <v>33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27</v>
      </c>
      <c r="N1842">
        <v>7</v>
      </c>
      <c r="O1842" t="s">
        <v>51</v>
      </c>
      <c r="P1842">
        <v>20.100000000000001</v>
      </c>
      <c r="Q1842">
        <v>1973</v>
      </c>
      <c r="R1842">
        <v>4</v>
      </c>
      <c r="S1842">
        <v>0</v>
      </c>
      <c r="T1842" t="s">
        <v>29</v>
      </c>
      <c r="U1842" t="s">
        <v>33</v>
      </c>
      <c r="V1842">
        <v>245824</v>
      </c>
      <c r="W1842">
        <v>3.56</v>
      </c>
      <c r="X1842">
        <v>5</v>
      </c>
    </row>
    <row r="1843" spans="1:24" x14ac:dyDescent="0.3">
      <c r="A1843" t="s">
        <v>24</v>
      </c>
      <c r="B1843" t="s">
        <v>85</v>
      </c>
      <c r="C1843">
        <v>2025</v>
      </c>
      <c r="D1843" t="s">
        <v>56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27</v>
      </c>
      <c r="N1843">
        <v>5</v>
      </c>
      <c r="O1843" t="s">
        <v>51</v>
      </c>
      <c r="P1843">
        <v>31.4</v>
      </c>
      <c r="Q1843">
        <v>1570</v>
      </c>
      <c r="R1843">
        <v>5</v>
      </c>
      <c r="S1843">
        <v>0</v>
      </c>
      <c r="T1843" t="s">
        <v>29</v>
      </c>
      <c r="U1843" t="s">
        <v>33</v>
      </c>
      <c r="V1843">
        <v>206717</v>
      </c>
      <c r="W1843">
        <v>3.56</v>
      </c>
      <c r="X1843">
        <v>4</v>
      </c>
    </row>
    <row r="1844" spans="1:24" x14ac:dyDescent="0.3">
      <c r="A1844" t="s">
        <v>24</v>
      </c>
      <c r="B1844" t="s">
        <v>85</v>
      </c>
      <c r="C1844">
        <v>2021</v>
      </c>
      <c r="D1844" t="s">
        <v>44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34</v>
      </c>
      <c r="N1844">
        <v>7</v>
      </c>
      <c r="O1844" t="s">
        <v>50</v>
      </c>
      <c r="P1844">
        <v>27.6</v>
      </c>
      <c r="Q1844">
        <v>1724</v>
      </c>
      <c r="R1844">
        <v>4</v>
      </c>
      <c r="S1844">
        <v>0</v>
      </c>
      <c r="T1844" t="s">
        <v>29</v>
      </c>
      <c r="U1844" t="s">
        <v>33</v>
      </c>
      <c r="V1844">
        <v>211095</v>
      </c>
      <c r="W1844">
        <v>3.8</v>
      </c>
      <c r="X1844">
        <v>5</v>
      </c>
    </row>
    <row r="1845" spans="1:24" x14ac:dyDescent="0.3">
      <c r="A1845" t="s">
        <v>42</v>
      </c>
      <c r="B1845" t="s">
        <v>54</v>
      </c>
      <c r="C1845">
        <v>2025</v>
      </c>
      <c r="D1845" t="s">
        <v>26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48</v>
      </c>
      <c r="N1845">
        <v>5</v>
      </c>
      <c r="O1845" t="s">
        <v>35</v>
      </c>
      <c r="P1845">
        <v>53.4</v>
      </c>
      <c r="Q1845">
        <v>1849</v>
      </c>
      <c r="R1845">
        <v>4</v>
      </c>
      <c r="S1845">
        <v>0</v>
      </c>
      <c r="T1845" t="s">
        <v>45</v>
      </c>
      <c r="U1845" t="s">
        <v>30</v>
      </c>
      <c r="V1845">
        <v>55383</v>
      </c>
      <c r="W1845">
        <v>3.92</v>
      </c>
      <c r="X1845">
        <v>4</v>
      </c>
    </row>
    <row r="1846" spans="1:24" x14ac:dyDescent="0.3">
      <c r="A1846" t="s">
        <v>92</v>
      </c>
      <c r="B1846" t="s">
        <v>110</v>
      </c>
      <c r="C1846">
        <v>2025</v>
      </c>
      <c r="D1846" t="s">
        <v>33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27</v>
      </c>
      <c r="N1846">
        <v>7</v>
      </c>
      <c r="O1846" t="s">
        <v>58</v>
      </c>
      <c r="P1846">
        <v>34.200000000000003</v>
      </c>
      <c r="Q1846">
        <v>1974</v>
      </c>
      <c r="R1846">
        <v>5</v>
      </c>
      <c r="S1846">
        <v>2</v>
      </c>
      <c r="T1846" t="s">
        <v>65</v>
      </c>
      <c r="U1846" t="s">
        <v>30</v>
      </c>
      <c r="V1846">
        <v>26944</v>
      </c>
      <c r="W1846">
        <v>3.47</v>
      </c>
      <c r="X1846">
        <v>3</v>
      </c>
    </row>
    <row r="1847" spans="1:24" x14ac:dyDescent="0.3">
      <c r="A1847" t="s">
        <v>63</v>
      </c>
      <c r="B1847" t="s">
        <v>82</v>
      </c>
      <c r="C1847">
        <v>2024</v>
      </c>
      <c r="D1847" t="s">
        <v>44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34</v>
      </c>
      <c r="N1847">
        <v>7</v>
      </c>
      <c r="O1847" t="s">
        <v>28</v>
      </c>
      <c r="P1847">
        <v>66.5</v>
      </c>
      <c r="Q1847">
        <v>2360</v>
      </c>
      <c r="R1847">
        <v>3</v>
      </c>
      <c r="S1847">
        <v>0</v>
      </c>
      <c r="T1847" t="s">
        <v>65</v>
      </c>
      <c r="U1847" t="s">
        <v>37</v>
      </c>
      <c r="V1847">
        <v>120124</v>
      </c>
      <c r="W1847">
        <v>3.79</v>
      </c>
      <c r="X1847">
        <v>4</v>
      </c>
    </row>
    <row r="1848" spans="1:24" x14ac:dyDescent="0.3">
      <c r="A1848" t="s">
        <v>46</v>
      </c>
      <c r="B1848" t="s">
        <v>57</v>
      </c>
      <c r="C1848">
        <v>2025</v>
      </c>
      <c r="D1848" t="s">
        <v>44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48</v>
      </c>
      <c r="N1848">
        <v>7</v>
      </c>
      <c r="O1848" t="s">
        <v>28</v>
      </c>
      <c r="P1848">
        <v>66.5</v>
      </c>
      <c r="Q1848">
        <v>2561</v>
      </c>
      <c r="R1848">
        <v>4</v>
      </c>
      <c r="S1848">
        <v>2</v>
      </c>
      <c r="T1848" t="s">
        <v>41</v>
      </c>
      <c r="U1848" t="s">
        <v>30</v>
      </c>
      <c r="V1848">
        <v>236717</v>
      </c>
      <c r="W1848">
        <v>4.0599999999999996</v>
      </c>
      <c r="X1848">
        <v>5</v>
      </c>
    </row>
    <row r="1849" spans="1:24" x14ac:dyDescent="0.3">
      <c r="A1849" t="s">
        <v>46</v>
      </c>
      <c r="B1849" t="s">
        <v>49</v>
      </c>
      <c r="C1849">
        <v>2025</v>
      </c>
      <c r="D1849" t="s">
        <v>44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27</v>
      </c>
      <c r="N1849">
        <v>5</v>
      </c>
      <c r="O1849" t="s">
        <v>40</v>
      </c>
      <c r="P1849">
        <v>72</v>
      </c>
      <c r="Q1849">
        <v>1709</v>
      </c>
      <c r="R1849">
        <v>5</v>
      </c>
      <c r="S1849">
        <v>2</v>
      </c>
      <c r="T1849" t="s">
        <v>41</v>
      </c>
      <c r="U1849" t="s">
        <v>30</v>
      </c>
      <c r="V1849">
        <v>458246</v>
      </c>
      <c r="W1849">
        <v>3.66</v>
      </c>
      <c r="X1849">
        <v>5</v>
      </c>
    </row>
    <row r="1850" spans="1:24" x14ac:dyDescent="0.3">
      <c r="A1850" t="s">
        <v>86</v>
      </c>
      <c r="B1850" t="s">
        <v>87</v>
      </c>
      <c r="C1850">
        <v>2025</v>
      </c>
      <c r="D1850" t="s">
        <v>56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27</v>
      </c>
      <c r="N1850">
        <v>5</v>
      </c>
      <c r="O1850" t="s">
        <v>35</v>
      </c>
      <c r="P1850">
        <v>36.4</v>
      </c>
      <c r="Q1850">
        <v>1869</v>
      </c>
      <c r="R1850">
        <v>5</v>
      </c>
      <c r="S1850">
        <v>1</v>
      </c>
      <c r="T1850" t="s">
        <v>29</v>
      </c>
      <c r="U1850" t="s">
        <v>33</v>
      </c>
      <c r="V1850">
        <v>21802</v>
      </c>
      <c r="W1850">
        <v>3.43</v>
      </c>
      <c r="X1850">
        <v>5</v>
      </c>
    </row>
    <row r="1851" spans="1:24" x14ac:dyDescent="0.3">
      <c r="A1851" t="s">
        <v>83</v>
      </c>
      <c r="B1851" t="s">
        <v>84</v>
      </c>
      <c r="C1851">
        <v>2025</v>
      </c>
      <c r="D1851" t="s">
        <v>33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27</v>
      </c>
      <c r="N1851">
        <v>7</v>
      </c>
      <c r="O1851" t="s">
        <v>51</v>
      </c>
      <c r="P1851">
        <v>28.6</v>
      </c>
      <c r="Q1851">
        <v>1728</v>
      </c>
      <c r="R1851">
        <v>4</v>
      </c>
      <c r="S1851">
        <v>1</v>
      </c>
      <c r="T1851" t="s">
        <v>29</v>
      </c>
      <c r="U1851" t="s">
        <v>33</v>
      </c>
      <c r="V1851">
        <v>40644</v>
      </c>
      <c r="W1851">
        <v>3.5</v>
      </c>
      <c r="X1851">
        <v>7</v>
      </c>
    </row>
    <row r="1852" spans="1:24" x14ac:dyDescent="0.3">
      <c r="A1852" t="s">
        <v>63</v>
      </c>
      <c r="B1852" t="s">
        <v>88</v>
      </c>
      <c r="C1852">
        <v>2022</v>
      </c>
      <c r="D1852" t="s">
        <v>61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27</v>
      </c>
      <c r="N1852">
        <v>5</v>
      </c>
      <c r="O1852" t="s">
        <v>50</v>
      </c>
      <c r="P1852">
        <v>30.7</v>
      </c>
      <c r="Q1852">
        <v>1668</v>
      </c>
      <c r="R1852">
        <v>4</v>
      </c>
      <c r="S1852">
        <v>1</v>
      </c>
      <c r="T1852" t="s">
        <v>65</v>
      </c>
      <c r="U1852" t="s">
        <v>33</v>
      </c>
      <c r="V1852">
        <v>201225</v>
      </c>
      <c r="W1852">
        <v>3.25</v>
      </c>
      <c r="X1852">
        <v>5</v>
      </c>
    </row>
    <row r="1853" spans="1:24" x14ac:dyDescent="0.3">
      <c r="A1853" t="s">
        <v>76</v>
      </c>
      <c r="B1853" t="s">
        <v>81</v>
      </c>
      <c r="C1853">
        <v>2024</v>
      </c>
      <c r="D1853" t="s">
        <v>33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48</v>
      </c>
      <c r="N1853">
        <v>7</v>
      </c>
      <c r="O1853" t="s">
        <v>35</v>
      </c>
      <c r="P1853">
        <v>50.1</v>
      </c>
      <c r="Q1853">
        <v>2018</v>
      </c>
      <c r="R1853">
        <v>5</v>
      </c>
      <c r="S1853">
        <v>0</v>
      </c>
      <c r="T1853" t="s">
        <v>41</v>
      </c>
      <c r="U1853" t="s">
        <v>33</v>
      </c>
      <c r="V1853">
        <v>20102</v>
      </c>
      <c r="W1853">
        <v>3.3</v>
      </c>
      <c r="X1853">
        <v>5</v>
      </c>
    </row>
    <row r="1854" spans="1:24" x14ac:dyDescent="0.3">
      <c r="A1854" t="s">
        <v>52</v>
      </c>
      <c r="B1854" t="s">
        <v>126</v>
      </c>
      <c r="C1854">
        <v>2022</v>
      </c>
      <c r="D1854" t="s">
        <v>44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48</v>
      </c>
      <c r="N1854">
        <v>5</v>
      </c>
      <c r="O1854" t="s">
        <v>50</v>
      </c>
      <c r="P1854">
        <v>38.1</v>
      </c>
      <c r="Q1854">
        <v>1668</v>
      </c>
      <c r="R1854">
        <v>4</v>
      </c>
      <c r="S1854">
        <v>2</v>
      </c>
      <c r="T1854" t="s">
        <v>29</v>
      </c>
      <c r="U1854" t="s">
        <v>30</v>
      </c>
      <c r="V1854">
        <v>78467</v>
      </c>
      <c r="W1854">
        <v>3.86</v>
      </c>
      <c r="X1854">
        <v>8</v>
      </c>
    </row>
    <row r="1855" spans="1:24" x14ac:dyDescent="0.3">
      <c r="A1855" t="s">
        <v>52</v>
      </c>
      <c r="B1855" t="s">
        <v>103</v>
      </c>
      <c r="C1855">
        <v>2021</v>
      </c>
      <c r="D1855" t="s">
        <v>26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48</v>
      </c>
      <c r="N1855">
        <v>7</v>
      </c>
      <c r="O1855" t="s">
        <v>50</v>
      </c>
      <c r="P1855">
        <v>38.9</v>
      </c>
      <c r="Q1855">
        <v>1571</v>
      </c>
      <c r="R1855">
        <v>5</v>
      </c>
      <c r="S1855">
        <v>1</v>
      </c>
      <c r="T1855" t="s">
        <v>29</v>
      </c>
      <c r="U1855" t="s">
        <v>30</v>
      </c>
      <c r="V1855">
        <v>66576</v>
      </c>
      <c r="W1855">
        <v>3.8</v>
      </c>
      <c r="X1855">
        <v>8</v>
      </c>
    </row>
    <row r="1856" spans="1:24" x14ac:dyDescent="0.3">
      <c r="A1856" t="s">
        <v>94</v>
      </c>
      <c r="B1856" t="s">
        <v>95</v>
      </c>
      <c r="C1856">
        <v>2024</v>
      </c>
      <c r="D1856" t="s">
        <v>26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48</v>
      </c>
      <c r="N1856">
        <v>7</v>
      </c>
      <c r="O1856" t="s">
        <v>50</v>
      </c>
      <c r="P1856">
        <v>16.2</v>
      </c>
      <c r="Q1856">
        <v>1630</v>
      </c>
      <c r="R1856">
        <v>5</v>
      </c>
      <c r="S1856">
        <v>0</v>
      </c>
      <c r="T1856" t="s">
        <v>41</v>
      </c>
      <c r="U1856" t="s">
        <v>30</v>
      </c>
      <c r="V1856">
        <v>1509</v>
      </c>
      <c r="W1856">
        <v>3.58</v>
      </c>
      <c r="X1856">
        <v>5</v>
      </c>
    </row>
    <row r="1857" spans="1:24" x14ac:dyDescent="0.3">
      <c r="A1857" t="s">
        <v>63</v>
      </c>
      <c r="B1857" t="s">
        <v>88</v>
      </c>
      <c r="C1857">
        <v>2023</v>
      </c>
      <c r="D1857" t="s">
        <v>44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27</v>
      </c>
      <c r="N1857">
        <v>5</v>
      </c>
      <c r="O1857" t="s">
        <v>50</v>
      </c>
      <c r="P1857">
        <v>37.9</v>
      </c>
      <c r="Q1857">
        <v>1679</v>
      </c>
      <c r="R1857">
        <v>5</v>
      </c>
      <c r="S1857">
        <v>0</v>
      </c>
      <c r="T1857" t="s">
        <v>65</v>
      </c>
      <c r="U1857" t="s">
        <v>33</v>
      </c>
      <c r="V1857">
        <v>117049</v>
      </c>
      <c r="W1857">
        <v>3.64</v>
      </c>
      <c r="X1857">
        <v>5</v>
      </c>
    </row>
    <row r="1858" spans="1:24" x14ac:dyDescent="0.3">
      <c r="A1858" t="s">
        <v>38</v>
      </c>
      <c r="B1858" t="s">
        <v>102</v>
      </c>
      <c r="C1858">
        <v>2025</v>
      </c>
      <c r="D1858" t="s">
        <v>44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34</v>
      </c>
      <c r="N1858">
        <v>5</v>
      </c>
      <c r="O1858" t="s">
        <v>35</v>
      </c>
      <c r="P1858">
        <v>61.6</v>
      </c>
      <c r="Q1858">
        <v>2173</v>
      </c>
      <c r="R1858">
        <v>5</v>
      </c>
      <c r="S1858">
        <v>1</v>
      </c>
      <c r="T1858" t="s">
        <v>41</v>
      </c>
      <c r="U1858" t="s">
        <v>37</v>
      </c>
      <c r="V1858">
        <v>5246</v>
      </c>
      <c r="W1858">
        <v>3.78</v>
      </c>
      <c r="X1858">
        <v>5</v>
      </c>
    </row>
    <row r="1859" spans="1:24" x14ac:dyDescent="0.3">
      <c r="A1859" t="s">
        <v>68</v>
      </c>
      <c r="B1859" t="s">
        <v>106</v>
      </c>
      <c r="C1859">
        <v>2025</v>
      </c>
      <c r="D1859" t="s">
        <v>33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27</v>
      </c>
      <c r="N1859">
        <v>7</v>
      </c>
      <c r="O1859" t="s">
        <v>58</v>
      </c>
      <c r="P1859">
        <v>17.100000000000001</v>
      </c>
      <c r="Q1859">
        <v>1574</v>
      </c>
      <c r="R1859">
        <v>4</v>
      </c>
      <c r="S1859">
        <v>0</v>
      </c>
      <c r="T1859" t="s">
        <v>45</v>
      </c>
      <c r="U1859" t="s">
        <v>37</v>
      </c>
      <c r="V1859">
        <v>90740</v>
      </c>
      <c r="W1859">
        <v>3.34</v>
      </c>
      <c r="X1859">
        <v>4</v>
      </c>
    </row>
    <row r="1860" spans="1:24" x14ac:dyDescent="0.3">
      <c r="A1860" t="s">
        <v>52</v>
      </c>
      <c r="B1860" t="s">
        <v>62</v>
      </c>
      <c r="C1860">
        <v>2022</v>
      </c>
      <c r="D1860" t="s">
        <v>44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34</v>
      </c>
      <c r="N1860">
        <v>5</v>
      </c>
      <c r="O1860" t="s">
        <v>50</v>
      </c>
      <c r="P1860">
        <v>24.7</v>
      </c>
      <c r="Q1860">
        <v>1500</v>
      </c>
      <c r="R1860">
        <v>4</v>
      </c>
      <c r="S1860">
        <v>1</v>
      </c>
      <c r="T1860" t="s">
        <v>29</v>
      </c>
      <c r="U1860" t="s">
        <v>30</v>
      </c>
      <c r="V1860">
        <v>31832</v>
      </c>
      <c r="W1860">
        <v>4.04</v>
      </c>
      <c r="X1860">
        <v>8</v>
      </c>
    </row>
    <row r="1861" spans="1:24" x14ac:dyDescent="0.3">
      <c r="A1861" t="s">
        <v>38</v>
      </c>
      <c r="B1861" t="s">
        <v>118</v>
      </c>
      <c r="C1861">
        <v>2025</v>
      </c>
      <c r="D1861" t="s">
        <v>33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34</v>
      </c>
      <c r="N1861">
        <v>7</v>
      </c>
      <c r="O1861" t="s">
        <v>51</v>
      </c>
      <c r="P1861">
        <v>27.5</v>
      </c>
      <c r="Q1861">
        <v>1500</v>
      </c>
      <c r="R1861">
        <v>4</v>
      </c>
      <c r="S1861">
        <v>0</v>
      </c>
      <c r="T1861" t="s">
        <v>41</v>
      </c>
      <c r="U1861" t="s">
        <v>33</v>
      </c>
      <c r="V1861">
        <v>11923</v>
      </c>
      <c r="W1861">
        <v>3.61</v>
      </c>
      <c r="X1861">
        <v>4</v>
      </c>
    </row>
    <row r="1862" spans="1:24" x14ac:dyDescent="0.3">
      <c r="A1862" t="s">
        <v>76</v>
      </c>
      <c r="B1862" t="s">
        <v>98</v>
      </c>
      <c r="C1862">
        <v>2025</v>
      </c>
      <c r="D1862" t="s">
        <v>61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34</v>
      </c>
      <c r="N1862">
        <v>5</v>
      </c>
      <c r="O1862" t="s">
        <v>35</v>
      </c>
      <c r="P1862">
        <v>48.4</v>
      </c>
      <c r="Q1862">
        <v>1896</v>
      </c>
      <c r="R1862">
        <v>4</v>
      </c>
      <c r="S1862">
        <v>2</v>
      </c>
      <c r="T1862" t="s">
        <v>41</v>
      </c>
      <c r="U1862" t="s">
        <v>37</v>
      </c>
      <c r="V1862">
        <v>64630</v>
      </c>
      <c r="W1862">
        <v>3.23</v>
      </c>
      <c r="X1862">
        <v>5</v>
      </c>
    </row>
    <row r="1863" spans="1:24" x14ac:dyDescent="0.3">
      <c r="A1863" t="s">
        <v>83</v>
      </c>
      <c r="B1863" t="s">
        <v>114</v>
      </c>
      <c r="C1863">
        <v>2026</v>
      </c>
      <c r="D1863" t="s">
        <v>44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27</v>
      </c>
      <c r="N1863">
        <v>5</v>
      </c>
      <c r="O1863" t="s">
        <v>28</v>
      </c>
      <c r="P1863">
        <v>65.5</v>
      </c>
      <c r="Q1863">
        <v>2713</v>
      </c>
      <c r="R1863">
        <v>5</v>
      </c>
      <c r="S1863">
        <v>1</v>
      </c>
      <c r="T1863" t="s">
        <v>29</v>
      </c>
      <c r="U1863" t="s">
        <v>30</v>
      </c>
      <c r="V1863">
        <v>50691</v>
      </c>
      <c r="W1863">
        <v>3.66</v>
      </c>
      <c r="X1863">
        <v>6</v>
      </c>
    </row>
    <row r="1864" spans="1:24" x14ac:dyDescent="0.3">
      <c r="A1864" t="s">
        <v>46</v>
      </c>
      <c r="B1864" t="s">
        <v>57</v>
      </c>
      <c r="C1864">
        <v>2024</v>
      </c>
      <c r="D1864" t="s">
        <v>26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34</v>
      </c>
      <c r="N1864">
        <v>5</v>
      </c>
      <c r="O1864" t="s">
        <v>50</v>
      </c>
      <c r="P1864">
        <v>18.5</v>
      </c>
      <c r="Q1864">
        <v>1894</v>
      </c>
      <c r="R1864">
        <v>3</v>
      </c>
      <c r="S1864">
        <v>2</v>
      </c>
      <c r="T1864" t="s">
        <v>41</v>
      </c>
      <c r="U1864" t="s">
        <v>37</v>
      </c>
      <c r="V1864">
        <v>145470</v>
      </c>
      <c r="W1864">
        <v>4.0999999999999996</v>
      </c>
      <c r="X1864">
        <v>5</v>
      </c>
    </row>
    <row r="1865" spans="1:24" x14ac:dyDescent="0.3">
      <c r="A1865" t="s">
        <v>42</v>
      </c>
      <c r="B1865" t="s">
        <v>43</v>
      </c>
      <c r="C1865">
        <v>2023</v>
      </c>
      <c r="D1865" t="s">
        <v>56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27</v>
      </c>
      <c r="N1865">
        <v>5</v>
      </c>
      <c r="O1865" t="s">
        <v>35</v>
      </c>
      <c r="P1865">
        <v>45.5</v>
      </c>
      <c r="Q1865">
        <v>2106</v>
      </c>
      <c r="R1865">
        <v>5</v>
      </c>
      <c r="S1865">
        <v>1</v>
      </c>
      <c r="T1865" t="s">
        <v>45</v>
      </c>
      <c r="U1865" t="s">
        <v>66</v>
      </c>
      <c r="V1865">
        <v>68930</v>
      </c>
      <c r="W1865">
        <v>3.05</v>
      </c>
      <c r="X1865">
        <v>4</v>
      </c>
    </row>
    <row r="1866" spans="1:24" x14ac:dyDescent="0.3">
      <c r="A1866" t="s">
        <v>134</v>
      </c>
      <c r="B1866">
        <v>3</v>
      </c>
      <c r="C1866">
        <v>2024</v>
      </c>
      <c r="D1866" t="s">
        <v>61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27</v>
      </c>
      <c r="N1866">
        <v>5</v>
      </c>
      <c r="O1866" t="s">
        <v>28</v>
      </c>
      <c r="P1866">
        <v>76.900000000000006</v>
      </c>
      <c r="Q1866">
        <v>2331</v>
      </c>
      <c r="R1866">
        <v>4</v>
      </c>
      <c r="S1866">
        <v>1</v>
      </c>
      <c r="T1866" t="s">
        <v>123</v>
      </c>
      <c r="U1866" t="s">
        <v>30</v>
      </c>
      <c r="V1866">
        <v>14704</v>
      </c>
      <c r="W1866">
        <v>3.58</v>
      </c>
      <c r="X1866">
        <v>4</v>
      </c>
    </row>
    <row r="1867" spans="1:24" x14ac:dyDescent="0.3">
      <c r="A1867" t="s">
        <v>92</v>
      </c>
      <c r="B1867" t="s">
        <v>119</v>
      </c>
      <c r="C1867">
        <v>2024</v>
      </c>
      <c r="D1867" t="s">
        <v>26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27</v>
      </c>
      <c r="N1867">
        <v>5</v>
      </c>
      <c r="O1867" t="s">
        <v>50</v>
      </c>
      <c r="P1867">
        <v>23.3</v>
      </c>
      <c r="Q1867">
        <v>1500</v>
      </c>
      <c r="R1867">
        <v>5</v>
      </c>
      <c r="S1867">
        <v>0</v>
      </c>
      <c r="T1867" t="s">
        <v>65</v>
      </c>
      <c r="U1867" t="s">
        <v>30</v>
      </c>
      <c r="V1867">
        <v>28598</v>
      </c>
      <c r="W1867">
        <v>3.78</v>
      </c>
      <c r="X1867">
        <v>3</v>
      </c>
    </row>
    <row r="1868" spans="1:24" x14ac:dyDescent="0.3">
      <c r="A1868" t="s">
        <v>46</v>
      </c>
      <c r="B1868" t="s">
        <v>78</v>
      </c>
      <c r="C1868">
        <v>2024</v>
      </c>
      <c r="D1868" t="s">
        <v>56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34</v>
      </c>
      <c r="N1868">
        <v>7</v>
      </c>
      <c r="O1868" t="s">
        <v>40</v>
      </c>
      <c r="P1868">
        <v>77.3</v>
      </c>
      <c r="Q1868">
        <v>1545</v>
      </c>
      <c r="R1868">
        <v>3</v>
      </c>
      <c r="S1868">
        <v>3</v>
      </c>
      <c r="T1868" t="s">
        <v>41</v>
      </c>
      <c r="U1868" t="s">
        <v>33</v>
      </c>
      <c r="V1868">
        <v>135420</v>
      </c>
      <c r="W1868">
        <v>3.42</v>
      </c>
      <c r="X1868">
        <v>5</v>
      </c>
    </row>
    <row r="1869" spans="1:24" x14ac:dyDescent="0.3">
      <c r="A1869" t="s">
        <v>46</v>
      </c>
      <c r="B1869" t="s">
        <v>72</v>
      </c>
      <c r="C1869">
        <v>2021</v>
      </c>
      <c r="D1869" t="s">
        <v>56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48</v>
      </c>
      <c r="N1869">
        <v>5</v>
      </c>
      <c r="O1869" t="s">
        <v>28</v>
      </c>
      <c r="P1869">
        <v>57.4</v>
      </c>
      <c r="Q1869">
        <v>2450</v>
      </c>
      <c r="R1869">
        <v>4</v>
      </c>
      <c r="S1869">
        <v>3</v>
      </c>
      <c r="T1869" t="s">
        <v>41</v>
      </c>
      <c r="U1869" t="s">
        <v>37</v>
      </c>
      <c r="V1869">
        <v>243316</v>
      </c>
      <c r="W1869">
        <v>3.49</v>
      </c>
      <c r="X1869">
        <v>5</v>
      </c>
    </row>
    <row r="1870" spans="1:24" x14ac:dyDescent="0.3">
      <c r="A1870" t="s">
        <v>46</v>
      </c>
      <c r="B1870" t="s">
        <v>49</v>
      </c>
      <c r="C1870">
        <v>2024</v>
      </c>
      <c r="D1870" t="s">
        <v>33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48</v>
      </c>
      <c r="N1870">
        <v>5</v>
      </c>
      <c r="O1870" t="s">
        <v>28</v>
      </c>
      <c r="P1870">
        <v>60.1</v>
      </c>
      <c r="Q1870">
        <v>2813</v>
      </c>
      <c r="R1870">
        <v>5</v>
      </c>
      <c r="S1870">
        <v>2</v>
      </c>
      <c r="T1870" t="s">
        <v>41</v>
      </c>
      <c r="U1870" t="s">
        <v>30</v>
      </c>
      <c r="V1870">
        <v>461025</v>
      </c>
      <c r="W1870">
        <v>3.45</v>
      </c>
      <c r="X1870">
        <v>6</v>
      </c>
    </row>
    <row r="1871" spans="1:24" x14ac:dyDescent="0.3">
      <c r="A1871" t="s">
        <v>38</v>
      </c>
      <c r="B1871" t="s">
        <v>55</v>
      </c>
      <c r="C1871">
        <v>2023</v>
      </c>
      <c r="D1871" t="s">
        <v>61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27</v>
      </c>
      <c r="N1871">
        <v>7</v>
      </c>
      <c r="O1871" t="s">
        <v>58</v>
      </c>
      <c r="P1871">
        <v>38.9</v>
      </c>
      <c r="Q1871">
        <v>1500</v>
      </c>
      <c r="R1871">
        <v>5</v>
      </c>
      <c r="S1871">
        <v>2</v>
      </c>
      <c r="T1871" t="s">
        <v>41</v>
      </c>
      <c r="U1871" t="s">
        <v>37</v>
      </c>
      <c r="V1871">
        <v>7422</v>
      </c>
      <c r="W1871">
        <v>3.31</v>
      </c>
      <c r="X1871">
        <v>3</v>
      </c>
    </row>
    <row r="1872" spans="1:24" x14ac:dyDescent="0.3">
      <c r="A1872" t="s">
        <v>76</v>
      </c>
      <c r="B1872" t="s">
        <v>91</v>
      </c>
      <c r="C1872">
        <v>2024</v>
      </c>
      <c r="D1872" t="s">
        <v>44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34</v>
      </c>
      <c r="N1872">
        <v>2</v>
      </c>
      <c r="O1872" t="s">
        <v>28</v>
      </c>
      <c r="P1872">
        <v>78</v>
      </c>
      <c r="Q1872">
        <v>2611</v>
      </c>
      <c r="R1872">
        <v>5</v>
      </c>
      <c r="S1872">
        <v>0</v>
      </c>
      <c r="T1872" t="s">
        <v>41</v>
      </c>
      <c r="U1872" t="s">
        <v>33</v>
      </c>
      <c r="V1872">
        <v>63330</v>
      </c>
      <c r="W1872">
        <v>3.64</v>
      </c>
      <c r="X1872">
        <v>4</v>
      </c>
    </row>
    <row r="1873" spans="1:24" x14ac:dyDescent="0.3">
      <c r="A1873" t="s">
        <v>63</v>
      </c>
      <c r="B1873" t="s">
        <v>96</v>
      </c>
      <c r="C1873">
        <v>2021</v>
      </c>
      <c r="D1873" t="s">
        <v>61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34</v>
      </c>
      <c r="N1873">
        <v>7</v>
      </c>
      <c r="O1873" t="s">
        <v>28</v>
      </c>
      <c r="P1873">
        <v>51.5</v>
      </c>
      <c r="Q1873">
        <v>2585</v>
      </c>
      <c r="R1873">
        <v>4</v>
      </c>
      <c r="S1873">
        <v>1</v>
      </c>
      <c r="T1873" t="s">
        <v>65</v>
      </c>
      <c r="U1873" t="s">
        <v>37</v>
      </c>
      <c r="V1873">
        <v>112221</v>
      </c>
      <c r="W1873">
        <v>3.41</v>
      </c>
      <c r="X1873">
        <v>4</v>
      </c>
    </row>
    <row r="1874" spans="1:24" x14ac:dyDescent="0.3">
      <c r="A1874" t="s">
        <v>68</v>
      </c>
      <c r="B1874" t="s">
        <v>106</v>
      </c>
      <c r="C1874">
        <v>2025</v>
      </c>
      <c r="D1874" t="s">
        <v>61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27</v>
      </c>
      <c r="N1874">
        <v>7</v>
      </c>
      <c r="O1874" t="s">
        <v>50</v>
      </c>
      <c r="P1874">
        <v>31.6</v>
      </c>
      <c r="Q1874">
        <v>1594</v>
      </c>
      <c r="R1874">
        <v>5</v>
      </c>
      <c r="S1874">
        <v>1</v>
      </c>
      <c r="T1874" t="s">
        <v>45</v>
      </c>
      <c r="U1874" t="s">
        <v>37</v>
      </c>
      <c r="V1874">
        <v>143597</v>
      </c>
      <c r="W1874">
        <v>3.54</v>
      </c>
      <c r="X1874">
        <v>4</v>
      </c>
    </row>
    <row r="1875" spans="1:24" x14ac:dyDescent="0.3">
      <c r="A1875" t="s">
        <v>52</v>
      </c>
      <c r="B1875" t="s">
        <v>126</v>
      </c>
      <c r="C1875">
        <v>2025</v>
      </c>
      <c r="D1875" t="s">
        <v>26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48</v>
      </c>
      <c r="N1875">
        <v>7</v>
      </c>
      <c r="O1875" t="s">
        <v>40</v>
      </c>
      <c r="P1875">
        <v>62.1</v>
      </c>
      <c r="Q1875">
        <v>1865</v>
      </c>
      <c r="R1875">
        <v>4</v>
      </c>
      <c r="S1875">
        <v>2</v>
      </c>
      <c r="T1875" t="s">
        <v>29</v>
      </c>
      <c r="U1875" t="s">
        <v>30</v>
      </c>
      <c r="V1875">
        <v>54248</v>
      </c>
      <c r="W1875">
        <v>3.94</v>
      </c>
      <c r="X1875">
        <v>8</v>
      </c>
    </row>
    <row r="1876" spans="1:24" x14ac:dyDescent="0.3">
      <c r="A1876" t="s">
        <v>38</v>
      </c>
      <c r="B1876" t="s">
        <v>55</v>
      </c>
      <c r="C1876">
        <v>2024</v>
      </c>
      <c r="D1876" t="s">
        <v>26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48</v>
      </c>
      <c r="N1876">
        <v>5</v>
      </c>
      <c r="O1876" t="s">
        <v>50</v>
      </c>
      <c r="P1876">
        <v>26.7</v>
      </c>
      <c r="Q1876">
        <v>1818</v>
      </c>
      <c r="R1876">
        <v>5</v>
      </c>
      <c r="S1876">
        <v>2</v>
      </c>
      <c r="T1876" t="s">
        <v>41</v>
      </c>
      <c r="U1876" t="s">
        <v>37</v>
      </c>
      <c r="V1876">
        <v>18258</v>
      </c>
      <c r="W1876">
        <v>3.87</v>
      </c>
      <c r="X1876">
        <v>4</v>
      </c>
    </row>
    <row r="1877" spans="1:24" x14ac:dyDescent="0.3">
      <c r="A1877" t="s">
        <v>42</v>
      </c>
      <c r="B1877" t="s">
        <v>71</v>
      </c>
      <c r="C1877">
        <v>2025</v>
      </c>
      <c r="D1877" t="s">
        <v>56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48</v>
      </c>
      <c r="N1877">
        <v>5</v>
      </c>
      <c r="O1877" t="s">
        <v>58</v>
      </c>
      <c r="P1877">
        <v>37.200000000000003</v>
      </c>
      <c r="Q1877">
        <v>1730</v>
      </c>
      <c r="R1877">
        <v>4</v>
      </c>
      <c r="S1877">
        <v>0</v>
      </c>
      <c r="T1877" t="s">
        <v>45</v>
      </c>
      <c r="U1877" t="s">
        <v>66</v>
      </c>
      <c r="V1877">
        <v>75515</v>
      </c>
      <c r="W1877">
        <v>3.26</v>
      </c>
      <c r="X1877">
        <v>4</v>
      </c>
    </row>
    <row r="1878" spans="1:24" x14ac:dyDescent="0.3">
      <c r="A1878" t="s">
        <v>42</v>
      </c>
      <c r="B1878" t="s">
        <v>54</v>
      </c>
      <c r="C1878">
        <v>2025</v>
      </c>
      <c r="D1878" t="s">
        <v>56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48</v>
      </c>
      <c r="N1878">
        <v>7</v>
      </c>
      <c r="O1878" t="s">
        <v>51</v>
      </c>
      <c r="P1878">
        <v>20.3</v>
      </c>
      <c r="Q1878">
        <v>1500</v>
      </c>
      <c r="R1878">
        <v>4</v>
      </c>
      <c r="S1878">
        <v>0</v>
      </c>
      <c r="T1878" t="s">
        <v>45</v>
      </c>
      <c r="U1878" t="s">
        <v>37</v>
      </c>
      <c r="V1878">
        <v>118841</v>
      </c>
      <c r="W1878">
        <v>3.38</v>
      </c>
      <c r="X1878">
        <v>3</v>
      </c>
    </row>
    <row r="1879" spans="1:24" x14ac:dyDescent="0.3">
      <c r="A1879" t="s">
        <v>68</v>
      </c>
      <c r="B1879" t="s">
        <v>69</v>
      </c>
      <c r="C1879">
        <v>2024</v>
      </c>
      <c r="D1879" t="s">
        <v>33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48</v>
      </c>
      <c r="N1879">
        <v>7</v>
      </c>
      <c r="O1879" t="s">
        <v>50</v>
      </c>
      <c r="P1879">
        <v>18.399999999999999</v>
      </c>
      <c r="Q1879">
        <v>1807</v>
      </c>
      <c r="R1879">
        <v>4</v>
      </c>
      <c r="S1879">
        <v>2</v>
      </c>
      <c r="T1879" t="s">
        <v>45</v>
      </c>
      <c r="U1879" t="s">
        <v>33</v>
      </c>
      <c r="V1879">
        <v>133082</v>
      </c>
      <c r="W1879">
        <v>3.52</v>
      </c>
      <c r="X1879">
        <v>4</v>
      </c>
    </row>
    <row r="1880" spans="1:24" x14ac:dyDescent="0.3">
      <c r="A1880" t="s">
        <v>63</v>
      </c>
      <c r="B1880" t="s">
        <v>67</v>
      </c>
      <c r="C1880">
        <v>2024</v>
      </c>
      <c r="D1880" t="s">
        <v>44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34</v>
      </c>
      <c r="N1880">
        <v>7</v>
      </c>
      <c r="O1880" t="s">
        <v>40</v>
      </c>
      <c r="P1880">
        <v>73.400000000000006</v>
      </c>
      <c r="Q1880">
        <v>1891</v>
      </c>
      <c r="R1880">
        <v>4</v>
      </c>
      <c r="S1880">
        <v>0</v>
      </c>
      <c r="T1880" t="s">
        <v>65</v>
      </c>
      <c r="U1880" t="s">
        <v>66</v>
      </c>
      <c r="V1880">
        <v>158999</v>
      </c>
      <c r="W1880">
        <v>3.61</v>
      </c>
      <c r="X1880">
        <v>4</v>
      </c>
    </row>
    <row r="1881" spans="1:24" x14ac:dyDescent="0.3">
      <c r="A1881" t="s">
        <v>42</v>
      </c>
      <c r="B1881" t="s">
        <v>43</v>
      </c>
      <c r="C1881">
        <v>2022</v>
      </c>
      <c r="D1881" t="s">
        <v>44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34</v>
      </c>
      <c r="N1881">
        <v>5</v>
      </c>
      <c r="O1881" t="s">
        <v>35</v>
      </c>
      <c r="P1881">
        <v>69.599999999999994</v>
      </c>
      <c r="Q1881">
        <v>2041</v>
      </c>
      <c r="R1881">
        <v>5</v>
      </c>
      <c r="S1881">
        <v>0</v>
      </c>
      <c r="T1881" t="s">
        <v>45</v>
      </c>
      <c r="U1881" t="s">
        <v>33</v>
      </c>
      <c r="V1881">
        <v>135902</v>
      </c>
      <c r="W1881">
        <v>3.67</v>
      </c>
      <c r="X1881">
        <v>4</v>
      </c>
    </row>
    <row r="1882" spans="1:24" x14ac:dyDescent="0.3">
      <c r="A1882" t="s">
        <v>83</v>
      </c>
      <c r="B1882" t="s">
        <v>104</v>
      </c>
      <c r="C1882">
        <v>2025</v>
      </c>
      <c r="D1882" t="s">
        <v>56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34</v>
      </c>
      <c r="N1882">
        <v>5</v>
      </c>
      <c r="O1882" t="s">
        <v>35</v>
      </c>
      <c r="P1882">
        <v>40.4</v>
      </c>
      <c r="Q1882">
        <v>1969</v>
      </c>
      <c r="R1882">
        <v>5</v>
      </c>
      <c r="S1882">
        <v>1</v>
      </c>
      <c r="T1882" t="s">
        <v>29</v>
      </c>
      <c r="U1882" t="s">
        <v>33</v>
      </c>
      <c r="V1882">
        <v>36766</v>
      </c>
      <c r="W1882">
        <v>3.35</v>
      </c>
      <c r="X1882">
        <v>8</v>
      </c>
    </row>
    <row r="1883" spans="1:24" x14ac:dyDescent="0.3">
      <c r="A1883" t="s">
        <v>86</v>
      </c>
      <c r="B1883" t="s">
        <v>117</v>
      </c>
      <c r="C1883">
        <v>2024</v>
      </c>
      <c r="D1883" t="s">
        <v>56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34</v>
      </c>
      <c r="N1883">
        <v>5</v>
      </c>
      <c r="O1883" t="s">
        <v>28</v>
      </c>
      <c r="P1883">
        <v>64.099999999999994</v>
      </c>
      <c r="Q1883">
        <v>2348</v>
      </c>
      <c r="R1883">
        <v>4</v>
      </c>
      <c r="S1883">
        <v>2</v>
      </c>
      <c r="T1883" t="s">
        <v>29</v>
      </c>
      <c r="U1883" t="s">
        <v>30</v>
      </c>
      <c r="V1883">
        <v>59232</v>
      </c>
      <c r="W1883">
        <v>3.4</v>
      </c>
      <c r="X1883">
        <v>6</v>
      </c>
    </row>
    <row r="1884" spans="1:24" x14ac:dyDescent="0.3">
      <c r="A1884" t="s">
        <v>83</v>
      </c>
      <c r="B1884" t="s">
        <v>116</v>
      </c>
      <c r="C1884">
        <v>2024</v>
      </c>
      <c r="D1884" t="s">
        <v>61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34</v>
      </c>
      <c r="N1884">
        <v>5</v>
      </c>
      <c r="O1884" t="s">
        <v>28</v>
      </c>
      <c r="P1884">
        <v>67.2</v>
      </c>
      <c r="Q1884">
        <v>2345</v>
      </c>
      <c r="R1884">
        <v>4</v>
      </c>
      <c r="S1884">
        <v>2</v>
      </c>
      <c r="T1884" t="s">
        <v>29</v>
      </c>
      <c r="U1884" t="s">
        <v>33</v>
      </c>
      <c r="V1884">
        <v>72572</v>
      </c>
      <c r="W1884">
        <v>3.35</v>
      </c>
      <c r="X1884">
        <v>8</v>
      </c>
    </row>
    <row r="1885" spans="1:24" x14ac:dyDescent="0.3">
      <c r="A1885" t="s">
        <v>38</v>
      </c>
      <c r="B1885" t="s">
        <v>101</v>
      </c>
      <c r="C1885">
        <v>2021</v>
      </c>
      <c r="D1885" t="s">
        <v>61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34</v>
      </c>
      <c r="N1885">
        <v>5</v>
      </c>
      <c r="O1885" t="s">
        <v>28</v>
      </c>
      <c r="P1885">
        <v>66</v>
      </c>
      <c r="Q1885">
        <v>2241</v>
      </c>
      <c r="R1885">
        <v>4</v>
      </c>
      <c r="S1885">
        <v>0</v>
      </c>
      <c r="T1885" t="s">
        <v>41</v>
      </c>
      <c r="U1885" t="s">
        <v>37</v>
      </c>
      <c r="V1885">
        <v>9147</v>
      </c>
      <c r="W1885">
        <v>3.72</v>
      </c>
      <c r="X1885">
        <v>4</v>
      </c>
    </row>
    <row r="1886" spans="1:24" x14ac:dyDescent="0.3">
      <c r="A1886" t="s">
        <v>46</v>
      </c>
      <c r="B1886" t="s">
        <v>72</v>
      </c>
      <c r="C1886">
        <v>2025</v>
      </c>
      <c r="D1886" t="s">
        <v>56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27</v>
      </c>
      <c r="N1886">
        <v>5</v>
      </c>
      <c r="O1886" t="s">
        <v>28</v>
      </c>
      <c r="P1886">
        <v>52.1</v>
      </c>
      <c r="Q1886">
        <v>2748</v>
      </c>
      <c r="R1886">
        <v>4</v>
      </c>
      <c r="S1886">
        <v>2</v>
      </c>
      <c r="T1886" t="s">
        <v>41</v>
      </c>
      <c r="U1886" t="s">
        <v>37</v>
      </c>
      <c r="V1886">
        <v>237895</v>
      </c>
      <c r="W1886">
        <v>3.33</v>
      </c>
      <c r="X1886">
        <v>5</v>
      </c>
    </row>
    <row r="1887" spans="1:24" x14ac:dyDescent="0.3">
      <c r="A1887" t="s">
        <v>68</v>
      </c>
      <c r="B1887" t="s">
        <v>109</v>
      </c>
      <c r="C1887">
        <v>2025</v>
      </c>
      <c r="D1887" t="s">
        <v>26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48</v>
      </c>
      <c r="N1887">
        <v>5</v>
      </c>
      <c r="O1887" t="s">
        <v>40</v>
      </c>
      <c r="P1887">
        <v>63.6</v>
      </c>
      <c r="Q1887">
        <v>1868</v>
      </c>
      <c r="R1887">
        <v>3</v>
      </c>
      <c r="S1887">
        <v>0</v>
      </c>
      <c r="T1887" t="s">
        <v>45</v>
      </c>
      <c r="U1887" t="s">
        <v>33</v>
      </c>
      <c r="V1887">
        <v>107166</v>
      </c>
      <c r="W1887">
        <v>3.51</v>
      </c>
      <c r="X1887">
        <v>4</v>
      </c>
    </row>
    <row r="1888" spans="1:24" x14ac:dyDescent="0.3">
      <c r="A1888" t="s">
        <v>46</v>
      </c>
      <c r="B1888" t="s">
        <v>47</v>
      </c>
      <c r="C1888">
        <v>2024</v>
      </c>
      <c r="D1888" t="s">
        <v>26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48</v>
      </c>
      <c r="N1888">
        <v>5</v>
      </c>
      <c r="O1888" t="s">
        <v>58</v>
      </c>
      <c r="P1888">
        <v>21.8</v>
      </c>
      <c r="Q1888">
        <v>1500</v>
      </c>
      <c r="R1888">
        <v>3</v>
      </c>
      <c r="S1888">
        <v>2</v>
      </c>
      <c r="T1888" t="s">
        <v>41</v>
      </c>
      <c r="U1888" t="s">
        <v>33</v>
      </c>
      <c r="V1888">
        <v>187727</v>
      </c>
      <c r="W1888">
        <v>3.9</v>
      </c>
      <c r="X1888">
        <v>4</v>
      </c>
    </row>
    <row r="1889" spans="1:24" x14ac:dyDescent="0.3">
      <c r="A1889" t="s">
        <v>63</v>
      </c>
      <c r="B1889" t="s">
        <v>96</v>
      </c>
      <c r="C1889">
        <v>2025</v>
      </c>
      <c r="D1889" t="s">
        <v>56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27</v>
      </c>
      <c r="N1889">
        <v>7</v>
      </c>
      <c r="O1889" t="s">
        <v>51</v>
      </c>
      <c r="P1889">
        <v>35</v>
      </c>
      <c r="Q1889">
        <v>1563</v>
      </c>
      <c r="R1889">
        <v>5</v>
      </c>
      <c r="S1889">
        <v>2</v>
      </c>
      <c r="T1889" t="s">
        <v>65</v>
      </c>
      <c r="U1889" t="s">
        <v>37</v>
      </c>
      <c r="V1889">
        <v>246706</v>
      </c>
      <c r="W1889">
        <v>3.79</v>
      </c>
      <c r="X1889">
        <v>4</v>
      </c>
    </row>
    <row r="1890" spans="1:24" x14ac:dyDescent="0.3">
      <c r="A1890" t="s">
        <v>38</v>
      </c>
      <c r="B1890" t="s">
        <v>102</v>
      </c>
      <c r="C1890">
        <v>2024</v>
      </c>
      <c r="D1890" t="s">
        <v>56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34</v>
      </c>
      <c r="N1890">
        <v>5</v>
      </c>
      <c r="O1890" t="s">
        <v>35</v>
      </c>
      <c r="P1890">
        <v>40</v>
      </c>
      <c r="Q1890">
        <v>2125</v>
      </c>
      <c r="R1890">
        <v>3</v>
      </c>
      <c r="S1890">
        <v>0</v>
      </c>
      <c r="T1890" t="s">
        <v>41</v>
      </c>
      <c r="U1890" t="s">
        <v>66</v>
      </c>
      <c r="V1890">
        <v>10258</v>
      </c>
      <c r="W1890">
        <v>3.6</v>
      </c>
      <c r="X1890">
        <v>4</v>
      </c>
    </row>
    <row r="1891" spans="1:24" x14ac:dyDescent="0.3">
      <c r="A1891" t="s">
        <v>121</v>
      </c>
      <c r="B1891" t="s">
        <v>135</v>
      </c>
      <c r="C1891">
        <v>2022</v>
      </c>
      <c r="D1891" t="s">
        <v>56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34</v>
      </c>
      <c r="N1891">
        <v>5</v>
      </c>
      <c r="O1891" t="s">
        <v>50</v>
      </c>
      <c r="P1891">
        <v>20.7</v>
      </c>
      <c r="Q1891">
        <v>1790</v>
      </c>
      <c r="R1891">
        <v>5</v>
      </c>
      <c r="S1891">
        <v>1</v>
      </c>
      <c r="T1891" t="s">
        <v>123</v>
      </c>
      <c r="U1891" t="s">
        <v>37</v>
      </c>
      <c r="V1891">
        <v>17974</v>
      </c>
      <c r="W1891">
        <v>3.32</v>
      </c>
      <c r="X1891">
        <v>3</v>
      </c>
    </row>
    <row r="1892" spans="1:24" x14ac:dyDescent="0.3">
      <c r="A1892" t="s">
        <v>46</v>
      </c>
      <c r="B1892" t="s">
        <v>47</v>
      </c>
      <c r="C1892">
        <v>2025</v>
      </c>
      <c r="D1892" t="s">
        <v>33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27</v>
      </c>
      <c r="N1892">
        <v>7</v>
      </c>
      <c r="O1892" t="s">
        <v>28</v>
      </c>
      <c r="P1892">
        <v>75.7</v>
      </c>
      <c r="Q1892">
        <v>2588</v>
      </c>
      <c r="R1892">
        <v>5</v>
      </c>
      <c r="S1892">
        <v>2</v>
      </c>
      <c r="T1892" t="s">
        <v>41</v>
      </c>
      <c r="U1892" t="s">
        <v>30</v>
      </c>
      <c r="V1892">
        <v>176733</v>
      </c>
      <c r="W1892">
        <v>3.77</v>
      </c>
      <c r="X1892">
        <v>4</v>
      </c>
    </row>
    <row r="1893" spans="1:24" x14ac:dyDescent="0.3">
      <c r="A1893" t="s">
        <v>24</v>
      </c>
      <c r="B1893" t="s">
        <v>70</v>
      </c>
      <c r="C1893">
        <v>2022</v>
      </c>
      <c r="D1893" t="s">
        <v>44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27</v>
      </c>
      <c r="N1893">
        <v>7</v>
      </c>
      <c r="O1893" t="s">
        <v>51</v>
      </c>
      <c r="P1893">
        <v>20.5</v>
      </c>
      <c r="Q1893">
        <v>1581</v>
      </c>
      <c r="R1893">
        <v>4</v>
      </c>
      <c r="S1893">
        <v>0</v>
      </c>
      <c r="T1893" t="s">
        <v>29</v>
      </c>
      <c r="U1893" t="s">
        <v>33</v>
      </c>
      <c r="V1893">
        <v>263434</v>
      </c>
      <c r="W1893">
        <v>3.53</v>
      </c>
      <c r="X1893">
        <v>5</v>
      </c>
    </row>
    <row r="1894" spans="1:24" x14ac:dyDescent="0.3">
      <c r="A1894" t="s">
        <v>76</v>
      </c>
      <c r="B1894" t="s">
        <v>77</v>
      </c>
      <c r="C1894">
        <v>2026</v>
      </c>
      <c r="D1894" t="s">
        <v>44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34</v>
      </c>
      <c r="N1894">
        <v>7</v>
      </c>
      <c r="O1894" t="s">
        <v>40</v>
      </c>
      <c r="P1894">
        <v>68.3</v>
      </c>
      <c r="Q1894">
        <v>1684</v>
      </c>
      <c r="R1894">
        <v>4</v>
      </c>
      <c r="S1894">
        <v>1</v>
      </c>
      <c r="T1894" t="s">
        <v>41</v>
      </c>
      <c r="U1894" t="s">
        <v>37</v>
      </c>
      <c r="V1894">
        <v>37462</v>
      </c>
      <c r="W1894">
        <v>3.75</v>
      </c>
      <c r="X1894">
        <v>5</v>
      </c>
    </row>
    <row r="1895" spans="1:24" x14ac:dyDescent="0.3">
      <c r="A1895" t="s">
        <v>63</v>
      </c>
      <c r="B1895" t="s">
        <v>82</v>
      </c>
      <c r="C1895">
        <v>2025</v>
      </c>
      <c r="D1895" t="s">
        <v>44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27</v>
      </c>
      <c r="N1895">
        <v>5</v>
      </c>
      <c r="O1895" t="s">
        <v>50</v>
      </c>
      <c r="P1895">
        <v>21.7</v>
      </c>
      <c r="Q1895">
        <v>1730</v>
      </c>
      <c r="R1895">
        <v>5</v>
      </c>
      <c r="S1895">
        <v>0</v>
      </c>
      <c r="T1895" t="s">
        <v>65</v>
      </c>
      <c r="U1895" t="s">
        <v>37</v>
      </c>
      <c r="V1895">
        <v>132415</v>
      </c>
      <c r="W1895">
        <v>3.44</v>
      </c>
      <c r="X1895">
        <v>5</v>
      </c>
    </row>
    <row r="1896" spans="1:24" x14ac:dyDescent="0.3">
      <c r="A1896" t="s">
        <v>42</v>
      </c>
      <c r="B1896" t="s">
        <v>43</v>
      </c>
      <c r="C1896">
        <v>2026</v>
      </c>
      <c r="D1896" t="s">
        <v>61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27</v>
      </c>
      <c r="N1896">
        <v>5</v>
      </c>
      <c r="O1896" t="s">
        <v>35</v>
      </c>
      <c r="P1896">
        <v>56.3</v>
      </c>
      <c r="Q1896">
        <v>1910</v>
      </c>
      <c r="R1896">
        <v>4</v>
      </c>
      <c r="S1896">
        <v>2</v>
      </c>
      <c r="T1896" t="s">
        <v>45</v>
      </c>
      <c r="U1896" t="s">
        <v>33</v>
      </c>
      <c r="V1896">
        <v>99994</v>
      </c>
      <c r="W1896">
        <v>3.36</v>
      </c>
      <c r="X1896">
        <v>4</v>
      </c>
    </row>
    <row r="1897" spans="1:24" x14ac:dyDescent="0.3">
      <c r="A1897" t="s">
        <v>38</v>
      </c>
      <c r="B1897" t="s">
        <v>55</v>
      </c>
      <c r="C1897">
        <v>2023</v>
      </c>
      <c r="D1897" t="s">
        <v>56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27</v>
      </c>
      <c r="N1897">
        <v>7</v>
      </c>
      <c r="O1897" t="s">
        <v>51</v>
      </c>
      <c r="P1897">
        <v>34.1</v>
      </c>
      <c r="Q1897">
        <v>1561</v>
      </c>
      <c r="R1897">
        <v>4</v>
      </c>
      <c r="S1897">
        <v>0</v>
      </c>
      <c r="T1897" t="s">
        <v>41</v>
      </c>
      <c r="U1897" t="s">
        <v>66</v>
      </c>
      <c r="V1897">
        <v>13459</v>
      </c>
      <c r="W1897">
        <v>3.31</v>
      </c>
      <c r="X1897">
        <v>4</v>
      </c>
    </row>
    <row r="1898" spans="1:24" x14ac:dyDescent="0.3">
      <c r="A1898" t="s">
        <v>42</v>
      </c>
      <c r="B1898" t="s">
        <v>43</v>
      </c>
      <c r="C1898">
        <v>2021</v>
      </c>
      <c r="D1898" t="s">
        <v>26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48</v>
      </c>
      <c r="N1898">
        <v>5</v>
      </c>
      <c r="O1898" t="s">
        <v>35</v>
      </c>
      <c r="P1898">
        <v>49.7</v>
      </c>
      <c r="Q1898">
        <v>2329</v>
      </c>
      <c r="R1898">
        <v>5</v>
      </c>
      <c r="S1898">
        <v>0</v>
      </c>
      <c r="T1898" t="s">
        <v>45</v>
      </c>
      <c r="U1898" t="s">
        <v>33</v>
      </c>
      <c r="V1898">
        <v>79309</v>
      </c>
      <c r="W1898">
        <v>3.97</v>
      </c>
      <c r="X1898">
        <v>4</v>
      </c>
    </row>
    <row r="1899" spans="1:24" x14ac:dyDescent="0.3">
      <c r="A1899" t="s">
        <v>46</v>
      </c>
      <c r="B1899" t="s">
        <v>57</v>
      </c>
      <c r="C1899">
        <v>2023</v>
      </c>
      <c r="D1899" t="s">
        <v>56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48</v>
      </c>
      <c r="N1899">
        <v>5</v>
      </c>
      <c r="O1899" t="s">
        <v>40</v>
      </c>
      <c r="P1899">
        <v>78.400000000000006</v>
      </c>
      <c r="Q1899">
        <v>1500</v>
      </c>
      <c r="R1899">
        <v>4</v>
      </c>
      <c r="S1899">
        <v>2</v>
      </c>
      <c r="T1899" t="s">
        <v>41</v>
      </c>
      <c r="U1899" t="s">
        <v>37</v>
      </c>
      <c r="V1899">
        <v>119951</v>
      </c>
      <c r="W1899">
        <v>3.56</v>
      </c>
      <c r="X1899">
        <v>4</v>
      </c>
    </row>
    <row r="1900" spans="1:24" x14ac:dyDescent="0.3">
      <c r="A1900" t="s">
        <v>24</v>
      </c>
      <c r="B1900" t="s">
        <v>85</v>
      </c>
      <c r="C1900">
        <v>2025</v>
      </c>
      <c r="D1900" t="s">
        <v>61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34</v>
      </c>
      <c r="N1900">
        <v>7</v>
      </c>
      <c r="O1900" t="s">
        <v>58</v>
      </c>
      <c r="P1900">
        <v>33.700000000000003</v>
      </c>
      <c r="Q1900">
        <v>1763</v>
      </c>
      <c r="R1900">
        <v>5</v>
      </c>
      <c r="S1900">
        <v>1</v>
      </c>
      <c r="T1900" t="s">
        <v>29</v>
      </c>
      <c r="U1900" t="s">
        <v>37</v>
      </c>
      <c r="V1900">
        <v>220093</v>
      </c>
      <c r="W1900">
        <v>3.36</v>
      </c>
      <c r="X1900">
        <v>3</v>
      </c>
    </row>
    <row r="1901" spans="1:24" x14ac:dyDescent="0.3">
      <c r="A1901" t="s">
        <v>76</v>
      </c>
      <c r="B1901" t="s">
        <v>98</v>
      </c>
      <c r="C1901">
        <v>2024</v>
      </c>
      <c r="D1901" t="s">
        <v>33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27</v>
      </c>
      <c r="N1901">
        <v>7</v>
      </c>
      <c r="O1901" t="s">
        <v>28</v>
      </c>
      <c r="P1901">
        <v>78.599999999999994</v>
      </c>
      <c r="Q1901">
        <v>2676</v>
      </c>
      <c r="R1901">
        <v>4</v>
      </c>
      <c r="S1901">
        <v>2</v>
      </c>
      <c r="T1901" t="s">
        <v>41</v>
      </c>
      <c r="U1901" t="s">
        <v>33</v>
      </c>
      <c r="V1901">
        <v>40976</v>
      </c>
      <c r="W1901">
        <v>3</v>
      </c>
      <c r="X1901">
        <v>3</v>
      </c>
    </row>
    <row r="1902" spans="1:24" x14ac:dyDescent="0.3">
      <c r="A1902" t="s">
        <v>42</v>
      </c>
      <c r="B1902" t="s">
        <v>80</v>
      </c>
      <c r="C1902">
        <v>2024</v>
      </c>
      <c r="D1902" t="s">
        <v>26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27</v>
      </c>
      <c r="N1902">
        <v>7</v>
      </c>
      <c r="O1902" t="s">
        <v>35</v>
      </c>
      <c r="P1902">
        <v>42.4</v>
      </c>
      <c r="Q1902">
        <v>1870</v>
      </c>
      <c r="R1902">
        <v>5</v>
      </c>
      <c r="S1902">
        <v>0</v>
      </c>
      <c r="T1902" t="s">
        <v>45</v>
      </c>
      <c r="U1902" t="s">
        <v>30</v>
      </c>
      <c r="V1902">
        <v>128063</v>
      </c>
      <c r="W1902">
        <v>4.17</v>
      </c>
      <c r="X1902">
        <v>4</v>
      </c>
    </row>
    <row r="1903" spans="1:24" x14ac:dyDescent="0.3">
      <c r="A1903" t="s">
        <v>46</v>
      </c>
      <c r="B1903" t="s">
        <v>72</v>
      </c>
      <c r="C1903">
        <v>2025</v>
      </c>
      <c r="D1903" t="s">
        <v>33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48</v>
      </c>
      <c r="N1903">
        <v>5</v>
      </c>
      <c r="O1903" t="s">
        <v>28</v>
      </c>
      <c r="P1903">
        <v>51.4</v>
      </c>
      <c r="Q1903">
        <v>2737</v>
      </c>
      <c r="R1903">
        <v>4</v>
      </c>
      <c r="S1903">
        <v>3</v>
      </c>
      <c r="T1903" t="s">
        <v>41</v>
      </c>
      <c r="U1903" t="s">
        <v>30</v>
      </c>
      <c r="V1903">
        <v>162101</v>
      </c>
      <c r="W1903">
        <v>3.9</v>
      </c>
      <c r="X1903">
        <v>5</v>
      </c>
    </row>
    <row r="1904" spans="1:24" x14ac:dyDescent="0.3">
      <c r="A1904" t="s">
        <v>38</v>
      </c>
      <c r="B1904" t="s">
        <v>39</v>
      </c>
      <c r="C1904">
        <v>2024</v>
      </c>
      <c r="D1904" t="s">
        <v>61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27</v>
      </c>
      <c r="N1904">
        <v>7</v>
      </c>
      <c r="O1904" t="s">
        <v>58</v>
      </c>
      <c r="P1904">
        <v>29.7</v>
      </c>
      <c r="Q1904">
        <v>1500</v>
      </c>
      <c r="R1904">
        <v>5</v>
      </c>
      <c r="S1904">
        <v>0</v>
      </c>
      <c r="T1904" t="s">
        <v>41</v>
      </c>
      <c r="U1904" t="s">
        <v>37</v>
      </c>
      <c r="V1904">
        <v>14766</v>
      </c>
      <c r="W1904">
        <v>3.22</v>
      </c>
      <c r="X1904">
        <v>4</v>
      </c>
    </row>
    <row r="1905" spans="1:24" x14ac:dyDescent="0.3">
      <c r="A1905" t="s">
        <v>46</v>
      </c>
      <c r="B1905" t="s">
        <v>72</v>
      </c>
      <c r="C1905">
        <v>2025</v>
      </c>
      <c r="D1905" t="s">
        <v>44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34</v>
      </c>
      <c r="N1905">
        <v>5</v>
      </c>
      <c r="O1905" t="s">
        <v>28</v>
      </c>
      <c r="P1905">
        <v>62.8</v>
      </c>
      <c r="Q1905">
        <v>2731</v>
      </c>
      <c r="R1905">
        <v>5</v>
      </c>
      <c r="S1905">
        <v>2</v>
      </c>
      <c r="T1905" t="s">
        <v>41</v>
      </c>
      <c r="U1905" t="s">
        <v>30</v>
      </c>
      <c r="V1905">
        <v>209669</v>
      </c>
      <c r="W1905">
        <v>3.98</v>
      </c>
      <c r="X1905">
        <v>5</v>
      </c>
    </row>
    <row r="1906" spans="1:24" x14ac:dyDescent="0.3">
      <c r="A1906" t="s">
        <v>38</v>
      </c>
      <c r="B1906" t="s">
        <v>101</v>
      </c>
      <c r="C1906">
        <v>2026</v>
      </c>
      <c r="D1906" t="s">
        <v>33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27</v>
      </c>
      <c r="N1906">
        <v>7</v>
      </c>
      <c r="O1906" t="s">
        <v>40</v>
      </c>
      <c r="P1906">
        <v>71.5</v>
      </c>
      <c r="Q1906">
        <v>1633</v>
      </c>
      <c r="R1906">
        <v>5</v>
      </c>
      <c r="S1906">
        <v>0</v>
      </c>
      <c r="T1906" t="s">
        <v>41</v>
      </c>
      <c r="U1906" t="s">
        <v>33</v>
      </c>
      <c r="V1906">
        <v>1367</v>
      </c>
      <c r="W1906">
        <v>3.49</v>
      </c>
      <c r="X1906">
        <v>3</v>
      </c>
    </row>
    <row r="1907" spans="1:24" x14ac:dyDescent="0.3">
      <c r="A1907" t="s">
        <v>46</v>
      </c>
      <c r="B1907" t="s">
        <v>57</v>
      </c>
      <c r="C1907">
        <v>2025</v>
      </c>
      <c r="D1907" t="s">
        <v>56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48</v>
      </c>
      <c r="N1907">
        <v>7</v>
      </c>
      <c r="O1907" t="s">
        <v>58</v>
      </c>
      <c r="P1907">
        <v>34</v>
      </c>
      <c r="Q1907">
        <v>1665</v>
      </c>
      <c r="R1907">
        <v>4</v>
      </c>
      <c r="S1907">
        <v>2</v>
      </c>
      <c r="T1907" t="s">
        <v>41</v>
      </c>
      <c r="U1907" t="s">
        <v>33</v>
      </c>
      <c r="V1907">
        <v>185813</v>
      </c>
      <c r="W1907">
        <v>3.27</v>
      </c>
      <c r="X1907">
        <v>5</v>
      </c>
    </row>
    <row r="1908" spans="1:24" x14ac:dyDescent="0.3">
      <c r="A1908" t="s">
        <v>31</v>
      </c>
      <c r="B1908" t="s">
        <v>112</v>
      </c>
      <c r="C1908">
        <v>2022</v>
      </c>
      <c r="D1908" t="s">
        <v>33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27</v>
      </c>
      <c r="N1908">
        <v>7</v>
      </c>
      <c r="O1908" t="s">
        <v>58</v>
      </c>
      <c r="P1908">
        <v>26.9</v>
      </c>
      <c r="Q1908">
        <v>1614</v>
      </c>
      <c r="R1908">
        <v>5</v>
      </c>
      <c r="S1908">
        <v>0</v>
      </c>
      <c r="T1908" t="s">
        <v>36</v>
      </c>
      <c r="U1908" t="s">
        <v>37</v>
      </c>
      <c r="V1908">
        <v>1920</v>
      </c>
      <c r="W1908">
        <v>3.39</v>
      </c>
      <c r="X1908">
        <v>4</v>
      </c>
    </row>
    <row r="1909" spans="1:24" x14ac:dyDescent="0.3">
      <c r="A1909" t="s">
        <v>24</v>
      </c>
      <c r="B1909" t="s">
        <v>85</v>
      </c>
      <c r="C1909">
        <v>2023</v>
      </c>
      <c r="D1909" t="s">
        <v>26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34</v>
      </c>
      <c r="N1909">
        <v>7</v>
      </c>
      <c r="O1909" t="s">
        <v>28</v>
      </c>
      <c r="P1909">
        <v>67.099999999999994</v>
      </c>
      <c r="Q1909">
        <v>2184</v>
      </c>
      <c r="R1909">
        <v>4</v>
      </c>
      <c r="S1909">
        <v>2</v>
      </c>
      <c r="T1909" t="s">
        <v>29</v>
      </c>
      <c r="U1909" t="s">
        <v>33</v>
      </c>
      <c r="V1909">
        <v>214221</v>
      </c>
      <c r="W1909">
        <v>3.69</v>
      </c>
      <c r="X1909">
        <v>4</v>
      </c>
    </row>
    <row r="1910" spans="1:24" x14ac:dyDescent="0.3">
      <c r="A1910" t="s">
        <v>63</v>
      </c>
      <c r="B1910" t="s">
        <v>107</v>
      </c>
      <c r="C1910">
        <v>2022</v>
      </c>
      <c r="D1910" t="s">
        <v>44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34</v>
      </c>
      <c r="N1910">
        <v>5</v>
      </c>
      <c r="O1910" t="s">
        <v>40</v>
      </c>
      <c r="P1910">
        <v>74.400000000000006</v>
      </c>
      <c r="Q1910">
        <v>1500</v>
      </c>
      <c r="R1910">
        <v>5</v>
      </c>
      <c r="S1910">
        <v>1</v>
      </c>
      <c r="T1910" t="s">
        <v>65</v>
      </c>
      <c r="U1910" t="s">
        <v>33</v>
      </c>
      <c r="V1910">
        <v>167490</v>
      </c>
      <c r="W1910">
        <v>3.58</v>
      </c>
      <c r="X1910">
        <v>4</v>
      </c>
    </row>
    <row r="1911" spans="1:24" x14ac:dyDescent="0.3">
      <c r="A1911" t="s">
        <v>46</v>
      </c>
      <c r="B1911" t="s">
        <v>57</v>
      </c>
      <c r="C1911">
        <v>2025</v>
      </c>
      <c r="D1911" t="s">
        <v>26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48</v>
      </c>
      <c r="N1911">
        <v>7</v>
      </c>
      <c r="O1911" t="s">
        <v>35</v>
      </c>
      <c r="P1911">
        <v>66.8</v>
      </c>
      <c r="Q1911">
        <v>2131</v>
      </c>
      <c r="R1911">
        <v>4</v>
      </c>
      <c r="S1911">
        <v>3</v>
      </c>
      <c r="T1911" t="s">
        <v>41</v>
      </c>
      <c r="U1911" t="s">
        <v>30</v>
      </c>
      <c r="V1911">
        <v>130032</v>
      </c>
      <c r="W1911">
        <v>3.68</v>
      </c>
      <c r="X1911">
        <v>6</v>
      </c>
    </row>
    <row r="1912" spans="1:24" x14ac:dyDescent="0.3">
      <c r="A1912" t="s">
        <v>63</v>
      </c>
      <c r="B1912" t="s">
        <v>67</v>
      </c>
      <c r="C1912">
        <v>2025</v>
      </c>
      <c r="D1912" t="s">
        <v>56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27</v>
      </c>
      <c r="N1912">
        <v>5</v>
      </c>
      <c r="O1912" t="s">
        <v>40</v>
      </c>
      <c r="P1912">
        <v>76.7</v>
      </c>
      <c r="Q1912">
        <v>1754</v>
      </c>
      <c r="R1912">
        <v>5</v>
      </c>
      <c r="S1912">
        <v>0</v>
      </c>
      <c r="T1912" t="s">
        <v>65</v>
      </c>
      <c r="U1912" t="s">
        <v>37</v>
      </c>
      <c r="V1912">
        <v>195375</v>
      </c>
      <c r="W1912">
        <v>3.46</v>
      </c>
      <c r="X1912">
        <v>4</v>
      </c>
    </row>
    <row r="1913" spans="1:24" x14ac:dyDescent="0.3">
      <c r="A1913" t="s">
        <v>86</v>
      </c>
      <c r="B1913" t="s">
        <v>117</v>
      </c>
      <c r="C1913">
        <v>2023</v>
      </c>
      <c r="D1913" t="s">
        <v>56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27</v>
      </c>
      <c r="N1913">
        <v>5</v>
      </c>
      <c r="O1913" t="s">
        <v>35</v>
      </c>
      <c r="P1913">
        <v>55.9</v>
      </c>
      <c r="Q1913">
        <v>2208</v>
      </c>
      <c r="R1913">
        <v>5</v>
      </c>
      <c r="S1913">
        <v>2</v>
      </c>
      <c r="T1913" t="s">
        <v>29</v>
      </c>
      <c r="U1913" t="s">
        <v>37</v>
      </c>
      <c r="V1913">
        <v>57366</v>
      </c>
      <c r="W1913">
        <v>3.57</v>
      </c>
      <c r="X1913">
        <v>6</v>
      </c>
    </row>
    <row r="1914" spans="1:24" x14ac:dyDescent="0.3">
      <c r="A1914" t="s">
        <v>131</v>
      </c>
      <c r="B1914" t="s">
        <v>132</v>
      </c>
      <c r="C1914">
        <v>2021</v>
      </c>
      <c r="D1914" t="s">
        <v>44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27</v>
      </c>
      <c r="N1914">
        <v>5</v>
      </c>
      <c r="O1914" t="s">
        <v>50</v>
      </c>
      <c r="P1914">
        <v>28.7</v>
      </c>
      <c r="Q1914">
        <v>1717</v>
      </c>
      <c r="R1914">
        <v>5</v>
      </c>
      <c r="S1914">
        <v>2</v>
      </c>
      <c r="T1914" t="s">
        <v>65</v>
      </c>
      <c r="U1914" t="s">
        <v>37</v>
      </c>
      <c r="V1914">
        <v>23659</v>
      </c>
      <c r="W1914">
        <v>3.6</v>
      </c>
      <c r="X1914">
        <v>3</v>
      </c>
    </row>
    <row r="1915" spans="1:24" x14ac:dyDescent="0.3">
      <c r="A1915" t="s">
        <v>24</v>
      </c>
      <c r="B1915" t="s">
        <v>85</v>
      </c>
      <c r="C1915">
        <v>2023</v>
      </c>
      <c r="D1915" t="s">
        <v>33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27</v>
      </c>
      <c r="N1915">
        <v>5</v>
      </c>
      <c r="O1915" t="s">
        <v>28</v>
      </c>
      <c r="P1915">
        <v>70.7</v>
      </c>
      <c r="Q1915">
        <v>2281</v>
      </c>
      <c r="R1915">
        <v>5</v>
      </c>
      <c r="S1915">
        <v>1</v>
      </c>
      <c r="T1915" t="s">
        <v>29</v>
      </c>
      <c r="U1915" t="s">
        <v>37</v>
      </c>
      <c r="V1915">
        <v>227778</v>
      </c>
      <c r="W1915">
        <v>3.41</v>
      </c>
      <c r="X1915">
        <v>3</v>
      </c>
    </row>
    <row r="1916" spans="1:24" x14ac:dyDescent="0.3">
      <c r="A1916" t="s">
        <v>24</v>
      </c>
      <c r="B1916" t="s">
        <v>25</v>
      </c>
      <c r="C1916">
        <v>2020</v>
      </c>
      <c r="D1916" t="s">
        <v>61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34</v>
      </c>
      <c r="N1916">
        <v>5</v>
      </c>
      <c r="O1916" t="s">
        <v>58</v>
      </c>
      <c r="P1916">
        <v>34.799999999999997</v>
      </c>
      <c r="Q1916">
        <v>1734</v>
      </c>
      <c r="R1916">
        <v>4</v>
      </c>
      <c r="S1916">
        <v>1</v>
      </c>
      <c r="T1916" t="s">
        <v>29</v>
      </c>
      <c r="U1916" t="s">
        <v>33</v>
      </c>
      <c r="V1916">
        <v>255858</v>
      </c>
      <c r="W1916">
        <v>3.29</v>
      </c>
      <c r="X1916">
        <v>3</v>
      </c>
    </row>
    <row r="1917" spans="1:24" x14ac:dyDescent="0.3">
      <c r="A1917" t="s">
        <v>38</v>
      </c>
      <c r="B1917" t="s">
        <v>102</v>
      </c>
      <c r="C1917">
        <v>2022</v>
      </c>
      <c r="D1917" t="s">
        <v>33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27</v>
      </c>
      <c r="N1917">
        <v>7</v>
      </c>
      <c r="O1917" t="s">
        <v>35</v>
      </c>
      <c r="P1917">
        <v>36.1</v>
      </c>
      <c r="Q1917">
        <v>2053</v>
      </c>
      <c r="R1917">
        <v>4</v>
      </c>
      <c r="S1917">
        <v>0</v>
      </c>
      <c r="T1917" t="s">
        <v>41</v>
      </c>
      <c r="U1917" t="s">
        <v>33</v>
      </c>
      <c r="V1917">
        <v>7825</v>
      </c>
      <c r="W1917">
        <v>3.4</v>
      </c>
      <c r="X1917">
        <v>4</v>
      </c>
    </row>
    <row r="1918" spans="1:24" x14ac:dyDescent="0.3">
      <c r="A1918" t="s">
        <v>86</v>
      </c>
      <c r="B1918" t="s">
        <v>108</v>
      </c>
      <c r="C1918">
        <v>2023</v>
      </c>
      <c r="D1918" t="s">
        <v>44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27</v>
      </c>
      <c r="N1918">
        <v>5</v>
      </c>
      <c r="O1918" t="s">
        <v>58</v>
      </c>
      <c r="P1918">
        <v>35.799999999999997</v>
      </c>
      <c r="Q1918">
        <v>1600</v>
      </c>
      <c r="R1918">
        <v>4</v>
      </c>
      <c r="S1918">
        <v>1</v>
      </c>
      <c r="T1918" t="s">
        <v>29</v>
      </c>
      <c r="U1918" t="s">
        <v>33</v>
      </c>
      <c r="V1918">
        <v>56851</v>
      </c>
      <c r="W1918">
        <v>3.65</v>
      </c>
      <c r="X1918">
        <v>6</v>
      </c>
    </row>
    <row r="1919" spans="1:24" x14ac:dyDescent="0.3">
      <c r="A1919" t="s">
        <v>42</v>
      </c>
      <c r="B1919" t="s">
        <v>80</v>
      </c>
      <c r="C1919">
        <v>2020</v>
      </c>
      <c r="D1919" t="s">
        <v>56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27</v>
      </c>
      <c r="N1919">
        <v>7</v>
      </c>
      <c r="O1919" t="s">
        <v>35</v>
      </c>
      <c r="P1919">
        <v>55.5</v>
      </c>
      <c r="Q1919">
        <v>2035</v>
      </c>
      <c r="R1919">
        <v>4</v>
      </c>
      <c r="S1919">
        <v>0</v>
      </c>
      <c r="T1919" t="s">
        <v>45</v>
      </c>
      <c r="U1919" t="s">
        <v>66</v>
      </c>
      <c r="V1919">
        <v>139463</v>
      </c>
      <c r="W1919">
        <v>3.31</v>
      </c>
      <c r="X1919">
        <v>3</v>
      </c>
    </row>
    <row r="1920" spans="1:24" x14ac:dyDescent="0.3">
      <c r="A1920" t="s">
        <v>24</v>
      </c>
      <c r="B1920" t="s">
        <v>70</v>
      </c>
      <c r="C1920">
        <v>2022</v>
      </c>
      <c r="D1920" t="s">
        <v>26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27</v>
      </c>
      <c r="N1920">
        <v>5</v>
      </c>
      <c r="O1920" t="s">
        <v>58</v>
      </c>
      <c r="P1920">
        <v>26</v>
      </c>
      <c r="Q1920">
        <v>1616</v>
      </c>
      <c r="R1920">
        <v>4</v>
      </c>
      <c r="S1920">
        <v>0</v>
      </c>
      <c r="T1920" t="s">
        <v>29</v>
      </c>
      <c r="U1920" t="s">
        <v>33</v>
      </c>
      <c r="V1920">
        <v>246097</v>
      </c>
      <c r="W1920">
        <v>3.31</v>
      </c>
      <c r="X1920">
        <v>4</v>
      </c>
    </row>
    <row r="1921" spans="1:24" x14ac:dyDescent="0.3">
      <c r="A1921" t="s">
        <v>24</v>
      </c>
      <c r="B1921" t="s">
        <v>85</v>
      </c>
      <c r="C1921">
        <v>2024</v>
      </c>
      <c r="D1921" t="s">
        <v>44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48</v>
      </c>
      <c r="N1921">
        <v>5</v>
      </c>
      <c r="O1921" t="s">
        <v>51</v>
      </c>
      <c r="P1921">
        <v>27.3</v>
      </c>
      <c r="Q1921">
        <v>1892</v>
      </c>
      <c r="R1921">
        <v>4</v>
      </c>
      <c r="S1921">
        <v>0</v>
      </c>
      <c r="T1921" t="s">
        <v>29</v>
      </c>
      <c r="U1921" t="s">
        <v>37</v>
      </c>
      <c r="V1921">
        <v>233529</v>
      </c>
      <c r="W1921">
        <v>3.84</v>
      </c>
      <c r="X1921">
        <v>3</v>
      </c>
    </row>
    <row r="1922" spans="1:24" x14ac:dyDescent="0.3">
      <c r="A1922" t="s">
        <v>38</v>
      </c>
      <c r="B1922" t="s">
        <v>118</v>
      </c>
      <c r="C1922">
        <v>2024</v>
      </c>
      <c r="D1922" t="s">
        <v>33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27</v>
      </c>
      <c r="N1922">
        <v>5</v>
      </c>
      <c r="O1922" t="s">
        <v>50</v>
      </c>
      <c r="P1922">
        <v>15.1</v>
      </c>
      <c r="Q1922">
        <v>1778</v>
      </c>
      <c r="R1922">
        <v>3</v>
      </c>
      <c r="S1922">
        <v>1</v>
      </c>
      <c r="T1922" t="s">
        <v>41</v>
      </c>
      <c r="U1922" t="s">
        <v>33</v>
      </c>
      <c r="V1922">
        <v>24840</v>
      </c>
      <c r="W1922">
        <v>3.52</v>
      </c>
      <c r="X1922">
        <v>3</v>
      </c>
    </row>
    <row r="1923" spans="1:24" x14ac:dyDescent="0.3">
      <c r="A1923" t="s">
        <v>46</v>
      </c>
      <c r="B1923" t="s">
        <v>47</v>
      </c>
      <c r="C1923">
        <v>2025</v>
      </c>
      <c r="D1923" t="s">
        <v>61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48</v>
      </c>
      <c r="N1923">
        <v>7</v>
      </c>
      <c r="O1923" t="s">
        <v>40</v>
      </c>
      <c r="P1923">
        <v>65.900000000000006</v>
      </c>
      <c r="Q1923">
        <v>1500</v>
      </c>
      <c r="R1923">
        <v>4</v>
      </c>
      <c r="S1923">
        <v>2</v>
      </c>
      <c r="T1923" t="s">
        <v>41</v>
      </c>
      <c r="U1923" t="s">
        <v>66</v>
      </c>
      <c r="V1923">
        <v>110913</v>
      </c>
      <c r="W1923">
        <v>3.78</v>
      </c>
      <c r="X1923">
        <v>6</v>
      </c>
    </row>
    <row r="1924" spans="1:24" x14ac:dyDescent="0.3">
      <c r="A1924" t="s">
        <v>83</v>
      </c>
      <c r="B1924" t="s">
        <v>89</v>
      </c>
      <c r="C1924">
        <v>2025</v>
      </c>
      <c r="D1924" t="s">
        <v>61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48</v>
      </c>
      <c r="N1924">
        <v>5</v>
      </c>
      <c r="O1924" t="s">
        <v>51</v>
      </c>
      <c r="P1924">
        <v>38.9</v>
      </c>
      <c r="Q1924">
        <v>1612</v>
      </c>
      <c r="R1924">
        <v>5</v>
      </c>
      <c r="S1924">
        <v>1</v>
      </c>
      <c r="T1924" t="s">
        <v>29</v>
      </c>
      <c r="U1924" t="s">
        <v>30</v>
      </c>
      <c r="V1924">
        <v>64517</v>
      </c>
      <c r="W1924">
        <v>3.56</v>
      </c>
      <c r="X1924">
        <v>5</v>
      </c>
    </row>
    <row r="1925" spans="1:24" x14ac:dyDescent="0.3">
      <c r="A1925" t="s">
        <v>24</v>
      </c>
      <c r="B1925" t="s">
        <v>85</v>
      </c>
      <c r="C1925">
        <v>2026</v>
      </c>
      <c r="D1925" t="s">
        <v>26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48</v>
      </c>
      <c r="N1925">
        <v>5</v>
      </c>
      <c r="O1925" t="s">
        <v>58</v>
      </c>
      <c r="P1925">
        <v>33.6</v>
      </c>
      <c r="Q1925">
        <v>1972</v>
      </c>
      <c r="R1925">
        <v>5</v>
      </c>
      <c r="S1925">
        <v>1</v>
      </c>
      <c r="T1925" t="s">
        <v>29</v>
      </c>
      <c r="U1925" t="s">
        <v>33</v>
      </c>
      <c r="V1925">
        <v>250773</v>
      </c>
      <c r="W1925">
        <v>3.82</v>
      </c>
      <c r="X1925">
        <v>3</v>
      </c>
    </row>
    <row r="1926" spans="1:24" x14ac:dyDescent="0.3">
      <c r="A1926" t="s">
        <v>76</v>
      </c>
      <c r="B1926" t="s">
        <v>91</v>
      </c>
      <c r="C1926">
        <v>2025</v>
      </c>
      <c r="D1926" t="s">
        <v>26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27</v>
      </c>
      <c r="N1926">
        <v>2</v>
      </c>
      <c r="O1926" t="s">
        <v>28</v>
      </c>
      <c r="P1926">
        <v>57.8</v>
      </c>
      <c r="Q1926">
        <v>2494</v>
      </c>
      <c r="R1926">
        <v>3</v>
      </c>
      <c r="S1926">
        <v>0</v>
      </c>
      <c r="T1926" t="s">
        <v>41</v>
      </c>
      <c r="U1926" t="s">
        <v>37</v>
      </c>
      <c r="V1926">
        <v>58686</v>
      </c>
      <c r="W1926">
        <v>4</v>
      </c>
      <c r="X1926">
        <v>4</v>
      </c>
    </row>
    <row r="1927" spans="1:24" x14ac:dyDescent="0.3">
      <c r="A1927" t="s">
        <v>46</v>
      </c>
      <c r="B1927" t="s">
        <v>49</v>
      </c>
      <c r="C1927">
        <v>2026</v>
      </c>
      <c r="D1927" t="s">
        <v>44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34</v>
      </c>
      <c r="N1927">
        <v>7</v>
      </c>
      <c r="O1927" t="s">
        <v>50</v>
      </c>
      <c r="P1927">
        <v>28.1</v>
      </c>
      <c r="Q1927">
        <v>1575</v>
      </c>
      <c r="R1927">
        <v>4</v>
      </c>
      <c r="S1927">
        <v>2</v>
      </c>
      <c r="T1927" t="s">
        <v>41</v>
      </c>
      <c r="U1927" t="s">
        <v>37</v>
      </c>
      <c r="V1927">
        <v>417203</v>
      </c>
      <c r="W1927">
        <v>3.88</v>
      </c>
      <c r="X1927">
        <v>6</v>
      </c>
    </row>
    <row r="1928" spans="1:24" x14ac:dyDescent="0.3">
      <c r="A1928" t="s">
        <v>42</v>
      </c>
      <c r="B1928" t="s">
        <v>80</v>
      </c>
      <c r="C1928">
        <v>2024</v>
      </c>
      <c r="D1928" t="s">
        <v>33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48</v>
      </c>
      <c r="N1928">
        <v>7</v>
      </c>
      <c r="O1928" t="s">
        <v>35</v>
      </c>
      <c r="P1928">
        <v>46.4</v>
      </c>
      <c r="Q1928">
        <v>1899</v>
      </c>
      <c r="R1928">
        <v>5</v>
      </c>
      <c r="S1928">
        <v>0</v>
      </c>
      <c r="T1928" t="s">
        <v>45</v>
      </c>
      <c r="U1928" t="s">
        <v>33</v>
      </c>
      <c r="V1928">
        <v>143775</v>
      </c>
      <c r="W1928">
        <v>3.53</v>
      </c>
      <c r="X1928">
        <v>4</v>
      </c>
    </row>
    <row r="1929" spans="1:24" x14ac:dyDescent="0.3">
      <c r="A1929" t="s">
        <v>68</v>
      </c>
      <c r="B1929" t="s">
        <v>106</v>
      </c>
      <c r="C1929">
        <v>2022</v>
      </c>
      <c r="D1929" t="s">
        <v>61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27</v>
      </c>
      <c r="N1929">
        <v>5</v>
      </c>
      <c r="O1929" t="s">
        <v>40</v>
      </c>
      <c r="P1929">
        <v>72</v>
      </c>
      <c r="Q1929">
        <v>1606</v>
      </c>
      <c r="R1929">
        <v>5</v>
      </c>
      <c r="S1929">
        <v>1</v>
      </c>
      <c r="T1929" t="s">
        <v>45</v>
      </c>
      <c r="U1929" t="s">
        <v>66</v>
      </c>
      <c r="V1929">
        <v>120724</v>
      </c>
      <c r="W1929">
        <v>3.13</v>
      </c>
      <c r="X1929">
        <v>5</v>
      </c>
    </row>
    <row r="1930" spans="1:24" x14ac:dyDescent="0.3">
      <c r="A1930" t="s">
        <v>83</v>
      </c>
      <c r="B1930" t="s">
        <v>89</v>
      </c>
      <c r="C1930">
        <v>2024</v>
      </c>
      <c r="D1930" t="s">
        <v>26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27</v>
      </c>
      <c r="N1930">
        <v>7</v>
      </c>
      <c r="O1930" t="s">
        <v>28</v>
      </c>
      <c r="P1930">
        <v>54</v>
      </c>
      <c r="Q1930">
        <v>2571</v>
      </c>
      <c r="R1930">
        <v>5</v>
      </c>
      <c r="S1930">
        <v>1</v>
      </c>
      <c r="T1930" t="s">
        <v>29</v>
      </c>
      <c r="U1930" t="s">
        <v>30</v>
      </c>
      <c r="V1930">
        <v>49531</v>
      </c>
      <c r="W1930">
        <v>3.97</v>
      </c>
      <c r="X1930">
        <v>6</v>
      </c>
    </row>
    <row r="1931" spans="1:24" x14ac:dyDescent="0.3">
      <c r="A1931" t="s">
        <v>46</v>
      </c>
      <c r="B1931" t="s">
        <v>72</v>
      </c>
      <c r="C1931">
        <v>2024</v>
      </c>
      <c r="D1931" t="s">
        <v>33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34</v>
      </c>
      <c r="N1931">
        <v>5</v>
      </c>
      <c r="O1931" t="s">
        <v>28</v>
      </c>
      <c r="P1931">
        <v>57.5</v>
      </c>
      <c r="Q1931">
        <v>2492</v>
      </c>
      <c r="R1931">
        <v>4</v>
      </c>
      <c r="S1931">
        <v>2</v>
      </c>
      <c r="T1931" t="s">
        <v>41</v>
      </c>
      <c r="U1931" t="s">
        <v>30</v>
      </c>
      <c r="V1931">
        <v>117423</v>
      </c>
      <c r="W1931">
        <v>3.81</v>
      </c>
      <c r="X1931">
        <v>5</v>
      </c>
    </row>
    <row r="1932" spans="1:24" x14ac:dyDescent="0.3">
      <c r="A1932" t="s">
        <v>42</v>
      </c>
      <c r="B1932" t="s">
        <v>54</v>
      </c>
      <c r="C1932">
        <v>2024</v>
      </c>
      <c r="D1932" t="s">
        <v>61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48</v>
      </c>
      <c r="N1932">
        <v>7</v>
      </c>
      <c r="O1932" t="s">
        <v>40</v>
      </c>
      <c r="P1932">
        <v>60.9</v>
      </c>
      <c r="Q1932">
        <v>1500</v>
      </c>
      <c r="R1932">
        <v>4</v>
      </c>
      <c r="S1932">
        <v>1</v>
      </c>
      <c r="T1932" t="s">
        <v>45</v>
      </c>
      <c r="U1932" t="s">
        <v>37</v>
      </c>
      <c r="V1932">
        <v>124150</v>
      </c>
      <c r="W1932">
        <v>3.57</v>
      </c>
      <c r="X1932">
        <v>4</v>
      </c>
    </row>
    <row r="1933" spans="1:24" x14ac:dyDescent="0.3">
      <c r="A1933" t="s">
        <v>42</v>
      </c>
      <c r="B1933" t="s">
        <v>71</v>
      </c>
      <c r="C1933">
        <v>2024</v>
      </c>
      <c r="D1933" t="s">
        <v>44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48</v>
      </c>
      <c r="N1933">
        <v>5</v>
      </c>
      <c r="O1933" t="s">
        <v>50</v>
      </c>
      <c r="P1933">
        <v>22.9</v>
      </c>
      <c r="Q1933">
        <v>1655</v>
      </c>
      <c r="R1933">
        <v>4</v>
      </c>
      <c r="S1933">
        <v>0</v>
      </c>
      <c r="T1933" t="s">
        <v>45</v>
      </c>
      <c r="U1933" t="s">
        <v>37</v>
      </c>
      <c r="V1933">
        <v>79174</v>
      </c>
      <c r="W1933">
        <v>3.94</v>
      </c>
      <c r="X1933">
        <v>3</v>
      </c>
    </row>
    <row r="1934" spans="1:24" x14ac:dyDescent="0.3">
      <c r="A1934" t="s">
        <v>42</v>
      </c>
      <c r="B1934" t="s">
        <v>71</v>
      </c>
      <c r="C1934">
        <v>2025</v>
      </c>
      <c r="D1934" t="s">
        <v>56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34</v>
      </c>
      <c r="N1934">
        <v>7</v>
      </c>
      <c r="O1934" t="s">
        <v>51</v>
      </c>
      <c r="P1934">
        <v>17.899999999999999</v>
      </c>
      <c r="Q1934">
        <v>1500</v>
      </c>
      <c r="R1934">
        <v>5</v>
      </c>
      <c r="S1934">
        <v>1</v>
      </c>
      <c r="T1934" t="s">
        <v>45</v>
      </c>
      <c r="U1934" t="s">
        <v>37</v>
      </c>
      <c r="V1934">
        <v>106640</v>
      </c>
      <c r="W1934">
        <v>3.38</v>
      </c>
      <c r="X1934">
        <v>4</v>
      </c>
    </row>
    <row r="1935" spans="1:24" x14ac:dyDescent="0.3">
      <c r="A1935" t="s">
        <v>42</v>
      </c>
      <c r="B1935" t="s">
        <v>43</v>
      </c>
      <c r="C1935">
        <v>2025</v>
      </c>
      <c r="D1935" t="s">
        <v>33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27</v>
      </c>
      <c r="N1935">
        <v>7</v>
      </c>
      <c r="O1935" t="s">
        <v>35</v>
      </c>
      <c r="P1935">
        <v>37.1</v>
      </c>
      <c r="Q1935">
        <v>2168</v>
      </c>
      <c r="R1935">
        <v>4</v>
      </c>
      <c r="S1935">
        <v>1</v>
      </c>
      <c r="T1935" t="s">
        <v>45</v>
      </c>
      <c r="U1935" t="s">
        <v>33</v>
      </c>
      <c r="V1935">
        <v>55676</v>
      </c>
      <c r="W1935">
        <v>3</v>
      </c>
      <c r="X1935">
        <v>5</v>
      </c>
    </row>
    <row r="1936" spans="1:24" x14ac:dyDescent="0.3">
      <c r="A1936" t="s">
        <v>83</v>
      </c>
      <c r="B1936" t="s">
        <v>104</v>
      </c>
      <c r="C1936">
        <v>2025</v>
      </c>
      <c r="D1936" t="s">
        <v>44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48</v>
      </c>
      <c r="N1936">
        <v>7</v>
      </c>
      <c r="O1936" t="s">
        <v>40</v>
      </c>
      <c r="P1936">
        <v>73.3</v>
      </c>
      <c r="Q1936">
        <v>1852</v>
      </c>
      <c r="R1936">
        <v>4</v>
      </c>
      <c r="S1936">
        <v>1</v>
      </c>
      <c r="T1936" t="s">
        <v>29</v>
      </c>
      <c r="U1936" t="s">
        <v>30</v>
      </c>
      <c r="V1936">
        <v>53580</v>
      </c>
      <c r="W1936">
        <v>3.85</v>
      </c>
      <c r="X1936">
        <v>8</v>
      </c>
    </row>
    <row r="1937" spans="1:24" x14ac:dyDescent="0.3">
      <c r="A1937" t="s">
        <v>76</v>
      </c>
      <c r="B1937" t="s">
        <v>98</v>
      </c>
      <c r="C1937">
        <v>2025</v>
      </c>
      <c r="D1937" t="s">
        <v>26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48</v>
      </c>
      <c r="N1937">
        <v>5</v>
      </c>
      <c r="O1937" t="s">
        <v>58</v>
      </c>
      <c r="P1937">
        <v>32.299999999999997</v>
      </c>
      <c r="Q1937">
        <v>1500</v>
      </c>
      <c r="R1937">
        <v>4</v>
      </c>
      <c r="S1937">
        <v>0</v>
      </c>
      <c r="T1937" t="s">
        <v>41</v>
      </c>
      <c r="U1937" t="s">
        <v>37</v>
      </c>
      <c r="V1937">
        <v>37708</v>
      </c>
      <c r="W1937">
        <v>3.81</v>
      </c>
      <c r="X1937">
        <v>4</v>
      </c>
    </row>
    <row r="1938" spans="1:24" x14ac:dyDescent="0.3">
      <c r="A1938" t="s">
        <v>63</v>
      </c>
      <c r="B1938" t="s">
        <v>82</v>
      </c>
      <c r="C1938">
        <v>2025</v>
      </c>
      <c r="D1938" t="s">
        <v>33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48</v>
      </c>
      <c r="N1938">
        <v>7</v>
      </c>
      <c r="O1938" t="s">
        <v>50</v>
      </c>
      <c r="P1938">
        <v>29.5</v>
      </c>
      <c r="Q1938">
        <v>1641</v>
      </c>
      <c r="R1938">
        <v>4</v>
      </c>
      <c r="S1938">
        <v>0</v>
      </c>
      <c r="T1938" t="s">
        <v>65</v>
      </c>
      <c r="U1938" t="s">
        <v>30</v>
      </c>
      <c r="V1938">
        <v>180168</v>
      </c>
      <c r="W1938">
        <v>3.53</v>
      </c>
      <c r="X1938">
        <v>4</v>
      </c>
    </row>
    <row r="1939" spans="1:24" x14ac:dyDescent="0.3">
      <c r="A1939" t="s">
        <v>52</v>
      </c>
      <c r="B1939" t="s">
        <v>126</v>
      </c>
      <c r="C1939">
        <v>2023</v>
      </c>
      <c r="D1939" t="s">
        <v>61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48</v>
      </c>
      <c r="N1939">
        <v>7</v>
      </c>
      <c r="O1939" t="s">
        <v>40</v>
      </c>
      <c r="P1939">
        <v>76.5</v>
      </c>
      <c r="Q1939">
        <v>1500</v>
      </c>
      <c r="R1939">
        <v>4</v>
      </c>
      <c r="S1939">
        <v>1</v>
      </c>
      <c r="T1939" t="s">
        <v>29</v>
      </c>
      <c r="U1939" t="s">
        <v>30</v>
      </c>
      <c r="V1939">
        <v>38676</v>
      </c>
      <c r="W1939">
        <v>3.75</v>
      </c>
      <c r="X1939">
        <v>6</v>
      </c>
    </row>
    <row r="1940" spans="1:24" x14ac:dyDescent="0.3">
      <c r="A1940" t="s">
        <v>68</v>
      </c>
      <c r="B1940" t="s">
        <v>79</v>
      </c>
      <c r="C1940">
        <v>2022</v>
      </c>
      <c r="D1940" t="s">
        <v>33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27</v>
      </c>
      <c r="N1940">
        <v>5</v>
      </c>
      <c r="O1940" t="s">
        <v>28</v>
      </c>
      <c r="P1940">
        <v>75.2</v>
      </c>
      <c r="Q1940">
        <v>2462</v>
      </c>
      <c r="R1940">
        <v>4</v>
      </c>
      <c r="S1940">
        <v>1</v>
      </c>
      <c r="T1940" t="s">
        <v>45</v>
      </c>
      <c r="U1940" t="s">
        <v>37</v>
      </c>
      <c r="V1940">
        <v>103603</v>
      </c>
      <c r="W1940">
        <v>3.49</v>
      </c>
      <c r="X1940">
        <v>4</v>
      </c>
    </row>
    <row r="1941" spans="1:24" x14ac:dyDescent="0.3">
      <c r="A1941" t="s">
        <v>46</v>
      </c>
      <c r="B1941" t="s">
        <v>49</v>
      </c>
      <c r="C1941">
        <v>2022</v>
      </c>
      <c r="D1941" t="s">
        <v>44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34</v>
      </c>
      <c r="N1941">
        <v>5</v>
      </c>
      <c r="O1941" t="s">
        <v>28</v>
      </c>
      <c r="P1941">
        <v>51.9</v>
      </c>
      <c r="Q1941">
        <v>2482</v>
      </c>
      <c r="R1941">
        <v>3</v>
      </c>
      <c r="S1941">
        <v>2</v>
      </c>
      <c r="T1941" t="s">
        <v>41</v>
      </c>
      <c r="U1941" t="s">
        <v>33</v>
      </c>
      <c r="V1941">
        <v>488350</v>
      </c>
      <c r="W1941">
        <v>4</v>
      </c>
      <c r="X1941">
        <v>4</v>
      </c>
    </row>
    <row r="1942" spans="1:24" x14ac:dyDescent="0.3">
      <c r="A1942" t="s">
        <v>46</v>
      </c>
      <c r="B1942" t="s">
        <v>78</v>
      </c>
      <c r="C1942">
        <v>2024</v>
      </c>
      <c r="D1942" t="s">
        <v>26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27</v>
      </c>
      <c r="N1942">
        <v>5</v>
      </c>
      <c r="O1942" t="s">
        <v>58</v>
      </c>
      <c r="P1942">
        <v>29.3</v>
      </c>
      <c r="Q1942">
        <v>1500</v>
      </c>
      <c r="R1942">
        <v>4</v>
      </c>
      <c r="S1942">
        <v>2</v>
      </c>
      <c r="T1942" t="s">
        <v>41</v>
      </c>
      <c r="U1942" t="s">
        <v>30</v>
      </c>
      <c r="V1942">
        <v>187901</v>
      </c>
      <c r="W1942">
        <v>4.2300000000000004</v>
      </c>
      <c r="X1942">
        <v>5</v>
      </c>
    </row>
    <row r="1943" spans="1:24" x14ac:dyDescent="0.3">
      <c r="A1943" t="s">
        <v>63</v>
      </c>
      <c r="B1943" t="s">
        <v>107</v>
      </c>
      <c r="C1943">
        <v>2021</v>
      </c>
      <c r="D1943" t="s">
        <v>33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27</v>
      </c>
      <c r="N1943">
        <v>5</v>
      </c>
      <c r="O1943" t="s">
        <v>58</v>
      </c>
      <c r="P1943">
        <v>25.7</v>
      </c>
      <c r="Q1943">
        <v>1856</v>
      </c>
      <c r="R1943">
        <v>4</v>
      </c>
      <c r="S1943">
        <v>0</v>
      </c>
      <c r="T1943" t="s">
        <v>65</v>
      </c>
      <c r="U1943" t="s">
        <v>33</v>
      </c>
      <c r="V1943">
        <v>235914</v>
      </c>
      <c r="W1943">
        <v>3.5</v>
      </c>
      <c r="X1943">
        <v>4</v>
      </c>
    </row>
    <row r="1944" spans="1:24" x14ac:dyDescent="0.3">
      <c r="A1944" t="s">
        <v>76</v>
      </c>
      <c r="B1944" t="s">
        <v>81</v>
      </c>
      <c r="C1944">
        <v>2024</v>
      </c>
      <c r="D1944" t="s">
        <v>61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27</v>
      </c>
      <c r="N1944">
        <v>5</v>
      </c>
      <c r="O1944" t="s">
        <v>40</v>
      </c>
      <c r="P1944">
        <v>70</v>
      </c>
      <c r="Q1944">
        <v>1521</v>
      </c>
      <c r="R1944">
        <v>5</v>
      </c>
      <c r="S1944">
        <v>0</v>
      </c>
      <c r="T1944" t="s">
        <v>41</v>
      </c>
      <c r="U1944" t="s">
        <v>33</v>
      </c>
      <c r="V1944">
        <v>70445</v>
      </c>
      <c r="W1944">
        <v>3.48</v>
      </c>
      <c r="X1944">
        <v>3</v>
      </c>
    </row>
    <row r="1945" spans="1:24" x14ac:dyDescent="0.3">
      <c r="A1945" t="s">
        <v>38</v>
      </c>
      <c r="B1945" t="s">
        <v>118</v>
      </c>
      <c r="C1945">
        <v>2025</v>
      </c>
      <c r="D1945" t="s">
        <v>56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48</v>
      </c>
      <c r="N1945">
        <v>7</v>
      </c>
      <c r="O1945" t="s">
        <v>50</v>
      </c>
      <c r="P1945">
        <v>22.9</v>
      </c>
      <c r="Q1945">
        <v>1500</v>
      </c>
      <c r="R1945">
        <v>5</v>
      </c>
      <c r="S1945">
        <v>0</v>
      </c>
      <c r="T1945" t="s">
        <v>41</v>
      </c>
      <c r="U1945" t="s">
        <v>37</v>
      </c>
      <c r="V1945">
        <v>4921</v>
      </c>
      <c r="W1945">
        <v>3.66</v>
      </c>
      <c r="X1945">
        <v>4</v>
      </c>
    </row>
    <row r="1946" spans="1:24" x14ac:dyDescent="0.3">
      <c r="A1946" t="s">
        <v>76</v>
      </c>
      <c r="B1946" t="s">
        <v>98</v>
      </c>
      <c r="C1946">
        <v>2026</v>
      </c>
      <c r="D1946" t="s">
        <v>33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48</v>
      </c>
      <c r="N1946">
        <v>5</v>
      </c>
      <c r="O1946" t="s">
        <v>58</v>
      </c>
      <c r="P1946">
        <v>24.7</v>
      </c>
      <c r="Q1946">
        <v>1528</v>
      </c>
      <c r="R1946">
        <v>5</v>
      </c>
      <c r="S1946">
        <v>0</v>
      </c>
      <c r="T1946" t="s">
        <v>41</v>
      </c>
      <c r="U1946" t="s">
        <v>33</v>
      </c>
      <c r="V1946">
        <v>21835</v>
      </c>
      <c r="W1946">
        <v>3.4</v>
      </c>
      <c r="X1946">
        <v>3</v>
      </c>
    </row>
    <row r="1947" spans="1:24" x14ac:dyDescent="0.3">
      <c r="A1947" t="s">
        <v>68</v>
      </c>
      <c r="B1947" t="s">
        <v>109</v>
      </c>
      <c r="C1947">
        <v>2023</v>
      </c>
      <c r="D1947" t="s">
        <v>61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27</v>
      </c>
      <c r="N1947">
        <v>5</v>
      </c>
      <c r="O1947" t="s">
        <v>40</v>
      </c>
      <c r="P1947">
        <v>72.599999999999994</v>
      </c>
      <c r="Q1947">
        <v>1627</v>
      </c>
      <c r="R1947">
        <v>5</v>
      </c>
      <c r="S1947">
        <v>0</v>
      </c>
      <c r="T1947" t="s">
        <v>45</v>
      </c>
      <c r="U1947" t="s">
        <v>66</v>
      </c>
      <c r="V1947">
        <v>88310</v>
      </c>
      <c r="W1947">
        <v>3.39</v>
      </c>
      <c r="X1947">
        <v>4</v>
      </c>
    </row>
    <row r="1948" spans="1:24" x14ac:dyDescent="0.3">
      <c r="A1948" t="s">
        <v>24</v>
      </c>
      <c r="B1948" t="s">
        <v>85</v>
      </c>
      <c r="C1948">
        <v>2025</v>
      </c>
      <c r="D1948" t="s">
        <v>26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48</v>
      </c>
      <c r="N1948">
        <v>5</v>
      </c>
      <c r="O1948" t="s">
        <v>28</v>
      </c>
      <c r="P1948">
        <v>54.2</v>
      </c>
      <c r="Q1948">
        <v>2545</v>
      </c>
      <c r="R1948">
        <v>5</v>
      </c>
      <c r="S1948">
        <v>2</v>
      </c>
      <c r="T1948" t="s">
        <v>29</v>
      </c>
      <c r="U1948" t="s">
        <v>37</v>
      </c>
      <c r="V1948">
        <v>268903</v>
      </c>
      <c r="W1948">
        <v>3.86</v>
      </c>
      <c r="X1948">
        <v>5</v>
      </c>
    </row>
    <row r="1949" spans="1:24" x14ac:dyDescent="0.3">
      <c r="A1949" t="s">
        <v>46</v>
      </c>
      <c r="B1949" t="s">
        <v>57</v>
      </c>
      <c r="C1949">
        <v>2022</v>
      </c>
      <c r="D1949" t="s">
        <v>61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48</v>
      </c>
      <c r="N1949">
        <v>5</v>
      </c>
      <c r="O1949" t="s">
        <v>51</v>
      </c>
      <c r="P1949">
        <v>33.299999999999997</v>
      </c>
      <c r="Q1949">
        <v>1500</v>
      </c>
      <c r="R1949">
        <v>3</v>
      </c>
      <c r="S1949">
        <v>2</v>
      </c>
      <c r="T1949" t="s">
        <v>41</v>
      </c>
      <c r="U1949" t="s">
        <v>30</v>
      </c>
      <c r="V1949">
        <v>136670</v>
      </c>
      <c r="W1949">
        <v>3.54</v>
      </c>
      <c r="X1949">
        <v>5</v>
      </c>
    </row>
    <row r="1950" spans="1:24" x14ac:dyDescent="0.3">
      <c r="A1950" t="s">
        <v>63</v>
      </c>
      <c r="B1950" t="s">
        <v>64</v>
      </c>
      <c r="C1950">
        <v>2024</v>
      </c>
      <c r="D1950" t="s">
        <v>61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48</v>
      </c>
      <c r="N1950">
        <v>5</v>
      </c>
      <c r="O1950" t="s">
        <v>35</v>
      </c>
      <c r="P1950">
        <v>58.7</v>
      </c>
      <c r="Q1950">
        <v>1740</v>
      </c>
      <c r="R1950">
        <v>4</v>
      </c>
      <c r="S1950">
        <v>0</v>
      </c>
      <c r="T1950" t="s">
        <v>65</v>
      </c>
      <c r="U1950" t="s">
        <v>37</v>
      </c>
      <c r="V1950">
        <v>246202</v>
      </c>
      <c r="W1950">
        <v>3.6</v>
      </c>
      <c r="X1950">
        <v>5</v>
      </c>
    </row>
    <row r="1951" spans="1:24" x14ac:dyDescent="0.3">
      <c r="A1951" t="s">
        <v>24</v>
      </c>
      <c r="B1951" t="s">
        <v>25</v>
      </c>
      <c r="C1951">
        <v>2023</v>
      </c>
      <c r="D1951" t="s">
        <v>26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48</v>
      </c>
      <c r="N1951">
        <v>5</v>
      </c>
      <c r="O1951" t="s">
        <v>35</v>
      </c>
      <c r="P1951">
        <v>64.599999999999994</v>
      </c>
      <c r="Q1951">
        <v>2041</v>
      </c>
      <c r="R1951">
        <v>5</v>
      </c>
      <c r="S1951">
        <v>2</v>
      </c>
      <c r="T1951" t="s">
        <v>29</v>
      </c>
      <c r="U1951" t="s">
        <v>30</v>
      </c>
      <c r="V1951">
        <v>225518</v>
      </c>
      <c r="W1951">
        <v>3.24</v>
      </c>
      <c r="X1951">
        <v>4</v>
      </c>
    </row>
    <row r="1952" spans="1:24" x14ac:dyDescent="0.3">
      <c r="A1952" t="s">
        <v>46</v>
      </c>
      <c r="B1952" t="s">
        <v>78</v>
      </c>
      <c r="C1952">
        <v>2022</v>
      </c>
      <c r="D1952" t="s">
        <v>44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34</v>
      </c>
      <c r="N1952">
        <v>7</v>
      </c>
      <c r="O1952" t="s">
        <v>40</v>
      </c>
      <c r="P1952">
        <v>72.400000000000006</v>
      </c>
      <c r="Q1952">
        <v>1585</v>
      </c>
      <c r="R1952">
        <v>5</v>
      </c>
      <c r="S1952">
        <v>3</v>
      </c>
      <c r="T1952" t="s">
        <v>41</v>
      </c>
      <c r="U1952" t="s">
        <v>33</v>
      </c>
      <c r="V1952">
        <v>146415</v>
      </c>
      <c r="W1952">
        <v>3.95</v>
      </c>
      <c r="X1952">
        <v>4</v>
      </c>
    </row>
    <row r="1953" spans="1:24" x14ac:dyDescent="0.3">
      <c r="A1953" t="s">
        <v>63</v>
      </c>
      <c r="B1953" t="s">
        <v>64</v>
      </c>
      <c r="C1953">
        <v>2024</v>
      </c>
      <c r="D1953" t="s">
        <v>61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34</v>
      </c>
      <c r="N1953">
        <v>5</v>
      </c>
      <c r="O1953" t="s">
        <v>40</v>
      </c>
      <c r="P1953">
        <v>62.2</v>
      </c>
      <c r="Q1953">
        <v>1686</v>
      </c>
      <c r="R1953">
        <v>5</v>
      </c>
      <c r="S1953">
        <v>0</v>
      </c>
      <c r="T1953" t="s">
        <v>65</v>
      </c>
      <c r="U1953" t="s">
        <v>33</v>
      </c>
      <c r="V1953">
        <v>218991</v>
      </c>
      <c r="W1953">
        <v>3.84</v>
      </c>
      <c r="X1953">
        <v>4</v>
      </c>
    </row>
    <row r="1954" spans="1:24" x14ac:dyDescent="0.3">
      <c r="A1954" t="s">
        <v>42</v>
      </c>
      <c r="B1954" t="s">
        <v>115</v>
      </c>
      <c r="C1954">
        <v>2025</v>
      </c>
      <c r="D1954" t="s">
        <v>26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27</v>
      </c>
      <c r="N1954">
        <v>5</v>
      </c>
      <c r="O1954" t="s">
        <v>51</v>
      </c>
      <c r="P1954">
        <v>17.899999999999999</v>
      </c>
      <c r="Q1954">
        <v>1599</v>
      </c>
      <c r="R1954">
        <v>4</v>
      </c>
      <c r="S1954">
        <v>2</v>
      </c>
      <c r="T1954" t="s">
        <v>45</v>
      </c>
      <c r="U1954" t="s">
        <v>30</v>
      </c>
      <c r="V1954">
        <v>136386</v>
      </c>
      <c r="W1954">
        <v>3.73</v>
      </c>
      <c r="X1954">
        <v>4</v>
      </c>
    </row>
    <row r="1955" spans="1:24" x14ac:dyDescent="0.3">
      <c r="A1955" t="s">
        <v>38</v>
      </c>
      <c r="B1955" t="s">
        <v>118</v>
      </c>
      <c r="C1955">
        <v>2023</v>
      </c>
      <c r="D1955" t="s">
        <v>26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48</v>
      </c>
      <c r="N1955">
        <v>5</v>
      </c>
      <c r="O1955" t="s">
        <v>28</v>
      </c>
      <c r="P1955">
        <v>61.7</v>
      </c>
      <c r="Q1955">
        <v>2567</v>
      </c>
      <c r="R1955">
        <v>4</v>
      </c>
      <c r="S1955">
        <v>0</v>
      </c>
      <c r="T1955" t="s">
        <v>41</v>
      </c>
      <c r="U1955" t="s">
        <v>33</v>
      </c>
      <c r="V1955">
        <v>20948</v>
      </c>
      <c r="W1955">
        <v>3.66</v>
      </c>
      <c r="X1955">
        <v>5</v>
      </c>
    </row>
    <row r="1956" spans="1:24" x14ac:dyDescent="0.3">
      <c r="A1956" t="s">
        <v>131</v>
      </c>
      <c r="B1956" t="s">
        <v>132</v>
      </c>
      <c r="C1956">
        <v>2025</v>
      </c>
      <c r="D1956" t="s">
        <v>56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27</v>
      </c>
      <c r="N1956">
        <v>5</v>
      </c>
      <c r="O1956" t="s">
        <v>35</v>
      </c>
      <c r="P1956">
        <v>64.3</v>
      </c>
      <c r="Q1956">
        <v>2092</v>
      </c>
      <c r="R1956">
        <v>4</v>
      </c>
      <c r="S1956">
        <v>1</v>
      </c>
      <c r="T1956" t="s">
        <v>65</v>
      </c>
      <c r="U1956" t="s">
        <v>37</v>
      </c>
      <c r="V1956">
        <v>22178</v>
      </c>
      <c r="W1956">
        <v>3.55</v>
      </c>
      <c r="X1956">
        <v>5</v>
      </c>
    </row>
    <row r="1957" spans="1:24" x14ac:dyDescent="0.3">
      <c r="A1957" t="s">
        <v>94</v>
      </c>
      <c r="B1957" t="s">
        <v>120</v>
      </c>
      <c r="C1957">
        <v>2025</v>
      </c>
      <c r="D1957" t="s">
        <v>44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48</v>
      </c>
      <c r="N1957">
        <v>5</v>
      </c>
      <c r="O1957" t="s">
        <v>50</v>
      </c>
      <c r="P1957">
        <v>30.2</v>
      </c>
      <c r="Q1957">
        <v>1603</v>
      </c>
      <c r="R1957">
        <v>5</v>
      </c>
      <c r="S1957">
        <v>0</v>
      </c>
      <c r="T1957" t="s">
        <v>41</v>
      </c>
      <c r="U1957" t="s">
        <v>30</v>
      </c>
      <c r="V1957">
        <v>2112</v>
      </c>
      <c r="W1957">
        <v>3.37</v>
      </c>
      <c r="X1957">
        <v>4</v>
      </c>
    </row>
    <row r="1958" spans="1:24" x14ac:dyDescent="0.3">
      <c r="A1958" t="s">
        <v>83</v>
      </c>
      <c r="B1958" t="s">
        <v>116</v>
      </c>
      <c r="C1958">
        <v>2025</v>
      </c>
      <c r="D1958" t="s">
        <v>44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34</v>
      </c>
      <c r="N1958">
        <v>5</v>
      </c>
      <c r="O1958" t="s">
        <v>28</v>
      </c>
      <c r="P1958">
        <v>55.2</v>
      </c>
      <c r="Q1958">
        <v>2234</v>
      </c>
      <c r="R1958">
        <v>4</v>
      </c>
      <c r="S1958">
        <v>1</v>
      </c>
      <c r="T1958" t="s">
        <v>29</v>
      </c>
      <c r="U1958" t="s">
        <v>30</v>
      </c>
      <c r="V1958">
        <v>41594</v>
      </c>
      <c r="W1958">
        <v>3.71</v>
      </c>
      <c r="X1958">
        <v>7</v>
      </c>
    </row>
    <row r="1959" spans="1:24" x14ac:dyDescent="0.3">
      <c r="A1959" t="s">
        <v>24</v>
      </c>
      <c r="B1959" t="s">
        <v>75</v>
      </c>
      <c r="C1959">
        <v>2023</v>
      </c>
      <c r="D1959" t="s">
        <v>56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34</v>
      </c>
      <c r="N1959">
        <v>5</v>
      </c>
      <c r="O1959" t="s">
        <v>58</v>
      </c>
      <c r="P1959">
        <v>27.4</v>
      </c>
      <c r="Q1959">
        <v>1726</v>
      </c>
      <c r="R1959">
        <v>5</v>
      </c>
      <c r="S1959">
        <v>1</v>
      </c>
      <c r="T1959" t="s">
        <v>29</v>
      </c>
      <c r="U1959" t="s">
        <v>37</v>
      </c>
      <c r="V1959">
        <v>256210</v>
      </c>
      <c r="W1959">
        <v>3.39</v>
      </c>
      <c r="X1959">
        <v>5</v>
      </c>
    </row>
    <row r="1960" spans="1:24" x14ac:dyDescent="0.3">
      <c r="A1960" t="s">
        <v>83</v>
      </c>
      <c r="B1960" t="s">
        <v>89</v>
      </c>
      <c r="C1960">
        <v>2024</v>
      </c>
      <c r="D1960" t="s">
        <v>33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27</v>
      </c>
      <c r="N1960">
        <v>7</v>
      </c>
      <c r="O1960" t="s">
        <v>50</v>
      </c>
      <c r="P1960">
        <v>17.2</v>
      </c>
      <c r="Q1960">
        <v>1658</v>
      </c>
      <c r="R1960">
        <v>5</v>
      </c>
      <c r="S1960">
        <v>2</v>
      </c>
      <c r="T1960" t="s">
        <v>29</v>
      </c>
      <c r="U1960" t="s">
        <v>30</v>
      </c>
      <c r="V1960">
        <v>26942</v>
      </c>
      <c r="W1960">
        <v>3.17</v>
      </c>
      <c r="X1960">
        <v>7</v>
      </c>
    </row>
    <row r="1961" spans="1:24" x14ac:dyDescent="0.3">
      <c r="A1961" t="s">
        <v>76</v>
      </c>
      <c r="B1961" t="s">
        <v>91</v>
      </c>
      <c r="C1961">
        <v>2025</v>
      </c>
      <c r="D1961" t="s">
        <v>33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48</v>
      </c>
      <c r="N1961">
        <v>2</v>
      </c>
      <c r="O1961" t="s">
        <v>28</v>
      </c>
      <c r="P1961">
        <v>66.599999999999994</v>
      </c>
      <c r="Q1961">
        <v>2253</v>
      </c>
      <c r="R1961">
        <v>4</v>
      </c>
      <c r="S1961">
        <v>2</v>
      </c>
      <c r="T1961" t="s">
        <v>41</v>
      </c>
      <c r="U1961" t="s">
        <v>37</v>
      </c>
      <c r="V1961">
        <v>30016</v>
      </c>
      <c r="W1961">
        <v>3.29</v>
      </c>
      <c r="X1961">
        <v>3</v>
      </c>
    </row>
    <row r="1962" spans="1:24" x14ac:dyDescent="0.3">
      <c r="A1962" t="s">
        <v>46</v>
      </c>
      <c r="B1962" t="s">
        <v>57</v>
      </c>
      <c r="C1962">
        <v>2025</v>
      </c>
      <c r="D1962" t="s">
        <v>33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48</v>
      </c>
      <c r="N1962">
        <v>5</v>
      </c>
      <c r="O1962" t="s">
        <v>35</v>
      </c>
      <c r="P1962">
        <v>49.2</v>
      </c>
      <c r="Q1962">
        <v>1951</v>
      </c>
      <c r="R1962">
        <v>4</v>
      </c>
      <c r="S1962">
        <v>2</v>
      </c>
      <c r="T1962" t="s">
        <v>41</v>
      </c>
      <c r="U1962" t="s">
        <v>30</v>
      </c>
      <c r="V1962">
        <v>199834</v>
      </c>
      <c r="W1962">
        <v>3.74</v>
      </c>
      <c r="X1962">
        <v>4</v>
      </c>
    </row>
    <row r="1963" spans="1:24" x14ac:dyDescent="0.3">
      <c r="A1963" t="s">
        <v>24</v>
      </c>
      <c r="B1963" t="s">
        <v>70</v>
      </c>
      <c r="C1963">
        <v>2023</v>
      </c>
      <c r="D1963" t="s">
        <v>44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34</v>
      </c>
      <c r="N1963">
        <v>7</v>
      </c>
      <c r="O1963" t="s">
        <v>51</v>
      </c>
      <c r="P1963">
        <v>25</v>
      </c>
      <c r="Q1963">
        <v>1665</v>
      </c>
      <c r="R1963">
        <v>5</v>
      </c>
      <c r="S1963">
        <v>0</v>
      </c>
      <c r="T1963" t="s">
        <v>29</v>
      </c>
      <c r="U1963" t="s">
        <v>33</v>
      </c>
      <c r="V1963">
        <v>204287</v>
      </c>
      <c r="W1963">
        <v>3.97</v>
      </c>
      <c r="X1963">
        <v>4</v>
      </c>
    </row>
    <row r="1964" spans="1:24" x14ac:dyDescent="0.3">
      <c r="A1964" t="s">
        <v>52</v>
      </c>
      <c r="B1964" t="s">
        <v>97</v>
      </c>
      <c r="C1964">
        <v>2024</v>
      </c>
      <c r="D1964" t="s">
        <v>61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34</v>
      </c>
      <c r="N1964">
        <v>7</v>
      </c>
      <c r="O1964" t="s">
        <v>40</v>
      </c>
      <c r="P1964">
        <v>60.8</v>
      </c>
      <c r="Q1964">
        <v>1500</v>
      </c>
      <c r="R1964">
        <v>4</v>
      </c>
      <c r="S1964">
        <v>2</v>
      </c>
      <c r="T1964" t="s">
        <v>29</v>
      </c>
      <c r="U1964" t="s">
        <v>30</v>
      </c>
      <c r="V1964">
        <v>59376</v>
      </c>
      <c r="W1964">
        <v>3.82</v>
      </c>
      <c r="X1964">
        <v>8</v>
      </c>
    </row>
    <row r="1965" spans="1:24" x14ac:dyDescent="0.3">
      <c r="A1965" t="s">
        <v>24</v>
      </c>
      <c r="B1965" t="s">
        <v>70</v>
      </c>
      <c r="C1965">
        <v>2024</v>
      </c>
      <c r="D1965" t="s">
        <v>26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27</v>
      </c>
      <c r="N1965">
        <v>5</v>
      </c>
      <c r="O1965" t="s">
        <v>51</v>
      </c>
      <c r="P1965">
        <v>36</v>
      </c>
      <c r="Q1965">
        <v>1750</v>
      </c>
      <c r="R1965">
        <v>4</v>
      </c>
      <c r="S1965">
        <v>1</v>
      </c>
      <c r="T1965" t="s">
        <v>29</v>
      </c>
      <c r="U1965" t="s">
        <v>37</v>
      </c>
      <c r="V1965">
        <v>274419</v>
      </c>
      <c r="W1965">
        <v>3.18</v>
      </c>
      <c r="X1965">
        <v>4</v>
      </c>
    </row>
    <row r="1966" spans="1:24" x14ac:dyDescent="0.3">
      <c r="A1966" t="s">
        <v>42</v>
      </c>
      <c r="B1966" t="s">
        <v>115</v>
      </c>
      <c r="C1966">
        <v>2026</v>
      </c>
      <c r="D1966" t="s">
        <v>26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48</v>
      </c>
      <c r="N1966">
        <v>5</v>
      </c>
      <c r="O1966" t="s">
        <v>58</v>
      </c>
      <c r="P1966">
        <v>34.700000000000003</v>
      </c>
      <c r="Q1966">
        <v>1581</v>
      </c>
      <c r="R1966">
        <v>3</v>
      </c>
      <c r="S1966">
        <v>0</v>
      </c>
      <c r="T1966" t="s">
        <v>45</v>
      </c>
      <c r="U1966" t="s">
        <v>37</v>
      </c>
      <c r="V1966">
        <v>141318</v>
      </c>
      <c r="W1966">
        <v>3.75</v>
      </c>
      <c r="X1966">
        <v>3</v>
      </c>
    </row>
    <row r="1967" spans="1:24" x14ac:dyDescent="0.3">
      <c r="A1967" t="s">
        <v>42</v>
      </c>
      <c r="B1967" t="s">
        <v>71</v>
      </c>
      <c r="C1967">
        <v>2022</v>
      </c>
      <c r="D1967" t="s">
        <v>44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34</v>
      </c>
      <c r="N1967">
        <v>5</v>
      </c>
      <c r="O1967" t="s">
        <v>35</v>
      </c>
      <c r="P1967">
        <v>41.4</v>
      </c>
      <c r="Q1967">
        <v>1901</v>
      </c>
      <c r="R1967">
        <v>5</v>
      </c>
      <c r="S1967">
        <v>2</v>
      </c>
      <c r="T1967" t="s">
        <v>45</v>
      </c>
      <c r="U1967" t="s">
        <v>33</v>
      </c>
      <c r="V1967">
        <v>128389</v>
      </c>
      <c r="W1967">
        <v>3.38</v>
      </c>
      <c r="X1967">
        <v>4</v>
      </c>
    </row>
    <row r="1968" spans="1:24" x14ac:dyDescent="0.3">
      <c r="A1968" t="s">
        <v>46</v>
      </c>
      <c r="B1968" t="s">
        <v>72</v>
      </c>
      <c r="C1968">
        <v>2026</v>
      </c>
      <c r="D1968" t="s">
        <v>26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48</v>
      </c>
      <c r="N1968">
        <v>5</v>
      </c>
      <c r="O1968" t="s">
        <v>28</v>
      </c>
      <c r="P1968">
        <v>73.400000000000006</v>
      </c>
      <c r="Q1968">
        <v>2486</v>
      </c>
      <c r="R1968">
        <v>5</v>
      </c>
      <c r="S1968">
        <v>2</v>
      </c>
      <c r="T1968" t="s">
        <v>41</v>
      </c>
      <c r="U1968" t="s">
        <v>33</v>
      </c>
      <c r="V1968">
        <v>166507</v>
      </c>
      <c r="W1968">
        <v>3.89</v>
      </c>
      <c r="X1968">
        <v>4</v>
      </c>
    </row>
    <row r="1969" spans="1:24" x14ac:dyDescent="0.3">
      <c r="A1969" t="s">
        <v>24</v>
      </c>
      <c r="B1969" t="s">
        <v>75</v>
      </c>
      <c r="C1969">
        <v>2025</v>
      </c>
      <c r="D1969" t="s">
        <v>26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27</v>
      </c>
      <c r="N1969">
        <v>7</v>
      </c>
      <c r="O1969" t="s">
        <v>40</v>
      </c>
      <c r="P1969">
        <v>72.5</v>
      </c>
      <c r="Q1969">
        <v>1665</v>
      </c>
      <c r="R1969">
        <v>5</v>
      </c>
      <c r="S1969">
        <v>0</v>
      </c>
      <c r="T1969" t="s">
        <v>29</v>
      </c>
      <c r="U1969" t="s">
        <v>33</v>
      </c>
      <c r="V1969">
        <v>261533</v>
      </c>
      <c r="W1969">
        <v>3.15</v>
      </c>
      <c r="X1969">
        <v>3</v>
      </c>
    </row>
    <row r="1970" spans="1:24" x14ac:dyDescent="0.3">
      <c r="A1970" t="s">
        <v>63</v>
      </c>
      <c r="B1970" t="s">
        <v>88</v>
      </c>
      <c r="C1970">
        <v>2024</v>
      </c>
      <c r="D1970" t="s">
        <v>33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27</v>
      </c>
      <c r="N1970">
        <v>7</v>
      </c>
      <c r="O1970" t="s">
        <v>28</v>
      </c>
      <c r="P1970">
        <v>53.1</v>
      </c>
      <c r="Q1970">
        <v>2431</v>
      </c>
      <c r="R1970">
        <v>5</v>
      </c>
      <c r="S1970">
        <v>0</v>
      </c>
      <c r="T1970" t="s">
        <v>65</v>
      </c>
      <c r="U1970" t="s">
        <v>30</v>
      </c>
      <c r="V1970">
        <v>226549</v>
      </c>
      <c r="W1970">
        <v>3.32</v>
      </c>
      <c r="X1970">
        <v>5</v>
      </c>
    </row>
    <row r="1971" spans="1:24" x14ac:dyDescent="0.3">
      <c r="A1971" t="s">
        <v>46</v>
      </c>
      <c r="B1971" t="s">
        <v>72</v>
      </c>
      <c r="C1971">
        <v>2025</v>
      </c>
      <c r="D1971" t="s">
        <v>56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27</v>
      </c>
      <c r="N1971">
        <v>5</v>
      </c>
      <c r="O1971" t="s">
        <v>28</v>
      </c>
      <c r="P1971">
        <v>52.7</v>
      </c>
      <c r="Q1971">
        <v>2705</v>
      </c>
      <c r="R1971">
        <v>4</v>
      </c>
      <c r="S1971">
        <v>2</v>
      </c>
      <c r="T1971" t="s">
        <v>41</v>
      </c>
      <c r="U1971" t="s">
        <v>33</v>
      </c>
      <c r="V1971">
        <v>221459</v>
      </c>
      <c r="W1971">
        <v>3.6</v>
      </c>
      <c r="X1971">
        <v>5</v>
      </c>
    </row>
    <row r="1972" spans="1:24" x14ac:dyDescent="0.3">
      <c r="A1972" t="s">
        <v>46</v>
      </c>
      <c r="B1972" t="s">
        <v>47</v>
      </c>
      <c r="C1972">
        <v>2024</v>
      </c>
      <c r="D1972" t="s">
        <v>33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48</v>
      </c>
      <c r="N1972">
        <v>7</v>
      </c>
      <c r="O1972" t="s">
        <v>28</v>
      </c>
      <c r="P1972">
        <v>77.7</v>
      </c>
      <c r="Q1972">
        <v>2712</v>
      </c>
      <c r="R1972">
        <v>3</v>
      </c>
      <c r="S1972">
        <v>2</v>
      </c>
      <c r="T1972" t="s">
        <v>41</v>
      </c>
      <c r="U1972" t="s">
        <v>30</v>
      </c>
      <c r="V1972">
        <v>244654</v>
      </c>
      <c r="W1972">
        <v>3.62</v>
      </c>
      <c r="X1972">
        <v>6</v>
      </c>
    </row>
    <row r="1973" spans="1:24" x14ac:dyDescent="0.3">
      <c r="A1973" t="s">
        <v>52</v>
      </c>
      <c r="B1973" t="s">
        <v>103</v>
      </c>
      <c r="C1973">
        <v>2025</v>
      </c>
      <c r="D1973" t="s">
        <v>33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48</v>
      </c>
      <c r="N1973">
        <v>5</v>
      </c>
      <c r="O1973" t="s">
        <v>58</v>
      </c>
      <c r="P1973">
        <v>21.4</v>
      </c>
      <c r="Q1973">
        <v>1500</v>
      </c>
      <c r="R1973">
        <v>4</v>
      </c>
      <c r="S1973">
        <v>1</v>
      </c>
      <c r="T1973" t="s">
        <v>29</v>
      </c>
      <c r="U1973" t="s">
        <v>33</v>
      </c>
      <c r="V1973">
        <v>22464</v>
      </c>
      <c r="W1973">
        <v>3.52</v>
      </c>
      <c r="X1973">
        <v>5</v>
      </c>
    </row>
    <row r="1974" spans="1:24" x14ac:dyDescent="0.3">
      <c r="A1974" t="s">
        <v>63</v>
      </c>
      <c r="B1974" t="s">
        <v>96</v>
      </c>
      <c r="C1974">
        <v>2022</v>
      </c>
      <c r="D1974" t="s">
        <v>56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34</v>
      </c>
      <c r="N1974">
        <v>5</v>
      </c>
      <c r="O1974" t="s">
        <v>35</v>
      </c>
      <c r="P1974">
        <v>45.2</v>
      </c>
      <c r="Q1974">
        <v>2283</v>
      </c>
      <c r="R1974">
        <v>4</v>
      </c>
      <c r="S1974">
        <v>0</v>
      </c>
      <c r="T1974" t="s">
        <v>65</v>
      </c>
      <c r="U1974" t="s">
        <v>33</v>
      </c>
      <c r="V1974">
        <v>210658</v>
      </c>
      <c r="W1974">
        <v>3.09</v>
      </c>
      <c r="X1974">
        <v>4</v>
      </c>
    </row>
    <row r="1975" spans="1:24" x14ac:dyDescent="0.3">
      <c r="A1975" t="s">
        <v>68</v>
      </c>
      <c r="B1975" t="s">
        <v>69</v>
      </c>
      <c r="C1975">
        <v>2025</v>
      </c>
      <c r="D1975" t="s">
        <v>44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48</v>
      </c>
      <c r="N1975">
        <v>7</v>
      </c>
      <c r="O1975" t="s">
        <v>35</v>
      </c>
      <c r="P1975">
        <v>50.4</v>
      </c>
      <c r="Q1975">
        <v>1766</v>
      </c>
      <c r="R1975">
        <v>5</v>
      </c>
      <c r="S1975">
        <v>2</v>
      </c>
      <c r="T1975" t="s">
        <v>45</v>
      </c>
      <c r="U1975" t="s">
        <v>33</v>
      </c>
      <c r="V1975">
        <v>132728</v>
      </c>
      <c r="W1975">
        <v>3.62</v>
      </c>
      <c r="X1975">
        <v>4</v>
      </c>
    </row>
    <row r="1976" spans="1:24" x14ac:dyDescent="0.3">
      <c r="A1976" t="s">
        <v>63</v>
      </c>
      <c r="B1976" t="s">
        <v>82</v>
      </c>
      <c r="C1976">
        <v>2023</v>
      </c>
      <c r="D1976" t="s">
        <v>61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34</v>
      </c>
      <c r="N1976">
        <v>5</v>
      </c>
      <c r="O1976" t="s">
        <v>28</v>
      </c>
      <c r="P1976">
        <v>57.8</v>
      </c>
      <c r="Q1976">
        <v>2198</v>
      </c>
      <c r="R1976">
        <v>5</v>
      </c>
      <c r="S1976">
        <v>1</v>
      </c>
      <c r="T1976" t="s">
        <v>65</v>
      </c>
      <c r="U1976" t="s">
        <v>33</v>
      </c>
      <c r="V1976">
        <v>128075</v>
      </c>
      <c r="W1976">
        <v>3.77</v>
      </c>
      <c r="X1976">
        <v>5</v>
      </c>
    </row>
    <row r="1977" spans="1:24" x14ac:dyDescent="0.3">
      <c r="A1977" t="s">
        <v>92</v>
      </c>
      <c r="B1977" t="s">
        <v>93</v>
      </c>
      <c r="C1977">
        <v>2024</v>
      </c>
      <c r="D1977" t="s">
        <v>61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34</v>
      </c>
      <c r="N1977">
        <v>7</v>
      </c>
      <c r="O1977" t="s">
        <v>35</v>
      </c>
      <c r="P1977">
        <v>36.6</v>
      </c>
      <c r="Q1977">
        <v>2102</v>
      </c>
      <c r="R1977">
        <v>5</v>
      </c>
      <c r="S1977">
        <v>0</v>
      </c>
      <c r="T1977" t="s">
        <v>65</v>
      </c>
      <c r="U1977" t="s">
        <v>33</v>
      </c>
      <c r="V1977">
        <v>24158</v>
      </c>
      <c r="W1977">
        <v>3.33</v>
      </c>
      <c r="X1977">
        <v>5</v>
      </c>
    </row>
    <row r="1978" spans="1:24" x14ac:dyDescent="0.3">
      <c r="A1978" t="s">
        <v>63</v>
      </c>
      <c r="B1978" t="s">
        <v>64</v>
      </c>
      <c r="C1978">
        <v>2023</v>
      </c>
      <c r="D1978" t="s">
        <v>33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27</v>
      </c>
      <c r="N1978">
        <v>5</v>
      </c>
      <c r="O1978" t="s">
        <v>58</v>
      </c>
      <c r="P1978">
        <v>31</v>
      </c>
      <c r="Q1978">
        <v>1504</v>
      </c>
      <c r="R1978">
        <v>5</v>
      </c>
      <c r="S1978">
        <v>2</v>
      </c>
      <c r="T1978" t="s">
        <v>65</v>
      </c>
      <c r="U1978" t="s">
        <v>30</v>
      </c>
      <c r="V1978">
        <v>128508</v>
      </c>
      <c r="W1978">
        <v>3.59</v>
      </c>
      <c r="X1978">
        <v>4</v>
      </c>
    </row>
    <row r="1979" spans="1:24" x14ac:dyDescent="0.3">
      <c r="A1979" t="s">
        <v>24</v>
      </c>
      <c r="B1979" t="s">
        <v>85</v>
      </c>
      <c r="C1979">
        <v>2024</v>
      </c>
      <c r="D1979" t="s">
        <v>33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27</v>
      </c>
      <c r="N1979">
        <v>7</v>
      </c>
      <c r="O1979" t="s">
        <v>51</v>
      </c>
      <c r="P1979">
        <v>32</v>
      </c>
      <c r="Q1979">
        <v>1737</v>
      </c>
      <c r="R1979">
        <v>3</v>
      </c>
      <c r="S1979">
        <v>1</v>
      </c>
      <c r="T1979" t="s">
        <v>29</v>
      </c>
      <c r="U1979" t="s">
        <v>37</v>
      </c>
      <c r="V1979">
        <v>222078</v>
      </c>
      <c r="W1979">
        <v>3.54</v>
      </c>
      <c r="X1979">
        <v>4</v>
      </c>
    </row>
    <row r="1980" spans="1:24" x14ac:dyDescent="0.3">
      <c r="A1980" t="s">
        <v>52</v>
      </c>
      <c r="B1980" t="s">
        <v>62</v>
      </c>
      <c r="C1980">
        <v>2025</v>
      </c>
      <c r="D1980" t="s">
        <v>44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27</v>
      </c>
      <c r="N1980">
        <v>5</v>
      </c>
      <c r="O1980" t="s">
        <v>51</v>
      </c>
      <c r="P1980">
        <v>24.1</v>
      </c>
      <c r="Q1980">
        <v>1700</v>
      </c>
      <c r="R1980">
        <v>5</v>
      </c>
      <c r="S1980">
        <v>1</v>
      </c>
      <c r="T1980" t="s">
        <v>29</v>
      </c>
      <c r="U1980" t="s">
        <v>30</v>
      </c>
      <c r="V1980">
        <v>26785</v>
      </c>
      <c r="W1980">
        <v>3.93</v>
      </c>
      <c r="X1980">
        <v>7</v>
      </c>
    </row>
    <row r="1981" spans="1:24" x14ac:dyDescent="0.3">
      <c r="A1981" t="s">
        <v>52</v>
      </c>
      <c r="B1981" t="s">
        <v>126</v>
      </c>
      <c r="C1981">
        <v>2026</v>
      </c>
      <c r="D1981" t="s">
        <v>33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34</v>
      </c>
      <c r="N1981">
        <v>5</v>
      </c>
      <c r="O1981" t="s">
        <v>50</v>
      </c>
      <c r="P1981">
        <v>37.5</v>
      </c>
      <c r="Q1981">
        <v>1500</v>
      </c>
      <c r="R1981">
        <v>3</v>
      </c>
      <c r="S1981">
        <v>1</v>
      </c>
      <c r="T1981" t="s">
        <v>29</v>
      </c>
      <c r="U1981" t="s">
        <v>33</v>
      </c>
      <c r="V1981">
        <v>49781</v>
      </c>
      <c r="W1981">
        <v>3.74</v>
      </c>
      <c r="X1981">
        <v>8</v>
      </c>
    </row>
    <row r="1982" spans="1:24" x14ac:dyDescent="0.3">
      <c r="A1982" t="s">
        <v>46</v>
      </c>
      <c r="B1982" t="s">
        <v>78</v>
      </c>
      <c r="C1982">
        <v>2023</v>
      </c>
      <c r="D1982" t="s">
        <v>26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48</v>
      </c>
      <c r="N1982">
        <v>5</v>
      </c>
      <c r="O1982" t="s">
        <v>40</v>
      </c>
      <c r="P1982">
        <v>66</v>
      </c>
      <c r="Q1982">
        <v>1822</v>
      </c>
      <c r="R1982">
        <v>5</v>
      </c>
      <c r="S1982">
        <v>2</v>
      </c>
      <c r="T1982" t="s">
        <v>41</v>
      </c>
      <c r="U1982" t="s">
        <v>30</v>
      </c>
      <c r="V1982">
        <v>146842</v>
      </c>
      <c r="W1982">
        <v>3.92</v>
      </c>
      <c r="X1982">
        <v>4</v>
      </c>
    </row>
    <row r="1983" spans="1:24" x14ac:dyDescent="0.3">
      <c r="A1983" t="s">
        <v>76</v>
      </c>
      <c r="B1983" t="s">
        <v>77</v>
      </c>
      <c r="C1983">
        <v>2025</v>
      </c>
      <c r="D1983" t="s">
        <v>44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34</v>
      </c>
      <c r="N1983">
        <v>5</v>
      </c>
      <c r="O1983" t="s">
        <v>58</v>
      </c>
      <c r="P1983">
        <v>25.1</v>
      </c>
      <c r="Q1983">
        <v>1557</v>
      </c>
      <c r="R1983">
        <v>5</v>
      </c>
      <c r="S1983">
        <v>1</v>
      </c>
      <c r="T1983" t="s">
        <v>41</v>
      </c>
      <c r="U1983" t="s">
        <v>37</v>
      </c>
      <c r="V1983">
        <v>34572</v>
      </c>
      <c r="W1983">
        <v>3.49</v>
      </c>
      <c r="X1983">
        <v>4</v>
      </c>
    </row>
    <row r="1984" spans="1:24" x14ac:dyDescent="0.3">
      <c r="A1984" t="s">
        <v>68</v>
      </c>
      <c r="B1984" t="s">
        <v>106</v>
      </c>
      <c r="C1984">
        <v>2023</v>
      </c>
      <c r="D1984" t="s">
        <v>61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34</v>
      </c>
      <c r="N1984">
        <v>5</v>
      </c>
      <c r="O1984" t="s">
        <v>40</v>
      </c>
      <c r="P1984">
        <v>60.1</v>
      </c>
      <c r="Q1984">
        <v>1644</v>
      </c>
      <c r="R1984">
        <v>3</v>
      </c>
      <c r="S1984">
        <v>0</v>
      </c>
      <c r="T1984" t="s">
        <v>45</v>
      </c>
      <c r="U1984" t="s">
        <v>37</v>
      </c>
      <c r="V1984">
        <v>84896</v>
      </c>
      <c r="W1984">
        <v>3.28</v>
      </c>
      <c r="X1984">
        <v>5</v>
      </c>
    </row>
    <row r="1985" spans="1:24" x14ac:dyDescent="0.3">
      <c r="A1985" t="s">
        <v>68</v>
      </c>
      <c r="B1985" t="s">
        <v>90</v>
      </c>
      <c r="C1985">
        <v>2026</v>
      </c>
      <c r="D1985" t="s">
        <v>61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27</v>
      </c>
      <c r="N1985">
        <v>5</v>
      </c>
      <c r="O1985" t="s">
        <v>35</v>
      </c>
      <c r="P1985">
        <v>43</v>
      </c>
      <c r="Q1985">
        <v>2264</v>
      </c>
      <c r="R1985">
        <v>3</v>
      </c>
      <c r="S1985">
        <v>1</v>
      </c>
      <c r="T1985" t="s">
        <v>45</v>
      </c>
      <c r="U1985" t="s">
        <v>37</v>
      </c>
      <c r="V1985">
        <v>64933</v>
      </c>
      <c r="W1985">
        <v>3.24</v>
      </c>
      <c r="X1985">
        <v>5</v>
      </c>
    </row>
    <row r="1986" spans="1:24" x14ac:dyDescent="0.3">
      <c r="A1986" t="s">
        <v>46</v>
      </c>
      <c r="B1986" t="s">
        <v>72</v>
      </c>
      <c r="C1986">
        <v>2025</v>
      </c>
      <c r="D1986" t="s">
        <v>44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48</v>
      </c>
      <c r="N1986">
        <v>5</v>
      </c>
      <c r="O1986" t="s">
        <v>28</v>
      </c>
      <c r="P1986">
        <v>58.1</v>
      </c>
      <c r="Q1986">
        <v>2592</v>
      </c>
      <c r="R1986">
        <v>5</v>
      </c>
      <c r="S1986">
        <v>2</v>
      </c>
      <c r="T1986" t="s">
        <v>41</v>
      </c>
      <c r="U1986" t="s">
        <v>37</v>
      </c>
      <c r="V1986">
        <v>240212</v>
      </c>
      <c r="W1986">
        <v>3.99</v>
      </c>
      <c r="X1986">
        <v>5</v>
      </c>
    </row>
    <row r="1987" spans="1:24" x14ac:dyDescent="0.3">
      <c r="A1987" t="s">
        <v>46</v>
      </c>
      <c r="B1987" t="s">
        <v>49</v>
      </c>
      <c r="C1987">
        <v>2025</v>
      </c>
      <c r="D1987" t="s">
        <v>44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27</v>
      </c>
      <c r="N1987">
        <v>7</v>
      </c>
      <c r="O1987" t="s">
        <v>50</v>
      </c>
      <c r="P1987">
        <v>37.4</v>
      </c>
      <c r="Q1987">
        <v>1644</v>
      </c>
      <c r="R1987">
        <v>4</v>
      </c>
      <c r="S1987">
        <v>2</v>
      </c>
      <c r="T1987" t="s">
        <v>41</v>
      </c>
      <c r="U1987" t="s">
        <v>30</v>
      </c>
      <c r="V1987">
        <v>410789</v>
      </c>
      <c r="W1987">
        <v>3.91</v>
      </c>
      <c r="X1987">
        <v>5</v>
      </c>
    </row>
    <row r="1988" spans="1:24" x14ac:dyDescent="0.3">
      <c r="A1988" t="s">
        <v>38</v>
      </c>
      <c r="B1988" t="s">
        <v>118</v>
      </c>
      <c r="C1988">
        <v>2020</v>
      </c>
      <c r="D1988" t="s">
        <v>44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27</v>
      </c>
      <c r="N1988">
        <v>5</v>
      </c>
      <c r="O1988" t="s">
        <v>51</v>
      </c>
      <c r="P1988">
        <v>35.5</v>
      </c>
      <c r="Q1988">
        <v>1796</v>
      </c>
      <c r="R1988">
        <v>4</v>
      </c>
      <c r="S1988">
        <v>0</v>
      </c>
      <c r="T1988" t="s">
        <v>41</v>
      </c>
      <c r="U1988" t="s">
        <v>37</v>
      </c>
      <c r="V1988">
        <v>20824</v>
      </c>
      <c r="W1988">
        <v>3.63</v>
      </c>
      <c r="X1988">
        <v>3</v>
      </c>
    </row>
    <row r="1989" spans="1:24" x14ac:dyDescent="0.3">
      <c r="A1989" t="s">
        <v>68</v>
      </c>
      <c r="B1989" t="s">
        <v>106</v>
      </c>
      <c r="C1989">
        <v>2023</v>
      </c>
      <c r="D1989" t="s">
        <v>44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48</v>
      </c>
      <c r="N1989">
        <v>7</v>
      </c>
      <c r="O1989" t="s">
        <v>50</v>
      </c>
      <c r="P1989">
        <v>36.5</v>
      </c>
      <c r="Q1989">
        <v>1697</v>
      </c>
      <c r="R1989">
        <v>5</v>
      </c>
      <c r="S1989">
        <v>0</v>
      </c>
      <c r="T1989" t="s">
        <v>45</v>
      </c>
      <c r="U1989" t="s">
        <v>37</v>
      </c>
      <c r="V1989">
        <v>92151</v>
      </c>
      <c r="W1989">
        <v>3.69</v>
      </c>
      <c r="X1989">
        <v>4</v>
      </c>
    </row>
    <row r="1990" spans="1:24" x14ac:dyDescent="0.3">
      <c r="A1990" t="s">
        <v>24</v>
      </c>
      <c r="B1990" t="s">
        <v>75</v>
      </c>
      <c r="C1990">
        <v>2026</v>
      </c>
      <c r="D1990" t="s">
        <v>56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48</v>
      </c>
      <c r="N1990">
        <v>7</v>
      </c>
      <c r="O1990" t="s">
        <v>40</v>
      </c>
      <c r="P1990">
        <v>65.3</v>
      </c>
      <c r="Q1990">
        <v>1614</v>
      </c>
      <c r="R1990">
        <v>4</v>
      </c>
      <c r="S1990">
        <v>0</v>
      </c>
      <c r="T1990" t="s">
        <v>29</v>
      </c>
      <c r="U1990" t="s">
        <v>33</v>
      </c>
      <c r="V1990">
        <v>260693</v>
      </c>
      <c r="W1990">
        <v>3.66</v>
      </c>
      <c r="X1990">
        <v>5</v>
      </c>
    </row>
    <row r="1991" spans="1:24" x14ac:dyDescent="0.3">
      <c r="A1991" t="s">
        <v>38</v>
      </c>
      <c r="B1991" t="s">
        <v>102</v>
      </c>
      <c r="C1991">
        <v>2021</v>
      </c>
      <c r="D1991" t="s">
        <v>26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27</v>
      </c>
      <c r="N1991">
        <v>5</v>
      </c>
      <c r="O1991" t="s">
        <v>35</v>
      </c>
      <c r="P1991">
        <v>59.1</v>
      </c>
      <c r="Q1991">
        <v>2129</v>
      </c>
      <c r="R1991">
        <v>5</v>
      </c>
      <c r="S1991">
        <v>0</v>
      </c>
      <c r="T1991" t="s">
        <v>41</v>
      </c>
      <c r="U1991" t="s">
        <v>33</v>
      </c>
      <c r="V1991">
        <v>12802</v>
      </c>
      <c r="W1991">
        <v>3.96</v>
      </c>
      <c r="X1991">
        <v>5</v>
      </c>
    </row>
    <row r="1992" spans="1:24" x14ac:dyDescent="0.3">
      <c r="A1992" t="s">
        <v>76</v>
      </c>
      <c r="B1992" t="s">
        <v>81</v>
      </c>
      <c r="C1992">
        <v>2025</v>
      </c>
      <c r="D1992" t="s">
        <v>56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48</v>
      </c>
      <c r="N1992">
        <v>7</v>
      </c>
      <c r="O1992" t="s">
        <v>51</v>
      </c>
      <c r="P1992">
        <v>27.1</v>
      </c>
      <c r="Q1992">
        <v>1660</v>
      </c>
      <c r="R1992">
        <v>4</v>
      </c>
      <c r="S1992">
        <v>2</v>
      </c>
      <c r="T1992" t="s">
        <v>41</v>
      </c>
      <c r="U1992" t="s">
        <v>37</v>
      </c>
      <c r="V1992">
        <v>27087</v>
      </c>
      <c r="W1992">
        <v>3.6</v>
      </c>
      <c r="X1992">
        <v>5</v>
      </c>
    </row>
    <row r="1993" spans="1:24" x14ac:dyDescent="0.3">
      <c r="A1993" t="s">
        <v>46</v>
      </c>
      <c r="B1993" t="s">
        <v>47</v>
      </c>
      <c r="C1993">
        <v>2025</v>
      </c>
      <c r="D1993" t="s">
        <v>61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27</v>
      </c>
      <c r="N1993">
        <v>7</v>
      </c>
      <c r="O1993" t="s">
        <v>40</v>
      </c>
      <c r="P1993">
        <v>64.400000000000006</v>
      </c>
      <c r="Q1993">
        <v>1777</v>
      </c>
      <c r="R1993">
        <v>3</v>
      </c>
      <c r="S1993">
        <v>3</v>
      </c>
      <c r="T1993" t="s">
        <v>41</v>
      </c>
      <c r="U1993" t="s">
        <v>33</v>
      </c>
      <c r="V1993">
        <v>139369</v>
      </c>
      <c r="W1993">
        <v>3.74</v>
      </c>
      <c r="X1993">
        <v>5</v>
      </c>
    </row>
    <row r="1994" spans="1:24" x14ac:dyDescent="0.3">
      <c r="A1994" t="s">
        <v>42</v>
      </c>
      <c r="B1994" t="s">
        <v>80</v>
      </c>
      <c r="C1994">
        <v>2025</v>
      </c>
      <c r="D1994" t="s">
        <v>44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27</v>
      </c>
      <c r="N1994">
        <v>5</v>
      </c>
      <c r="O1994" t="s">
        <v>35</v>
      </c>
      <c r="P1994">
        <v>52.7</v>
      </c>
      <c r="Q1994">
        <v>1708</v>
      </c>
      <c r="R1994">
        <v>5</v>
      </c>
      <c r="S1994">
        <v>0</v>
      </c>
      <c r="T1994" t="s">
        <v>45</v>
      </c>
      <c r="U1994" t="s">
        <v>37</v>
      </c>
      <c r="V1994">
        <v>114969</v>
      </c>
      <c r="W1994">
        <v>3.93</v>
      </c>
      <c r="X1994">
        <v>4</v>
      </c>
    </row>
    <row r="1995" spans="1:24" x14ac:dyDescent="0.3">
      <c r="A1995" t="s">
        <v>46</v>
      </c>
      <c r="B1995" t="s">
        <v>57</v>
      </c>
      <c r="C1995">
        <v>2026</v>
      </c>
      <c r="D1995" t="s">
        <v>56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27</v>
      </c>
      <c r="N1995">
        <v>7</v>
      </c>
      <c r="O1995" t="s">
        <v>58</v>
      </c>
      <c r="P1995">
        <v>24.6</v>
      </c>
      <c r="Q1995">
        <v>1500</v>
      </c>
      <c r="R1995">
        <v>5</v>
      </c>
      <c r="S1995">
        <v>2</v>
      </c>
      <c r="T1995" t="s">
        <v>41</v>
      </c>
      <c r="U1995" t="s">
        <v>30</v>
      </c>
      <c r="V1995">
        <v>170811</v>
      </c>
      <c r="W1995">
        <v>3.7</v>
      </c>
      <c r="X1995">
        <v>4</v>
      </c>
    </row>
    <row r="1996" spans="1:24" x14ac:dyDescent="0.3">
      <c r="A1996" t="s">
        <v>38</v>
      </c>
      <c r="B1996" t="s">
        <v>102</v>
      </c>
      <c r="C1996">
        <v>2024</v>
      </c>
      <c r="D1996" t="s">
        <v>61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48</v>
      </c>
      <c r="N1996">
        <v>7</v>
      </c>
      <c r="O1996" t="s">
        <v>35</v>
      </c>
      <c r="P1996">
        <v>39.4</v>
      </c>
      <c r="Q1996">
        <v>2077</v>
      </c>
      <c r="R1996">
        <v>4</v>
      </c>
      <c r="S1996">
        <v>1</v>
      </c>
      <c r="T1996" t="s">
        <v>41</v>
      </c>
      <c r="U1996" t="s">
        <v>66</v>
      </c>
      <c r="V1996">
        <v>738</v>
      </c>
      <c r="W1996">
        <v>3.6</v>
      </c>
      <c r="X1996">
        <v>3</v>
      </c>
    </row>
    <row r="1997" spans="1:24" x14ac:dyDescent="0.3">
      <c r="A1997" t="s">
        <v>83</v>
      </c>
      <c r="B1997" t="s">
        <v>89</v>
      </c>
      <c r="C1997">
        <v>2023</v>
      </c>
      <c r="D1997" t="s">
        <v>44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34</v>
      </c>
      <c r="N1997">
        <v>5</v>
      </c>
      <c r="O1997" t="s">
        <v>50</v>
      </c>
      <c r="P1997">
        <v>38.299999999999997</v>
      </c>
      <c r="Q1997">
        <v>1500</v>
      </c>
      <c r="R1997">
        <v>5</v>
      </c>
      <c r="S1997">
        <v>2</v>
      </c>
      <c r="T1997" t="s">
        <v>29</v>
      </c>
      <c r="U1997" t="s">
        <v>30</v>
      </c>
      <c r="V1997">
        <v>66187</v>
      </c>
      <c r="W1997">
        <v>3.78</v>
      </c>
      <c r="X1997">
        <v>7</v>
      </c>
    </row>
    <row r="1998" spans="1:24" x14ac:dyDescent="0.3">
      <c r="A1998" t="s">
        <v>31</v>
      </c>
      <c r="B1998" t="s">
        <v>112</v>
      </c>
      <c r="C1998">
        <v>2024</v>
      </c>
      <c r="D1998" t="s">
        <v>26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27</v>
      </c>
      <c r="N1998">
        <v>5</v>
      </c>
      <c r="O1998" t="s">
        <v>50</v>
      </c>
      <c r="P1998">
        <v>23.1</v>
      </c>
      <c r="Q1998">
        <v>1863</v>
      </c>
      <c r="R1998">
        <v>4</v>
      </c>
      <c r="S1998">
        <v>0</v>
      </c>
      <c r="T1998" t="s">
        <v>36</v>
      </c>
      <c r="U1998" t="s">
        <v>33</v>
      </c>
      <c r="V1998">
        <v>11062</v>
      </c>
      <c r="W1998">
        <v>3.79</v>
      </c>
      <c r="X1998">
        <v>4</v>
      </c>
    </row>
    <row r="1999" spans="1:24" x14ac:dyDescent="0.3">
      <c r="A1999" t="s">
        <v>46</v>
      </c>
      <c r="B1999" t="s">
        <v>47</v>
      </c>
      <c r="C1999">
        <v>2025</v>
      </c>
      <c r="D1999" t="s">
        <v>44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48</v>
      </c>
      <c r="N1999">
        <v>7</v>
      </c>
      <c r="O1999" t="s">
        <v>28</v>
      </c>
      <c r="P1999">
        <v>74.599999999999994</v>
      </c>
      <c r="Q1999">
        <v>2920</v>
      </c>
      <c r="R1999">
        <v>3</v>
      </c>
      <c r="S1999">
        <v>3</v>
      </c>
      <c r="T1999" t="s">
        <v>41</v>
      </c>
      <c r="U1999" t="s">
        <v>37</v>
      </c>
      <c r="V1999">
        <v>224804</v>
      </c>
      <c r="W1999">
        <v>4.0999999999999996</v>
      </c>
      <c r="X1999">
        <v>6</v>
      </c>
    </row>
    <row r="2000" spans="1:24" x14ac:dyDescent="0.3">
      <c r="A2000" t="s">
        <v>46</v>
      </c>
      <c r="B2000" t="s">
        <v>78</v>
      </c>
      <c r="C2000">
        <v>2026</v>
      </c>
      <c r="D2000" t="s">
        <v>33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48</v>
      </c>
      <c r="N2000">
        <v>5</v>
      </c>
      <c r="O2000" t="s">
        <v>51</v>
      </c>
      <c r="P2000">
        <v>34.799999999999997</v>
      </c>
      <c r="Q2000">
        <v>1500</v>
      </c>
      <c r="R2000">
        <v>3</v>
      </c>
      <c r="S2000">
        <v>2</v>
      </c>
      <c r="T2000" t="s">
        <v>41</v>
      </c>
      <c r="U2000" t="s">
        <v>30</v>
      </c>
      <c r="V2000">
        <v>165373</v>
      </c>
      <c r="W2000">
        <v>3.66</v>
      </c>
      <c r="X2000">
        <v>4</v>
      </c>
    </row>
    <row r="2001" spans="1:24" x14ac:dyDescent="0.3">
      <c r="A2001" t="s">
        <v>63</v>
      </c>
      <c r="B2001" t="s">
        <v>107</v>
      </c>
      <c r="C2001">
        <v>2025</v>
      </c>
      <c r="D2001" t="s">
        <v>33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48</v>
      </c>
      <c r="N2001">
        <v>5</v>
      </c>
      <c r="O2001" t="s">
        <v>51</v>
      </c>
      <c r="P2001">
        <v>28.5</v>
      </c>
      <c r="Q2001">
        <v>1512</v>
      </c>
      <c r="R2001">
        <v>4</v>
      </c>
      <c r="S2001">
        <v>0</v>
      </c>
      <c r="T2001" t="s">
        <v>65</v>
      </c>
      <c r="U2001" t="s">
        <v>37</v>
      </c>
      <c r="V2001">
        <v>214113</v>
      </c>
      <c r="W2001">
        <v>3.41</v>
      </c>
      <c r="X200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A894-8E0C-45F0-8E7F-268E8957C2BB}">
  <dimension ref="A1:AH2001"/>
  <sheetViews>
    <sheetView tabSelected="1" topLeftCell="Q1" workbookViewId="0">
      <selection activeCell="AB2" sqref="AB2"/>
    </sheetView>
  </sheetViews>
  <sheetFormatPr defaultRowHeight="14.4" x14ac:dyDescent="0.3"/>
  <cols>
    <col min="5" max="5" width="11.44140625" bestFit="1" customWidth="1"/>
    <col min="26" max="26" width="21.5546875" customWidth="1"/>
    <col min="28" max="28" width="21" customWidth="1"/>
    <col min="29" max="29" width="20.5546875" customWidth="1"/>
    <col min="30" max="30" width="24.109375" customWidth="1"/>
    <col min="31" max="31" width="16" customWidth="1"/>
    <col min="32" max="32" width="21.33203125" customWidth="1"/>
    <col min="33" max="33" width="17" customWidth="1"/>
    <col min="34" max="34" width="21.7773437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140</v>
      </c>
      <c r="Z1" t="s">
        <v>143</v>
      </c>
      <c r="AA1" t="s">
        <v>142</v>
      </c>
      <c r="AB1" t="s">
        <v>141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  <c r="AH1" t="s">
        <v>149</v>
      </c>
    </row>
    <row r="2" spans="1:34" x14ac:dyDescent="0.3">
      <c r="A2" t="s">
        <v>24</v>
      </c>
      <c r="B2" t="s">
        <v>25</v>
      </c>
      <c r="C2">
        <v>2023</v>
      </c>
      <c r="D2" t="s">
        <v>26</v>
      </c>
      <c r="E2" s="3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27</v>
      </c>
      <c r="N2">
        <v>7</v>
      </c>
      <c r="O2" t="s">
        <v>28</v>
      </c>
      <c r="P2">
        <v>54.2</v>
      </c>
      <c r="Q2">
        <v>2015</v>
      </c>
      <c r="R2">
        <v>4</v>
      </c>
      <c r="S2">
        <v>2</v>
      </c>
      <c r="T2" t="s">
        <v>29</v>
      </c>
      <c r="U2" t="s">
        <v>30</v>
      </c>
      <c r="V2" s="3">
        <v>202182</v>
      </c>
      <c r="W2">
        <v>4</v>
      </c>
      <c r="X2">
        <v>4</v>
      </c>
      <c r="Y2" s="1">
        <f>EV_Data4[[#This Row],[range_miles]]/EV_Data4[[#This Row],[battery_capacity_kwh]]</f>
        <v>3.3698399326032011</v>
      </c>
      <c r="Z2" s="4">
        <f>EV_Data4[[#This Row],[price_usd]]/EV_Data4[[#This Row],[range_miles]]</f>
        <v>262.202</v>
      </c>
      <c r="AA2" s="2">
        <f>(EV_Data4[[#This Row],[customer_rating]]*EV_Data4[[#This Row],[safety_rating]]*1000)/EV_Data4[[#This Row],[price_usd]]</f>
        <v>0.15255413764959841</v>
      </c>
      <c r="AB2">
        <f>EV_Data4[[#This Row],[horsepower]]+EV_Data4[[#This Row],[torque_nm]]/EV_Data4[[#This Row],[acceleration_0_60_mph]]</f>
        <v>1294.4078947368421</v>
      </c>
      <c r="AC2" t="str">
        <f>IF(EV_Data4[[#This Row],[price_usd]]&gt;=80000,"Luxury",IF(EV_Data4[[#This Row],[price_usd]]&gt;=40000,"Mid-Range","Budget"))</f>
        <v>Luxury</v>
      </c>
      <c r="AD2" t="str">
        <f>IF(EV_Data4[[#This Row],[range_miles]]&gt;=350,"Long-Range",IF(EV_Data4[[#This Row],[range_miles]]&gt;=250,"Medium-Range","Short-Range"))</f>
        <v>Long-Range</v>
      </c>
      <c r="AE2" t="str">
        <f>IF(EV_Data4[[#This Row],[charging_speed_kw]]&gt;=250,"Ultra-Fast",IF(EV_Data4[[#This Row],[charging_speed_kw]]&gt;=150,"Fast-Charging","Standard-Charging"))</f>
        <v>Fast-Charging</v>
      </c>
      <c r="AF2" t="str">
        <f>IF(EV_Data4[[#This Row],[acceleration_0_60_mph]]&lt;=3,"SportsPerformance",IF(EV_Data4[[#This Row],[acceleration_0_60_mph]]&lt;=5,"HighPerformance","Standard"))</f>
        <v>HighPerformance</v>
      </c>
      <c r="AG2" t="str">
        <f>IF(EV_Data4[[#This Row],[customer_rating]]&gt;=4.5,"Excellent",IF(EV_Data4[[#This Row],[customer_rating]]&gt;=3.5,"Good","Average"))</f>
        <v>Good</v>
      </c>
      <c r="AH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" spans="1:34" x14ac:dyDescent="0.3">
      <c r="A3" t="s">
        <v>31</v>
      </c>
      <c r="B3" t="s">
        <v>32</v>
      </c>
      <c r="C3">
        <v>2022</v>
      </c>
      <c r="D3" t="s">
        <v>33</v>
      </c>
      <c r="E3" s="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34</v>
      </c>
      <c r="N3">
        <v>5</v>
      </c>
      <c r="O3" t="s">
        <v>35</v>
      </c>
      <c r="P3">
        <v>69</v>
      </c>
      <c r="Q3">
        <v>1709</v>
      </c>
      <c r="R3">
        <v>4</v>
      </c>
      <c r="S3">
        <v>0</v>
      </c>
      <c r="T3" t="s">
        <v>36</v>
      </c>
      <c r="U3" t="s">
        <v>37</v>
      </c>
      <c r="V3" s="3">
        <v>7146</v>
      </c>
      <c r="W3">
        <v>3.56</v>
      </c>
      <c r="X3">
        <v>3</v>
      </c>
      <c r="Y3" s="1">
        <f>EV_Data4[[#This Row],[range_miles]]/EV_Data4[[#This Row],[battery_capacity_kwh]]</f>
        <v>3.7244897959183674</v>
      </c>
      <c r="Z3" s="4">
        <f>EV_Data4[[#This Row],[price_usd]]/EV_Data4[[#This Row],[range_miles]]</f>
        <v>220.17082191780824</v>
      </c>
      <c r="AA3" s="2">
        <f>(EV_Data4[[#This Row],[customer_rating]]*EV_Data4[[#This Row],[safety_rating]]*1000)/EV_Data4[[#This Row],[price_usd]]</f>
        <v>0.29532901082824647</v>
      </c>
      <c r="AB3">
        <f>EV_Data4[[#This Row],[horsepower]]+EV_Data4[[#This Row],[torque_nm]]/EV_Data4[[#This Row],[acceleration_0_60_mph]]</f>
        <v>443.39168110918547</v>
      </c>
      <c r="AC3" t="str">
        <f>IF(EV_Data4[[#This Row],[price_usd]]&gt;=80000,"Luxury",IF(EV_Data4[[#This Row],[price_usd]]&gt;=40000,"Mid-Range","Budget"))</f>
        <v>Mid-Range</v>
      </c>
      <c r="AD3" t="str">
        <f>IF(EV_Data4[[#This Row],[range_miles]]&gt;=350,"Long-Range",IF(EV_Data4[[#This Row],[range_miles]]&gt;=250,"Medium-Range","Short-Range"))</f>
        <v>Short-Range</v>
      </c>
      <c r="AE3" t="str">
        <f>IF(EV_Data4[[#This Row],[charging_speed_kw]]&gt;=250,"Ultra-Fast",IF(EV_Data4[[#This Row],[charging_speed_kw]]&gt;=150,"Fast-Charging","Standard-Charging"))</f>
        <v>Standard-Charging</v>
      </c>
      <c r="AF3" t="str">
        <f>IF(EV_Data4[[#This Row],[acceleration_0_60_mph]]&lt;=3,"SportsPerformance",IF(EV_Data4[[#This Row],[acceleration_0_60_mph]]&lt;=5,"HighPerformance","Standard"))</f>
        <v>Standard</v>
      </c>
      <c r="AG3" t="str">
        <f>IF(EV_Data4[[#This Row],[customer_rating]]&gt;=4.5,"Excellent",IF(EV_Data4[[#This Row],[customer_rating]]&gt;=3.5,"Good","Average"))</f>
        <v>Good</v>
      </c>
      <c r="AH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" spans="1:34" x14ac:dyDescent="0.3">
      <c r="A4" t="s">
        <v>38</v>
      </c>
      <c r="B4" t="s">
        <v>39</v>
      </c>
      <c r="C4">
        <v>2024</v>
      </c>
      <c r="D4" t="s">
        <v>33</v>
      </c>
      <c r="E4" s="3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27</v>
      </c>
      <c r="N4">
        <v>5</v>
      </c>
      <c r="O4" t="s">
        <v>40</v>
      </c>
      <c r="P4">
        <v>77</v>
      </c>
      <c r="Q4">
        <v>1533</v>
      </c>
      <c r="R4">
        <v>4</v>
      </c>
      <c r="S4">
        <v>1</v>
      </c>
      <c r="T4" t="s">
        <v>41</v>
      </c>
      <c r="U4" t="s">
        <v>37</v>
      </c>
      <c r="V4" s="3">
        <v>16590</v>
      </c>
      <c r="W4">
        <v>3.7</v>
      </c>
      <c r="X4">
        <v>3</v>
      </c>
      <c r="Y4" s="1">
        <f>EV_Data4[[#This Row],[range_miles]]/EV_Data4[[#This Row],[battery_capacity_kwh]]</f>
        <v>3.865979381443299</v>
      </c>
      <c r="Z4" s="4">
        <f>EV_Data4[[#This Row],[price_usd]]/EV_Data4[[#This Row],[range_miles]]</f>
        <v>220.67164444444447</v>
      </c>
      <c r="AA4" s="2">
        <f>(EV_Data4[[#This Row],[customer_rating]]*EV_Data4[[#This Row],[safety_rating]]*1000)/EV_Data4[[#This Row],[price_usd]]</f>
        <v>0.29807988218594061</v>
      </c>
      <c r="AB4">
        <f>EV_Data4[[#This Row],[horsepower]]+EV_Data4[[#This Row],[torque_nm]]/EV_Data4[[#This Row],[acceleration_0_60_mph]]</f>
        <v>663.43859649122805</v>
      </c>
      <c r="AC4" t="str">
        <f>IF(EV_Data4[[#This Row],[price_usd]]&gt;=80000,"Luxury",IF(EV_Data4[[#This Row],[price_usd]]&gt;=40000,"Mid-Range","Budget"))</f>
        <v>Mid-Range</v>
      </c>
      <c r="AD4" t="str">
        <f>IF(EV_Data4[[#This Row],[range_miles]]&gt;=350,"Long-Range",IF(EV_Data4[[#This Row],[range_miles]]&gt;=250,"Medium-Range","Short-Range"))</f>
        <v>Short-Range</v>
      </c>
      <c r="AE4" t="str">
        <f>IF(EV_Data4[[#This Row],[charging_speed_kw]]&gt;=250,"Ultra-Fast",IF(EV_Data4[[#This Row],[charging_speed_kw]]&gt;=150,"Fast-Charging","Standard-Charging"))</f>
        <v>Standard-Charging</v>
      </c>
      <c r="AF4" t="str">
        <f>IF(EV_Data4[[#This Row],[acceleration_0_60_mph]]&lt;=3,"SportsPerformance",IF(EV_Data4[[#This Row],[acceleration_0_60_mph]]&lt;=5,"HighPerformance","Standard"))</f>
        <v>Standard</v>
      </c>
      <c r="AG4" t="str">
        <f>IF(EV_Data4[[#This Row],[customer_rating]]&gt;=4.5,"Excellent",IF(EV_Data4[[#This Row],[customer_rating]]&gt;=3.5,"Good","Average"))</f>
        <v>Good</v>
      </c>
      <c r="AH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" spans="1:34" x14ac:dyDescent="0.3">
      <c r="A5" t="s">
        <v>42</v>
      </c>
      <c r="B5" t="s">
        <v>43</v>
      </c>
      <c r="C5">
        <v>2024</v>
      </c>
      <c r="D5" t="s">
        <v>44</v>
      </c>
      <c r="E5" s="3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27</v>
      </c>
      <c r="N5">
        <v>7</v>
      </c>
      <c r="O5" t="s">
        <v>35</v>
      </c>
      <c r="P5">
        <v>65.8</v>
      </c>
      <c r="Q5">
        <v>1935</v>
      </c>
      <c r="R5">
        <v>4</v>
      </c>
      <c r="S5">
        <v>2</v>
      </c>
      <c r="T5" t="s">
        <v>45</v>
      </c>
      <c r="U5" t="s">
        <v>37</v>
      </c>
      <c r="V5" s="3">
        <v>127201</v>
      </c>
      <c r="W5">
        <v>3.81</v>
      </c>
      <c r="X5">
        <v>3</v>
      </c>
      <c r="Y5" s="1">
        <f>EV_Data4[[#This Row],[range_miles]]/EV_Data4[[#This Row],[battery_capacity_kwh]]</f>
        <v>3.4048780487804877</v>
      </c>
      <c r="Z5" s="4">
        <f>EV_Data4[[#This Row],[price_usd]]/EV_Data4[[#This Row],[range_miles]]</f>
        <v>109.25948424068767</v>
      </c>
      <c r="AA5" s="2">
        <f>(EV_Data4[[#This Row],[customer_rating]]*EV_Data4[[#This Row],[safety_rating]]*1000)/EV_Data4[[#This Row],[price_usd]]</f>
        <v>0.39966893565330136</v>
      </c>
      <c r="AB5">
        <f>EV_Data4[[#This Row],[horsepower]]+EV_Data4[[#This Row],[torque_nm]]/EV_Data4[[#This Row],[acceleration_0_60_mph]]</f>
        <v>380.17167381974247</v>
      </c>
      <c r="AC5" t="str">
        <f>IF(EV_Data4[[#This Row],[price_usd]]&gt;=80000,"Luxury",IF(EV_Data4[[#This Row],[price_usd]]&gt;=40000,"Mid-Range","Budget"))</f>
        <v>Budget</v>
      </c>
      <c r="AD5" t="str">
        <f>IF(EV_Data4[[#This Row],[range_miles]]&gt;=350,"Long-Range",IF(EV_Data4[[#This Row],[range_miles]]&gt;=250,"Medium-Range","Short-Range"))</f>
        <v>Medium-Range</v>
      </c>
      <c r="AE5" t="str">
        <f>IF(EV_Data4[[#This Row],[charging_speed_kw]]&gt;=250,"Ultra-Fast",IF(EV_Data4[[#This Row],[charging_speed_kw]]&gt;=150,"Fast-Charging","Standard-Charging"))</f>
        <v>Standard-Charging</v>
      </c>
      <c r="AF5" t="str">
        <f>IF(EV_Data4[[#This Row],[acceleration_0_60_mph]]&lt;=3,"SportsPerformance",IF(EV_Data4[[#This Row],[acceleration_0_60_mph]]&lt;=5,"HighPerformance","Standard"))</f>
        <v>HighPerformance</v>
      </c>
      <c r="AG5" t="str">
        <f>IF(EV_Data4[[#This Row],[customer_rating]]&gt;=4.5,"Excellent",IF(EV_Data4[[#This Row],[customer_rating]]&gt;=3.5,"Good","Average"))</f>
        <v>Good</v>
      </c>
      <c r="AH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" spans="1:34" x14ac:dyDescent="0.3">
      <c r="A6" t="s">
        <v>46</v>
      </c>
      <c r="B6" t="s">
        <v>47</v>
      </c>
      <c r="C6">
        <v>2022</v>
      </c>
      <c r="D6" t="s">
        <v>44</v>
      </c>
      <c r="E6" s="3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48</v>
      </c>
      <c r="N6">
        <v>5</v>
      </c>
      <c r="O6" t="s">
        <v>35</v>
      </c>
      <c r="P6">
        <v>38.299999999999997</v>
      </c>
      <c r="Q6">
        <v>2229</v>
      </c>
      <c r="R6">
        <v>4</v>
      </c>
      <c r="S6">
        <v>2</v>
      </c>
      <c r="T6" t="s">
        <v>41</v>
      </c>
      <c r="U6" t="s">
        <v>30</v>
      </c>
      <c r="V6" s="3">
        <v>196401</v>
      </c>
      <c r="W6">
        <v>3.83</v>
      </c>
      <c r="X6">
        <v>4</v>
      </c>
      <c r="Y6" s="1">
        <f>EV_Data4[[#This Row],[range_miles]]/EV_Data4[[#This Row],[battery_capacity_kwh]]</f>
        <v>3.3439829605963789</v>
      </c>
      <c r="Z6" s="4">
        <f>EV_Data4[[#This Row],[price_usd]]/EV_Data4[[#This Row],[range_miles]]</f>
        <v>458.85308917197449</v>
      </c>
      <c r="AA6" s="2">
        <f>(EV_Data4[[#This Row],[customer_rating]]*EV_Data4[[#This Row],[safety_rating]]*1000)/EV_Data4[[#This Row],[price_usd]]</f>
        <v>0.10632991270744484</v>
      </c>
      <c r="AB6">
        <f>EV_Data4[[#This Row],[horsepower]]+EV_Data4[[#This Row],[torque_nm]]/EV_Data4[[#This Row],[acceleration_0_60_mph]]</f>
        <v>1156.5602836879432</v>
      </c>
      <c r="AC6" t="str">
        <f>IF(EV_Data4[[#This Row],[price_usd]]&gt;=80000,"Luxury",IF(EV_Data4[[#This Row],[price_usd]]&gt;=40000,"Mid-Range","Budget"))</f>
        <v>Luxury</v>
      </c>
      <c r="AD6" t="str">
        <f>IF(EV_Data4[[#This Row],[range_miles]]&gt;=350,"Long-Range",IF(EV_Data4[[#This Row],[range_miles]]&gt;=250,"Medium-Range","Short-Range"))</f>
        <v>Medium-Range</v>
      </c>
      <c r="AE6" t="str">
        <f>IF(EV_Data4[[#This Row],[charging_speed_kw]]&gt;=250,"Ultra-Fast",IF(EV_Data4[[#This Row],[charging_speed_kw]]&gt;=150,"Fast-Charging","Standard-Charging"))</f>
        <v>Ultra-Fast</v>
      </c>
      <c r="AF6" t="str">
        <f>IF(EV_Data4[[#This Row],[acceleration_0_60_mph]]&lt;=3,"SportsPerformance",IF(EV_Data4[[#This Row],[acceleration_0_60_mph]]&lt;=5,"HighPerformance","Standard"))</f>
        <v>Standard</v>
      </c>
      <c r="AG6" t="str">
        <f>IF(EV_Data4[[#This Row],[customer_rating]]&gt;=4.5,"Excellent",IF(EV_Data4[[#This Row],[customer_rating]]&gt;=3.5,"Good","Average"))</f>
        <v>Good</v>
      </c>
      <c r="AH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" spans="1:34" x14ac:dyDescent="0.3">
      <c r="A7" t="s">
        <v>46</v>
      </c>
      <c r="B7" t="s">
        <v>49</v>
      </c>
      <c r="C7">
        <v>2023</v>
      </c>
      <c r="D7" t="s">
        <v>26</v>
      </c>
      <c r="E7" s="3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27</v>
      </c>
      <c r="N7">
        <v>5</v>
      </c>
      <c r="O7" t="s">
        <v>50</v>
      </c>
      <c r="P7">
        <v>35.5</v>
      </c>
      <c r="Q7">
        <v>1751</v>
      </c>
      <c r="R7">
        <v>5</v>
      </c>
      <c r="S7">
        <v>3</v>
      </c>
      <c r="T7" t="s">
        <v>41</v>
      </c>
      <c r="U7" t="s">
        <v>30</v>
      </c>
      <c r="V7" s="3">
        <v>411764</v>
      </c>
      <c r="W7">
        <v>3.67</v>
      </c>
      <c r="X7">
        <v>5</v>
      </c>
      <c r="Y7" s="1">
        <f>EV_Data4[[#This Row],[range_miles]]/EV_Data4[[#This Row],[battery_capacity_kwh]]</f>
        <v>3.2056194125159645</v>
      </c>
      <c r="Z7" s="4">
        <f>EV_Data4[[#This Row],[price_usd]]/EV_Data4[[#This Row],[range_miles]]</f>
        <v>476.45525896414347</v>
      </c>
      <c r="AA7" s="2">
        <f>(EV_Data4[[#This Row],[customer_rating]]*EV_Data4[[#This Row],[safety_rating]]*1000)/EV_Data4[[#This Row],[price_usd]]</f>
        <v>0.15344057672919376</v>
      </c>
      <c r="AB7">
        <f>EV_Data4[[#This Row],[horsepower]]+EV_Data4[[#This Row],[torque_nm]]/EV_Data4[[#This Row],[acceleration_0_60_mph]]</f>
        <v>1249.1126760563379</v>
      </c>
      <c r="AC7" t="str">
        <f>IF(EV_Data4[[#This Row],[price_usd]]&gt;=80000,"Luxury",IF(EV_Data4[[#This Row],[price_usd]]&gt;=40000,"Mid-Range","Budget"))</f>
        <v>Luxury</v>
      </c>
      <c r="AD7" t="str">
        <f>IF(EV_Data4[[#This Row],[range_miles]]&gt;=350,"Long-Range",IF(EV_Data4[[#This Row],[range_miles]]&gt;=250,"Medium-Range","Short-Range"))</f>
        <v>Medium-Range</v>
      </c>
      <c r="AE7" t="str">
        <f>IF(EV_Data4[[#This Row],[charging_speed_kw]]&gt;=250,"Ultra-Fast",IF(EV_Data4[[#This Row],[charging_speed_kw]]&gt;=150,"Fast-Charging","Standard-Charging"))</f>
        <v>Ultra-Fast</v>
      </c>
      <c r="AF7" t="str">
        <f>IF(EV_Data4[[#This Row],[acceleration_0_60_mph]]&lt;=3,"SportsPerformance",IF(EV_Data4[[#This Row],[acceleration_0_60_mph]]&lt;=5,"HighPerformance","Standard"))</f>
        <v>SportsPerformance</v>
      </c>
      <c r="AG7" t="str">
        <f>IF(EV_Data4[[#This Row],[customer_rating]]&gt;=4.5,"Excellent",IF(EV_Data4[[#This Row],[customer_rating]]&gt;=3.5,"Good","Average"))</f>
        <v>Good</v>
      </c>
      <c r="AH7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8" spans="1:34" x14ac:dyDescent="0.3">
      <c r="A8" t="s">
        <v>46</v>
      </c>
      <c r="B8" t="s">
        <v>47</v>
      </c>
      <c r="C8">
        <v>2024</v>
      </c>
      <c r="D8" t="s">
        <v>33</v>
      </c>
      <c r="E8" s="3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48</v>
      </c>
      <c r="N8">
        <v>5</v>
      </c>
      <c r="O8" t="s">
        <v>51</v>
      </c>
      <c r="P8">
        <v>39.299999999999997</v>
      </c>
      <c r="Q8">
        <v>1500</v>
      </c>
      <c r="R8">
        <v>5</v>
      </c>
      <c r="S8">
        <v>2</v>
      </c>
      <c r="T8" t="s">
        <v>41</v>
      </c>
      <c r="U8" t="s">
        <v>30</v>
      </c>
      <c r="V8" s="3">
        <v>213937</v>
      </c>
      <c r="W8">
        <v>3.54</v>
      </c>
      <c r="X8">
        <v>6</v>
      </c>
      <c r="Y8" s="1">
        <f>EV_Data4[[#This Row],[range_miles]]/EV_Data4[[#This Row],[battery_capacity_kwh]]</f>
        <v>3.2361516034985427</v>
      </c>
      <c r="Z8" s="4">
        <f>EV_Data4[[#This Row],[price_usd]]/EV_Data4[[#This Row],[range_miles]]</f>
        <v>578.502972972973</v>
      </c>
      <c r="AA8" s="2">
        <f>(EV_Data4[[#This Row],[customer_rating]]*EV_Data4[[#This Row],[safety_rating]]*1000)/EV_Data4[[#This Row],[price_usd]]</f>
        <v>0.13782077786047023</v>
      </c>
      <c r="AB8">
        <f>EV_Data4[[#This Row],[horsepower]]+EV_Data4[[#This Row],[torque_nm]]/EV_Data4[[#This Row],[acceleration_0_60_mph]]</f>
        <v>1126.5808383233534</v>
      </c>
      <c r="AC8" t="str">
        <f>IF(EV_Data4[[#This Row],[price_usd]]&gt;=80000,"Luxury",IF(EV_Data4[[#This Row],[price_usd]]&gt;=40000,"Mid-Range","Budget"))</f>
        <v>Luxury</v>
      </c>
      <c r="AD8" t="str">
        <f>IF(EV_Data4[[#This Row],[range_miles]]&gt;=350,"Long-Range",IF(EV_Data4[[#This Row],[range_miles]]&gt;=250,"Medium-Range","Short-Range"))</f>
        <v>Short-Range</v>
      </c>
      <c r="AE8" t="str">
        <f>IF(EV_Data4[[#This Row],[charging_speed_kw]]&gt;=250,"Ultra-Fast",IF(EV_Data4[[#This Row],[charging_speed_kw]]&gt;=150,"Fast-Charging","Standard-Charging"))</f>
        <v>Fast-Charging</v>
      </c>
      <c r="AF8" t="str">
        <f>IF(EV_Data4[[#This Row],[acceleration_0_60_mph]]&lt;=3,"SportsPerformance",IF(EV_Data4[[#This Row],[acceleration_0_60_mph]]&lt;=5,"HighPerformance","Standard"))</f>
        <v>Standard</v>
      </c>
      <c r="AG8" t="str">
        <f>IF(EV_Data4[[#This Row],[customer_rating]]&gt;=4.5,"Excellent",IF(EV_Data4[[#This Row],[customer_rating]]&gt;=3.5,"Good","Average"))</f>
        <v>Good</v>
      </c>
      <c r="AH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" spans="1:34" x14ac:dyDescent="0.3">
      <c r="A9" t="s">
        <v>52</v>
      </c>
      <c r="B9" t="s">
        <v>53</v>
      </c>
      <c r="C9">
        <v>2025</v>
      </c>
      <c r="D9" t="s">
        <v>26</v>
      </c>
      <c r="E9" s="3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48</v>
      </c>
      <c r="N9">
        <v>7</v>
      </c>
      <c r="O9" t="s">
        <v>35</v>
      </c>
      <c r="P9">
        <v>61.2</v>
      </c>
      <c r="Q9">
        <v>2219</v>
      </c>
      <c r="R9">
        <v>4</v>
      </c>
      <c r="S9">
        <v>2</v>
      </c>
      <c r="T9" t="s">
        <v>29</v>
      </c>
      <c r="U9" t="s">
        <v>30</v>
      </c>
      <c r="V9" s="3">
        <v>48277</v>
      </c>
      <c r="W9">
        <v>4.1100000000000003</v>
      </c>
      <c r="X9">
        <v>8</v>
      </c>
      <c r="Y9" s="1">
        <f>EV_Data4[[#This Row],[range_miles]]/EV_Data4[[#This Row],[battery_capacity_kwh]]</f>
        <v>3.5308343409915355</v>
      </c>
      <c r="Z9" s="4">
        <f>EV_Data4[[#This Row],[price_usd]]/EV_Data4[[#This Row],[range_miles]]</f>
        <v>448.8843493150685</v>
      </c>
      <c r="AA9" s="2">
        <f>(EV_Data4[[#This Row],[customer_rating]]*EV_Data4[[#This Row],[safety_rating]]*1000)/EV_Data4[[#This Row],[price_usd]]</f>
        <v>0.12542511216735738</v>
      </c>
      <c r="AB9">
        <f>EV_Data4[[#This Row],[horsepower]]+EV_Data4[[#This Row],[torque_nm]]/EV_Data4[[#This Row],[acceleration_0_60_mph]]</f>
        <v>1010.4882943143813</v>
      </c>
      <c r="AC9" t="str">
        <f>IF(EV_Data4[[#This Row],[price_usd]]&gt;=80000,"Luxury",IF(EV_Data4[[#This Row],[price_usd]]&gt;=40000,"Mid-Range","Budget"))</f>
        <v>Luxury</v>
      </c>
      <c r="AD9" t="str">
        <f>IF(EV_Data4[[#This Row],[range_miles]]&gt;=350,"Long-Range",IF(EV_Data4[[#This Row],[range_miles]]&gt;=250,"Medium-Range","Short-Range"))</f>
        <v>Medium-Range</v>
      </c>
      <c r="AE9" t="str">
        <f>IF(EV_Data4[[#This Row],[charging_speed_kw]]&gt;=250,"Ultra-Fast",IF(EV_Data4[[#This Row],[charging_speed_kw]]&gt;=150,"Fast-Charging","Standard-Charging"))</f>
        <v>Fast-Charging</v>
      </c>
      <c r="AF9" t="str">
        <f>IF(EV_Data4[[#This Row],[acceleration_0_60_mph]]&lt;=3,"SportsPerformance",IF(EV_Data4[[#This Row],[acceleration_0_60_mph]]&lt;=5,"HighPerformance","Standard"))</f>
        <v>SportsPerformance</v>
      </c>
      <c r="AG9" t="str">
        <f>IF(EV_Data4[[#This Row],[customer_rating]]&gt;=4.5,"Excellent",IF(EV_Data4[[#This Row],[customer_rating]]&gt;=3.5,"Good","Average"))</f>
        <v>Good</v>
      </c>
      <c r="AH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" spans="1:34" x14ac:dyDescent="0.3">
      <c r="A10" t="s">
        <v>42</v>
      </c>
      <c r="B10" t="s">
        <v>54</v>
      </c>
      <c r="C10">
        <v>2021</v>
      </c>
      <c r="D10" t="s">
        <v>33</v>
      </c>
      <c r="E10" s="3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27</v>
      </c>
      <c r="N10">
        <v>7</v>
      </c>
      <c r="O10" t="s">
        <v>50</v>
      </c>
      <c r="P10">
        <v>36.700000000000003</v>
      </c>
      <c r="Q10">
        <v>1511</v>
      </c>
      <c r="R10">
        <v>3</v>
      </c>
      <c r="S10">
        <v>1</v>
      </c>
      <c r="T10" t="s">
        <v>45</v>
      </c>
      <c r="U10" t="s">
        <v>33</v>
      </c>
      <c r="V10" s="3">
        <v>90830</v>
      </c>
      <c r="W10">
        <v>3.11</v>
      </c>
      <c r="X10">
        <v>4</v>
      </c>
      <c r="Y10" s="1">
        <f>EV_Data4[[#This Row],[range_miles]]/EV_Data4[[#This Row],[battery_capacity_kwh]]</f>
        <v>3.36996336996337</v>
      </c>
      <c r="Z10" s="4">
        <f>EV_Data4[[#This Row],[price_usd]]/EV_Data4[[#This Row],[range_miles]]</f>
        <v>437.66614130434789</v>
      </c>
      <c r="AA10" s="2">
        <f>(EV_Data4[[#This Row],[customer_rating]]*EV_Data4[[#This Row],[safety_rating]]*1000)/EV_Data4[[#This Row],[price_usd]]</f>
        <v>0.11585662438500062</v>
      </c>
      <c r="AB10">
        <f>EV_Data4[[#This Row],[horsepower]]+EV_Data4[[#This Row],[torque_nm]]/EV_Data4[[#This Row],[acceleration_0_60_mph]]</f>
        <v>1090.1347424042272</v>
      </c>
      <c r="AC10" t="str">
        <f>IF(EV_Data4[[#This Row],[price_usd]]&gt;=80000,"Luxury",IF(EV_Data4[[#This Row],[price_usd]]&gt;=40000,"Mid-Range","Budget"))</f>
        <v>Luxury</v>
      </c>
      <c r="AD10" t="str">
        <f>IF(EV_Data4[[#This Row],[range_miles]]&gt;=350,"Long-Range",IF(EV_Data4[[#This Row],[range_miles]]&gt;=250,"Medium-Range","Short-Range"))</f>
        <v>Short-Range</v>
      </c>
      <c r="AE10" t="str">
        <f>IF(EV_Data4[[#This Row],[charging_speed_kw]]&gt;=250,"Ultra-Fast",IF(EV_Data4[[#This Row],[charging_speed_kw]]&gt;=150,"Fast-Charging","Standard-Charging"))</f>
        <v>Standard-Charging</v>
      </c>
      <c r="AF10" t="str">
        <f>IF(EV_Data4[[#This Row],[acceleration_0_60_mph]]&lt;=3,"SportsPerformance",IF(EV_Data4[[#This Row],[acceleration_0_60_mph]]&lt;=5,"HighPerformance","Standard"))</f>
        <v>Standard</v>
      </c>
      <c r="AG10" t="str">
        <f>IF(EV_Data4[[#This Row],[customer_rating]]&gt;=4.5,"Excellent",IF(EV_Data4[[#This Row],[customer_rating]]&gt;=3.5,"Good","Average"))</f>
        <v>Average</v>
      </c>
      <c r="AH1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" spans="1:34" x14ac:dyDescent="0.3">
      <c r="A11" t="s">
        <v>38</v>
      </c>
      <c r="B11" t="s">
        <v>55</v>
      </c>
      <c r="C11">
        <v>2025</v>
      </c>
      <c r="D11" t="s">
        <v>56</v>
      </c>
      <c r="E11" s="3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34</v>
      </c>
      <c r="N11">
        <v>7</v>
      </c>
      <c r="O11" t="s">
        <v>40</v>
      </c>
      <c r="P11">
        <v>67.599999999999994</v>
      </c>
      <c r="Q11">
        <v>1520</v>
      </c>
      <c r="R11">
        <v>5</v>
      </c>
      <c r="S11">
        <v>2</v>
      </c>
      <c r="T11" t="s">
        <v>41</v>
      </c>
      <c r="U11" t="s">
        <v>37</v>
      </c>
      <c r="V11" s="3">
        <v>8761</v>
      </c>
      <c r="W11">
        <v>3.46</v>
      </c>
      <c r="X11">
        <v>5</v>
      </c>
      <c r="Y11" s="1">
        <f>EV_Data4[[#This Row],[range_miles]]/EV_Data4[[#This Row],[battery_capacity_kwh]]</f>
        <v>3.5908440629470668</v>
      </c>
      <c r="Z11" s="4">
        <f>EV_Data4[[#This Row],[price_usd]]/EV_Data4[[#This Row],[range_miles]]</f>
        <v>226.87063745019921</v>
      </c>
      <c r="AA11" s="2">
        <f>(EV_Data4[[#This Row],[customer_rating]]*EV_Data4[[#This Row],[safety_rating]]*1000)/EV_Data4[[#This Row],[price_usd]]</f>
        <v>0.30380442160116172</v>
      </c>
      <c r="AB11">
        <f>EV_Data4[[#This Row],[horsepower]]+EV_Data4[[#This Row],[torque_nm]]/EV_Data4[[#This Row],[acceleration_0_60_mph]]</f>
        <v>793.4191616766467</v>
      </c>
      <c r="AC11" t="str">
        <f>IF(EV_Data4[[#This Row],[price_usd]]&gt;=80000,"Luxury",IF(EV_Data4[[#This Row],[price_usd]]&gt;=40000,"Mid-Range","Budget"))</f>
        <v>Mid-Range</v>
      </c>
      <c r="AD11" t="str">
        <f>IF(EV_Data4[[#This Row],[range_miles]]&gt;=350,"Long-Range",IF(EV_Data4[[#This Row],[range_miles]]&gt;=250,"Medium-Range","Short-Range"))</f>
        <v>Medium-Range</v>
      </c>
      <c r="AE11" t="str">
        <f>IF(EV_Data4[[#This Row],[charging_speed_kw]]&gt;=250,"Ultra-Fast",IF(EV_Data4[[#This Row],[charging_speed_kw]]&gt;=150,"Fast-Charging","Standard-Charging"))</f>
        <v>Standard-Charging</v>
      </c>
      <c r="AF11" t="str">
        <f>IF(EV_Data4[[#This Row],[acceleration_0_60_mph]]&lt;=3,"SportsPerformance",IF(EV_Data4[[#This Row],[acceleration_0_60_mph]]&lt;=5,"HighPerformance","Standard"))</f>
        <v>Standard</v>
      </c>
      <c r="AG11" t="str">
        <f>IF(EV_Data4[[#This Row],[customer_rating]]&gt;=4.5,"Excellent",IF(EV_Data4[[#This Row],[customer_rating]]&gt;=3.5,"Good","Average"))</f>
        <v>Average</v>
      </c>
      <c r="AH1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" spans="1:34" x14ac:dyDescent="0.3">
      <c r="A12" t="s">
        <v>46</v>
      </c>
      <c r="B12" t="s">
        <v>57</v>
      </c>
      <c r="C12">
        <v>2026</v>
      </c>
      <c r="D12" t="s">
        <v>44</v>
      </c>
      <c r="E12" s="3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27</v>
      </c>
      <c r="N12">
        <v>5</v>
      </c>
      <c r="O12" t="s">
        <v>58</v>
      </c>
      <c r="P12">
        <v>26.7</v>
      </c>
      <c r="Q12">
        <v>1720</v>
      </c>
      <c r="R12">
        <v>4</v>
      </c>
      <c r="S12">
        <v>2</v>
      </c>
      <c r="T12" t="s">
        <v>41</v>
      </c>
      <c r="U12" t="s">
        <v>30</v>
      </c>
      <c r="V12" s="3">
        <v>211478</v>
      </c>
      <c r="W12">
        <v>3.78</v>
      </c>
      <c r="X12">
        <v>4</v>
      </c>
      <c r="Y12" s="1">
        <f>EV_Data4[[#This Row],[range_miles]]/EV_Data4[[#This Row],[battery_capacity_kwh]]</f>
        <v>3.3624031007751936</v>
      </c>
      <c r="Z12" s="4">
        <f>EV_Data4[[#This Row],[price_usd]]/EV_Data4[[#This Row],[range_miles]]</f>
        <v>386.64498559077811</v>
      </c>
      <c r="AA12" s="2">
        <f>(EV_Data4[[#This Row],[customer_rating]]*EV_Data4[[#This Row],[safety_rating]]*1000)/EV_Data4[[#This Row],[price_usd]]</f>
        <v>0.11269637175074633</v>
      </c>
      <c r="AB12">
        <f>EV_Data4[[#This Row],[horsepower]]+EV_Data4[[#This Row],[torque_nm]]/EV_Data4[[#This Row],[acceleration_0_60_mph]]</f>
        <v>1201.1140350877192</v>
      </c>
      <c r="AC12" t="str">
        <f>IF(EV_Data4[[#This Row],[price_usd]]&gt;=80000,"Luxury",IF(EV_Data4[[#This Row],[price_usd]]&gt;=40000,"Mid-Range","Budget"))</f>
        <v>Luxury</v>
      </c>
      <c r="AD12" t="str">
        <f>IF(EV_Data4[[#This Row],[range_miles]]&gt;=350,"Long-Range",IF(EV_Data4[[#This Row],[range_miles]]&gt;=250,"Medium-Range","Short-Range"))</f>
        <v>Medium-Range</v>
      </c>
      <c r="AE12" t="str">
        <f>IF(EV_Data4[[#This Row],[charging_speed_kw]]&gt;=250,"Ultra-Fast",IF(EV_Data4[[#This Row],[charging_speed_kw]]&gt;=150,"Fast-Charging","Standard-Charging"))</f>
        <v>Ultra-Fast</v>
      </c>
      <c r="AF12" t="str">
        <f>IF(EV_Data4[[#This Row],[acceleration_0_60_mph]]&lt;=3,"SportsPerformance",IF(EV_Data4[[#This Row],[acceleration_0_60_mph]]&lt;=5,"HighPerformance","Standard"))</f>
        <v>HighPerformance</v>
      </c>
      <c r="AG12" t="str">
        <f>IF(EV_Data4[[#This Row],[customer_rating]]&gt;=4.5,"Excellent",IF(EV_Data4[[#This Row],[customer_rating]]&gt;=3.5,"Good","Average"))</f>
        <v>Good</v>
      </c>
      <c r="AH1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" spans="1:34" x14ac:dyDescent="0.3">
      <c r="A13" t="s">
        <v>59</v>
      </c>
      <c r="B13" t="s">
        <v>60</v>
      </c>
      <c r="C13">
        <v>2025</v>
      </c>
      <c r="D13" t="s">
        <v>61</v>
      </c>
      <c r="E13" s="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27</v>
      </c>
      <c r="N13">
        <v>7</v>
      </c>
      <c r="O13" t="s">
        <v>28</v>
      </c>
      <c r="P13">
        <v>64.7</v>
      </c>
      <c r="Q13">
        <v>2536</v>
      </c>
      <c r="R13">
        <v>3</v>
      </c>
      <c r="S13">
        <v>2</v>
      </c>
      <c r="T13" t="s">
        <v>41</v>
      </c>
      <c r="U13" t="s">
        <v>33</v>
      </c>
      <c r="V13" s="3">
        <v>2408</v>
      </c>
      <c r="W13">
        <v>3.67</v>
      </c>
      <c r="X13">
        <v>5</v>
      </c>
      <c r="Y13" s="1">
        <f>EV_Data4[[#This Row],[range_miles]]/EV_Data4[[#This Row],[battery_capacity_kwh]]</f>
        <v>3.4782608695652173</v>
      </c>
      <c r="Z13" s="4">
        <f>EV_Data4[[#This Row],[price_usd]]/EV_Data4[[#This Row],[range_miles]]</f>
        <v>383.25081896551723</v>
      </c>
      <c r="AA13" s="2">
        <f>(EV_Data4[[#This Row],[customer_rating]]*EV_Data4[[#This Row],[safety_rating]]*1000)/EV_Data4[[#This Row],[price_usd]]</f>
        <v>0.12382725411995543</v>
      </c>
      <c r="AB13">
        <f>EV_Data4[[#This Row],[horsepower]]+EV_Data4[[#This Row],[torque_nm]]/EV_Data4[[#This Row],[acceleration_0_60_mph]]</f>
        <v>862.0980392156863</v>
      </c>
      <c r="AC13" t="str">
        <f>IF(EV_Data4[[#This Row],[price_usd]]&gt;=80000,"Luxury",IF(EV_Data4[[#This Row],[price_usd]]&gt;=40000,"Mid-Range","Budget"))</f>
        <v>Luxury</v>
      </c>
      <c r="AD13" t="str">
        <f>IF(EV_Data4[[#This Row],[range_miles]]&gt;=350,"Long-Range",IF(EV_Data4[[#This Row],[range_miles]]&gt;=250,"Medium-Range","Short-Range"))</f>
        <v>Short-Range</v>
      </c>
      <c r="AE13" t="str">
        <f>IF(EV_Data4[[#This Row],[charging_speed_kw]]&gt;=250,"Ultra-Fast",IF(EV_Data4[[#This Row],[charging_speed_kw]]&gt;=150,"Fast-Charging","Standard-Charging"))</f>
        <v>Standard-Charging</v>
      </c>
      <c r="AF13" t="str">
        <f>IF(EV_Data4[[#This Row],[acceleration_0_60_mph]]&lt;=3,"SportsPerformance",IF(EV_Data4[[#This Row],[acceleration_0_60_mph]]&lt;=5,"HighPerformance","Standard"))</f>
        <v>Standard</v>
      </c>
      <c r="AG13" t="str">
        <f>IF(EV_Data4[[#This Row],[customer_rating]]&gt;=4.5,"Excellent",IF(EV_Data4[[#This Row],[customer_rating]]&gt;=3.5,"Good","Average"))</f>
        <v>Good</v>
      </c>
      <c r="AH1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" spans="1:34" x14ac:dyDescent="0.3">
      <c r="A14" t="s">
        <v>52</v>
      </c>
      <c r="B14" t="s">
        <v>62</v>
      </c>
      <c r="C14">
        <v>2025</v>
      </c>
      <c r="D14" t="s">
        <v>26</v>
      </c>
      <c r="E14" s="3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48</v>
      </c>
      <c r="N14">
        <v>7</v>
      </c>
      <c r="O14" t="s">
        <v>50</v>
      </c>
      <c r="P14">
        <v>17.600000000000001</v>
      </c>
      <c r="Q14">
        <v>1562</v>
      </c>
      <c r="R14">
        <v>5</v>
      </c>
      <c r="S14">
        <v>2</v>
      </c>
      <c r="T14" t="s">
        <v>29</v>
      </c>
      <c r="U14" t="s">
        <v>30</v>
      </c>
      <c r="V14" s="3">
        <v>56039</v>
      </c>
      <c r="W14">
        <v>3.59</v>
      </c>
      <c r="X14">
        <v>7</v>
      </c>
      <c r="Y14" s="1">
        <f>EV_Data4[[#This Row],[range_miles]]/EV_Data4[[#This Row],[battery_capacity_kwh]]</f>
        <v>3.4334763948497855</v>
      </c>
      <c r="Z14" s="4">
        <f>EV_Data4[[#This Row],[price_usd]]/EV_Data4[[#This Row],[range_miles]]</f>
        <v>658.78725000000009</v>
      </c>
      <c r="AA14" s="2">
        <f>(EV_Data4[[#This Row],[customer_rating]]*EV_Data4[[#This Row],[safety_rating]]*1000)/EV_Data4[[#This Row],[price_usd]]</f>
        <v>8.5146987893284204E-2</v>
      </c>
      <c r="AB14">
        <f>EV_Data4[[#This Row],[horsepower]]+EV_Data4[[#This Row],[torque_nm]]/EV_Data4[[#This Row],[acceleration_0_60_mph]]</f>
        <v>1323.5915492957747</v>
      </c>
      <c r="AC14" t="str">
        <f>IF(EV_Data4[[#This Row],[price_usd]]&gt;=80000,"Luxury",IF(EV_Data4[[#This Row],[price_usd]]&gt;=40000,"Mid-Range","Budget"))</f>
        <v>Luxury</v>
      </c>
      <c r="AD14" t="str">
        <f>IF(EV_Data4[[#This Row],[range_miles]]&gt;=350,"Long-Range",IF(EV_Data4[[#This Row],[range_miles]]&gt;=250,"Medium-Range","Short-Range"))</f>
        <v>Medium-Range</v>
      </c>
      <c r="AE14" t="str">
        <f>IF(EV_Data4[[#This Row],[charging_speed_kw]]&gt;=250,"Ultra-Fast",IF(EV_Data4[[#This Row],[charging_speed_kw]]&gt;=150,"Fast-Charging","Standard-Charging"))</f>
        <v>Fast-Charging</v>
      </c>
      <c r="AF14" t="str">
        <f>IF(EV_Data4[[#This Row],[acceleration_0_60_mph]]&lt;=3,"SportsPerformance",IF(EV_Data4[[#This Row],[acceleration_0_60_mph]]&lt;=5,"HighPerformance","Standard"))</f>
        <v>SportsPerformance</v>
      </c>
      <c r="AG14" t="str">
        <f>IF(EV_Data4[[#This Row],[customer_rating]]&gt;=4.5,"Excellent",IF(EV_Data4[[#This Row],[customer_rating]]&gt;=3.5,"Good","Average"))</f>
        <v>Good</v>
      </c>
      <c r="AH1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" spans="1:34" x14ac:dyDescent="0.3">
      <c r="A15" t="s">
        <v>63</v>
      </c>
      <c r="B15" t="s">
        <v>64</v>
      </c>
      <c r="C15">
        <v>2023</v>
      </c>
      <c r="D15" t="s">
        <v>56</v>
      </c>
      <c r="E15" s="3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34</v>
      </c>
      <c r="N15">
        <v>5</v>
      </c>
      <c r="O15" t="s">
        <v>51</v>
      </c>
      <c r="P15">
        <v>26.9</v>
      </c>
      <c r="Q15">
        <v>1744</v>
      </c>
      <c r="R15">
        <v>5</v>
      </c>
      <c r="S15">
        <v>0</v>
      </c>
      <c r="T15" t="s">
        <v>65</v>
      </c>
      <c r="U15" t="s">
        <v>66</v>
      </c>
      <c r="V15" s="3">
        <v>224997</v>
      </c>
      <c r="W15">
        <v>3.58</v>
      </c>
      <c r="X15">
        <v>5</v>
      </c>
      <c r="Y15" s="1">
        <f>EV_Data4[[#This Row],[range_miles]]/EV_Data4[[#This Row],[battery_capacity_kwh]]</f>
        <v>3.7799043062200961</v>
      </c>
      <c r="Z15" s="4">
        <f>EV_Data4[[#This Row],[price_usd]]/EV_Data4[[#This Row],[range_miles]]</f>
        <v>103.76158227848103</v>
      </c>
      <c r="AA15" s="2">
        <f>(EV_Data4[[#This Row],[customer_rating]]*EV_Data4[[#This Row],[safety_rating]]*1000)/EV_Data4[[#This Row],[price_usd]]</f>
        <v>1.0918408986521559</v>
      </c>
      <c r="AB15">
        <f>EV_Data4[[#This Row],[horsepower]]+EV_Data4[[#This Row],[torque_nm]]/EV_Data4[[#This Row],[acceleration_0_60_mph]]</f>
        <v>181.20124804992199</v>
      </c>
      <c r="AC15" t="str">
        <f>IF(EV_Data4[[#This Row],[price_usd]]&gt;=80000,"Luxury",IF(EV_Data4[[#This Row],[price_usd]]&gt;=40000,"Mid-Range","Budget"))</f>
        <v>Budget</v>
      </c>
      <c r="AD15" t="str">
        <f>IF(EV_Data4[[#This Row],[range_miles]]&gt;=350,"Long-Range",IF(EV_Data4[[#This Row],[range_miles]]&gt;=250,"Medium-Range","Short-Range"))</f>
        <v>Short-Range</v>
      </c>
      <c r="AE15" t="str">
        <f>IF(EV_Data4[[#This Row],[charging_speed_kw]]&gt;=250,"Ultra-Fast",IF(EV_Data4[[#This Row],[charging_speed_kw]]&gt;=150,"Fast-Charging","Standard-Charging"))</f>
        <v>Standard-Charging</v>
      </c>
      <c r="AF15" t="str">
        <f>IF(EV_Data4[[#This Row],[acceleration_0_60_mph]]&lt;=3,"SportsPerformance",IF(EV_Data4[[#This Row],[acceleration_0_60_mph]]&lt;=5,"HighPerformance","Standard"))</f>
        <v>Standard</v>
      </c>
      <c r="AG15" t="str">
        <f>IF(EV_Data4[[#This Row],[customer_rating]]&gt;=4.5,"Excellent",IF(EV_Data4[[#This Row],[customer_rating]]&gt;=3.5,"Good","Average"))</f>
        <v>Good</v>
      </c>
      <c r="AH1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" spans="1:34" x14ac:dyDescent="0.3">
      <c r="A16" t="s">
        <v>46</v>
      </c>
      <c r="B16" t="s">
        <v>47</v>
      </c>
      <c r="C16">
        <v>2024</v>
      </c>
      <c r="D16" t="s">
        <v>33</v>
      </c>
      <c r="E16" s="3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34</v>
      </c>
      <c r="N16">
        <v>7</v>
      </c>
      <c r="O16" t="s">
        <v>58</v>
      </c>
      <c r="P16">
        <v>15.7</v>
      </c>
      <c r="Q16">
        <v>1556</v>
      </c>
      <c r="R16">
        <v>4</v>
      </c>
      <c r="S16">
        <v>3</v>
      </c>
      <c r="T16" t="s">
        <v>41</v>
      </c>
      <c r="U16" t="s">
        <v>33</v>
      </c>
      <c r="V16" s="3">
        <v>124780</v>
      </c>
      <c r="W16">
        <v>3.56</v>
      </c>
      <c r="X16">
        <v>5</v>
      </c>
      <c r="Y16" s="1">
        <f>EV_Data4[[#This Row],[range_miles]]/EV_Data4[[#This Row],[battery_capacity_kwh]]</f>
        <v>3.3534136546184743</v>
      </c>
      <c r="Z16" s="4">
        <f>EV_Data4[[#This Row],[price_usd]]/EV_Data4[[#This Row],[range_miles]]</f>
        <v>574.3283233532934</v>
      </c>
      <c r="AA16" s="2">
        <f>(EV_Data4[[#This Row],[customer_rating]]*EV_Data4[[#This Row],[safety_rating]]*1000)/EV_Data4[[#This Row],[price_usd]]</f>
        <v>0.14846814550253601</v>
      </c>
      <c r="AB16">
        <f>EV_Data4[[#This Row],[horsepower]]+EV_Data4[[#This Row],[torque_nm]]/EV_Data4[[#This Row],[acceleration_0_60_mph]]</f>
        <v>800.16107382550331</v>
      </c>
      <c r="AC16" t="str">
        <f>IF(EV_Data4[[#This Row],[price_usd]]&gt;=80000,"Luxury",IF(EV_Data4[[#This Row],[price_usd]]&gt;=40000,"Mid-Range","Budget"))</f>
        <v>Luxury</v>
      </c>
      <c r="AD16" t="str">
        <f>IF(EV_Data4[[#This Row],[range_miles]]&gt;=350,"Long-Range",IF(EV_Data4[[#This Row],[range_miles]]&gt;=250,"Medium-Range","Short-Range"))</f>
        <v>Short-Range</v>
      </c>
      <c r="AE16" t="str">
        <f>IF(EV_Data4[[#This Row],[charging_speed_kw]]&gt;=250,"Ultra-Fast",IF(EV_Data4[[#This Row],[charging_speed_kw]]&gt;=150,"Fast-Charging","Standard-Charging"))</f>
        <v>Fast-Charging</v>
      </c>
      <c r="AF16" t="str">
        <f>IF(EV_Data4[[#This Row],[acceleration_0_60_mph]]&lt;=3,"SportsPerformance",IF(EV_Data4[[#This Row],[acceleration_0_60_mph]]&lt;=5,"HighPerformance","Standard"))</f>
        <v>Standard</v>
      </c>
      <c r="AG16" t="str">
        <f>IF(EV_Data4[[#This Row],[customer_rating]]&gt;=4.5,"Excellent",IF(EV_Data4[[#This Row],[customer_rating]]&gt;=3.5,"Good","Average"))</f>
        <v>Good</v>
      </c>
      <c r="AH16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7" spans="1:34" x14ac:dyDescent="0.3">
      <c r="A17" t="s">
        <v>46</v>
      </c>
      <c r="B17" t="s">
        <v>57</v>
      </c>
      <c r="C17">
        <v>2024</v>
      </c>
      <c r="D17" t="s">
        <v>33</v>
      </c>
      <c r="E17" s="3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48</v>
      </c>
      <c r="N17">
        <v>5</v>
      </c>
      <c r="O17" t="s">
        <v>40</v>
      </c>
      <c r="P17">
        <v>76</v>
      </c>
      <c r="Q17">
        <v>1500</v>
      </c>
      <c r="R17">
        <v>5</v>
      </c>
      <c r="S17">
        <v>2</v>
      </c>
      <c r="T17" t="s">
        <v>41</v>
      </c>
      <c r="U17" t="s">
        <v>30</v>
      </c>
      <c r="V17" s="3">
        <v>235048</v>
      </c>
      <c r="W17">
        <v>3.81</v>
      </c>
      <c r="X17">
        <v>5</v>
      </c>
      <c r="Y17" s="1">
        <f>EV_Data4[[#This Row],[range_miles]]/EV_Data4[[#This Row],[battery_capacity_kwh]]</f>
        <v>3.7091988130563793</v>
      </c>
      <c r="Z17" s="4">
        <f>EV_Data4[[#This Row],[price_usd]]/EV_Data4[[#This Row],[range_miles]]</f>
        <v>539.85652000000005</v>
      </c>
      <c r="AA17" s="2">
        <f>(EV_Data4[[#This Row],[customer_rating]]*EV_Data4[[#This Row],[safety_rating]]*1000)/EV_Data4[[#This Row],[price_usd]]</f>
        <v>0.14114861482084165</v>
      </c>
      <c r="AB17">
        <f>EV_Data4[[#This Row],[horsepower]]+EV_Data4[[#This Row],[torque_nm]]/EV_Data4[[#This Row],[acceleration_0_60_mph]]</f>
        <v>1109.2922252010724</v>
      </c>
      <c r="AC17" t="str">
        <f>IF(EV_Data4[[#This Row],[price_usd]]&gt;=80000,"Luxury",IF(EV_Data4[[#This Row],[price_usd]]&gt;=40000,"Mid-Range","Budget"))</f>
        <v>Luxury</v>
      </c>
      <c r="AD17" t="str">
        <f>IF(EV_Data4[[#This Row],[range_miles]]&gt;=350,"Long-Range",IF(EV_Data4[[#This Row],[range_miles]]&gt;=250,"Medium-Range","Short-Range"))</f>
        <v>Medium-Range</v>
      </c>
      <c r="AE17" t="str">
        <f>IF(EV_Data4[[#This Row],[charging_speed_kw]]&gt;=250,"Ultra-Fast",IF(EV_Data4[[#This Row],[charging_speed_kw]]&gt;=150,"Fast-Charging","Standard-Charging"))</f>
        <v>Ultra-Fast</v>
      </c>
      <c r="AF17" t="str">
        <f>IF(EV_Data4[[#This Row],[acceleration_0_60_mph]]&lt;=3,"SportsPerformance",IF(EV_Data4[[#This Row],[acceleration_0_60_mph]]&lt;=5,"HighPerformance","Standard"))</f>
        <v>Standard</v>
      </c>
      <c r="AG17" t="str">
        <f>IF(EV_Data4[[#This Row],[customer_rating]]&gt;=4.5,"Excellent",IF(EV_Data4[[#This Row],[customer_rating]]&gt;=3.5,"Good","Average"))</f>
        <v>Good</v>
      </c>
      <c r="AH1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" spans="1:34" x14ac:dyDescent="0.3">
      <c r="A18" t="s">
        <v>63</v>
      </c>
      <c r="B18" t="s">
        <v>67</v>
      </c>
      <c r="C18">
        <v>2024</v>
      </c>
      <c r="D18" t="s">
        <v>61</v>
      </c>
      <c r="E18" s="3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48</v>
      </c>
      <c r="N18">
        <v>7</v>
      </c>
      <c r="O18" t="s">
        <v>28</v>
      </c>
      <c r="P18">
        <v>72.2</v>
      </c>
      <c r="Q18">
        <v>2756</v>
      </c>
      <c r="R18">
        <v>5</v>
      </c>
      <c r="S18">
        <v>1</v>
      </c>
      <c r="T18" t="s">
        <v>65</v>
      </c>
      <c r="U18" t="s">
        <v>37</v>
      </c>
      <c r="V18" s="3">
        <v>204232</v>
      </c>
      <c r="W18">
        <v>3.52</v>
      </c>
      <c r="X18">
        <v>4</v>
      </c>
      <c r="Y18" s="1">
        <f>EV_Data4[[#This Row],[range_miles]]/EV_Data4[[#This Row],[battery_capacity_kwh]]</f>
        <v>3.7588652482269502</v>
      </c>
      <c r="Z18" s="4">
        <f>EV_Data4[[#This Row],[price_usd]]/EV_Data4[[#This Row],[range_miles]]</f>
        <v>243.12083018867924</v>
      </c>
      <c r="AA18" s="2">
        <f>(EV_Data4[[#This Row],[customer_rating]]*EV_Data4[[#This Row],[safety_rating]]*1000)/EV_Data4[[#This Row],[price_usd]]</f>
        <v>0.27317730976847915</v>
      </c>
      <c r="AB18">
        <f>EV_Data4[[#This Row],[horsepower]]+EV_Data4[[#This Row],[torque_nm]]/EV_Data4[[#This Row],[acceleration_0_60_mph]]</f>
        <v>806.80318379160633</v>
      </c>
      <c r="AC18" t="str">
        <f>IF(EV_Data4[[#This Row],[price_usd]]&gt;=80000,"Luxury",IF(EV_Data4[[#This Row],[price_usd]]&gt;=40000,"Mid-Range","Budget"))</f>
        <v>Mid-Range</v>
      </c>
      <c r="AD18" t="str">
        <f>IF(EV_Data4[[#This Row],[range_miles]]&gt;=350,"Long-Range",IF(EV_Data4[[#This Row],[range_miles]]&gt;=250,"Medium-Range","Short-Range"))</f>
        <v>Medium-Range</v>
      </c>
      <c r="AE18" t="str">
        <f>IF(EV_Data4[[#This Row],[charging_speed_kw]]&gt;=250,"Ultra-Fast",IF(EV_Data4[[#This Row],[charging_speed_kw]]&gt;=150,"Fast-Charging","Standard-Charging"))</f>
        <v>Standard-Charging</v>
      </c>
      <c r="AF18" t="str">
        <f>IF(EV_Data4[[#This Row],[acceleration_0_60_mph]]&lt;=3,"SportsPerformance",IF(EV_Data4[[#This Row],[acceleration_0_60_mph]]&lt;=5,"HighPerformance","Standard"))</f>
        <v>Standard</v>
      </c>
      <c r="AG18" t="str">
        <f>IF(EV_Data4[[#This Row],[customer_rating]]&gt;=4.5,"Excellent",IF(EV_Data4[[#This Row],[customer_rating]]&gt;=3.5,"Good","Average"))</f>
        <v>Good</v>
      </c>
      <c r="AH1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" spans="1:34" x14ac:dyDescent="0.3">
      <c r="A19" t="s">
        <v>68</v>
      </c>
      <c r="B19" t="s">
        <v>69</v>
      </c>
      <c r="C19">
        <v>2024</v>
      </c>
      <c r="D19" t="s">
        <v>33</v>
      </c>
      <c r="E19" s="3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48</v>
      </c>
      <c r="N19">
        <v>5</v>
      </c>
      <c r="O19" t="s">
        <v>51</v>
      </c>
      <c r="P19">
        <v>21.9</v>
      </c>
      <c r="Q19">
        <v>1750</v>
      </c>
      <c r="R19">
        <v>4</v>
      </c>
      <c r="S19">
        <v>1</v>
      </c>
      <c r="T19" t="s">
        <v>45</v>
      </c>
      <c r="U19" t="s">
        <v>37</v>
      </c>
      <c r="V19" s="3">
        <v>132242</v>
      </c>
      <c r="W19">
        <v>3.43</v>
      </c>
      <c r="X19">
        <v>5</v>
      </c>
      <c r="Y19" s="1">
        <f>EV_Data4[[#This Row],[range_miles]]/EV_Data4[[#This Row],[battery_capacity_kwh]]</f>
        <v>3.3950617283950617</v>
      </c>
      <c r="Z19" s="4">
        <f>EV_Data4[[#This Row],[price_usd]]/EV_Data4[[#This Row],[range_miles]]</f>
        <v>229.59981818181816</v>
      </c>
      <c r="AA19" s="2">
        <f>(EV_Data4[[#This Row],[customer_rating]]*EV_Data4[[#This Row],[safety_rating]]*1000)/EV_Data4[[#This Row],[price_usd]]</f>
        <v>0.21729507229574938</v>
      </c>
      <c r="AB19">
        <f>EV_Data4[[#This Row],[horsepower]]+EV_Data4[[#This Row],[torque_nm]]/EV_Data4[[#This Row],[acceleration_0_60_mph]]</f>
        <v>830.11409395973158</v>
      </c>
      <c r="AC19" t="str">
        <f>IF(EV_Data4[[#This Row],[price_usd]]&gt;=80000,"Luxury",IF(EV_Data4[[#This Row],[price_usd]]&gt;=40000,"Mid-Range","Budget"))</f>
        <v>Mid-Range</v>
      </c>
      <c r="AD19" t="str">
        <f>IF(EV_Data4[[#This Row],[range_miles]]&gt;=350,"Long-Range",IF(EV_Data4[[#This Row],[range_miles]]&gt;=250,"Medium-Range","Short-Range"))</f>
        <v>Medium-Range</v>
      </c>
      <c r="AE19" t="str">
        <f>IF(EV_Data4[[#This Row],[charging_speed_kw]]&gt;=250,"Ultra-Fast",IF(EV_Data4[[#This Row],[charging_speed_kw]]&gt;=150,"Fast-Charging","Standard-Charging"))</f>
        <v>Standard-Charging</v>
      </c>
      <c r="AF19" t="str">
        <f>IF(EV_Data4[[#This Row],[acceleration_0_60_mph]]&lt;=3,"SportsPerformance",IF(EV_Data4[[#This Row],[acceleration_0_60_mph]]&lt;=5,"HighPerformance","Standard"))</f>
        <v>Standard</v>
      </c>
      <c r="AG19" t="str">
        <f>IF(EV_Data4[[#This Row],[customer_rating]]&gt;=4.5,"Excellent",IF(EV_Data4[[#This Row],[customer_rating]]&gt;=3.5,"Good","Average"))</f>
        <v>Average</v>
      </c>
      <c r="AH1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0" spans="1:34" x14ac:dyDescent="0.3">
      <c r="A20" t="s">
        <v>24</v>
      </c>
      <c r="B20" t="s">
        <v>70</v>
      </c>
      <c r="C20">
        <v>2024</v>
      </c>
      <c r="D20" t="s">
        <v>44</v>
      </c>
      <c r="E20" s="3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27</v>
      </c>
      <c r="N20">
        <v>7</v>
      </c>
      <c r="O20" t="s">
        <v>58</v>
      </c>
      <c r="P20">
        <v>38.700000000000003</v>
      </c>
      <c r="Q20">
        <v>1634</v>
      </c>
      <c r="R20">
        <v>4</v>
      </c>
      <c r="S20">
        <v>0</v>
      </c>
      <c r="T20" t="s">
        <v>29</v>
      </c>
      <c r="U20" t="s">
        <v>33</v>
      </c>
      <c r="V20" s="3">
        <v>238587</v>
      </c>
      <c r="W20">
        <v>3.37</v>
      </c>
      <c r="X20">
        <v>4</v>
      </c>
      <c r="Y20" s="1">
        <f>EV_Data4[[#This Row],[range_miles]]/EV_Data4[[#This Row],[battery_capacity_kwh]]</f>
        <v>3.7727272727272729</v>
      </c>
      <c r="Z20" s="4">
        <f>EV_Data4[[#This Row],[price_usd]]/EV_Data4[[#This Row],[range_miles]]</f>
        <v>232.01807228915663</v>
      </c>
      <c r="AA20" s="2">
        <f>(EV_Data4[[#This Row],[customer_rating]]*EV_Data4[[#This Row],[safety_rating]]*1000)/EV_Data4[[#This Row],[price_usd]]</f>
        <v>0.1749967545112294</v>
      </c>
      <c r="AB20">
        <f>EV_Data4[[#This Row],[horsepower]]+EV_Data4[[#This Row],[torque_nm]]/EV_Data4[[#This Row],[acceleration_0_60_mph]]</f>
        <v>974.84210526315792</v>
      </c>
      <c r="AC20" t="str">
        <f>IF(EV_Data4[[#This Row],[price_usd]]&gt;=80000,"Luxury",IF(EV_Data4[[#This Row],[price_usd]]&gt;=40000,"Mid-Range","Budget"))</f>
        <v>Mid-Range</v>
      </c>
      <c r="AD20" t="str">
        <f>IF(EV_Data4[[#This Row],[range_miles]]&gt;=350,"Long-Range",IF(EV_Data4[[#This Row],[range_miles]]&gt;=250,"Medium-Range","Short-Range"))</f>
        <v>Medium-Range</v>
      </c>
      <c r="AE20" t="str">
        <f>IF(EV_Data4[[#This Row],[charging_speed_kw]]&gt;=250,"Ultra-Fast",IF(EV_Data4[[#This Row],[charging_speed_kw]]&gt;=150,"Fast-Charging","Standard-Charging"))</f>
        <v>Standard-Charging</v>
      </c>
      <c r="AF20" t="str">
        <f>IF(EV_Data4[[#This Row],[acceleration_0_60_mph]]&lt;=3,"SportsPerformance",IF(EV_Data4[[#This Row],[acceleration_0_60_mph]]&lt;=5,"HighPerformance","Standard"))</f>
        <v>HighPerformance</v>
      </c>
      <c r="AG20" t="str">
        <f>IF(EV_Data4[[#This Row],[customer_rating]]&gt;=4.5,"Excellent",IF(EV_Data4[[#This Row],[customer_rating]]&gt;=3.5,"Good","Average"))</f>
        <v>Average</v>
      </c>
      <c r="AH2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1" spans="1:34" x14ac:dyDescent="0.3">
      <c r="A21" t="s">
        <v>63</v>
      </c>
      <c r="B21" t="s">
        <v>67</v>
      </c>
      <c r="C21">
        <v>2024</v>
      </c>
      <c r="D21" t="s">
        <v>33</v>
      </c>
      <c r="E21" s="3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27</v>
      </c>
      <c r="N21">
        <v>5</v>
      </c>
      <c r="O21" t="s">
        <v>40</v>
      </c>
      <c r="P21">
        <v>60.6</v>
      </c>
      <c r="Q21">
        <v>1500</v>
      </c>
      <c r="R21">
        <v>3</v>
      </c>
      <c r="S21">
        <v>1</v>
      </c>
      <c r="T21" t="s">
        <v>65</v>
      </c>
      <c r="U21" t="s">
        <v>33</v>
      </c>
      <c r="V21" s="3">
        <v>168778</v>
      </c>
      <c r="W21">
        <v>3.53</v>
      </c>
      <c r="X21">
        <v>3</v>
      </c>
      <c r="Y21" s="1">
        <f>EV_Data4[[#This Row],[range_miles]]/EV_Data4[[#This Row],[battery_capacity_kwh]]</f>
        <v>3.7869062901155326</v>
      </c>
      <c r="Z21" s="4">
        <f>EV_Data4[[#This Row],[price_usd]]/EV_Data4[[#This Row],[range_miles]]</f>
        <v>245.20905084745763</v>
      </c>
      <c r="AA21" s="2">
        <f>(EV_Data4[[#This Row],[customer_rating]]*EV_Data4[[#This Row],[safety_rating]]*1000)/EV_Data4[[#This Row],[price_usd]]</f>
        <v>0.14639877672002319</v>
      </c>
      <c r="AB21">
        <f>EV_Data4[[#This Row],[horsepower]]+EV_Data4[[#This Row],[torque_nm]]/EV_Data4[[#This Row],[acceleration_0_60_mph]]</f>
        <v>933.09090909090912</v>
      </c>
      <c r="AC21" t="str">
        <f>IF(EV_Data4[[#This Row],[price_usd]]&gt;=80000,"Luxury",IF(EV_Data4[[#This Row],[price_usd]]&gt;=40000,"Mid-Range","Budget"))</f>
        <v>Mid-Range</v>
      </c>
      <c r="AD21" t="str">
        <f>IF(EV_Data4[[#This Row],[range_miles]]&gt;=350,"Long-Range",IF(EV_Data4[[#This Row],[range_miles]]&gt;=250,"Medium-Range","Short-Range"))</f>
        <v>Medium-Range</v>
      </c>
      <c r="AE21" t="str">
        <f>IF(EV_Data4[[#This Row],[charging_speed_kw]]&gt;=250,"Ultra-Fast",IF(EV_Data4[[#This Row],[charging_speed_kw]]&gt;=150,"Fast-Charging","Standard-Charging"))</f>
        <v>Standard-Charging</v>
      </c>
      <c r="AF21" t="str">
        <f>IF(EV_Data4[[#This Row],[acceleration_0_60_mph]]&lt;=3,"SportsPerformance",IF(EV_Data4[[#This Row],[acceleration_0_60_mph]]&lt;=5,"HighPerformance","Standard"))</f>
        <v>Standard</v>
      </c>
      <c r="AG21" t="str">
        <f>IF(EV_Data4[[#This Row],[customer_rating]]&gt;=4.5,"Excellent",IF(EV_Data4[[#This Row],[customer_rating]]&gt;=3.5,"Good","Average"))</f>
        <v>Good</v>
      </c>
      <c r="AH2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2" spans="1:34" x14ac:dyDescent="0.3">
      <c r="A22" t="s">
        <v>42</v>
      </c>
      <c r="B22" t="s">
        <v>71</v>
      </c>
      <c r="C22">
        <v>2025</v>
      </c>
      <c r="D22" t="s">
        <v>33</v>
      </c>
      <c r="E22" s="3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27</v>
      </c>
      <c r="N22">
        <v>5</v>
      </c>
      <c r="O22" t="s">
        <v>51</v>
      </c>
      <c r="P22">
        <v>26.9</v>
      </c>
      <c r="Q22">
        <v>1500</v>
      </c>
      <c r="R22">
        <v>4</v>
      </c>
      <c r="S22">
        <v>1</v>
      </c>
      <c r="T22" t="s">
        <v>45</v>
      </c>
      <c r="U22" t="s">
        <v>30</v>
      </c>
      <c r="V22" s="3">
        <v>85618</v>
      </c>
      <c r="W22">
        <v>3.33</v>
      </c>
      <c r="X22">
        <v>5</v>
      </c>
      <c r="Y22" s="1">
        <f>EV_Data4[[#This Row],[range_miles]]/EV_Data4[[#This Row],[battery_capacity_kwh]]</f>
        <v>3.5674676524953788</v>
      </c>
      <c r="Z22" s="4">
        <f>EV_Data4[[#This Row],[price_usd]]/EV_Data4[[#This Row],[range_miles]]</f>
        <v>553.61761658031082</v>
      </c>
      <c r="AA22" s="2">
        <f>(EV_Data4[[#This Row],[customer_rating]]*EV_Data4[[#This Row],[safety_rating]]*1000)/EV_Data4[[#This Row],[price_usd]]</f>
        <v>0.12466283943014482</v>
      </c>
      <c r="AB22">
        <f>EV_Data4[[#This Row],[horsepower]]+EV_Data4[[#This Row],[torque_nm]]/EV_Data4[[#This Row],[acceleration_0_60_mph]]</f>
        <v>1107.5471698113208</v>
      </c>
      <c r="AC22" t="str">
        <f>IF(EV_Data4[[#This Row],[price_usd]]&gt;=80000,"Luxury",IF(EV_Data4[[#This Row],[price_usd]]&gt;=40000,"Mid-Range","Budget"))</f>
        <v>Luxury</v>
      </c>
      <c r="AD22" t="str">
        <f>IF(EV_Data4[[#This Row],[range_miles]]&gt;=350,"Long-Range",IF(EV_Data4[[#This Row],[range_miles]]&gt;=250,"Medium-Range","Short-Range"))</f>
        <v>Short-Range</v>
      </c>
      <c r="AE22" t="str">
        <f>IF(EV_Data4[[#This Row],[charging_speed_kw]]&gt;=250,"Ultra-Fast",IF(EV_Data4[[#This Row],[charging_speed_kw]]&gt;=150,"Fast-Charging","Standard-Charging"))</f>
        <v>Standard-Charging</v>
      </c>
      <c r="AF22" t="str">
        <f>IF(EV_Data4[[#This Row],[acceleration_0_60_mph]]&lt;=3,"SportsPerformance",IF(EV_Data4[[#This Row],[acceleration_0_60_mph]]&lt;=5,"HighPerformance","Standard"))</f>
        <v>Standard</v>
      </c>
      <c r="AG22" t="str">
        <f>IF(EV_Data4[[#This Row],[customer_rating]]&gt;=4.5,"Excellent",IF(EV_Data4[[#This Row],[customer_rating]]&gt;=3.5,"Good","Average"))</f>
        <v>Average</v>
      </c>
      <c r="AH2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3" spans="1:34" x14ac:dyDescent="0.3">
      <c r="A23" t="s">
        <v>46</v>
      </c>
      <c r="B23" t="s">
        <v>72</v>
      </c>
      <c r="C23">
        <v>2023</v>
      </c>
      <c r="D23" t="s">
        <v>56</v>
      </c>
      <c r="E23" s="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27</v>
      </c>
      <c r="N23">
        <v>7</v>
      </c>
      <c r="O23" t="s">
        <v>28</v>
      </c>
      <c r="P23">
        <v>72</v>
      </c>
      <c r="Q23">
        <v>2290</v>
      </c>
      <c r="R23">
        <v>5</v>
      </c>
      <c r="S23">
        <v>2</v>
      </c>
      <c r="T23" t="s">
        <v>41</v>
      </c>
      <c r="U23" t="s">
        <v>33</v>
      </c>
      <c r="V23" s="3">
        <v>209622</v>
      </c>
      <c r="W23">
        <v>3.6</v>
      </c>
      <c r="X23">
        <v>4</v>
      </c>
      <c r="Y23" s="1">
        <f>EV_Data4[[#This Row],[range_miles]]/EV_Data4[[#This Row],[battery_capacity_kwh]]</f>
        <v>3.6312056737588652</v>
      </c>
      <c r="Z23" s="4">
        <f>EV_Data4[[#This Row],[price_usd]]/EV_Data4[[#This Row],[range_miles]]</f>
        <v>275.51546875000003</v>
      </c>
      <c r="AA23" s="2">
        <f>(EV_Data4[[#This Row],[customer_rating]]*EV_Data4[[#This Row],[safety_rating]]*1000)/EV_Data4[[#This Row],[price_usd]]</f>
        <v>0.25520345670246508</v>
      </c>
      <c r="AB23">
        <f>EV_Data4[[#This Row],[horsepower]]+EV_Data4[[#This Row],[torque_nm]]/EV_Data4[[#This Row],[acceleration_0_60_mph]]</f>
        <v>587.90909090909088</v>
      </c>
      <c r="AC23" t="str">
        <f>IF(EV_Data4[[#This Row],[price_usd]]&gt;=80000,"Luxury",IF(EV_Data4[[#This Row],[price_usd]]&gt;=40000,"Mid-Range","Budget"))</f>
        <v>Mid-Range</v>
      </c>
      <c r="AD23" t="str">
        <f>IF(EV_Data4[[#This Row],[range_miles]]&gt;=350,"Long-Range",IF(EV_Data4[[#This Row],[range_miles]]&gt;=250,"Medium-Range","Short-Range"))</f>
        <v>Medium-Range</v>
      </c>
      <c r="AE23" t="str">
        <f>IF(EV_Data4[[#This Row],[charging_speed_kw]]&gt;=250,"Ultra-Fast",IF(EV_Data4[[#This Row],[charging_speed_kw]]&gt;=150,"Fast-Charging","Standard-Charging"))</f>
        <v>Ultra-Fast</v>
      </c>
      <c r="AF23" t="str">
        <f>IF(EV_Data4[[#This Row],[acceleration_0_60_mph]]&lt;=3,"SportsPerformance",IF(EV_Data4[[#This Row],[acceleration_0_60_mph]]&lt;=5,"HighPerformance","Standard"))</f>
        <v>Standard</v>
      </c>
      <c r="AG23" t="str">
        <f>IF(EV_Data4[[#This Row],[customer_rating]]&gt;=4.5,"Excellent",IF(EV_Data4[[#This Row],[customer_rating]]&gt;=3.5,"Good","Average"))</f>
        <v>Good</v>
      </c>
      <c r="AH2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4" spans="1:34" x14ac:dyDescent="0.3">
      <c r="A24" t="s">
        <v>63</v>
      </c>
      <c r="B24" t="s">
        <v>73</v>
      </c>
      <c r="C24">
        <v>2024</v>
      </c>
      <c r="D24" t="s">
        <v>26</v>
      </c>
      <c r="E24" s="3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48</v>
      </c>
      <c r="N24">
        <v>5</v>
      </c>
      <c r="O24" t="s">
        <v>35</v>
      </c>
      <c r="P24">
        <v>68</v>
      </c>
      <c r="Q24">
        <v>1978</v>
      </c>
      <c r="R24">
        <v>5</v>
      </c>
      <c r="S24">
        <v>0</v>
      </c>
      <c r="T24" t="s">
        <v>65</v>
      </c>
      <c r="U24" t="s">
        <v>30</v>
      </c>
      <c r="V24" s="3">
        <v>229532</v>
      </c>
      <c r="W24">
        <v>3.41</v>
      </c>
      <c r="X24">
        <v>4</v>
      </c>
      <c r="Y24" s="1">
        <f>EV_Data4[[#This Row],[range_miles]]/EV_Data4[[#This Row],[battery_capacity_kwh]]</f>
        <v>3.8250652741514362</v>
      </c>
      <c r="Z24" s="4">
        <f>EV_Data4[[#This Row],[price_usd]]/EV_Data4[[#This Row],[range_miles]]</f>
        <v>391.94409556313991</v>
      </c>
      <c r="AA24" s="2">
        <f>(EV_Data4[[#This Row],[customer_rating]]*EV_Data4[[#This Row],[safety_rating]]*1000)/EV_Data4[[#This Row],[price_usd]]</f>
        <v>0.14846792422336472</v>
      </c>
      <c r="AB24">
        <f>EV_Data4[[#This Row],[horsepower]]+EV_Data4[[#This Row],[torque_nm]]/EV_Data4[[#This Row],[acceleration_0_60_mph]]</f>
        <v>1263.7426900584796</v>
      </c>
      <c r="AC24" t="str">
        <f>IF(EV_Data4[[#This Row],[price_usd]]&gt;=80000,"Luxury",IF(EV_Data4[[#This Row],[price_usd]]&gt;=40000,"Mid-Range","Budget"))</f>
        <v>Luxury</v>
      </c>
      <c r="AD24" t="str">
        <f>IF(EV_Data4[[#This Row],[range_miles]]&gt;=350,"Long-Range",IF(EV_Data4[[#This Row],[range_miles]]&gt;=250,"Medium-Range","Short-Range"))</f>
        <v>Medium-Range</v>
      </c>
      <c r="AE24" t="str">
        <f>IF(EV_Data4[[#This Row],[charging_speed_kw]]&gt;=250,"Ultra-Fast",IF(EV_Data4[[#This Row],[charging_speed_kw]]&gt;=150,"Fast-Charging","Standard-Charging"))</f>
        <v>Fast-Charging</v>
      </c>
      <c r="AF24" t="str">
        <f>IF(EV_Data4[[#This Row],[acceleration_0_60_mph]]&lt;=3,"SportsPerformance",IF(EV_Data4[[#This Row],[acceleration_0_60_mph]]&lt;=5,"HighPerformance","Standard"))</f>
        <v>HighPerformance</v>
      </c>
      <c r="AG24" t="str">
        <f>IF(EV_Data4[[#This Row],[customer_rating]]&gt;=4.5,"Excellent",IF(EV_Data4[[#This Row],[customer_rating]]&gt;=3.5,"Good","Average"))</f>
        <v>Average</v>
      </c>
      <c r="AH2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5" spans="1:34" x14ac:dyDescent="0.3">
      <c r="A25" t="s">
        <v>24</v>
      </c>
      <c r="B25" t="s">
        <v>74</v>
      </c>
      <c r="C25">
        <v>2024</v>
      </c>
      <c r="D25" t="s">
        <v>44</v>
      </c>
      <c r="E25" s="3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48</v>
      </c>
      <c r="N25">
        <v>5</v>
      </c>
      <c r="O25" t="s">
        <v>51</v>
      </c>
      <c r="P25">
        <v>26.9</v>
      </c>
      <c r="Q25">
        <v>1500</v>
      </c>
      <c r="R25">
        <v>4</v>
      </c>
      <c r="S25">
        <v>0</v>
      </c>
      <c r="T25" t="s">
        <v>29</v>
      </c>
      <c r="U25" t="s">
        <v>37</v>
      </c>
      <c r="V25" s="3">
        <v>203079</v>
      </c>
      <c r="W25">
        <v>3.64</v>
      </c>
      <c r="X25">
        <v>5</v>
      </c>
      <c r="Y25" s="1">
        <f>EV_Data4[[#This Row],[range_miles]]/EV_Data4[[#This Row],[battery_capacity_kwh]]</f>
        <v>3.5299901671583087</v>
      </c>
      <c r="Z25" s="4">
        <f>EV_Data4[[#This Row],[price_usd]]/EV_Data4[[#This Row],[range_miles]]</f>
        <v>142.45729805013926</v>
      </c>
      <c r="AA25" s="2">
        <f>(EV_Data4[[#This Row],[customer_rating]]*EV_Data4[[#This Row],[safety_rating]]*1000)/EV_Data4[[#This Row],[price_usd]]</f>
        <v>0.28469656254320064</v>
      </c>
      <c r="AB25">
        <f>EV_Data4[[#This Row],[horsepower]]+EV_Data4[[#This Row],[torque_nm]]/EV_Data4[[#This Row],[acceleration_0_60_mph]]</f>
        <v>577.27184466019412</v>
      </c>
      <c r="AC25" t="str">
        <f>IF(EV_Data4[[#This Row],[price_usd]]&gt;=80000,"Luxury",IF(EV_Data4[[#This Row],[price_usd]]&gt;=40000,"Mid-Range","Budget"))</f>
        <v>Mid-Range</v>
      </c>
      <c r="AD25" t="str">
        <f>IF(EV_Data4[[#This Row],[range_miles]]&gt;=350,"Long-Range",IF(EV_Data4[[#This Row],[range_miles]]&gt;=250,"Medium-Range","Short-Range"))</f>
        <v>Long-Range</v>
      </c>
      <c r="AE25" t="str">
        <f>IF(EV_Data4[[#This Row],[charging_speed_kw]]&gt;=250,"Ultra-Fast",IF(EV_Data4[[#This Row],[charging_speed_kw]]&gt;=150,"Fast-Charging","Standard-Charging"))</f>
        <v>Standard-Charging</v>
      </c>
      <c r="AF25" t="str">
        <f>IF(EV_Data4[[#This Row],[acceleration_0_60_mph]]&lt;=3,"SportsPerformance",IF(EV_Data4[[#This Row],[acceleration_0_60_mph]]&lt;=5,"HighPerformance","Standard"))</f>
        <v>Standard</v>
      </c>
      <c r="AG25" t="str">
        <f>IF(EV_Data4[[#This Row],[customer_rating]]&gt;=4.5,"Excellent",IF(EV_Data4[[#This Row],[customer_rating]]&gt;=3.5,"Good","Average"))</f>
        <v>Good</v>
      </c>
      <c r="AH2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6" spans="1:34" x14ac:dyDescent="0.3">
      <c r="A26" t="s">
        <v>24</v>
      </c>
      <c r="B26" t="s">
        <v>75</v>
      </c>
      <c r="C26">
        <v>2026</v>
      </c>
      <c r="D26" t="s">
        <v>61</v>
      </c>
      <c r="E26" s="3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27</v>
      </c>
      <c r="N26">
        <v>5</v>
      </c>
      <c r="O26" t="s">
        <v>58</v>
      </c>
      <c r="P26">
        <v>34.799999999999997</v>
      </c>
      <c r="Q26">
        <v>1781</v>
      </c>
      <c r="R26">
        <v>3</v>
      </c>
      <c r="S26">
        <v>0</v>
      </c>
      <c r="T26" t="s">
        <v>29</v>
      </c>
      <c r="U26" t="s">
        <v>37</v>
      </c>
      <c r="V26" s="3">
        <v>293709</v>
      </c>
      <c r="W26">
        <v>3.28</v>
      </c>
      <c r="X26">
        <v>5</v>
      </c>
      <c r="Y26" s="1">
        <f>EV_Data4[[#This Row],[range_miles]]/EV_Data4[[#This Row],[battery_capacity_kwh]]</f>
        <v>3.7094499294781378</v>
      </c>
      <c r="Z26" s="4">
        <f>EV_Data4[[#This Row],[price_usd]]/EV_Data4[[#This Row],[range_miles]]</f>
        <v>227.47102661596958</v>
      </c>
      <c r="AA26" s="2">
        <f>(EV_Data4[[#This Row],[customer_rating]]*EV_Data4[[#This Row],[safety_rating]]*1000)/EV_Data4[[#This Row],[price_usd]]</f>
        <v>0.16448006247567903</v>
      </c>
      <c r="AB26">
        <f>EV_Data4[[#This Row],[horsepower]]+EV_Data4[[#This Row],[torque_nm]]/EV_Data4[[#This Row],[acceleration_0_60_mph]]</f>
        <v>709.52542372881351</v>
      </c>
      <c r="AC26" t="str">
        <f>IF(EV_Data4[[#This Row],[price_usd]]&gt;=80000,"Luxury",IF(EV_Data4[[#This Row],[price_usd]]&gt;=40000,"Mid-Range","Budget"))</f>
        <v>Mid-Range</v>
      </c>
      <c r="AD26" t="str">
        <f>IF(EV_Data4[[#This Row],[range_miles]]&gt;=350,"Long-Range",IF(EV_Data4[[#This Row],[range_miles]]&gt;=250,"Medium-Range","Short-Range"))</f>
        <v>Medium-Range</v>
      </c>
      <c r="AE26" t="str">
        <f>IF(EV_Data4[[#This Row],[charging_speed_kw]]&gt;=250,"Ultra-Fast",IF(EV_Data4[[#This Row],[charging_speed_kw]]&gt;=150,"Fast-Charging","Standard-Charging"))</f>
        <v>Standard-Charging</v>
      </c>
      <c r="AF26" t="str">
        <f>IF(EV_Data4[[#This Row],[acceleration_0_60_mph]]&lt;=3,"SportsPerformance",IF(EV_Data4[[#This Row],[acceleration_0_60_mph]]&lt;=5,"HighPerformance","Standard"))</f>
        <v>Standard</v>
      </c>
      <c r="AG26" t="str">
        <f>IF(EV_Data4[[#This Row],[customer_rating]]&gt;=4.5,"Excellent",IF(EV_Data4[[#This Row],[customer_rating]]&gt;=3.5,"Good","Average"))</f>
        <v>Average</v>
      </c>
      <c r="AH2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7" spans="1:34" x14ac:dyDescent="0.3">
      <c r="A27" t="s">
        <v>76</v>
      </c>
      <c r="B27" t="s">
        <v>77</v>
      </c>
      <c r="C27">
        <v>2025</v>
      </c>
      <c r="D27" t="s">
        <v>26</v>
      </c>
      <c r="E27" s="3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34</v>
      </c>
      <c r="N27">
        <v>7</v>
      </c>
      <c r="O27" t="s">
        <v>51</v>
      </c>
      <c r="P27">
        <v>38.9</v>
      </c>
      <c r="Q27">
        <v>1500</v>
      </c>
      <c r="R27">
        <v>3</v>
      </c>
      <c r="S27">
        <v>1</v>
      </c>
      <c r="T27" t="s">
        <v>41</v>
      </c>
      <c r="U27" t="s">
        <v>33</v>
      </c>
      <c r="V27" s="3">
        <v>67670</v>
      </c>
      <c r="W27">
        <v>3.6</v>
      </c>
      <c r="X27">
        <v>4</v>
      </c>
      <c r="Y27" s="1">
        <f>EV_Data4[[#This Row],[range_miles]]/EV_Data4[[#This Row],[battery_capacity_kwh]]</f>
        <v>3.8031914893617018</v>
      </c>
      <c r="Z27" s="4">
        <f>EV_Data4[[#This Row],[price_usd]]/EV_Data4[[#This Row],[range_miles]]</f>
        <v>337.50888111888111</v>
      </c>
      <c r="AA27" s="2">
        <f>(EV_Data4[[#This Row],[customer_rating]]*EV_Data4[[#This Row],[safety_rating]]*1000)/EV_Data4[[#This Row],[price_usd]]</f>
        <v>0.11188516769411093</v>
      </c>
      <c r="AB27">
        <f>EV_Data4[[#This Row],[horsepower]]+EV_Data4[[#This Row],[torque_nm]]/EV_Data4[[#This Row],[acceleration_0_60_mph]]</f>
        <v>1238.7596899224807</v>
      </c>
      <c r="AC27" t="str">
        <f>IF(EV_Data4[[#This Row],[price_usd]]&gt;=80000,"Luxury",IF(EV_Data4[[#This Row],[price_usd]]&gt;=40000,"Mid-Range","Budget"))</f>
        <v>Luxury</v>
      </c>
      <c r="AD27" t="str">
        <f>IF(EV_Data4[[#This Row],[range_miles]]&gt;=350,"Long-Range",IF(EV_Data4[[#This Row],[range_miles]]&gt;=250,"Medium-Range","Short-Range"))</f>
        <v>Medium-Range</v>
      </c>
      <c r="AE27" t="str">
        <f>IF(EV_Data4[[#This Row],[charging_speed_kw]]&gt;=250,"Ultra-Fast",IF(EV_Data4[[#This Row],[charging_speed_kw]]&gt;=150,"Fast-Charging","Standard-Charging"))</f>
        <v>Fast-Charging</v>
      </c>
      <c r="AF27" t="str">
        <f>IF(EV_Data4[[#This Row],[acceleration_0_60_mph]]&lt;=3,"SportsPerformance",IF(EV_Data4[[#This Row],[acceleration_0_60_mph]]&lt;=5,"HighPerformance","Standard"))</f>
        <v>HighPerformance</v>
      </c>
      <c r="AG27" t="str">
        <f>IF(EV_Data4[[#This Row],[customer_rating]]&gt;=4.5,"Excellent",IF(EV_Data4[[#This Row],[customer_rating]]&gt;=3.5,"Good","Average"))</f>
        <v>Good</v>
      </c>
      <c r="AH2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8" spans="1:34" x14ac:dyDescent="0.3">
      <c r="A28" t="s">
        <v>46</v>
      </c>
      <c r="B28" t="s">
        <v>78</v>
      </c>
      <c r="C28">
        <v>2023</v>
      </c>
      <c r="D28" t="s">
        <v>61</v>
      </c>
      <c r="E28" s="3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34</v>
      </c>
      <c r="N28">
        <v>5</v>
      </c>
      <c r="O28" t="s">
        <v>58</v>
      </c>
      <c r="P28">
        <v>28.7</v>
      </c>
      <c r="Q28">
        <v>1539</v>
      </c>
      <c r="R28">
        <v>5</v>
      </c>
      <c r="S28">
        <v>2</v>
      </c>
      <c r="T28" t="s">
        <v>41</v>
      </c>
      <c r="U28" t="s">
        <v>33</v>
      </c>
      <c r="V28" s="3">
        <v>207968</v>
      </c>
      <c r="W28">
        <v>3.36</v>
      </c>
      <c r="X28">
        <v>6</v>
      </c>
      <c r="Y28" s="1">
        <f>EV_Data4[[#This Row],[range_miles]]/EV_Data4[[#This Row],[battery_capacity_kwh]]</f>
        <v>3.2833020637898689</v>
      </c>
      <c r="Z28" s="4">
        <f>EV_Data4[[#This Row],[price_usd]]/EV_Data4[[#This Row],[range_miles]]</f>
        <v>387.27319999999997</v>
      </c>
      <c r="AA28" s="2">
        <f>(EV_Data4[[#This Row],[customer_rating]]*EV_Data4[[#This Row],[safety_rating]]*1000)/EV_Data4[[#This Row],[price_usd]]</f>
        <v>0.2478870213585655</v>
      </c>
      <c r="AB28">
        <f>EV_Data4[[#This Row],[horsepower]]+EV_Data4[[#This Row],[torque_nm]]/EV_Data4[[#This Row],[acceleration_0_60_mph]]</f>
        <v>558.12451861360717</v>
      </c>
      <c r="AC28" t="str">
        <f>IF(EV_Data4[[#This Row],[price_usd]]&gt;=80000,"Luxury",IF(EV_Data4[[#This Row],[price_usd]]&gt;=40000,"Mid-Range","Budget"))</f>
        <v>Mid-Range</v>
      </c>
      <c r="AD28" t="str">
        <f>IF(EV_Data4[[#This Row],[range_miles]]&gt;=350,"Long-Range",IF(EV_Data4[[#This Row],[range_miles]]&gt;=250,"Medium-Range","Short-Range"))</f>
        <v>Short-Range</v>
      </c>
      <c r="AE28" t="str">
        <f>IF(EV_Data4[[#This Row],[charging_speed_kw]]&gt;=250,"Ultra-Fast",IF(EV_Data4[[#This Row],[charging_speed_kw]]&gt;=150,"Fast-Charging","Standard-Charging"))</f>
        <v>Ultra-Fast</v>
      </c>
      <c r="AF28" t="str">
        <f>IF(EV_Data4[[#This Row],[acceleration_0_60_mph]]&lt;=3,"SportsPerformance",IF(EV_Data4[[#This Row],[acceleration_0_60_mph]]&lt;=5,"HighPerformance","Standard"))</f>
        <v>Standard</v>
      </c>
      <c r="AG28" t="str">
        <f>IF(EV_Data4[[#This Row],[customer_rating]]&gt;=4.5,"Excellent",IF(EV_Data4[[#This Row],[customer_rating]]&gt;=3.5,"Good","Average"))</f>
        <v>Average</v>
      </c>
      <c r="AH2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9" spans="1:34" x14ac:dyDescent="0.3">
      <c r="A29" t="s">
        <v>68</v>
      </c>
      <c r="B29" t="s">
        <v>79</v>
      </c>
      <c r="C29">
        <v>2025</v>
      </c>
      <c r="D29" t="s">
        <v>26</v>
      </c>
      <c r="E29" s="3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48</v>
      </c>
      <c r="N29">
        <v>7</v>
      </c>
      <c r="O29" t="s">
        <v>50</v>
      </c>
      <c r="P29">
        <v>27.4</v>
      </c>
      <c r="Q29">
        <v>1500</v>
      </c>
      <c r="R29">
        <v>5</v>
      </c>
      <c r="S29">
        <v>0</v>
      </c>
      <c r="T29" t="s">
        <v>45</v>
      </c>
      <c r="U29" t="s">
        <v>33</v>
      </c>
      <c r="V29" s="3">
        <v>124864</v>
      </c>
      <c r="W29">
        <v>3.57</v>
      </c>
      <c r="X29">
        <v>4</v>
      </c>
      <c r="Y29" s="1">
        <f>EV_Data4[[#This Row],[range_miles]]/EV_Data4[[#This Row],[battery_capacity_kwh]]</f>
        <v>3.260643821391485</v>
      </c>
      <c r="Z29" s="4">
        <f>EV_Data4[[#This Row],[price_usd]]/EV_Data4[[#This Row],[range_miles]]</f>
        <v>274.031050955414</v>
      </c>
      <c r="AA29" s="2">
        <f>(EV_Data4[[#This Row],[customer_rating]]*EV_Data4[[#This Row],[safety_rating]]*1000)/EV_Data4[[#This Row],[price_usd]]</f>
        <v>0.20744778213915269</v>
      </c>
      <c r="AB29">
        <f>EV_Data4[[#This Row],[horsepower]]+EV_Data4[[#This Row],[torque_nm]]/EV_Data4[[#This Row],[acceleration_0_60_mph]]</f>
        <v>1293.8311688311687</v>
      </c>
      <c r="AC29" t="str">
        <f>IF(EV_Data4[[#This Row],[price_usd]]&gt;=80000,"Luxury",IF(EV_Data4[[#This Row],[price_usd]]&gt;=40000,"Mid-Range","Budget"))</f>
        <v>Luxury</v>
      </c>
      <c r="AD29" t="str">
        <f>IF(EV_Data4[[#This Row],[range_miles]]&gt;=350,"Long-Range",IF(EV_Data4[[#This Row],[range_miles]]&gt;=250,"Medium-Range","Short-Range"))</f>
        <v>Medium-Range</v>
      </c>
      <c r="AE29" t="str">
        <f>IF(EV_Data4[[#This Row],[charging_speed_kw]]&gt;=250,"Ultra-Fast",IF(EV_Data4[[#This Row],[charging_speed_kw]]&gt;=150,"Fast-Charging","Standard-Charging"))</f>
        <v>Fast-Charging</v>
      </c>
      <c r="AF29" t="str">
        <f>IF(EV_Data4[[#This Row],[acceleration_0_60_mph]]&lt;=3,"SportsPerformance",IF(EV_Data4[[#This Row],[acceleration_0_60_mph]]&lt;=5,"HighPerformance","Standard"))</f>
        <v>HighPerformance</v>
      </c>
      <c r="AG29" t="str">
        <f>IF(EV_Data4[[#This Row],[customer_rating]]&gt;=4.5,"Excellent",IF(EV_Data4[[#This Row],[customer_rating]]&gt;=3.5,"Good","Average"))</f>
        <v>Good</v>
      </c>
      <c r="AH2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0" spans="1:34" x14ac:dyDescent="0.3">
      <c r="A30" t="s">
        <v>42</v>
      </c>
      <c r="B30" t="s">
        <v>80</v>
      </c>
      <c r="C30">
        <v>2024</v>
      </c>
      <c r="D30" t="s">
        <v>61</v>
      </c>
      <c r="E30" s="3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48</v>
      </c>
      <c r="N30">
        <v>5</v>
      </c>
      <c r="O30" t="s">
        <v>35</v>
      </c>
      <c r="P30">
        <v>66.8</v>
      </c>
      <c r="Q30">
        <v>1980</v>
      </c>
      <c r="R30">
        <v>4</v>
      </c>
      <c r="S30">
        <v>2</v>
      </c>
      <c r="T30" t="s">
        <v>45</v>
      </c>
      <c r="U30" t="s">
        <v>33</v>
      </c>
      <c r="V30" s="3">
        <v>117514</v>
      </c>
      <c r="W30">
        <v>3.53</v>
      </c>
      <c r="X30">
        <v>3</v>
      </c>
      <c r="Y30" s="1">
        <f>EV_Data4[[#This Row],[range_miles]]/EV_Data4[[#This Row],[battery_capacity_kwh]]</f>
        <v>3.5382308845577208</v>
      </c>
      <c r="Z30" s="4">
        <f>EV_Data4[[#This Row],[price_usd]]/EV_Data4[[#This Row],[range_miles]]</f>
        <v>283.37605932203388</v>
      </c>
      <c r="AA30" s="2">
        <f>(EV_Data4[[#This Row],[customer_rating]]*EV_Data4[[#This Row],[safety_rating]]*1000)/EV_Data4[[#This Row],[price_usd]]</f>
        <v>0.21113466189669802</v>
      </c>
      <c r="AB30">
        <f>EV_Data4[[#This Row],[horsepower]]+EV_Data4[[#This Row],[torque_nm]]/EV_Data4[[#This Row],[acceleration_0_60_mph]]</f>
        <v>861.47508305647841</v>
      </c>
      <c r="AC30" t="str">
        <f>IF(EV_Data4[[#This Row],[price_usd]]&gt;=80000,"Luxury",IF(EV_Data4[[#This Row],[price_usd]]&gt;=40000,"Mid-Range","Budget"))</f>
        <v>Mid-Range</v>
      </c>
      <c r="AD30" t="str">
        <f>IF(EV_Data4[[#This Row],[range_miles]]&gt;=350,"Long-Range",IF(EV_Data4[[#This Row],[range_miles]]&gt;=250,"Medium-Range","Short-Range"))</f>
        <v>Short-Range</v>
      </c>
      <c r="AE30" t="str">
        <f>IF(EV_Data4[[#This Row],[charging_speed_kw]]&gt;=250,"Ultra-Fast",IF(EV_Data4[[#This Row],[charging_speed_kw]]&gt;=150,"Fast-Charging","Standard-Charging"))</f>
        <v>Standard-Charging</v>
      </c>
      <c r="AF30" t="str">
        <f>IF(EV_Data4[[#This Row],[acceleration_0_60_mph]]&lt;=3,"SportsPerformance",IF(EV_Data4[[#This Row],[acceleration_0_60_mph]]&lt;=5,"HighPerformance","Standard"))</f>
        <v>Standard</v>
      </c>
      <c r="AG30" t="str">
        <f>IF(EV_Data4[[#This Row],[customer_rating]]&gt;=4.5,"Excellent",IF(EV_Data4[[#This Row],[customer_rating]]&gt;=3.5,"Good","Average"))</f>
        <v>Good</v>
      </c>
      <c r="AH3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1" spans="1:34" x14ac:dyDescent="0.3">
      <c r="A31" t="s">
        <v>46</v>
      </c>
      <c r="B31" t="s">
        <v>49</v>
      </c>
      <c r="C31">
        <v>2025</v>
      </c>
      <c r="D31" t="s">
        <v>26</v>
      </c>
      <c r="E31" s="3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27</v>
      </c>
      <c r="N31">
        <v>5</v>
      </c>
      <c r="O31" t="s">
        <v>28</v>
      </c>
      <c r="P31">
        <v>69</v>
      </c>
      <c r="Q31">
        <v>2015</v>
      </c>
      <c r="R31">
        <v>5</v>
      </c>
      <c r="S31">
        <v>2</v>
      </c>
      <c r="T31" t="s">
        <v>41</v>
      </c>
      <c r="U31" t="s">
        <v>30</v>
      </c>
      <c r="V31" s="3">
        <v>411097</v>
      </c>
      <c r="W31">
        <v>4.12</v>
      </c>
      <c r="X31">
        <v>5</v>
      </c>
      <c r="Y31" s="1">
        <f>EV_Data4[[#This Row],[range_miles]]/EV_Data4[[#This Row],[battery_capacity_kwh]]</f>
        <v>3.6406844106463878</v>
      </c>
      <c r="Z31" s="4">
        <f>EV_Data4[[#This Row],[price_usd]]/EV_Data4[[#This Row],[range_miles]]</f>
        <v>354.51853785900784</v>
      </c>
      <c r="AA31" s="2">
        <f>(EV_Data4[[#This Row],[customer_rating]]*EV_Data4[[#This Row],[safety_rating]]*1000)/EV_Data4[[#This Row],[price_usd]]</f>
        <v>0.15171534077769577</v>
      </c>
      <c r="AB31">
        <f>EV_Data4[[#This Row],[horsepower]]+EV_Data4[[#This Row],[torque_nm]]/EV_Data4[[#This Row],[acceleration_0_60_mph]]</f>
        <v>1221.6268656716418</v>
      </c>
      <c r="AC31" t="str">
        <f>IF(EV_Data4[[#This Row],[price_usd]]&gt;=80000,"Luxury",IF(EV_Data4[[#This Row],[price_usd]]&gt;=40000,"Mid-Range","Budget"))</f>
        <v>Luxury</v>
      </c>
      <c r="AD31" t="str">
        <f>IF(EV_Data4[[#This Row],[range_miles]]&gt;=350,"Long-Range",IF(EV_Data4[[#This Row],[range_miles]]&gt;=250,"Medium-Range","Short-Range"))</f>
        <v>Long-Range</v>
      </c>
      <c r="AE31" t="str">
        <f>IF(EV_Data4[[#This Row],[charging_speed_kw]]&gt;=250,"Ultra-Fast",IF(EV_Data4[[#This Row],[charging_speed_kw]]&gt;=150,"Fast-Charging","Standard-Charging"))</f>
        <v>Ultra-Fast</v>
      </c>
      <c r="AF31" t="str">
        <f>IF(EV_Data4[[#This Row],[acceleration_0_60_mph]]&lt;=3,"SportsPerformance",IF(EV_Data4[[#This Row],[acceleration_0_60_mph]]&lt;=5,"HighPerformance","Standard"))</f>
        <v>HighPerformance</v>
      </c>
      <c r="AG31" t="str">
        <f>IF(EV_Data4[[#This Row],[customer_rating]]&gt;=4.5,"Excellent",IF(EV_Data4[[#This Row],[customer_rating]]&gt;=3.5,"Good","Average"))</f>
        <v>Good</v>
      </c>
      <c r="AH3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2" spans="1:34" x14ac:dyDescent="0.3">
      <c r="A32" t="s">
        <v>42</v>
      </c>
      <c r="B32" t="s">
        <v>54</v>
      </c>
      <c r="C32">
        <v>2024</v>
      </c>
      <c r="D32" t="s">
        <v>26</v>
      </c>
      <c r="E32" s="3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48</v>
      </c>
      <c r="N32">
        <v>7</v>
      </c>
      <c r="O32" t="s">
        <v>51</v>
      </c>
      <c r="P32">
        <v>15.9</v>
      </c>
      <c r="Q32">
        <v>1701</v>
      </c>
      <c r="R32">
        <v>4</v>
      </c>
      <c r="S32">
        <v>1</v>
      </c>
      <c r="T32" t="s">
        <v>45</v>
      </c>
      <c r="U32" t="s">
        <v>30</v>
      </c>
      <c r="V32" s="3">
        <v>147459</v>
      </c>
      <c r="W32">
        <v>3.43</v>
      </c>
      <c r="X32">
        <v>3</v>
      </c>
      <c r="Y32" s="1">
        <f>EV_Data4[[#This Row],[range_miles]]/EV_Data4[[#This Row],[battery_capacity_kwh]]</f>
        <v>3.0895334174022699</v>
      </c>
      <c r="Z32" s="4">
        <f>EV_Data4[[#This Row],[price_usd]]/EV_Data4[[#This Row],[range_miles]]</f>
        <v>432.43534693877552</v>
      </c>
      <c r="AA32" s="2">
        <f>(EV_Data4[[#This Row],[customer_rating]]*EV_Data4[[#This Row],[safety_rating]]*1000)/EV_Data4[[#This Row],[price_usd]]</f>
        <v>0.12949912720231105</v>
      </c>
      <c r="AB32">
        <f>EV_Data4[[#This Row],[horsepower]]+EV_Data4[[#This Row],[torque_nm]]/EV_Data4[[#This Row],[acceleration_0_60_mph]]</f>
        <v>1283.641975308642</v>
      </c>
      <c r="AC32" t="str">
        <f>IF(EV_Data4[[#This Row],[price_usd]]&gt;=80000,"Luxury",IF(EV_Data4[[#This Row],[price_usd]]&gt;=40000,"Mid-Range","Budget"))</f>
        <v>Luxury</v>
      </c>
      <c r="AD32" t="str">
        <f>IF(EV_Data4[[#This Row],[range_miles]]&gt;=350,"Long-Range",IF(EV_Data4[[#This Row],[range_miles]]&gt;=250,"Medium-Range","Short-Range"))</f>
        <v>Short-Range</v>
      </c>
      <c r="AE32" t="str">
        <f>IF(EV_Data4[[#This Row],[charging_speed_kw]]&gt;=250,"Ultra-Fast",IF(EV_Data4[[#This Row],[charging_speed_kw]]&gt;=150,"Fast-Charging","Standard-Charging"))</f>
        <v>Fast-Charging</v>
      </c>
      <c r="AF32" t="str">
        <f>IF(EV_Data4[[#This Row],[acceleration_0_60_mph]]&lt;=3,"SportsPerformance",IF(EV_Data4[[#This Row],[acceleration_0_60_mph]]&lt;=5,"HighPerformance","Standard"))</f>
        <v>HighPerformance</v>
      </c>
      <c r="AG32" t="str">
        <f>IF(EV_Data4[[#This Row],[customer_rating]]&gt;=4.5,"Excellent",IF(EV_Data4[[#This Row],[customer_rating]]&gt;=3.5,"Good","Average"))</f>
        <v>Average</v>
      </c>
      <c r="AH3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3" spans="1:34" x14ac:dyDescent="0.3">
      <c r="A33" t="s">
        <v>46</v>
      </c>
      <c r="B33" t="s">
        <v>78</v>
      </c>
      <c r="C33">
        <v>2025</v>
      </c>
      <c r="D33" t="s">
        <v>56</v>
      </c>
      <c r="E33" s="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27</v>
      </c>
      <c r="N33">
        <v>5</v>
      </c>
      <c r="O33" t="s">
        <v>35</v>
      </c>
      <c r="P33">
        <v>35.700000000000003</v>
      </c>
      <c r="Q33">
        <v>1959</v>
      </c>
      <c r="R33">
        <v>4</v>
      </c>
      <c r="S33">
        <v>2</v>
      </c>
      <c r="T33" t="s">
        <v>41</v>
      </c>
      <c r="U33" t="s">
        <v>30</v>
      </c>
      <c r="V33" s="3">
        <v>179640</v>
      </c>
      <c r="W33">
        <v>3.42</v>
      </c>
      <c r="X33">
        <v>5</v>
      </c>
      <c r="Y33" s="1">
        <f>EV_Data4[[#This Row],[range_miles]]/EV_Data4[[#This Row],[battery_capacity_kwh]]</f>
        <v>3.3459357277882797</v>
      </c>
      <c r="Z33" s="4">
        <f>EV_Data4[[#This Row],[price_usd]]/EV_Data4[[#This Row],[range_miles]]</f>
        <v>625.82971751412424</v>
      </c>
      <c r="AA33" s="2">
        <f>(EV_Data4[[#This Row],[customer_rating]]*EV_Data4[[#This Row],[safety_rating]]*1000)/EV_Data4[[#This Row],[price_usd]]</f>
        <v>0.12349706865985639</v>
      </c>
      <c r="AB33">
        <f>EV_Data4[[#This Row],[horsepower]]+EV_Data4[[#This Row],[torque_nm]]/EV_Data4[[#This Row],[acceleration_0_60_mph]]</f>
        <v>937.14503816793899</v>
      </c>
      <c r="AC33" t="str">
        <f>IF(EV_Data4[[#This Row],[price_usd]]&gt;=80000,"Luxury",IF(EV_Data4[[#This Row],[price_usd]]&gt;=40000,"Mid-Range","Budget"))</f>
        <v>Luxury</v>
      </c>
      <c r="AD33" t="str">
        <f>IF(EV_Data4[[#This Row],[range_miles]]&gt;=350,"Long-Range",IF(EV_Data4[[#This Row],[range_miles]]&gt;=250,"Medium-Range","Short-Range"))</f>
        <v>Short-Range</v>
      </c>
      <c r="AE33" t="str">
        <f>IF(EV_Data4[[#This Row],[charging_speed_kw]]&gt;=250,"Ultra-Fast",IF(EV_Data4[[#This Row],[charging_speed_kw]]&gt;=150,"Fast-Charging","Standard-Charging"))</f>
        <v>Fast-Charging</v>
      </c>
      <c r="AF33" t="str">
        <f>IF(EV_Data4[[#This Row],[acceleration_0_60_mph]]&lt;=3,"SportsPerformance",IF(EV_Data4[[#This Row],[acceleration_0_60_mph]]&lt;=5,"HighPerformance","Standard"))</f>
        <v>Standard</v>
      </c>
      <c r="AG33" t="str">
        <f>IF(EV_Data4[[#This Row],[customer_rating]]&gt;=4.5,"Excellent",IF(EV_Data4[[#This Row],[customer_rating]]&gt;=3.5,"Good","Average"))</f>
        <v>Average</v>
      </c>
      <c r="AH3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4" spans="1:34" x14ac:dyDescent="0.3">
      <c r="A34" t="s">
        <v>46</v>
      </c>
      <c r="B34" t="s">
        <v>72</v>
      </c>
      <c r="C34">
        <v>2024</v>
      </c>
      <c r="D34" t="s">
        <v>26</v>
      </c>
      <c r="E34" s="3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27</v>
      </c>
      <c r="N34">
        <v>5</v>
      </c>
      <c r="O34" t="s">
        <v>28</v>
      </c>
      <c r="P34">
        <v>55.5</v>
      </c>
      <c r="Q34">
        <v>2122</v>
      </c>
      <c r="R34">
        <v>4</v>
      </c>
      <c r="S34">
        <v>3</v>
      </c>
      <c r="T34" t="s">
        <v>41</v>
      </c>
      <c r="U34" t="s">
        <v>37</v>
      </c>
      <c r="V34" s="3">
        <v>133489</v>
      </c>
      <c r="W34">
        <v>3.82</v>
      </c>
      <c r="X34">
        <v>5</v>
      </c>
      <c r="Y34" s="1">
        <f>EV_Data4[[#This Row],[range_miles]]/EV_Data4[[#This Row],[battery_capacity_kwh]]</f>
        <v>3.4593993325917682</v>
      </c>
      <c r="Z34" s="4">
        <f>EV_Data4[[#This Row],[price_usd]]/EV_Data4[[#This Row],[range_miles]]</f>
        <v>137.70816720257235</v>
      </c>
      <c r="AA34" s="2">
        <f>(EV_Data4[[#This Row],[customer_rating]]*EV_Data4[[#This Row],[safety_rating]]*1000)/EV_Data4[[#This Row],[price_usd]]</f>
        <v>0.35678227221740183</v>
      </c>
      <c r="AB34">
        <f>EV_Data4[[#This Row],[horsepower]]+EV_Data4[[#This Row],[torque_nm]]/EV_Data4[[#This Row],[acceleration_0_60_mph]]</f>
        <v>344.97278911564626</v>
      </c>
      <c r="AC34" t="str">
        <f>IF(EV_Data4[[#This Row],[price_usd]]&gt;=80000,"Luxury",IF(EV_Data4[[#This Row],[price_usd]]&gt;=40000,"Mid-Range","Budget"))</f>
        <v>Mid-Range</v>
      </c>
      <c r="AD34" t="str">
        <f>IF(EV_Data4[[#This Row],[range_miles]]&gt;=350,"Long-Range",IF(EV_Data4[[#This Row],[range_miles]]&gt;=250,"Medium-Range","Short-Range"))</f>
        <v>Medium-Range</v>
      </c>
      <c r="AE34" t="str">
        <f>IF(EV_Data4[[#This Row],[charging_speed_kw]]&gt;=250,"Ultra-Fast",IF(EV_Data4[[#This Row],[charging_speed_kw]]&gt;=150,"Fast-Charging","Standard-Charging"))</f>
        <v>Fast-Charging</v>
      </c>
      <c r="AF34" t="str">
        <f>IF(EV_Data4[[#This Row],[acceleration_0_60_mph]]&lt;=3,"SportsPerformance",IF(EV_Data4[[#This Row],[acceleration_0_60_mph]]&lt;=5,"HighPerformance","Standard"))</f>
        <v>SportsPerformance</v>
      </c>
      <c r="AG34" t="str">
        <f>IF(EV_Data4[[#This Row],[customer_rating]]&gt;=4.5,"Excellent",IF(EV_Data4[[#This Row],[customer_rating]]&gt;=3.5,"Good","Average"))</f>
        <v>Good</v>
      </c>
      <c r="AH3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35" spans="1:34" x14ac:dyDescent="0.3">
      <c r="A35" t="s">
        <v>31</v>
      </c>
      <c r="B35" t="s">
        <v>32</v>
      </c>
      <c r="C35">
        <v>2020</v>
      </c>
      <c r="D35" t="s">
        <v>44</v>
      </c>
      <c r="E35" s="3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27</v>
      </c>
      <c r="N35">
        <v>5</v>
      </c>
      <c r="O35" t="s">
        <v>35</v>
      </c>
      <c r="P35">
        <v>66.5</v>
      </c>
      <c r="Q35">
        <v>2056</v>
      </c>
      <c r="R35">
        <v>5</v>
      </c>
      <c r="S35">
        <v>0</v>
      </c>
      <c r="T35" t="s">
        <v>36</v>
      </c>
      <c r="U35" t="s">
        <v>33</v>
      </c>
      <c r="V35" s="3">
        <v>2261</v>
      </c>
      <c r="W35">
        <v>3.72</v>
      </c>
      <c r="X35">
        <v>4</v>
      </c>
      <c r="Y35" s="1">
        <f>EV_Data4[[#This Row],[range_miles]]/EV_Data4[[#This Row],[battery_capacity_kwh]]</f>
        <v>3.5562632696390657</v>
      </c>
      <c r="Z35" s="4">
        <f>EV_Data4[[#This Row],[price_usd]]/EV_Data4[[#This Row],[range_miles]]</f>
        <v>211.18907462686565</v>
      </c>
      <c r="AA35" s="2">
        <f>(EV_Data4[[#This Row],[customer_rating]]*EV_Data4[[#This Row],[safety_rating]]*1000)/EV_Data4[[#This Row],[price_usd]]</f>
        <v>0.26290369498422156</v>
      </c>
      <c r="AB35">
        <f>EV_Data4[[#This Row],[horsepower]]+EV_Data4[[#This Row],[torque_nm]]/EV_Data4[[#This Row],[acceleration_0_60_mph]]</f>
        <v>952.27561837455823</v>
      </c>
      <c r="AC35" t="str">
        <f>IF(EV_Data4[[#This Row],[price_usd]]&gt;=80000,"Luxury",IF(EV_Data4[[#This Row],[price_usd]]&gt;=40000,"Mid-Range","Budget"))</f>
        <v>Mid-Range</v>
      </c>
      <c r="AD35" t="str">
        <f>IF(EV_Data4[[#This Row],[range_miles]]&gt;=350,"Long-Range",IF(EV_Data4[[#This Row],[range_miles]]&gt;=250,"Medium-Range","Short-Range"))</f>
        <v>Medium-Range</v>
      </c>
      <c r="AE35" t="str">
        <f>IF(EV_Data4[[#This Row],[charging_speed_kw]]&gt;=250,"Ultra-Fast",IF(EV_Data4[[#This Row],[charging_speed_kw]]&gt;=150,"Fast-Charging","Standard-Charging"))</f>
        <v>Standard-Charging</v>
      </c>
      <c r="AF35" t="str">
        <f>IF(EV_Data4[[#This Row],[acceleration_0_60_mph]]&lt;=3,"SportsPerformance",IF(EV_Data4[[#This Row],[acceleration_0_60_mph]]&lt;=5,"HighPerformance","Standard"))</f>
        <v>Standard</v>
      </c>
      <c r="AG35" t="str">
        <f>IF(EV_Data4[[#This Row],[customer_rating]]&gt;=4.5,"Excellent",IF(EV_Data4[[#This Row],[customer_rating]]&gt;=3.5,"Good","Average"))</f>
        <v>Good</v>
      </c>
      <c r="AH3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6" spans="1:34" x14ac:dyDescent="0.3">
      <c r="A36" t="s">
        <v>59</v>
      </c>
      <c r="B36" t="s">
        <v>60</v>
      </c>
      <c r="C36">
        <v>2026</v>
      </c>
      <c r="D36" t="s">
        <v>56</v>
      </c>
      <c r="E36" s="3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34</v>
      </c>
      <c r="N36">
        <v>7</v>
      </c>
      <c r="O36" t="s">
        <v>58</v>
      </c>
      <c r="P36">
        <v>34.5</v>
      </c>
      <c r="Q36">
        <v>1500</v>
      </c>
      <c r="R36">
        <v>5</v>
      </c>
      <c r="S36">
        <v>1</v>
      </c>
      <c r="T36" t="s">
        <v>41</v>
      </c>
      <c r="U36" t="s">
        <v>37</v>
      </c>
      <c r="V36" s="3">
        <v>11950</v>
      </c>
      <c r="W36">
        <v>3.48</v>
      </c>
      <c r="X36">
        <v>4</v>
      </c>
      <c r="Y36" s="1">
        <f>EV_Data4[[#This Row],[range_miles]]/EV_Data4[[#This Row],[battery_capacity_kwh]]</f>
        <v>3.802816901408451</v>
      </c>
      <c r="Z36" s="4">
        <f>EV_Data4[[#This Row],[price_usd]]/EV_Data4[[#This Row],[range_miles]]</f>
        <v>207.39069958847739</v>
      </c>
      <c r="AA36" s="2">
        <f>(EV_Data4[[#This Row],[customer_rating]]*EV_Data4[[#This Row],[safety_rating]]*1000)/EV_Data4[[#This Row],[price_usd]]</f>
        <v>0.34526590832515475</v>
      </c>
      <c r="AB36">
        <f>EV_Data4[[#This Row],[horsepower]]+EV_Data4[[#This Row],[torque_nm]]/EV_Data4[[#This Row],[acceleration_0_60_mph]]</f>
        <v>371.51705320600274</v>
      </c>
      <c r="AC36" t="str">
        <f>IF(EV_Data4[[#This Row],[price_usd]]&gt;=80000,"Luxury",IF(EV_Data4[[#This Row],[price_usd]]&gt;=40000,"Mid-Range","Budget"))</f>
        <v>Mid-Range</v>
      </c>
      <c r="AD36" t="str">
        <f>IF(EV_Data4[[#This Row],[range_miles]]&gt;=350,"Long-Range",IF(EV_Data4[[#This Row],[range_miles]]&gt;=250,"Medium-Range","Short-Range"))</f>
        <v>Short-Range</v>
      </c>
      <c r="AE36" t="str">
        <f>IF(EV_Data4[[#This Row],[charging_speed_kw]]&gt;=250,"Ultra-Fast",IF(EV_Data4[[#This Row],[charging_speed_kw]]&gt;=150,"Fast-Charging","Standard-Charging"))</f>
        <v>Standard-Charging</v>
      </c>
      <c r="AF36" t="str">
        <f>IF(EV_Data4[[#This Row],[acceleration_0_60_mph]]&lt;=3,"SportsPerformance",IF(EV_Data4[[#This Row],[acceleration_0_60_mph]]&lt;=5,"HighPerformance","Standard"))</f>
        <v>Standard</v>
      </c>
      <c r="AG36" t="str">
        <f>IF(EV_Data4[[#This Row],[customer_rating]]&gt;=4.5,"Excellent",IF(EV_Data4[[#This Row],[customer_rating]]&gt;=3.5,"Good","Average"))</f>
        <v>Average</v>
      </c>
      <c r="AH3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7" spans="1:34" x14ac:dyDescent="0.3">
      <c r="A37" t="s">
        <v>76</v>
      </c>
      <c r="B37" t="s">
        <v>81</v>
      </c>
      <c r="C37">
        <v>2025</v>
      </c>
      <c r="D37" t="s">
        <v>26</v>
      </c>
      <c r="E37" s="3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27</v>
      </c>
      <c r="N37">
        <v>5</v>
      </c>
      <c r="O37" t="s">
        <v>58</v>
      </c>
      <c r="P37">
        <v>38.9</v>
      </c>
      <c r="Q37">
        <v>1500</v>
      </c>
      <c r="R37">
        <v>5</v>
      </c>
      <c r="S37">
        <v>1</v>
      </c>
      <c r="T37" t="s">
        <v>41</v>
      </c>
      <c r="U37" t="s">
        <v>33</v>
      </c>
      <c r="V37" s="3">
        <v>24574</v>
      </c>
      <c r="W37">
        <v>3.79</v>
      </c>
      <c r="X37">
        <v>3</v>
      </c>
      <c r="Y37" s="1">
        <f>EV_Data4[[#This Row],[range_miles]]/EV_Data4[[#This Row],[battery_capacity_kwh]]</f>
        <v>3.3992467043314498</v>
      </c>
      <c r="Z37" s="4">
        <f>EV_Data4[[#This Row],[price_usd]]/EV_Data4[[#This Row],[range_miles]]</f>
        <v>192.79088642659278</v>
      </c>
      <c r="AA37" s="2">
        <f>(EV_Data4[[#This Row],[customer_rating]]*EV_Data4[[#This Row],[safety_rating]]*1000)/EV_Data4[[#This Row],[price_usd]]</f>
        <v>0.27227985598910076</v>
      </c>
      <c r="AB37">
        <f>EV_Data4[[#This Row],[horsepower]]+EV_Data4[[#This Row],[torque_nm]]/EV_Data4[[#This Row],[acceleration_0_60_mph]]</f>
        <v>970.62886597938143</v>
      </c>
      <c r="AC37" t="str">
        <f>IF(EV_Data4[[#This Row],[price_usd]]&gt;=80000,"Luxury",IF(EV_Data4[[#This Row],[price_usd]]&gt;=40000,"Mid-Range","Budget"))</f>
        <v>Mid-Range</v>
      </c>
      <c r="AD37" t="str">
        <f>IF(EV_Data4[[#This Row],[range_miles]]&gt;=350,"Long-Range",IF(EV_Data4[[#This Row],[range_miles]]&gt;=250,"Medium-Range","Short-Range"))</f>
        <v>Long-Range</v>
      </c>
      <c r="AE37" t="str">
        <f>IF(EV_Data4[[#This Row],[charging_speed_kw]]&gt;=250,"Ultra-Fast",IF(EV_Data4[[#This Row],[charging_speed_kw]]&gt;=150,"Fast-Charging","Standard-Charging"))</f>
        <v>Fast-Charging</v>
      </c>
      <c r="AF37" t="str">
        <f>IF(EV_Data4[[#This Row],[acceleration_0_60_mph]]&lt;=3,"SportsPerformance",IF(EV_Data4[[#This Row],[acceleration_0_60_mph]]&lt;=5,"HighPerformance","Standard"))</f>
        <v>HighPerformance</v>
      </c>
      <c r="AG37" t="str">
        <f>IF(EV_Data4[[#This Row],[customer_rating]]&gt;=4.5,"Excellent",IF(EV_Data4[[#This Row],[customer_rating]]&gt;=3.5,"Good","Average"))</f>
        <v>Good</v>
      </c>
      <c r="AH3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8" spans="1:34" x14ac:dyDescent="0.3">
      <c r="A38" t="s">
        <v>63</v>
      </c>
      <c r="B38" t="s">
        <v>82</v>
      </c>
      <c r="C38">
        <v>2025</v>
      </c>
      <c r="D38" t="s">
        <v>61</v>
      </c>
      <c r="E38" s="3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48</v>
      </c>
      <c r="N38">
        <v>5</v>
      </c>
      <c r="O38" t="s">
        <v>50</v>
      </c>
      <c r="P38">
        <v>31.5</v>
      </c>
      <c r="Q38">
        <v>1643</v>
      </c>
      <c r="R38">
        <v>4</v>
      </c>
      <c r="S38">
        <v>0</v>
      </c>
      <c r="T38" t="s">
        <v>65</v>
      </c>
      <c r="U38" t="s">
        <v>66</v>
      </c>
      <c r="V38" s="3">
        <v>242953</v>
      </c>
      <c r="W38">
        <v>3.29</v>
      </c>
      <c r="X38">
        <v>4</v>
      </c>
      <c r="Y38" s="1">
        <f>EV_Data4[[#This Row],[range_miles]]/EV_Data4[[#This Row],[battery_capacity_kwh]]</f>
        <v>3.778877887788779</v>
      </c>
      <c r="Z38" s="4">
        <f>EV_Data4[[#This Row],[price_usd]]/EV_Data4[[#This Row],[range_miles]]</f>
        <v>137.26751091703056</v>
      </c>
      <c r="AA38" s="2">
        <f>(EV_Data4[[#This Row],[customer_rating]]*EV_Data4[[#This Row],[safety_rating]]*1000)/EV_Data4[[#This Row],[price_usd]]</f>
        <v>0.41865149680635078</v>
      </c>
      <c r="AB38">
        <f>EV_Data4[[#This Row],[horsepower]]+EV_Data4[[#This Row],[torque_nm]]/EV_Data4[[#This Row],[acceleration_0_60_mph]]</f>
        <v>319.98049414824447</v>
      </c>
      <c r="AC38" t="str">
        <f>IF(EV_Data4[[#This Row],[price_usd]]&gt;=80000,"Luxury",IF(EV_Data4[[#This Row],[price_usd]]&gt;=40000,"Mid-Range","Budget"))</f>
        <v>Budget</v>
      </c>
      <c r="AD38" t="str">
        <f>IF(EV_Data4[[#This Row],[range_miles]]&gt;=350,"Long-Range",IF(EV_Data4[[#This Row],[range_miles]]&gt;=250,"Medium-Range","Short-Range"))</f>
        <v>Short-Range</v>
      </c>
      <c r="AE38" t="str">
        <f>IF(EV_Data4[[#This Row],[charging_speed_kw]]&gt;=250,"Ultra-Fast",IF(EV_Data4[[#This Row],[charging_speed_kw]]&gt;=150,"Fast-Charging","Standard-Charging"))</f>
        <v>Standard-Charging</v>
      </c>
      <c r="AF38" t="str">
        <f>IF(EV_Data4[[#This Row],[acceleration_0_60_mph]]&lt;=3,"SportsPerformance",IF(EV_Data4[[#This Row],[acceleration_0_60_mph]]&lt;=5,"HighPerformance","Standard"))</f>
        <v>Standard</v>
      </c>
      <c r="AG38" t="str">
        <f>IF(EV_Data4[[#This Row],[customer_rating]]&gt;=4.5,"Excellent",IF(EV_Data4[[#This Row],[customer_rating]]&gt;=3.5,"Good","Average"))</f>
        <v>Average</v>
      </c>
      <c r="AH3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9" spans="1:34" x14ac:dyDescent="0.3">
      <c r="A39" t="s">
        <v>46</v>
      </c>
      <c r="B39" t="s">
        <v>78</v>
      </c>
      <c r="C39">
        <v>2023</v>
      </c>
      <c r="D39" t="s">
        <v>56</v>
      </c>
      <c r="E39" s="3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48</v>
      </c>
      <c r="N39">
        <v>5</v>
      </c>
      <c r="O39" t="s">
        <v>40</v>
      </c>
      <c r="P39">
        <v>72.8</v>
      </c>
      <c r="Q39">
        <v>1500</v>
      </c>
      <c r="R39">
        <v>5</v>
      </c>
      <c r="S39">
        <v>3</v>
      </c>
      <c r="T39" t="s">
        <v>41</v>
      </c>
      <c r="U39" t="s">
        <v>30</v>
      </c>
      <c r="V39" s="3">
        <v>174834</v>
      </c>
      <c r="W39">
        <v>3.59</v>
      </c>
      <c r="X39">
        <v>4</v>
      </c>
      <c r="Y39" s="1">
        <f>EV_Data4[[#This Row],[range_miles]]/EV_Data4[[#This Row],[battery_capacity_kwh]]</f>
        <v>3.2359081419624216</v>
      </c>
      <c r="Z39" s="4">
        <f>EV_Data4[[#This Row],[price_usd]]/EV_Data4[[#This Row],[range_miles]]</f>
        <v>706.47516129032249</v>
      </c>
      <c r="AA39" s="2">
        <f>(EV_Data4[[#This Row],[customer_rating]]*EV_Data4[[#This Row],[safety_rating]]*1000)/EV_Data4[[#This Row],[price_usd]]</f>
        <v>0.16392147659004974</v>
      </c>
      <c r="AB39">
        <f>EV_Data4[[#This Row],[horsepower]]+EV_Data4[[#This Row],[torque_nm]]/EV_Data4[[#This Row],[acceleration_0_60_mph]]</f>
        <v>943.41680129240706</v>
      </c>
      <c r="AC39" t="str">
        <f>IF(EV_Data4[[#This Row],[price_usd]]&gt;=80000,"Luxury",IF(EV_Data4[[#This Row],[price_usd]]&gt;=40000,"Mid-Range","Budget"))</f>
        <v>Luxury</v>
      </c>
      <c r="AD39" t="str">
        <f>IF(EV_Data4[[#This Row],[range_miles]]&gt;=350,"Long-Range",IF(EV_Data4[[#This Row],[range_miles]]&gt;=250,"Medium-Range","Short-Range"))</f>
        <v>Short-Range</v>
      </c>
      <c r="AE39" t="str">
        <f>IF(EV_Data4[[#This Row],[charging_speed_kw]]&gt;=250,"Ultra-Fast",IF(EV_Data4[[#This Row],[charging_speed_kw]]&gt;=150,"Fast-Charging","Standard-Charging"))</f>
        <v>Ultra-Fast</v>
      </c>
      <c r="AF39" t="str">
        <f>IF(EV_Data4[[#This Row],[acceleration_0_60_mph]]&lt;=3,"SportsPerformance",IF(EV_Data4[[#This Row],[acceleration_0_60_mph]]&lt;=5,"HighPerformance","Standard"))</f>
        <v>Standard</v>
      </c>
      <c r="AG39" t="str">
        <f>IF(EV_Data4[[#This Row],[customer_rating]]&gt;=4.5,"Excellent",IF(EV_Data4[[#This Row],[customer_rating]]&gt;=3.5,"Good","Average"))</f>
        <v>Good</v>
      </c>
      <c r="AH39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40" spans="1:34" x14ac:dyDescent="0.3">
      <c r="A40" t="s">
        <v>83</v>
      </c>
      <c r="B40" t="s">
        <v>84</v>
      </c>
      <c r="C40">
        <v>2025</v>
      </c>
      <c r="D40" t="s">
        <v>26</v>
      </c>
      <c r="E40" s="3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27</v>
      </c>
      <c r="N40">
        <v>5</v>
      </c>
      <c r="O40" t="s">
        <v>28</v>
      </c>
      <c r="P40">
        <v>76.8</v>
      </c>
      <c r="Q40">
        <v>2499</v>
      </c>
      <c r="R40">
        <v>5</v>
      </c>
      <c r="S40">
        <v>1</v>
      </c>
      <c r="T40" t="s">
        <v>29</v>
      </c>
      <c r="U40" t="s">
        <v>30</v>
      </c>
      <c r="V40" s="3">
        <v>58126</v>
      </c>
      <c r="W40">
        <v>3.6</v>
      </c>
      <c r="X40">
        <v>5</v>
      </c>
      <c r="Y40" s="1">
        <f>EV_Data4[[#This Row],[range_miles]]/EV_Data4[[#This Row],[battery_capacity_kwh]]</f>
        <v>3.2678132678132674</v>
      </c>
      <c r="Z40" s="4">
        <f>EV_Data4[[#This Row],[price_usd]]/EV_Data4[[#This Row],[range_miles]]</f>
        <v>589.37552631578956</v>
      </c>
      <c r="AA40" s="2">
        <f>(EV_Data4[[#This Row],[customer_rating]]*EV_Data4[[#This Row],[safety_rating]]*1000)/EV_Data4[[#This Row],[price_usd]]</f>
        <v>0.11481503712129615</v>
      </c>
      <c r="AB40">
        <f>EV_Data4[[#This Row],[horsepower]]+EV_Data4[[#This Row],[torque_nm]]/EV_Data4[[#This Row],[acceleration_0_60_mph]]</f>
        <v>1216.1904761904761</v>
      </c>
      <c r="AC40" t="str">
        <f>IF(EV_Data4[[#This Row],[price_usd]]&gt;=80000,"Luxury",IF(EV_Data4[[#This Row],[price_usd]]&gt;=40000,"Mid-Range","Budget"))</f>
        <v>Luxury</v>
      </c>
      <c r="AD40" t="str">
        <f>IF(EV_Data4[[#This Row],[range_miles]]&gt;=350,"Long-Range",IF(EV_Data4[[#This Row],[range_miles]]&gt;=250,"Medium-Range","Short-Range"))</f>
        <v>Medium-Range</v>
      </c>
      <c r="AE40" t="str">
        <f>IF(EV_Data4[[#This Row],[charging_speed_kw]]&gt;=250,"Ultra-Fast",IF(EV_Data4[[#This Row],[charging_speed_kw]]&gt;=150,"Fast-Charging","Standard-Charging"))</f>
        <v>Fast-Charging</v>
      </c>
      <c r="AF40" t="str">
        <f>IF(EV_Data4[[#This Row],[acceleration_0_60_mph]]&lt;=3,"SportsPerformance",IF(EV_Data4[[#This Row],[acceleration_0_60_mph]]&lt;=5,"HighPerformance","Standard"))</f>
        <v>HighPerformance</v>
      </c>
      <c r="AG40" t="str">
        <f>IF(EV_Data4[[#This Row],[customer_rating]]&gt;=4.5,"Excellent",IF(EV_Data4[[#This Row],[customer_rating]]&gt;=3.5,"Good","Average"))</f>
        <v>Good</v>
      </c>
      <c r="AH4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1" spans="1:34" x14ac:dyDescent="0.3">
      <c r="A41" t="s">
        <v>24</v>
      </c>
      <c r="B41" t="s">
        <v>85</v>
      </c>
      <c r="C41">
        <v>2021</v>
      </c>
      <c r="D41" t="s">
        <v>44</v>
      </c>
      <c r="E41" s="3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48</v>
      </c>
      <c r="N41">
        <v>5</v>
      </c>
      <c r="O41" t="s">
        <v>51</v>
      </c>
      <c r="P41">
        <v>20.6</v>
      </c>
      <c r="Q41">
        <v>1853</v>
      </c>
      <c r="R41">
        <v>5</v>
      </c>
      <c r="S41">
        <v>0</v>
      </c>
      <c r="T41" t="s">
        <v>29</v>
      </c>
      <c r="U41" t="s">
        <v>37</v>
      </c>
      <c r="V41" s="3">
        <v>232633</v>
      </c>
      <c r="W41">
        <v>3.55</v>
      </c>
      <c r="X41">
        <v>5</v>
      </c>
      <c r="Y41" s="1">
        <f>EV_Data4[[#This Row],[range_miles]]/EV_Data4[[#This Row],[battery_capacity_kwh]]</f>
        <v>3.2128099173553721</v>
      </c>
      <c r="Z41" s="4">
        <f>EV_Data4[[#This Row],[price_usd]]/EV_Data4[[#This Row],[range_miles]]</f>
        <v>170.31183279742766</v>
      </c>
      <c r="AA41" s="2">
        <f>(EV_Data4[[#This Row],[customer_rating]]*EV_Data4[[#This Row],[safety_rating]]*1000)/EV_Data4[[#This Row],[price_usd]]</f>
        <v>0.33511444299826043</v>
      </c>
      <c r="AB41">
        <f>EV_Data4[[#This Row],[horsepower]]+EV_Data4[[#This Row],[torque_nm]]/EV_Data4[[#This Row],[acceleration_0_60_mph]]</f>
        <v>535.17241379310349</v>
      </c>
      <c r="AC41" t="str">
        <f>IF(EV_Data4[[#This Row],[price_usd]]&gt;=80000,"Luxury",IF(EV_Data4[[#This Row],[price_usd]]&gt;=40000,"Mid-Range","Budget"))</f>
        <v>Mid-Range</v>
      </c>
      <c r="AD41" t="str">
        <f>IF(EV_Data4[[#This Row],[range_miles]]&gt;=350,"Long-Range",IF(EV_Data4[[#This Row],[range_miles]]&gt;=250,"Medium-Range","Short-Range"))</f>
        <v>Medium-Range</v>
      </c>
      <c r="AE41" t="str">
        <f>IF(EV_Data4[[#This Row],[charging_speed_kw]]&gt;=250,"Ultra-Fast",IF(EV_Data4[[#This Row],[charging_speed_kw]]&gt;=150,"Fast-Charging","Standard-Charging"))</f>
        <v>Standard-Charging</v>
      </c>
      <c r="AF41" t="str">
        <f>IF(EV_Data4[[#This Row],[acceleration_0_60_mph]]&lt;=3,"SportsPerformance",IF(EV_Data4[[#This Row],[acceleration_0_60_mph]]&lt;=5,"HighPerformance","Standard"))</f>
        <v>Standard</v>
      </c>
      <c r="AG41" t="str">
        <f>IF(EV_Data4[[#This Row],[customer_rating]]&gt;=4.5,"Excellent",IF(EV_Data4[[#This Row],[customer_rating]]&gt;=3.5,"Good","Average"))</f>
        <v>Good</v>
      </c>
      <c r="AH4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2" spans="1:34" x14ac:dyDescent="0.3">
      <c r="A42" t="s">
        <v>46</v>
      </c>
      <c r="B42" t="s">
        <v>72</v>
      </c>
      <c r="C42">
        <v>2024</v>
      </c>
      <c r="D42" t="s">
        <v>61</v>
      </c>
      <c r="E42" s="3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34</v>
      </c>
      <c r="N42">
        <v>7</v>
      </c>
      <c r="O42" t="s">
        <v>28</v>
      </c>
      <c r="P42">
        <v>56.2</v>
      </c>
      <c r="Q42">
        <v>2502</v>
      </c>
      <c r="R42">
        <v>4</v>
      </c>
      <c r="S42">
        <v>3</v>
      </c>
      <c r="T42" t="s">
        <v>41</v>
      </c>
      <c r="U42" t="s">
        <v>30</v>
      </c>
      <c r="V42" s="3">
        <v>225373</v>
      </c>
      <c r="W42">
        <v>3.75</v>
      </c>
      <c r="X42">
        <v>5</v>
      </c>
      <c r="Y42" s="1">
        <f>EV_Data4[[#This Row],[range_miles]]/EV_Data4[[#This Row],[battery_capacity_kwh]]</f>
        <v>3.4634974533106964</v>
      </c>
      <c r="Z42" s="4">
        <f>EV_Data4[[#This Row],[price_usd]]/EV_Data4[[#This Row],[range_miles]]</f>
        <v>597.08480392156866</v>
      </c>
      <c r="AA42" s="2">
        <f>(EV_Data4[[#This Row],[customer_rating]]*EV_Data4[[#This Row],[safety_rating]]*1000)/EV_Data4[[#This Row],[price_usd]]</f>
        <v>0.12314735073104371</v>
      </c>
      <c r="AB42">
        <f>EV_Data4[[#This Row],[horsepower]]+EV_Data4[[#This Row],[torque_nm]]/EV_Data4[[#This Row],[acceleration_0_60_mph]]</f>
        <v>988.32442067736179</v>
      </c>
      <c r="AC42" t="str">
        <f>IF(EV_Data4[[#This Row],[price_usd]]&gt;=80000,"Luxury",IF(EV_Data4[[#This Row],[price_usd]]&gt;=40000,"Mid-Range","Budget"))</f>
        <v>Luxury</v>
      </c>
      <c r="AD42" t="str">
        <f>IF(EV_Data4[[#This Row],[range_miles]]&gt;=350,"Long-Range",IF(EV_Data4[[#This Row],[range_miles]]&gt;=250,"Medium-Range","Short-Range"))</f>
        <v>Short-Range</v>
      </c>
      <c r="AE42" t="str">
        <f>IF(EV_Data4[[#This Row],[charging_speed_kw]]&gt;=250,"Ultra-Fast",IF(EV_Data4[[#This Row],[charging_speed_kw]]&gt;=150,"Fast-Charging","Standard-Charging"))</f>
        <v>Ultra-Fast</v>
      </c>
      <c r="AF42" t="str">
        <f>IF(EV_Data4[[#This Row],[acceleration_0_60_mph]]&lt;=3,"SportsPerformance",IF(EV_Data4[[#This Row],[acceleration_0_60_mph]]&lt;=5,"HighPerformance","Standard"))</f>
        <v>Standard</v>
      </c>
      <c r="AG42" t="str">
        <f>IF(EV_Data4[[#This Row],[customer_rating]]&gt;=4.5,"Excellent",IF(EV_Data4[[#This Row],[customer_rating]]&gt;=3.5,"Good","Average"))</f>
        <v>Good</v>
      </c>
      <c r="AH42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43" spans="1:34" x14ac:dyDescent="0.3">
      <c r="A43" t="s">
        <v>68</v>
      </c>
      <c r="B43" t="s">
        <v>79</v>
      </c>
      <c r="C43">
        <v>2025</v>
      </c>
      <c r="D43" t="s">
        <v>61</v>
      </c>
      <c r="E43" s="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34</v>
      </c>
      <c r="N43">
        <v>5</v>
      </c>
      <c r="O43" t="s">
        <v>50</v>
      </c>
      <c r="P43">
        <v>28.1</v>
      </c>
      <c r="Q43">
        <v>1500</v>
      </c>
      <c r="R43">
        <v>4</v>
      </c>
      <c r="S43">
        <v>0</v>
      </c>
      <c r="T43" t="s">
        <v>45</v>
      </c>
      <c r="U43" t="s">
        <v>33</v>
      </c>
      <c r="V43" s="3">
        <v>50147</v>
      </c>
      <c r="W43">
        <v>3.21</v>
      </c>
      <c r="X43">
        <v>4</v>
      </c>
      <c r="Y43" s="1">
        <f>EV_Data4[[#This Row],[range_miles]]/EV_Data4[[#This Row],[battery_capacity_kwh]]</f>
        <v>3.3544303797468351</v>
      </c>
      <c r="Z43" s="4">
        <f>EV_Data4[[#This Row],[price_usd]]/EV_Data4[[#This Row],[range_miles]]</f>
        <v>329.10122641509435</v>
      </c>
      <c r="AA43" s="2">
        <f>(EV_Data4[[#This Row],[customer_rating]]*EV_Data4[[#This Row],[safety_rating]]*1000)/EV_Data4[[#This Row],[price_usd]]</f>
        <v>0.18403467649025804</v>
      </c>
      <c r="AB43">
        <f>EV_Data4[[#This Row],[horsepower]]+EV_Data4[[#This Row],[torque_nm]]/EV_Data4[[#This Row],[acceleration_0_60_mph]]</f>
        <v>984.22336328626443</v>
      </c>
      <c r="AC43" t="str">
        <f>IF(EV_Data4[[#This Row],[price_usd]]&gt;=80000,"Luxury",IF(EV_Data4[[#This Row],[price_usd]]&gt;=40000,"Mid-Range","Budget"))</f>
        <v>Mid-Range</v>
      </c>
      <c r="AD43" t="str">
        <f>IF(EV_Data4[[#This Row],[range_miles]]&gt;=350,"Long-Range",IF(EV_Data4[[#This Row],[range_miles]]&gt;=250,"Medium-Range","Short-Range"))</f>
        <v>Short-Range</v>
      </c>
      <c r="AE43" t="str">
        <f>IF(EV_Data4[[#This Row],[charging_speed_kw]]&gt;=250,"Ultra-Fast",IF(EV_Data4[[#This Row],[charging_speed_kw]]&gt;=150,"Fast-Charging","Standard-Charging"))</f>
        <v>Standard-Charging</v>
      </c>
      <c r="AF43" t="str">
        <f>IF(EV_Data4[[#This Row],[acceleration_0_60_mph]]&lt;=3,"SportsPerformance",IF(EV_Data4[[#This Row],[acceleration_0_60_mph]]&lt;=5,"HighPerformance","Standard"))</f>
        <v>Standard</v>
      </c>
      <c r="AG43" t="str">
        <f>IF(EV_Data4[[#This Row],[customer_rating]]&gt;=4.5,"Excellent",IF(EV_Data4[[#This Row],[customer_rating]]&gt;=3.5,"Good","Average"))</f>
        <v>Average</v>
      </c>
      <c r="AH4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4" spans="1:34" x14ac:dyDescent="0.3">
      <c r="A44" t="s">
        <v>46</v>
      </c>
      <c r="B44" t="s">
        <v>78</v>
      </c>
      <c r="C44">
        <v>2024</v>
      </c>
      <c r="D44" t="s">
        <v>44</v>
      </c>
      <c r="E44" s="3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27</v>
      </c>
      <c r="N44">
        <v>5</v>
      </c>
      <c r="O44" t="s">
        <v>28</v>
      </c>
      <c r="P44">
        <v>80</v>
      </c>
      <c r="Q44">
        <v>2225</v>
      </c>
      <c r="R44">
        <v>5</v>
      </c>
      <c r="S44">
        <v>2</v>
      </c>
      <c r="T44" t="s">
        <v>41</v>
      </c>
      <c r="U44" t="s">
        <v>30</v>
      </c>
      <c r="V44" s="3">
        <v>122440</v>
      </c>
      <c r="W44">
        <v>3.96</v>
      </c>
      <c r="X44">
        <v>5</v>
      </c>
      <c r="Y44" s="1">
        <f>EV_Data4[[#This Row],[range_miles]]/EV_Data4[[#This Row],[battery_capacity_kwh]]</f>
        <v>3.4653465346534653</v>
      </c>
      <c r="Z44" s="4">
        <f>EV_Data4[[#This Row],[price_usd]]/EV_Data4[[#This Row],[range_miles]]</f>
        <v>335.76565714285715</v>
      </c>
      <c r="AA44" s="2">
        <f>(EV_Data4[[#This Row],[customer_rating]]*EV_Data4[[#This Row],[safety_rating]]*1000)/EV_Data4[[#This Row],[price_usd]]</f>
        <v>0.16848485653003906</v>
      </c>
      <c r="AB44">
        <f>EV_Data4[[#This Row],[horsepower]]+EV_Data4[[#This Row],[torque_nm]]/EV_Data4[[#This Row],[acceleration_0_60_mph]]</f>
        <v>1055.1935483870968</v>
      </c>
      <c r="AC44" t="str">
        <f>IF(EV_Data4[[#This Row],[price_usd]]&gt;=80000,"Luxury",IF(EV_Data4[[#This Row],[price_usd]]&gt;=40000,"Mid-Range","Budget"))</f>
        <v>Luxury</v>
      </c>
      <c r="AD44" t="str">
        <f>IF(EV_Data4[[#This Row],[range_miles]]&gt;=350,"Long-Range",IF(EV_Data4[[#This Row],[range_miles]]&gt;=250,"Medium-Range","Short-Range"))</f>
        <v>Long-Range</v>
      </c>
      <c r="AE44" t="str">
        <f>IF(EV_Data4[[#This Row],[charging_speed_kw]]&gt;=250,"Ultra-Fast",IF(EV_Data4[[#This Row],[charging_speed_kw]]&gt;=150,"Fast-Charging","Standard-Charging"))</f>
        <v>Fast-Charging</v>
      </c>
      <c r="AF44" t="str">
        <f>IF(EV_Data4[[#This Row],[acceleration_0_60_mph]]&lt;=3,"SportsPerformance",IF(EV_Data4[[#This Row],[acceleration_0_60_mph]]&lt;=5,"HighPerformance","Standard"))</f>
        <v>HighPerformance</v>
      </c>
      <c r="AG44" t="str">
        <f>IF(EV_Data4[[#This Row],[customer_rating]]&gt;=4.5,"Excellent",IF(EV_Data4[[#This Row],[customer_rating]]&gt;=3.5,"Good","Average"))</f>
        <v>Good</v>
      </c>
      <c r="AH4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5" spans="1:34" x14ac:dyDescent="0.3">
      <c r="A45" t="s">
        <v>86</v>
      </c>
      <c r="B45" t="s">
        <v>87</v>
      </c>
      <c r="C45">
        <v>2025</v>
      </c>
      <c r="D45" t="s">
        <v>61</v>
      </c>
      <c r="E45" s="3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34</v>
      </c>
      <c r="N45">
        <v>5</v>
      </c>
      <c r="O45" t="s">
        <v>51</v>
      </c>
      <c r="P45">
        <v>17.600000000000001</v>
      </c>
      <c r="Q45">
        <v>1899</v>
      </c>
      <c r="R45">
        <v>4</v>
      </c>
      <c r="S45">
        <v>2</v>
      </c>
      <c r="T45" t="s">
        <v>29</v>
      </c>
      <c r="U45" t="s">
        <v>37</v>
      </c>
      <c r="V45" s="3">
        <v>69650</v>
      </c>
      <c r="W45">
        <v>3.68</v>
      </c>
      <c r="X45">
        <v>7</v>
      </c>
      <c r="Y45" s="1">
        <f>EV_Data4[[#This Row],[range_miles]]/EV_Data4[[#This Row],[battery_capacity_kwh]]</f>
        <v>2.9942418426103647</v>
      </c>
      <c r="Z45" s="4">
        <f>EV_Data4[[#This Row],[price_usd]]/EV_Data4[[#This Row],[range_miles]]</f>
        <v>344.62891025641028</v>
      </c>
      <c r="AA45" s="2">
        <f>(EV_Data4[[#This Row],[customer_rating]]*EV_Data4[[#This Row],[safety_rating]]*1000)/EV_Data4[[#This Row],[price_usd]]</f>
        <v>0.27379877761494109</v>
      </c>
      <c r="AB45">
        <f>EV_Data4[[#This Row],[horsepower]]+EV_Data4[[#This Row],[torque_nm]]/EV_Data4[[#This Row],[acceleration_0_60_mph]]</f>
        <v>238.00775193798449</v>
      </c>
      <c r="AC45" t="str">
        <f>IF(EV_Data4[[#This Row],[price_usd]]&gt;=80000,"Luxury",IF(EV_Data4[[#This Row],[price_usd]]&gt;=40000,"Mid-Range","Budget"))</f>
        <v>Mid-Range</v>
      </c>
      <c r="AD45" t="str">
        <f>IF(EV_Data4[[#This Row],[range_miles]]&gt;=350,"Long-Range",IF(EV_Data4[[#This Row],[range_miles]]&gt;=250,"Medium-Range","Short-Range"))</f>
        <v>Short-Range</v>
      </c>
      <c r="AE45" t="str">
        <f>IF(EV_Data4[[#This Row],[charging_speed_kw]]&gt;=250,"Ultra-Fast",IF(EV_Data4[[#This Row],[charging_speed_kw]]&gt;=150,"Fast-Charging","Standard-Charging"))</f>
        <v>Standard-Charging</v>
      </c>
      <c r="AF45" t="str">
        <f>IF(EV_Data4[[#This Row],[acceleration_0_60_mph]]&lt;=3,"SportsPerformance",IF(EV_Data4[[#This Row],[acceleration_0_60_mph]]&lt;=5,"HighPerformance","Standard"))</f>
        <v>Standard</v>
      </c>
      <c r="AG45" t="str">
        <f>IF(EV_Data4[[#This Row],[customer_rating]]&gt;=4.5,"Excellent",IF(EV_Data4[[#This Row],[customer_rating]]&gt;=3.5,"Good","Average"))</f>
        <v>Good</v>
      </c>
      <c r="AH4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6" spans="1:34" x14ac:dyDescent="0.3">
      <c r="A46" t="s">
        <v>63</v>
      </c>
      <c r="B46" t="s">
        <v>88</v>
      </c>
      <c r="C46">
        <v>2024</v>
      </c>
      <c r="D46" t="s">
        <v>56</v>
      </c>
      <c r="E46" s="3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34</v>
      </c>
      <c r="N46">
        <v>5</v>
      </c>
      <c r="O46" t="s">
        <v>58</v>
      </c>
      <c r="P46">
        <v>32.5</v>
      </c>
      <c r="Q46">
        <v>1669</v>
      </c>
      <c r="R46">
        <v>5</v>
      </c>
      <c r="S46">
        <v>0</v>
      </c>
      <c r="T46" t="s">
        <v>65</v>
      </c>
      <c r="U46" t="s">
        <v>66</v>
      </c>
      <c r="V46" s="3">
        <v>157077</v>
      </c>
      <c r="W46">
        <v>3.46</v>
      </c>
      <c r="X46">
        <v>3</v>
      </c>
      <c r="Y46" s="1">
        <f>EV_Data4[[#This Row],[range_miles]]/EV_Data4[[#This Row],[battery_capacity_kwh]]</f>
        <v>3.3552631578947367</v>
      </c>
      <c r="Z46" s="4">
        <f>EV_Data4[[#This Row],[price_usd]]/EV_Data4[[#This Row],[range_miles]]</f>
        <v>157.05627450980393</v>
      </c>
      <c r="AA46" s="2">
        <f>(EV_Data4[[#This Row],[customer_rating]]*EV_Data4[[#This Row],[safety_rating]]*1000)/EV_Data4[[#This Row],[price_usd]]</f>
        <v>0.71994510106489451</v>
      </c>
      <c r="AB46">
        <f>EV_Data4[[#This Row],[horsepower]]+EV_Data4[[#This Row],[torque_nm]]/EV_Data4[[#This Row],[acceleration_0_60_mph]]</f>
        <v>249.75968992248062</v>
      </c>
      <c r="AC46" t="str">
        <f>IF(EV_Data4[[#This Row],[price_usd]]&gt;=80000,"Luxury",IF(EV_Data4[[#This Row],[price_usd]]&gt;=40000,"Mid-Range","Budget"))</f>
        <v>Budget</v>
      </c>
      <c r="AD46" t="str">
        <f>IF(EV_Data4[[#This Row],[range_miles]]&gt;=350,"Long-Range",IF(EV_Data4[[#This Row],[range_miles]]&gt;=250,"Medium-Range","Short-Range"))</f>
        <v>Short-Range</v>
      </c>
      <c r="AE46" t="str">
        <f>IF(EV_Data4[[#This Row],[charging_speed_kw]]&gt;=250,"Ultra-Fast",IF(EV_Data4[[#This Row],[charging_speed_kw]]&gt;=150,"Fast-Charging","Standard-Charging"))</f>
        <v>Standard-Charging</v>
      </c>
      <c r="AF46" t="str">
        <f>IF(EV_Data4[[#This Row],[acceleration_0_60_mph]]&lt;=3,"SportsPerformance",IF(EV_Data4[[#This Row],[acceleration_0_60_mph]]&lt;=5,"HighPerformance","Standard"))</f>
        <v>Standard</v>
      </c>
      <c r="AG46" t="str">
        <f>IF(EV_Data4[[#This Row],[customer_rating]]&gt;=4.5,"Excellent",IF(EV_Data4[[#This Row],[customer_rating]]&gt;=3.5,"Good","Average"))</f>
        <v>Average</v>
      </c>
      <c r="AH4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7" spans="1:34" x14ac:dyDescent="0.3">
      <c r="A47" t="s">
        <v>83</v>
      </c>
      <c r="B47" t="s">
        <v>89</v>
      </c>
      <c r="C47">
        <v>2024</v>
      </c>
      <c r="D47" t="s">
        <v>44</v>
      </c>
      <c r="E47" s="3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48</v>
      </c>
      <c r="N47">
        <v>5</v>
      </c>
      <c r="O47" t="s">
        <v>28</v>
      </c>
      <c r="P47">
        <v>62.9</v>
      </c>
      <c r="Q47">
        <v>2464</v>
      </c>
      <c r="R47">
        <v>4</v>
      </c>
      <c r="S47">
        <v>2</v>
      </c>
      <c r="T47" t="s">
        <v>29</v>
      </c>
      <c r="U47" t="s">
        <v>30</v>
      </c>
      <c r="V47" s="3">
        <v>62864</v>
      </c>
      <c r="W47">
        <v>3.27</v>
      </c>
      <c r="X47">
        <v>8</v>
      </c>
      <c r="Y47" s="1">
        <f>EV_Data4[[#This Row],[range_miles]]/EV_Data4[[#This Row],[battery_capacity_kwh]]</f>
        <v>3.5894206549118386</v>
      </c>
      <c r="Z47" s="4">
        <f>EV_Data4[[#This Row],[price_usd]]/EV_Data4[[#This Row],[range_miles]]</f>
        <v>422.41192982456135</v>
      </c>
      <c r="AA47" s="2">
        <f>(EV_Data4[[#This Row],[customer_rating]]*EV_Data4[[#This Row],[safety_rating]]*1000)/EV_Data4[[#This Row],[price_usd]]</f>
        <v>0.10864924402387625</v>
      </c>
      <c r="AB47">
        <f>EV_Data4[[#This Row],[horsepower]]+EV_Data4[[#This Row],[torque_nm]]/EV_Data4[[#This Row],[acceleration_0_60_mph]]</f>
        <v>1235.2380952380952</v>
      </c>
      <c r="AC47" t="str">
        <f>IF(EV_Data4[[#This Row],[price_usd]]&gt;=80000,"Luxury",IF(EV_Data4[[#This Row],[price_usd]]&gt;=40000,"Mid-Range","Budget"))</f>
        <v>Luxury</v>
      </c>
      <c r="AD47" t="str">
        <f>IF(EV_Data4[[#This Row],[range_miles]]&gt;=350,"Long-Range",IF(EV_Data4[[#This Row],[range_miles]]&gt;=250,"Medium-Range","Short-Range"))</f>
        <v>Medium-Range</v>
      </c>
      <c r="AE47" t="str">
        <f>IF(EV_Data4[[#This Row],[charging_speed_kw]]&gt;=250,"Ultra-Fast",IF(EV_Data4[[#This Row],[charging_speed_kw]]&gt;=150,"Fast-Charging","Standard-Charging"))</f>
        <v>Standard-Charging</v>
      </c>
      <c r="AF47" t="str">
        <f>IF(EV_Data4[[#This Row],[acceleration_0_60_mph]]&lt;=3,"SportsPerformance",IF(EV_Data4[[#This Row],[acceleration_0_60_mph]]&lt;=5,"HighPerformance","Standard"))</f>
        <v>HighPerformance</v>
      </c>
      <c r="AG47" t="str">
        <f>IF(EV_Data4[[#This Row],[customer_rating]]&gt;=4.5,"Excellent",IF(EV_Data4[[#This Row],[customer_rating]]&gt;=3.5,"Good","Average"))</f>
        <v>Average</v>
      </c>
      <c r="AH4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8" spans="1:34" x14ac:dyDescent="0.3">
      <c r="A48" t="s">
        <v>63</v>
      </c>
      <c r="B48" t="s">
        <v>67</v>
      </c>
      <c r="C48">
        <v>2025</v>
      </c>
      <c r="D48" t="s">
        <v>56</v>
      </c>
      <c r="E48" s="3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34</v>
      </c>
      <c r="N48">
        <v>7</v>
      </c>
      <c r="O48" t="s">
        <v>28</v>
      </c>
      <c r="P48">
        <v>68.8</v>
      </c>
      <c r="Q48">
        <v>2367</v>
      </c>
      <c r="R48">
        <v>4</v>
      </c>
      <c r="S48">
        <v>0</v>
      </c>
      <c r="T48" t="s">
        <v>65</v>
      </c>
      <c r="U48" t="s">
        <v>66</v>
      </c>
      <c r="V48" s="3">
        <v>158602</v>
      </c>
      <c r="W48">
        <v>3.26</v>
      </c>
      <c r="X48">
        <v>3</v>
      </c>
      <c r="Y48" s="1">
        <f>EV_Data4[[#This Row],[range_miles]]/EV_Data4[[#This Row],[battery_capacity_kwh]]</f>
        <v>3.6920222634508351</v>
      </c>
      <c r="Z48" s="4">
        <f>EV_Data4[[#This Row],[price_usd]]/EV_Data4[[#This Row],[range_miles]]</f>
        <v>134.08231155778896</v>
      </c>
      <c r="AA48" s="2">
        <f>(EV_Data4[[#This Row],[customer_rating]]*EV_Data4[[#This Row],[safety_rating]]*1000)/EV_Data4[[#This Row],[price_usd]]</f>
        <v>0.48871202643842115</v>
      </c>
      <c r="AB48">
        <f>EV_Data4[[#This Row],[horsepower]]+EV_Data4[[#This Row],[torque_nm]]/EV_Data4[[#This Row],[acceleration_0_60_mph]]</f>
        <v>301.87550744248983</v>
      </c>
      <c r="AC48" t="str">
        <f>IF(EV_Data4[[#This Row],[price_usd]]&gt;=80000,"Luxury",IF(EV_Data4[[#This Row],[price_usd]]&gt;=40000,"Mid-Range","Budget"))</f>
        <v>Budget</v>
      </c>
      <c r="AD48" t="str">
        <f>IF(EV_Data4[[#This Row],[range_miles]]&gt;=350,"Long-Range",IF(EV_Data4[[#This Row],[range_miles]]&gt;=250,"Medium-Range","Short-Range"))</f>
        <v>Short-Range</v>
      </c>
      <c r="AE48" t="str">
        <f>IF(EV_Data4[[#This Row],[charging_speed_kw]]&gt;=250,"Ultra-Fast",IF(EV_Data4[[#This Row],[charging_speed_kw]]&gt;=150,"Fast-Charging","Standard-Charging"))</f>
        <v>Standard-Charging</v>
      </c>
      <c r="AF48" t="str">
        <f>IF(EV_Data4[[#This Row],[acceleration_0_60_mph]]&lt;=3,"SportsPerformance",IF(EV_Data4[[#This Row],[acceleration_0_60_mph]]&lt;=5,"HighPerformance","Standard"))</f>
        <v>Standard</v>
      </c>
      <c r="AG48" t="str">
        <f>IF(EV_Data4[[#This Row],[customer_rating]]&gt;=4.5,"Excellent",IF(EV_Data4[[#This Row],[customer_rating]]&gt;=3.5,"Good","Average"))</f>
        <v>Average</v>
      </c>
      <c r="AH4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9" spans="1:34" x14ac:dyDescent="0.3">
      <c r="A49" t="s">
        <v>68</v>
      </c>
      <c r="B49" t="s">
        <v>90</v>
      </c>
      <c r="C49">
        <v>2025</v>
      </c>
      <c r="D49" t="s">
        <v>56</v>
      </c>
      <c r="E49" s="3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27</v>
      </c>
      <c r="N49">
        <v>5</v>
      </c>
      <c r="O49" t="s">
        <v>50</v>
      </c>
      <c r="P49">
        <v>39.6</v>
      </c>
      <c r="Q49">
        <v>1705</v>
      </c>
      <c r="R49">
        <v>4</v>
      </c>
      <c r="S49">
        <v>1</v>
      </c>
      <c r="T49" t="s">
        <v>45</v>
      </c>
      <c r="U49" t="s">
        <v>37</v>
      </c>
      <c r="V49" s="3">
        <v>128526</v>
      </c>
      <c r="W49">
        <v>3.61</v>
      </c>
      <c r="X49">
        <v>4</v>
      </c>
      <c r="Y49" s="1">
        <f>EV_Data4[[#This Row],[range_miles]]/EV_Data4[[#This Row],[battery_capacity_kwh]]</f>
        <v>3.2327044025157234</v>
      </c>
      <c r="Z49" s="4">
        <f>EV_Data4[[#This Row],[price_usd]]/EV_Data4[[#This Row],[range_miles]]</f>
        <v>175.48673151750972</v>
      </c>
      <c r="AA49" s="2">
        <f>(EV_Data4[[#This Row],[customer_rating]]*EV_Data4[[#This Row],[safety_rating]]*1000)/EV_Data4[[#This Row],[price_usd]]</f>
        <v>0.32017674465838097</v>
      </c>
      <c r="AB49">
        <f>EV_Data4[[#This Row],[horsepower]]+EV_Data4[[#This Row],[torque_nm]]/EV_Data4[[#This Row],[acceleration_0_60_mph]]</f>
        <v>553.42857142857144</v>
      </c>
      <c r="AC49" t="str">
        <f>IF(EV_Data4[[#This Row],[price_usd]]&gt;=80000,"Luxury",IF(EV_Data4[[#This Row],[price_usd]]&gt;=40000,"Mid-Range","Budget"))</f>
        <v>Mid-Range</v>
      </c>
      <c r="AD49" t="str">
        <f>IF(EV_Data4[[#This Row],[range_miles]]&gt;=350,"Long-Range",IF(EV_Data4[[#This Row],[range_miles]]&gt;=250,"Medium-Range","Short-Range"))</f>
        <v>Medium-Range</v>
      </c>
      <c r="AE49" t="str">
        <f>IF(EV_Data4[[#This Row],[charging_speed_kw]]&gt;=250,"Ultra-Fast",IF(EV_Data4[[#This Row],[charging_speed_kw]]&gt;=150,"Fast-Charging","Standard-Charging"))</f>
        <v>Standard-Charging</v>
      </c>
      <c r="AF49" t="str">
        <f>IF(EV_Data4[[#This Row],[acceleration_0_60_mph]]&lt;=3,"SportsPerformance",IF(EV_Data4[[#This Row],[acceleration_0_60_mph]]&lt;=5,"HighPerformance","Standard"))</f>
        <v>Standard</v>
      </c>
      <c r="AG49" t="str">
        <f>IF(EV_Data4[[#This Row],[customer_rating]]&gt;=4.5,"Excellent",IF(EV_Data4[[#This Row],[customer_rating]]&gt;=3.5,"Good","Average"))</f>
        <v>Good</v>
      </c>
      <c r="AH4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0" spans="1:34" x14ac:dyDescent="0.3">
      <c r="A50" t="s">
        <v>42</v>
      </c>
      <c r="B50" t="s">
        <v>43</v>
      </c>
      <c r="C50">
        <v>2023</v>
      </c>
      <c r="D50" t="s">
        <v>61</v>
      </c>
      <c r="E50" s="3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34</v>
      </c>
      <c r="N50">
        <v>5</v>
      </c>
      <c r="O50" t="s">
        <v>35</v>
      </c>
      <c r="P50">
        <v>55.4</v>
      </c>
      <c r="Q50">
        <v>2017</v>
      </c>
      <c r="R50">
        <v>3</v>
      </c>
      <c r="S50">
        <v>1</v>
      </c>
      <c r="T50" t="s">
        <v>45</v>
      </c>
      <c r="U50" t="s">
        <v>33</v>
      </c>
      <c r="V50" s="3">
        <v>101678</v>
      </c>
      <c r="W50">
        <v>3.34</v>
      </c>
      <c r="X50">
        <v>4</v>
      </c>
      <c r="Y50" s="1">
        <f>EV_Data4[[#This Row],[range_miles]]/EV_Data4[[#This Row],[battery_capacity_kwh]]</f>
        <v>3.4975369458128078</v>
      </c>
      <c r="Z50" s="4">
        <f>EV_Data4[[#This Row],[price_usd]]/EV_Data4[[#This Row],[range_miles]]</f>
        <v>272.8337676056338</v>
      </c>
      <c r="AA50" s="2">
        <f>(EV_Data4[[#This Row],[customer_rating]]*EV_Data4[[#This Row],[safety_rating]]*1000)/EV_Data4[[#This Row],[price_usd]]</f>
        <v>0.12931570182999788</v>
      </c>
      <c r="AB50">
        <f>EV_Data4[[#This Row],[horsepower]]+EV_Data4[[#This Row],[torque_nm]]/EV_Data4[[#This Row],[acceleration_0_60_mph]]</f>
        <v>1079.6854990583804</v>
      </c>
      <c r="AC50" t="str">
        <f>IF(EV_Data4[[#This Row],[price_usd]]&gt;=80000,"Luxury",IF(EV_Data4[[#This Row],[price_usd]]&gt;=40000,"Mid-Range","Budget"))</f>
        <v>Mid-Range</v>
      </c>
      <c r="AD50" t="str">
        <f>IF(EV_Data4[[#This Row],[range_miles]]&gt;=350,"Long-Range",IF(EV_Data4[[#This Row],[range_miles]]&gt;=250,"Medium-Range","Short-Range"))</f>
        <v>Medium-Range</v>
      </c>
      <c r="AE50" t="str">
        <f>IF(EV_Data4[[#This Row],[charging_speed_kw]]&gt;=250,"Ultra-Fast",IF(EV_Data4[[#This Row],[charging_speed_kw]]&gt;=150,"Fast-Charging","Standard-Charging"))</f>
        <v>Standard-Charging</v>
      </c>
      <c r="AF50" t="str">
        <f>IF(EV_Data4[[#This Row],[acceleration_0_60_mph]]&lt;=3,"SportsPerformance",IF(EV_Data4[[#This Row],[acceleration_0_60_mph]]&lt;=5,"HighPerformance","Standard"))</f>
        <v>Standard</v>
      </c>
      <c r="AG50" t="str">
        <f>IF(EV_Data4[[#This Row],[customer_rating]]&gt;=4.5,"Excellent",IF(EV_Data4[[#This Row],[customer_rating]]&gt;=3.5,"Good","Average"))</f>
        <v>Average</v>
      </c>
      <c r="AH5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1" spans="1:34" x14ac:dyDescent="0.3">
      <c r="A51" t="s">
        <v>46</v>
      </c>
      <c r="B51" t="s">
        <v>49</v>
      </c>
      <c r="C51">
        <v>2023</v>
      </c>
      <c r="D51" t="s">
        <v>61</v>
      </c>
      <c r="E51" s="3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34</v>
      </c>
      <c r="N51">
        <v>5</v>
      </c>
      <c r="O51" t="s">
        <v>35</v>
      </c>
      <c r="P51">
        <v>44.4</v>
      </c>
      <c r="Q51">
        <v>2146</v>
      </c>
      <c r="R51">
        <v>5</v>
      </c>
      <c r="S51">
        <v>2</v>
      </c>
      <c r="T51" t="s">
        <v>41</v>
      </c>
      <c r="U51" t="s">
        <v>33</v>
      </c>
      <c r="V51" s="3">
        <v>431290</v>
      </c>
      <c r="W51">
        <v>3.33</v>
      </c>
      <c r="X51">
        <v>4</v>
      </c>
      <c r="Y51" s="1">
        <f>EV_Data4[[#This Row],[range_miles]]/EV_Data4[[#This Row],[battery_capacity_kwh]]</f>
        <v>3.225806451612903</v>
      </c>
      <c r="Z51" s="4">
        <f>EV_Data4[[#This Row],[price_usd]]/EV_Data4[[#This Row],[range_miles]]</f>
        <v>654.05846666666673</v>
      </c>
      <c r="AA51" s="2">
        <f>(EV_Data4[[#This Row],[customer_rating]]*EV_Data4[[#This Row],[safety_rating]]*1000)/EV_Data4[[#This Row],[price_usd]]</f>
        <v>0.16970959884626011</v>
      </c>
      <c r="AB51">
        <f>EV_Data4[[#This Row],[horsepower]]+EV_Data4[[#This Row],[torque_nm]]/EV_Data4[[#This Row],[acceleration_0_60_mph]]</f>
        <v>887.63915547024953</v>
      </c>
      <c r="AC51" t="str">
        <f>IF(EV_Data4[[#This Row],[price_usd]]&gt;=80000,"Luxury",IF(EV_Data4[[#This Row],[price_usd]]&gt;=40000,"Mid-Range","Budget"))</f>
        <v>Luxury</v>
      </c>
      <c r="AD51" t="str">
        <f>IF(EV_Data4[[#This Row],[range_miles]]&gt;=350,"Long-Range",IF(EV_Data4[[#This Row],[range_miles]]&gt;=250,"Medium-Range","Short-Range"))</f>
        <v>Short-Range</v>
      </c>
      <c r="AE51" t="str">
        <f>IF(EV_Data4[[#This Row],[charging_speed_kw]]&gt;=250,"Ultra-Fast",IF(EV_Data4[[#This Row],[charging_speed_kw]]&gt;=150,"Fast-Charging","Standard-Charging"))</f>
        <v>Ultra-Fast</v>
      </c>
      <c r="AF51" t="str">
        <f>IF(EV_Data4[[#This Row],[acceleration_0_60_mph]]&lt;=3,"SportsPerformance",IF(EV_Data4[[#This Row],[acceleration_0_60_mph]]&lt;=5,"HighPerformance","Standard"))</f>
        <v>Standard</v>
      </c>
      <c r="AG51" t="str">
        <f>IF(EV_Data4[[#This Row],[customer_rating]]&gt;=4.5,"Excellent",IF(EV_Data4[[#This Row],[customer_rating]]&gt;=3.5,"Good","Average"))</f>
        <v>Average</v>
      </c>
      <c r="AH5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2" spans="1:34" x14ac:dyDescent="0.3">
      <c r="A52" t="s">
        <v>59</v>
      </c>
      <c r="B52" t="s">
        <v>60</v>
      </c>
      <c r="C52">
        <v>2020</v>
      </c>
      <c r="D52" t="s">
        <v>26</v>
      </c>
      <c r="E52" s="3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27</v>
      </c>
      <c r="N52">
        <v>5</v>
      </c>
      <c r="O52" t="s">
        <v>50</v>
      </c>
      <c r="P52">
        <v>38.4</v>
      </c>
      <c r="Q52">
        <v>1705</v>
      </c>
      <c r="R52">
        <v>4</v>
      </c>
      <c r="S52">
        <v>1</v>
      </c>
      <c r="T52" t="s">
        <v>41</v>
      </c>
      <c r="U52" t="s">
        <v>30</v>
      </c>
      <c r="V52" s="3">
        <v>18708</v>
      </c>
      <c r="W52">
        <v>3.53</v>
      </c>
      <c r="X52">
        <v>4</v>
      </c>
      <c r="Y52" s="1">
        <f>EV_Data4[[#This Row],[range_miles]]/EV_Data4[[#This Row],[battery_capacity_kwh]]</f>
        <v>3.6122177954847281</v>
      </c>
      <c r="Z52" s="4">
        <f>EV_Data4[[#This Row],[price_usd]]/EV_Data4[[#This Row],[range_miles]]</f>
        <v>526.12790441176469</v>
      </c>
      <c r="AA52" s="2">
        <f>(EV_Data4[[#This Row],[customer_rating]]*EV_Data4[[#This Row],[safety_rating]]*1000)/EV_Data4[[#This Row],[price_usd]]</f>
        <v>9.866757545187059E-2</v>
      </c>
      <c r="AB52">
        <f>EV_Data4[[#This Row],[horsepower]]+EV_Data4[[#This Row],[torque_nm]]/EV_Data4[[#This Row],[acceleration_0_60_mph]]</f>
        <v>1254.0760869565217</v>
      </c>
      <c r="AC52" t="str">
        <f>IF(EV_Data4[[#This Row],[price_usd]]&gt;=80000,"Luxury",IF(EV_Data4[[#This Row],[price_usd]]&gt;=40000,"Mid-Range","Budget"))</f>
        <v>Luxury</v>
      </c>
      <c r="AD52" t="str">
        <f>IF(EV_Data4[[#This Row],[range_miles]]&gt;=350,"Long-Range",IF(EV_Data4[[#This Row],[range_miles]]&gt;=250,"Medium-Range","Short-Range"))</f>
        <v>Medium-Range</v>
      </c>
      <c r="AE52" t="str">
        <f>IF(EV_Data4[[#This Row],[charging_speed_kw]]&gt;=250,"Ultra-Fast",IF(EV_Data4[[#This Row],[charging_speed_kw]]&gt;=150,"Fast-Charging","Standard-Charging"))</f>
        <v>Fast-Charging</v>
      </c>
      <c r="AF52" t="str">
        <f>IF(EV_Data4[[#This Row],[acceleration_0_60_mph]]&lt;=3,"SportsPerformance",IF(EV_Data4[[#This Row],[acceleration_0_60_mph]]&lt;=5,"HighPerformance","Standard"))</f>
        <v>HighPerformance</v>
      </c>
      <c r="AG52" t="str">
        <f>IF(EV_Data4[[#This Row],[customer_rating]]&gt;=4.5,"Excellent",IF(EV_Data4[[#This Row],[customer_rating]]&gt;=3.5,"Good","Average"))</f>
        <v>Good</v>
      </c>
      <c r="AH5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3" spans="1:34" x14ac:dyDescent="0.3">
      <c r="A53" t="s">
        <v>76</v>
      </c>
      <c r="B53" t="s">
        <v>91</v>
      </c>
      <c r="C53">
        <v>2026</v>
      </c>
      <c r="D53" t="s">
        <v>56</v>
      </c>
      <c r="E53" s="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34</v>
      </c>
      <c r="N53">
        <v>2</v>
      </c>
      <c r="O53" t="s">
        <v>28</v>
      </c>
      <c r="P53">
        <v>50.3</v>
      </c>
      <c r="Q53">
        <v>2850</v>
      </c>
      <c r="R53">
        <v>5</v>
      </c>
      <c r="S53">
        <v>0</v>
      </c>
      <c r="T53" t="s">
        <v>41</v>
      </c>
      <c r="U53" t="s">
        <v>37</v>
      </c>
      <c r="V53" s="3">
        <v>62843</v>
      </c>
      <c r="W53">
        <v>3.72</v>
      </c>
      <c r="X53">
        <v>3</v>
      </c>
      <c r="Y53" s="1">
        <f>EV_Data4[[#This Row],[range_miles]]/EV_Data4[[#This Row],[battery_capacity_kwh]]</f>
        <v>3.6512261580381469</v>
      </c>
      <c r="Z53" s="4">
        <f>EV_Data4[[#This Row],[price_usd]]/EV_Data4[[#This Row],[range_miles]]</f>
        <v>195.02507462686569</v>
      </c>
      <c r="AA53" s="2">
        <f>(EV_Data4[[#This Row],[customer_rating]]*EV_Data4[[#This Row],[safety_rating]]*1000)/EV_Data4[[#This Row],[price_usd]]</f>
        <v>0.35586698380920018</v>
      </c>
      <c r="AB53">
        <f>EV_Data4[[#This Row],[horsepower]]+EV_Data4[[#This Row],[torque_nm]]/EV_Data4[[#This Row],[acceleration_0_60_mph]]</f>
        <v>577.61185983827488</v>
      </c>
      <c r="AC53" t="str">
        <f>IF(EV_Data4[[#This Row],[price_usd]]&gt;=80000,"Luxury",IF(EV_Data4[[#This Row],[price_usd]]&gt;=40000,"Mid-Range","Budget"))</f>
        <v>Mid-Range</v>
      </c>
      <c r="AD53" t="str">
        <f>IF(EV_Data4[[#This Row],[range_miles]]&gt;=350,"Long-Range",IF(EV_Data4[[#This Row],[range_miles]]&gt;=250,"Medium-Range","Short-Range"))</f>
        <v>Medium-Range</v>
      </c>
      <c r="AE53" t="str">
        <f>IF(EV_Data4[[#This Row],[charging_speed_kw]]&gt;=250,"Ultra-Fast",IF(EV_Data4[[#This Row],[charging_speed_kw]]&gt;=150,"Fast-Charging","Standard-Charging"))</f>
        <v>Standard-Charging</v>
      </c>
      <c r="AF53" t="str">
        <f>IF(EV_Data4[[#This Row],[acceleration_0_60_mph]]&lt;=3,"SportsPerformance",IF(EV_Data4[[#This Row],[acceleration_0_60_mph]]&lt;=5,"HighPerformance","Standard"))</f>
        <v>Standard</v>
      </c>
      <c r="AG53" t="str">
        <f>IF(EV_Data4[[#This Row],[customer_rating]]&gt;=4.5,"Excellent",IF(EV_Data4[[#This Row],[customer_rating]]&gt;=3.5,"Good","Average"))</f>
        <v>Good</v>
      </c>
      <c r="AH5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4" spans="1:34" x14ac:dyDescent="0.3">
      <c r="A54" t="s">
        <v>92</v>
      </c>
      <c r="B54" t="s">
        <v>93</v>
      </c>
      <c r="C54">
        <v>2025</v>
      </c>
      <c r="D54" t="s">
        <v>26</v>
      </c>
      <c r="E54" s="3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48</v>
      </c>
      <c r="N54">
        <v>7</v>
      </c>
      <c r="O54" t="s">
        <v>35</v>
      </c>
      <c r="P54">
        <v>48</v>
      </c>
      <c r="Q54">
        <v>2138</v>
      </c>
      <c r="R54">
        <v>4</v>
      </c>
      <c r="S54">
        <v>0</v>
      </c>
      <c r="T54" t="s">
        <v>65</v>
      </c>
      <c r="U54" t="s">
        <v>37</v>
      </c>
      <c r="V54" s="3">
        <v>8857</v>
      </c>
      <c r="W54">
        <v>3.49</v>
      </c>
      <c r="X54">
        <v>4</v>
      </c>
      <c r="Y54" s="1">
        <f>EV_Data4[[#This Row],[range_miles]]/EV_Data4[[#This Row],[battery_capacity_kwh]]</f>
        <v>3.3737864077669899</v>
      </c>
      <c r="Z54" s="4">
        <f>EV_Data4[[#This Row],[price_usd]]/EV_Data4[[#This Row],[range_miles]]</f>
        <v>218.07456834532374</v>
      </c>
      <c r="AA54" s="2">
        <f>(EV_Data4[[#This Row],[customer_rating]]*EV_Data4[[#This Row],[safety_rating]]*1000)/EV_Data4[[#This Row],[price_usd]]</f>
        <v>0.23026906676532827</v>
      </c>
      <c r="AB54">
        <f>EV_Data4[[#This Row],[horsepower]]+EV_Data4[[#This Row],[torque_nm]]/EV_Data4[[#This Row],[acceleration_0_60_mph]]</f>
        <v>635.69581749049428</v>
      </c>
      <c r="AC54" t="str">
        <f>IF(EV_Data4[[#This Row],[price_usd]]&gt;=80000,"Luxury",IF(EV_Data4[[#This Row],[price_usd]]&gt;=40000,"Mid-Range","Budget"))</f>
        <v>Mid-Range</v>
      </c>
      <c r="AD54" t="str">
        <f>IF(EV_Data4[[#This Row],[range_miles]]&gt;=350,"Long-Range",IF(EV_Data4[[#This Row],[range_miles]]&gt;=250,"Medium-Range","Short-Range"))</f>
        <v>Medium-Range</v>
      </c>
      <c r="AE54" t="str">
        <f>IF(EV_Data4[[#This Row],[charging_speed_kw]]&gt;=250,"Ultra-Fast",IF(EV_Data4[[#This Row],[charging_speed_kw]]&gt;=150,"Fast-Charging","Standard-Charging"))</f>
        <v>Fast-Charging</v>
      </c>
      <c r="AF54" t="str">
        <f>IF(EV_Data4[[#This Row],[acceleration_0_60_mph]]&lt;=3,"SportsPerformance",IF(EV_Data4[[#This Row],[acceleration_0_60_mph]]&lt;=5,"HighPerformance","Standard"))</f>
        <v>SportsPerformance</v>
      </c>
      <c r="AG54" t="str">
        <f>IF(EV_Data4[[#This Row],[customer_rating]]&gt;=4.5,"Excellent",IF(EV_Data4[[#This Row],[customer_rating]]&gt;=3.5,"Good","Average"))</f>
        <v>Average</v>
      </c>
      <c r="AH5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5" spans="1:34" x14ac:dyDescent="0.3">
      <c r="A55" t="s">
        <v>86</v>
      </c>
      <c r="B55" t="s">
        <v>87</v>
      </c>
      <c r="C55">
        <v>2025</v>
      </c>
      <c r="D55" t="s">
        <v>56</v>
      </c>
      <c r="E55" s="3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48</v>
      </c>
      <c r="N55">
        <v>7</v>
      </c>
      <c r="O55" t="s">
        <v>51</v>
      </c>
      <c r="P55">
        <v>31.7</v>
      </c>
      <c r="Q55">
        <v>1565</v>
      </c>
      <c r="R55">
        <v>5</v>
      </c>
      <c r="S55">
        <v>1</v>
      </c>
      <c r="T55" t="s">
        <v>29</v>
      </c>
      <c r="U55" t="s">
        <v>37</v>
      </c>
      <c r="V55" s="3">
        <v>62327</v>
      </c>
      <c r="W55">
        <v>3.85</v>
      </c>
      <c r="X55">
        <v>6</v>
      </c>
      <c r="Y55" s="1">
        <f>EV_Data4[[#This Row],[range_miles]]/EV_Data4[[#This Row],[battery_capacity_kwh]]</f>
        <v>3.6729857819905209</v>
      </c>
      <c r="Z55" s="4">
        <f>EV_Data4[[#This Row],[price_usd]]/EV_Data4[[#This Row],[range_miles]]</f>
        <v>204.29751612903226</v>
      </c>
      <c r="AA55" s="2">
        <f>(EV_Data4[[#This Row],[customer_rating]]*EV_Data4[[#This Row],[safety_rating]]*1000)/EV_Data4[[#This Row],[price_usd]]</f>
        <v>0.30395266359640266</v>
      </c>
      <c r="AB55">
        <f>EV_Data4[[#This Row],[horsepower]]+EV_Data4[[#This Row],[torque_nm]]/EV_Data4[[#This Row],[acceleration_0_60_mph]]</f>
        <v>335.24555160142347</v>
      </c>
      <c r="AC55" t="str">
        <f>IF(EV_Data4[[#This Row],[price_usd]]&gt;=80000,"Luxury",IF(EV_Data4[[#This Row],[price_usd]]&gt;=40000,"Mid-Range","Budget"))</f>
        <v>Mid-Range</v>
      </c>
      <c r="AD55" t="str">
        <f>IF(EV_Data4[[#This Row],[range_miles]]&gt;=350,"Long-Range",IF(EV_Data4[[#This Row],[range_miles]]&gt;=250,"Medium-Range","Short-Range"))</f>
        <v>Medium-Range</v>
      </c>
      <c r="AE55" t="str">
        <f>IF(EV_Data4[[#This Row],[charging_speed_kw]]&gt;=250,"Ultra-Fast",IF(EV_Data4[[#This Row],[charging_speed_kw]]&gt;=150,"Fast-Charging","Standard-Charging"))</f>
        <v>Standard-Charging</v>
      </c>
      <c r="AF55" t="str">
        <f>IF(EV_Data4[[#This Row],[acceleration_0_60_mph]]&lt;=3,"SportsPerformance",IF(EV_Data4[[#This Row],[acceleration_0_60_mph]]&lt;=5,"HighPerformance","Standard"))</f>
        <v>Standard</v>
      </c>
      <c r="AG55" t="str">
        <f>IF(EV_Data4[[#This Row],[customer_rating]]&gt;=4.5,"Excellent",IF(EV_Data4[[#This Row],[customer_rating]]&gt;=3.5,"Good","Average"))</f>
        <v>Good</v>
      </c>
      <c r="AH5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6" spans="1:34" x14ac:dyDescent="0.3">
      <c r="A56" t="s">
        <v>42</v>
      </c>
      <c r="B56" t="s">
        <v>43</v>
      </c>
      <c r="C56">
        <v>2024</v>
      </c>
      <c r="D56" t="s">
        <v>44</v>
      </c>
      <c r="E56" s="3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27</v>
      </c>
      <c r="N56">
        <v>5</v>
      </c>
      <c r="O56" t="s">
        <v>35</v>
      </c>
      <c r="P56">
        <v>67.400000000000006</v>
      </c>
      <c r="Q56">
        <v>2045</v>
      </c>
      <c r="R56">
        <v>4</v>
      </c>
      <c r="S56">
        <v>1</v>
      </c>
      <c r="T56" t="s">
        <v>45</v>
      </c>
      <c r="U56" t="s">
        <v>33</v>
      </c>
      <c r="V56" s="3">
        <v>76023</v>
      </c>
      <c r="W56">
        <v>3.44</v>
      </c>
      <c r="X56">
        <v>3</v>
      </c>
      <c r="Y56" s="1">
        <f>EV_Data4[[#This Row],[range_miles]]/EV_Data4[[#This Row],[battery_capacity_kwh]]</f>
        <v>3.3937823834196892</v>
      </c>
      <c r="Z56" s="4">
        <f>EV_Data4[[#This Row],[price_usd]]/EV_Data4[[#This Row],[range_miles]]</f>
        <v>363.52958015267177</v>
      </c>
      <c r="AA56" s="2">
        <f>(EV_Data4[[#This Row],[customer_rating]]*EV_Data4[[#This Row],[safety_rating]]*1000)/EV_Data4[[#This Row],[price_usd]]</f>
        <v>0.14446990516537658</v>
      </c>
      <c r="AB56">
        <f>EV_Data4[[#This Row],[horsepower]]+EV_Data4[[#This Row],[torque_nm]]/EV_Data4[[#This Row],[acceleration_0_60_mph]]</f>
        <v>1208.4158415841584</v>
      </c>
      <c r="AC56" t="str">
        <f>IF(EV_Data4[[#This Row],[price_usd]]&gt;=80000,"Luxury",IF(EV_Data4[[#This Row],[price_usd]]&gt;=40000,"Mid-Range","Budget"))</f>
        <v>Luxury</v>
      </c>
      <c r="AD56" t="str">
        <f>IF(EV_Data4[[#This Row],[range_miles]]&gt;=350,"Long-Range",IF(EV_Data4[[#This Row],[range_miles]]&gt;=250,"Medium-Range","Short-Range"))</f>
        <v>Medium-Range</v>
      </c>
      <c r="AE56" t="str">
        <f>IF(EV_Data4[[#This Row],[charging_speed_kw]]&gt;=250,"Ultra-Fast",IF(EV_Data4[[#This Row],[charging_speed_kw]]&gt;=150,"Fast-Charging","Standard-Charging"))</f>
        <v>Standard-Charging</v>
      </c>
      <c r="AF56" t="str">
        <f>IF(EV_Data4[[#This Row],[acceleration_0_60_mph]]&lt;=3,"SportsPerformance",IF(EV_Data4[[#This Row],[acceleration_0_60_mph]]&lt;=5,"HighPerformance","Standard"))</f>
        <v>HighPerformance</v>
      </c>
      <c r="AG56" t="str">
        <f>IF(EV_Data4[[#This Row],[customer_rating]]&gt;=4.5,"Excellent",IF(EV_Data4[[#This Row],[customer_rating]]&gt;=3.5,"Good","Average"))</f>
        <v>Average</v>
      </c>
      <c r="AH5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7" spans="1:34" x14ac:dyDescent="0.3">
      <c r="A57" t="s">
        <v>94</v>
      </c>
      <c r="B57" t="s">
        <v>95</v>
      </c>
      <c r="C57">
        <v>2024</v>
      </c>
      <c r="D57" t="s">
        <v>56</v>
      </c>
      <c r="E57" s="3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27</v>
      </c>
      <c r="N57">
        <v>5</v>
      </c>
      <c r="O57" t="s">
        <v>58</v>
      </c>
      <c r="P57">
        <v>23.9</v>
      </c>
      <c r="Q57">
        <v>1757</v>
      </c>
      <c r="R57">
        <v>5</v>
      </c>
      <c r="S57">
        <v>0</v>
      </c>
      <c r="T57" t="s">
        <v>41</v>
      </c>
      <c r="U57" t="s">
        <v>33</v>
      </c>
      <c r="V57" s="3">
        <v>27456</v>
      </c>
      <c r="W57">
        <v>3.39</v>
      </c>
      <c r="X57">
        <v>6</v>
      </c>
      <c r="Y57" s="1">
        <f>EV_Data4[[#This Row],[range_miles]]/EV_Data4[[#This Row],[battery_capacity_kwh]]</f>
        <v>3.5336194563662371</v>
      </c>
      <c r="Z57" s="4">
        <f>EV_Data4[[#This Row],[price_usd]]/EV_Data4[[#This Row],[range_miles]]</f>
        <v>270.51157894736843</v>
      </c>
      <c r="AA57" s="2">
        <f>(EV_Data4[[#This Row],[customer_rating]]*EV_Data4[[#This Row],[safety_rating]]*1000)/EV_Data4[[#This Row],[price_usd]]</f>
        <v>0.2536803860611383</v>
      </c>
      <c r="AB57">
        <f>EV_Data4[[#This Row],[horsepower]]+EV_Data4[[#This Row],[torque_nm]]/EV_Data4[[#This Row],[acceleration_0_60_mph]]</f>
        <v>187.52345215759851</v>
      </c>
      <c r="AC57" t="str">
        <f>IF(EV_Data4[[#This Row],[price_usd]]&gt;=80000,"Luxury",IF(EV_Data4[[#This Row],[price_usd]]&gt;=40000,"Mid-Range","Budget"))</f>
        <v>Mid-Range</v>
      </c>
      <c r="AD57" t="str">
        <f>IF(EV_Data4[[#This Row],[range_miles]]&gt;=350,"Long-Range",IF(EV_Data4[[#This Row],[range_miles]]&gt;=250,"Medium-Range","Short-Range"))</f>
        <v>Short-Range</v>
      </c>
      <c r="AE57" t="str">
        <f>IF(EV_Data4[[#This Row],[charging_speed_kw]]&gt;=250,"Ultra-Fast",IF(EV_Data4[[#This Row],[charging_speed_kw]]&gt;=150,"Fast-Charging","Standard-Charging"))</f>
        <v>Standard-Charging</v>
      </c>
      <c r="AF57" t="str">
        <f>IF(EV_Data4[[#This Row],[acceleration_0_60_mph]]&lt;=3,"SportsPerformance",IF(EV_Data4[[#This Row],[acceleration_0_60_mph]]&lt;=5,"HighPerformance","Standard"))</f>
        <v>Standard</v>
      </c>
      <c r="AG57" t="str">
        <f>IF(EV_Data4[[#This Row],[customer_rating]]&gt;=4.5,"Excellent",IF(EV_Data4[[#This Row],[customer_rating]]&gt;=3.5,"Good","Average"))</f>
        <v>Average</v>
      </c>
      <c r="AH5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8" spans="1:34" x14ac:dyDescent="0.3">
      <c r="A58" t="s">
        <v>46</v>
      </c>
      <c r="B58" t="s">
        <v>78</v>
      </c>
      <c r="C58">
        <v>2025</v>
      </c>
      <c r="D58" t="s">
        <v>56</v>
      </c>
      <c r="E58" s="3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48</v>
      </c>
      <c r="N58">
        <v>7</v>
      </c>
      <c r="O58" t="s">
        <v>28</v>
      </c>
      <c r="P58">
        <v>62.4</v>
      </c>
      <c r="Q58">
        <v>2036</v>
      </c>
      <c r="R58">
        <v>5</v>
      </c>
      <c r="S58">
        <v>2</v>
      </c>
      <c r="T58" t="s">
        <v>41</v>
      </c>
      <c r="U58" t="s">
        <v>33</v>
      </c>
      <c r="V58" s="3">
        <v>173406</v>
      </c>
      <c r="W58">
        <v>3.75</v>
      </c>
      <c r="X58">
        <v>5</v>
      </c>
      <c r="Y58" s="1">
        <f>EV_Data4[[#This Row],[range_miles]]/EV_Data4[[#This Row],[battery_capacity_kwh]]</f>
        <v>3.6893203883495143</v>
      </c>
      <c r="Z58" s="4">
        <f>EV_Data4[[#This Row],[price_usd]]/EV_Data4[[#This Row],[range_miles]]</f>
        <v>240.18299342105266</v>
      </c>
      <c r="AA58" s="2">
        <f>(EV_Data4[[#This Row],[customer_rating]]*EV_Data4[[#This Row],[safety_rating]]*1000)/EV_Data4[[#This Row],[price_usd]]</f>
        <v>0.25679433293939941</v>
      </c>
      <c r="AB58">
        <f>EV_Data4[[#This Row],[horsepower]]+EV_Data4[[#This Row],[torque_nm]]/EV_Data4[[#This Row],[acceleration_0_60_mph]]</f>
        <v>617.78494623655911</v>
      </c>
      <c r="AC58" t="str">
        <f>IF(EV_Data4[[#This Row],[price_usd]]&gt;=80000,"Luxury",IF(EV_Data4[[#This Row],[price_usd]]&gt;=40000,"Mid-Range","Budget"))</f>
        <v>Mid-Range</v>
      </c>
      <c r="AD58" t="str">
        <f>IF(EV_Data4[[#This Row],[range_miles]]&gt;=350,"Long-Range",IF(EV_Data4[[#This Row],[range_miles]]&gt;=250,"Medium-Range","Short-Range"))</f>
        <v>Medium-Range</v>
      </c>
      <c r="AE58" t="str">
        <f>IF(EV_Data4[[#This Row],[charging_speed_kw]]&gt;=250,"Ultra-Fast",IF(EV_Data4[[#This Row],[charging_speed_kw]]&gt;=150,"Fast-Charging","Standard-Charging"))</f>
        <v>Ultra-Fast</v>
      </c>
      <c r="AF58" t="str">
        <f>IF(EV_Data4[[#This Row],[acceleration_0_60_mph]]&lt;=3,"SportsPerformance",IF(EV_Data4[[#This Row],[acceleration_0_60_mph]]&lt;=5,"HighPerformance","Standard"))</f>
        <v>Standard</v>
      </c>
      <c r="AG58" t="str">
        <f>IF(EV_Data4[[#This Row],[customer_rating]]&gt;=4.5,"Excellent",IF(EV_Data4[[#This Row],[customer_rating]]&gt;=3.5,"Good","Average"))</f>
        <v>Good</v>
      </c>
      <c r="AH5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9" spans="1:34" x14ac:dyDescent="0.3">
      <c r="A59" t="s">
        <v>46</v>
      </c>
      <c r="B59" t="s">
        <v>72</v>
      </c>
      <c r="C59">
        <v>2025</v>
      </c>
      <c r="D59" t="s">
        <v>26</v>
      </c>
      <c r="E59" s="3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27</v>
      </c>
      <c r="N59">
        <v>5</v>
      </c>
      <c r="O59" t="s">
        <v>28</v>
      </c>
      <c r="P59">
        <v>61.7</v>
      </c>
      <c r="Q59">
        <v>2353</v>
      </c>
      <c r="R59">
        <v>5</v>
      </c>
      <c r="S59">
        <v>2</v>
      </c>
      <c r="T59" t="s">
        <v>41</v>
      </c>
      <c r="U59" t="s">
        <v>30</v>
      </c>
      <c r="V59" s="3">
        <v>183531</v>
      </c>
      <c r="W59">
        <v>3.7</v>
      </c>
      <c r="X59">
        <v>5</v>
      </c>
      <c r="Y59" s="1">
        <f>EV_Data4[[#This Row],[range_miles]]/EV_Data4[[#This Row],[battery_capacity_kwh]]</f>
        <v>3.3674775928297058</v>
      </c>
      <c r="Z59" s="4">
        <f>EV_Data4[[#This Row],[price_usd]]/EV_Data4[[#This Row],[range_miles]]</f>
        <v>446.44859315589355</v>
      </c>
      <c r="AA59" s="2">
        <f>(EV_Data4[[#This Row],[customer_rating]]*EV_Data4[[#This Row],[safety_rating]]*1000)/EV_Data4[[#This Row],[price_usd]]</f>
        <v>0.15755947359124373</v>
      </c>
      <c r="AB59">
        <f>EV_Data4[[#This Row],[horsepower]]+EV_Data4[[#This Row],[torque_nm]]/EV_Data4[[#This Row],[acceleration_0_60_mph]]</f>
        <v>1215.0952380952381</v>
      </c>
      <c r="AC59" t="str">
        <f>IF(EV_Data4[[#This Row],[price_usd]]&gt;=80000,"Luxury",IF(EV_Data4[[#This Row],[price_usd]]&gt;=40000,"Mid-Range","Budget"))</f>
        <v>Luxury</v>
      </c>
      <c r="AD59" t="str">
        <f>IF(EV_Data4[[#This Row],[range_miles]]&gt;=350,"Long-Range",IF(EV_Data4[[#This Row],[range_miles]]&gt;=250,"Medium-Range","Short-Range"))</f>
        <v>Medium-Range</v>
      </c>
      <c r="AE59" t="str">
        <f>IF(EV_Data4[[#This Row],[charging_speed_kw]]&gt;=250,"Ultra-Fast",IF(EV_Data4[[#This Row],[charging_speed_kw]]&gt;=150,"Fast-Charging","Standard-Charging"))</f>
        <v>Fast-Charging</v>
      </c>
      <c r="AF59" t="str">
        <f>IF(EV_Data4[[#This Row],[acceleration_0_60_mph]]&lt;=3,"SportsPerformance",IF(EV_Data4[[#This Row],[acceleration_0_60_mph]]&lt;=5,"HighPerformance","Standard"))</f>
        <v>SportsPerformance</v>
      </c>
      <c r="AG59" t="str">
        <f>IF(EV_Data4[[#This Row],[customer_rating]]&gt;=4.5,"Excellent",IF(EV_Data4[[#This Row],[customer_rating]]&gt;=3.5,"Good","Average"))</f>
        <v>Good</v>
      </c>
      <c r="AH5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0" spans="1:34" x14ac:dyDescent="0.3">
      <c r="A60" t="s">
        <v>46</v>
      </c>
      <c r="B60" t="s">
        <v>47</v>
      </c>
      <c r="C60">
        <v>2025</v>
      </c>
      <c r="D60" t="s">
        <v>61</v>
      </c>
      <c r="E60" s="3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48</v>
      </c>
      <c r="N60">
        <v>5</v>
      </c>
      <c r="O60" t="s">
        <v>35</v>
      </c>
      <c r="P60">
        <v>52.9</v>
      </c>
      <c r="Q60">
        <v>2053</v>
      </c>
      <c r="R60">
        <v>5</v>
      </c>
      <c r="S60">
        <v>3</v>
      </c>
      <c r="T60" t="s">
        <v>41</v>
      </c>
      <c r="U60" t="s">
        <v>33</v>
      </c>
      <c r="V60" s="3">
        <v>242716</v>
      </c>
      <c r="W60">
        <v>3.7</v>
      </c>
      <c r="X60">
        <v>5</v>
      </c>
      <c r="Y60" s="1">
        <f>EV_Data4[[#This Row],[range_miles]]/EV_Data4[[#This Row],[battery_capacity_kwh]]</f>
        <v>3.3694181326116373</v>
      </c>
      <c r="Z60" s="4">
        <f>EV_Data4[[#This Row],[price_usd]]/EV_Data4[[#This Row],[range_miles]]</f>
        <v>286.41309236947791</v>
      </c>
      <c r="AA60" s="2">
        <f>(EV_Data4[[#This Row],[customer_rating]]*EV_Data4[[#This Row],[safety_rating]]*1000)/EV_Data4[[#This Row],[price_usd]]</f>
        <v>0.25940570013878905</v>
      </c>
      <c r="AB60">
        <f>EV_Data4[[#This Row],[horsepower]]+EV_Data4[[#This Row],[torque_nm]]/EV_Data4[[#This Row],[acceleration_0_60_mph]]</f>
        <v>577.63150074294208</v>
      </c>
      <c r="AC60" t="str">
        <f>IF(EV_Data4[[#This Row],[price_usd]]&gt;=80000,"Luxury",IF(EV_Data4[[#This Row],[price_usd]]&gt;=40000,"Mid-Range","Budget"))</f>
        <v>Mid-Range</v>
      </c>
      <c r="AD60" t="str">
        <f>IF(EV_Data4[[#This Row],[range_miles]]&gt;=350,"Long-Range",IF(EV_Data4[[#This Row],[range_miles]]&gt;=250,"Medium-Range","Short-Range"))</f>
        <v>Short-Range</v>
      </c>
      <c r="AE60" t="str">
        <f>IF(EV_Data4[[#This Row],[charging_speed_kw]]&gt;=250,"Ultra-Fast",IF(EV_Data4[[#This Row],[charging_speed_kw]]&gt;=150,"Fast-Charging","Standard-Charging"))</f>
        <v>Ultra-Fast</v>
      </c>
      <c r="AF60" t="str">
        <f>IF(EV_Data4[[#This Row],[acceleration_0_60_mph]]&lt;=3,"SportsPerformance",IF(EV_Data4[[#This Row],[acceleration_0_60_mph]]&lt;=5,"HighPerformance","Standard"))</f>
        <v>Standard</v>
      </c>
      <c r="AG60" t="str">
        <f>IF(EV_Data4[[#This Row],[customer_rating]]&gt;=4.5,"Excellent",IF(EV_Data4[[#This Row],[customer_rating]]&gt;=3.5,"Good","Average"))</f>
        <v>Good</v>
      </c>
      <c r="AH60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61" spans="1:34" x14ac:dyDescent="0.3">
      <c r="A61" t="s">
        <v>63</v>
      </c>
      <c r="B61" t="s">
        <v>82</v>
      </c>
      <c r="C61">
        <v>2025</v>
      </c>
      <c r="D61" t="s">
        <v>56</v>
      </c>
      <c r="E61" s="3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48</v>
      </c>
      <c r="N61">
        <v>5</v>
      </c>
      <c r="O61" t="s">
        <v>40</v>
      </c>
      <c r="P61">
        <v>76.900000000000006</v>
      </c>
      <c r="Q61">
        <v>1500</v>
      </c>
      <c r="R61">
        <v>5</v>
      </c>
      <c r="S61">
        <v>0</v>
      </c>
      <c r="T61" t="s">
        <v>65</v>
      </c>
      <c r="U61" t="s">
        <v>37</v>
      </c>
      <c r="V61" s="3">
        <v>127516</v>
      </c>
      <c r="W61">
        <v>3.31</v>
      </c>
      <c r="X61">
        <v>5</v>
      </c>
      <c r="Y61" s="1">
        <f>EV_Data4[[#This Row],[range_miles]]/EV_Data4[[#This Row],[battery_capacity_kwh]]</f>
        <v>3.4246575342465753</v>
      </c>
      <c r="Z61" s="4">
        <f>EV_Data4[[#This Row],[price_usd]]/EV_Data4[[#This Row],[range_miles]]</f>
        <v>295.02760000000001</v>
      </c>
      <c r="AA61" s="2">
        <f>(EV_Data4[[#This Row],[customer_rating]]*EV_Data4[[#This Row],[safety_rating]]*1000)/EV_Data4[[#This Row],[price_usd]]</f>
        <v>0.28048223284872331</v>
      </c>
      <c r="AB61">
        <f>EV_Data4[[#This Row],[horsepower]]+EV_Data4[[#This Row],[torque_nm]]/EV_Data4[[#This Row],[acceleration_0_60_mph]]</f>
        <v>749.85340314136124</v>
      </c>
      <c r="AC61" t="str">
        <f>IF(EV_Data4[[#This Row],[price_usd]]&gt;=80000,"Luxury",IF(EV_Data4[[#This Row],[price_usd]]&gt;=40000,"Mid-Range","Budget"))</f>
        <v>Mid-Range</v>
      </c>
      <c r="AD61" t="str">
        <f>IF(EV_Data4[[#This Row],[range_miles]]&gt;=350,"Long-Range",IF(EV_Data4[[#This Row],[range_miles]]&gt;=250,"Medium-Range","Short-Range"))</f>
        <v>Short-Range</v>
      </c>
      <c r="AE61" t="str">
        <f>IF(EV_Data4[[#This Row],[charging_speed_kw]]&gt;=250,"Ultra-Fast",IF(EV_Data4[[#This Row],[charging_speed_kw]]&gt;=150,"Fast-Charging","Standard-Charging"))</f>
        <v>Standard-Charging</v>
      </c>
      <c r="AF61" t="str">
        <f>IF(EV_Data4[[#This Row],[acceleration_0_60_mph]]&lt;=3,"SportsPerformance",IF(EV_Data4[[#This Row],[acceleration_0_60_mph]]&lt;=5,"HighPerformance","Standard"))</f>
        <v>Standard</v>
      </c>
      <c r="AG61" t="str">
        <f>IF(EV_Data4[[#This Row],[customer_rating]]&gt;=4.5,"Excellent",IF(EV_Data4[[#This Row],[customer_rating]]&gt;=3.5,"Good","Average"))</f>
        <v>Average</v>
      </c>
      <c r="AH6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2" spans="1:34" x14ac:dyDescent="0.3">
      <c r="A62" t="s">
        <v>24</v>
      </c>
      <c r="B62" t="s">
        <v>75</v>
      </c>
      <c r="C62">
        <v>2024</v>
      </c>
      <c r="D62" t="s">
        <v>44</v>
      </c>
      <c r="E62" s="3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27</v>
      </c>
      <c r="N62">
        <v>5</v>
      </c>
      <c r="O62" t="s">
        <v>51</v>
      </c>
      <c r="P62">
        <v>39.700000000000003</v>
      </c>
      <c r="Q62">
        <v>1590</v>
      </c>
      <c r="R62">
        <v>3</v>
      </c>
      <c r="S62">
        <v>1</v>
      </c>
      <c r="T62" t="s">
        <v>29</v>
      </c>
      <c r="U62" t="s">
        <v>37</v>
      </c>
      <c r="V62" s="3">
        <v>260840</v>
      </c>
      <c r="W62">
        <v>3.53</v>
      </c>
      <c r="X62">
        <v>4</v>
      </c>
      <c r="Y62" s="1">
        <f>EV_Data4[[#This Row],[range_miles]]/EV_Data4[[#This Row],[battery_capacity_kwh]]</f>
        <v>3.4537246049661401</v>
      </c>
      <c r="Z62" s="4">
        <f>EV_Data4[[#This Row],[price_usd]]/EV_Data4[[#This Row],[range_miles]]</f>
        <v>138.66356209150328</v>
      </c>
      <c r="AA62" s="2">
        <f>(EV_Data4[[#This Row],[customer_rating]]*EV_Data4[[#This Row],[safety_rating]]*1000)/EV_Data4[[#This Row],[price_usd]]</f>
        <v>0.24958137967361163</v>
      </c>
      <c r="AB62">
        <f>EV_Data4[[#This Row],[horsepower]]+EV_Data4[[#This Row],[torque_nm]]/EV_Data4[[#This Row],[acceleration_0_60_mph]]</f>
        <v>385.14814814814815</v>
      </c>
      <c r="AC62" t="str">
        <f>IF(EV_Data4[[#This Row],[price_usd]]&gt;=80000,"Luxury",IF(EV_Data4[[#This Row],[price_usd]]&gt;=40000,"Mid-Range","Budget"))</f>
        <v>Mid-Range</v>
      </c>
      <c r="AD62" t="str">
        <f>IF(EV_Data4[[#This Row],[range_miles]]&gt;=350,"Long-Range",IF(EV_Data4[[#This Row],[range_miles]]&gt;=250,"Medium-Range","Short-Range"))</f>
        <v>Medium-Range</v>
      </c>
      <c r="AE62" t="str">
        <f>IF(EV_Data4[[#This Row],[charging_speed_kw]]&gt;=250,"Ultra-Fast",IF(EV_Data4[[#This Row],[charging_speed_kw]]&gt;=150,"Fast-Charging","Standard-Charging"))</f>
        <v>Standard-Charging</v>
      </c>
      <c r="AF62" t="str">
        <f>IF(EV_Data4[[#This Row],[acceleration_0_60_mph]]&lt;=3,"SportsPerformance",IF(EV_Data4[[#This Row],[acceleration_0_60_mph]]&lt;=5,"HighPerformance","Standard"))</f>
        <v>Standard</v>
      </c>
      <c r="AG62" t="str">
        <f>IF(EV_Data4[[#This Row],[customer_rating]]&gt;=4.5,"Excellent",IF(EV_Data4[[#This Row],[customer_rating]]&gt;=3.5,"Good","Average"))</f>
        <v>Good</v>
      </c>
      <c r="AH6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3" spans="1:34" x14ac:dyDescent="0.3">
      <c r="A63" t="s">
        <v>63</v>
      </c>
      <c r="B63" t="s">
        <v>96</v>
      </c>
      <c r="C63">
        <v>2024</v>
      </c>
      <c r="D63" t="s">
        <v>26</v>
      </c>
      <c r="E63" s="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27</v>
      </c>
      <c r="N63">
        <v>5</v>
      </c>
      <c r="O63" t="s">
        <v>58</v>
      </c>
      <c r="P63">
        <v>29.5</v>
      </c>
      <c r="Q63">
        <v>1815</v>
      </c>
      <c r="R63">
        <v>5</v>
      </c>
      <c r="S63">
        <v>0</v>
      </c>
      <c r="T63" t="s">
        <v>65</v>
      </c>
      <c r="U63" t="s">
        <v>66</v>
      </c>
      <c r="V63" s="3">
        <v>201621</v>
      </c>
      <c r="W63">
        <v>3.28</v>
      </c>
      <c r="X63">
        <v>4</v>
      </c>
      <c r="Y63" s="1">
        <f>EV_Data4[[#This Row],[range_miles]]/EV_Data4[[#This Row],[battery_capacity_kwh]]</f>
        <v>3.4628571428571431</v>
      </c>
      <c r="Z63" s="4">
        <f>EV_Data4[[#This Row],[price_usd]]/EV_Data4[[#This Row],[range_miles]]</f>
        <v>101.2246204620462</v>
      </c>
      <c r="AA63" s="2">
        <f>(EV_Data4[[#This Row],[customer_rating]]*EV_Data4[[#This Row],[safety_rating]]*1000)/EV_Data4[[#This Row],[price_usd]]</f>
        <v>0.53470600624823528</v>
      </c>
      <c r="AB63">
        <f>EV_Data4[[#This Row],[horsepower]]+EV_Data4[[#This Row],[torque_nm]]/EV_Data4[[#This Row],[acceleration_0_60_mph]]</f>
        <v>409.35406698564594</v>
      </c>
      <c r="AC63" t="str">
        <f>IF(EV_Data4[[#This Row],[price_usd]]&gt;=80000,"Luxury",IF(EV_Data4[[#This Row],[price_usd]]&gt;=40000,"Mid-Range","Budget"))</f>
        <v>Budget</v>
      </c>
      <c r="AD63" t="str">
        <f>IF(EV_Data4[[#This Row],[range_miles]]&gt;=350,"Long-Range",IF(EV_Data4[[#This Row],[range_miles]]&gt;=250,"Medium-Range","Short-Range"))</f>
        <v>Medium-Range</v>
      </c>
      <c r="AE63" t="str">
        <f>IF(EV_Data4[[#This Row],[charging_speed_kw]]&gt;=250,"Ultra-Fast",IF(EV_Data4[[#This Row],[charging_speed_kw]]&gt;=150,"Fast-Charging","Standard-Charging"))</f>
        <v>Fast-Charging</v>
      </c>
      <c r="AF63" t="str">
        <f>IF(EV_Data4[[#This Row],[acceleration_0_60_mph]]&lt;=3,"SportsPerformance",IF(EV_Data4[[#This Row],[acceleration_0_60_mph]]&lt;=5,"HighPerformance","Standard"))</f>
        <v>HighPerformance</v>
      </c>
      <c r="AG63" t="str">
        <f>IF(EV_Data4[[#This Row],[customer_rating]]&gt;=4.5,"Excellent",IF(EV_Data4[[#This Row],[customer_rating]]&gt;=3.5,"Good","Average"))</f>
        <v>Average</v>
      </c>
      <c r="AH6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4" spans="1:34" x14ac:dyDescent="0.3">
      <c r="A64" t="s">
        <v>52</v>
      </c>
      <c r="B64" t="s">
        <v>97</v>
      </c>
      <c r="C64">
        <v>2025</v>
      </c>
      <c r="D64" t="s">
        <v>26</v>
      </c>
      <c r="E64" s="3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48</v>
      </c>
      <c r="N64">
        <v>7</v>
      </c>
      <c r="O64" t="s">
        <v>51</v>
      </c>
      <c r="P64">
        <v>28.5</v>
      </c>
      <c r="Q64">
        <v>1500</v>
      </c>
      <c r="R64">
        <v>4</v>
      </c>
      <c r="S64">
        <v>2</v>
      </c>
      <c r="T64" t="s">
        <v>29</v>
      </c>
      <c r="U64" t="s">
        <v>30</v>
      </c>
      <c r="V64" s="3">
        <v>43172</v>
      </c>
      <c r="W64">
        <v>4</v>
      </c>
      <c r="X64">
        <v>7</v>
      </c>
      <c r="Y64" s="1">
        <f>EV_Data4[[#This Row],[range_miles]]/EV_Data4[[#This Row],[battery_capacity_kwh]]</f>
        <v>3.5286624203821657</v>
      </c>
      <c r="Z64" s="4">
        <f>EV_Data4[[#This Row],[price_usd]]/EV_Data4[[#This Row],[range_miles]]</f>
        <v>679.79111913357406</v>
      </c>
      <c r="AA64" s="2">
        <f>(EV_Data4[[#This Row],[customer_rating]]*EV_Data4[[#This Row],[safety_rating]]*1000)/EV_Data4[[#This Row],[price_usd]]</f>
        <v>8.496982562173748E-2</v>
      </c>
      <c r="AB64">
        <f>EV_Data4[[#This Row],[horsepower]]+EV_Data4[[#This Row],[torque_nm]]/EV_Data4[[#This Row],[acceleration_0_60_mph]]</f>
        <v>1218.287037037037</v>
      </c>
      <c r="AC64" t="str">
        <f>IF(EV_Data4[[#This Row],[price_usd]]&gt;=80000,"Luxury",IF(EV_Data4[[#This Row],[price_usd]]&gt;=40000,"Mid-Range","Budget"))</f>
        <v>Luxury</v>
      </c>
      <c r="AD64" t="str">
        <f>IF(EV_Data4[[#This Row],[range_miles]]&gt;=350,"Long-Range",IF(EV_Data4[[#This Row],[range_miles]]&gt;=250,"Medium-Range","Short-Range"))</f>
        <v>Medium-Range</v>
      </c>
      <c r="AE64" t="str">
        <f>IF(EV_Data4[[#This Row],[charging_speed_kw]]&gt;=250,"Ultra-Fast",IF(EV_Data4[[#This Row],[charging_speed_kw]]&gt;=150,"Fast-Charging","Standard-Charging"))</f>
        <v>Fast-Charging</v>
      </c>
      <c r="AF64" t="str">
        <f>IF(EV_Data4[[#This Row],[acceleration_0_60_mph]]&lt;=3,"SportsPerformance",IF(EV_Data4[[#This Row],[acceleration_0_60_mph]]&lt;=5,"HighPerformance","Standard"))</f>
        <v>HighPerformance</v>
      </c>
      <c r="AG64" t="str">
        <f>IF(EV_Data4[[#This Row],[customer_rating]]&gt;=4.5,"Excellent",IF(EV_Data4[[#This Row],[customer_rating]]&gt;=3.5,"Good","Average"))</f>
        <v>Good</v>
      </c>
      <c r="AH6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5" spans="1:34" x14ac:dyDescent="0.3">
      <c r="A65" t="s">
        <v>24</v>
      </c>
      <c r="B65" t="s">
        <v>70</v>
      </c>
      <c r="C65">
        <v>2023</v>
      </c>
      <c r="D65" t="s">
        <v>44</v>
      </c>
      <c r="E65" s="3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34</v>
      </c>
      <c r="N65">
        <v>7</v>
      </c>
      <c r="O65" t="s">
        <v>58</v>
      </c>
      <c r="P65">
        <v>21.8</v>
      </c>
      <c r="Q65">
        <v>1500</v>
      </c>
      <c r="R65">
        <v>5</v>
      </c>
      <c r="S65">
        <v>1</v>
      </c>
      <c r="T65" t="s">
        <v>29</v>
      </c>
      <c r="U65" t="s">
        <v>33</v>
      </c>
      <c r="V65" s="3">
        <v>232451</v>
      </c>
      <c r="W65">
        <v>3.95</v>
      </c>
      <c r="X65">
        <v>3</v>
      </c>
      <c r="Y65" s="1">
        <f>EV_Data4[[#This Row],[range_miles]]/EV_Data4[[#This Row],[battery_capacity_kwh]]</f>
        <v>3.6337760910815939</v>
      </c>
      <c r="Z65" s="4">
        <f>EV_Data4[[#This Row],[price_usd]]/EV_Data4[[#This Row],[range_miles]]</f>
        <v>246.29292428198434</v>
      </c>
      <c r="AA65" s="2">
        <f>(EV_Data4[[#This Row],[customer_rating]]*EV_Data4[[#This Row],[safety_rating]]*1000)/EV_Data4[[#This Row],[price_usd]]</f>
        <v>0.20937093416222313</v>
      </c>
      <c r="AB65">
        <f>EV_Data4[[#This Row],[horsepower]]+EV_Data4[[#This Row],[torque_nm]]/EV_Data4[[#This Row],[acceleration_0_60_mph]]</f>
        <v>1167.8916827852997</v>
      </c>
      <c r="AC65" t="str">
        <f>IF(EV_Data4[[#This Row],[price_usd]]&gt;=80000,"Luxury",IF(EV_Data4[[#This Row],[price_usd]]&gt;=40000,"Mid-Range","Budget"))</f>
        <v>Luxury</v>
      </c>
      <c r="AD65" t="str">
        <f>IF(EV_Data4[[#This Row],[range_miles]]&gt;=350,"Long-Range",IF(EV_Data4[[#This Row],[range_miles]]&gt;=250,"Medium-Range","Short-Range"))</f>
        <v>Long-Range</v>
      </c>
      <c r="AE65" t="str">
        <f>IF(EV_Data4[[#This Row],[charging_speed_kw]]&gt;=250,"Ultra-Fast",IF(EV_Data4[[#This Row],[charging_speed_kw]]&gt;=150,"Fast-Charging","Standard-Charging"))</f>
        <v>Standard-Charging</v>
      </c>
      <c r="AF65" t="str">
        <f>IF(EV_Data4[[#This Row],[acceleration_0_60_mph]]&lt;=3,"SportsPerformance",IF(EV_Data4[[#This Row],[acceleration_0_60_mph]]&lt;=5,"HighPerformance","Standard"))</f>
        <v>Standard</v>
      </c>
      <c r="AG65" t="str">
        <f>IF(EV_Data4[[#This Row],[customer_rating]]&gt;=4.5,"Excellent",IF(EV_Data4[[#This Row],[customer_rating]]&gt;=3.5,"Good","Average"))</f>
        <v>Good</v>
      </c>
      <c r="AH6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6" spans="1:34" x14ac:dyDescent="0.3">
      <c r="A66" t="s">
        <v>63</v>
      </c>
      <c r="B66" t="s">
        <v>96</v>
      </c>
      <c r="C66">
        <v>2024</v>
      </c>
      <c r="D66" t="s">
        <v>33</v>
      </c>
      <c r="E66" s="3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27</v>
      </c>
      <c r="N66">
        <v>5</v>
      </c>
      <c r="O66" t="s">
        <v>51</v>
      </c>
      <c r="P66">
        <v>21.5</v>
      </c>
      <c r="Q66">
        <v>1652</v>
      </c>
      <c r="R66">
        <v>3</v>
      </c>
      <c r="S66">
        <v>1</v>
      </c>
      <c r="T66" t="s">
        <v>65</v>
      </c>
      <c r="U66" t="s">
        <v>33</v>
      </c>
      <c r="V66" s="3">
        <v>148454</v>
      </c>
      <c r="W66">
        <v>3.28</v>
      </c>
      <c r="X66">
        <v>5</v>
      </c>
      <c r="Y66" s="1">
        <f>EV_Data4[[#This Row],[range_miles]]/EV_Data4[[#This Row],[battery_capacity_kwh]]</f>
        <v>3.463035019455253</v>
      </c>
      <c r="Z66" s="4">
        <f>EV_Data4[[#This Row],[price_usd]]/EV_Data4[[#This Row],[range_miles]]</f>
        <v>312.80314606741575</v>
      </c>
      <c r="AA66" s="2">
        <f>(EV_Data4[[#This Row],[customer_rating]]*EV_Data4[[#This Row],[safety_rating]]*1000)/EV_Data4[[#This Row],[price_usd]]</f>
        <v>0.11781829258305111</v>
      </c>
      <c r="AB66">
        <f>EV_Data4[[#This Row],[horsepower]]+EV_Data4[[#This Row],[torque_nm]]/EV_Data4[[#This Row],[acceleration_0_60_mph]]</f>
        <v>1074.108695652174</v>
      </c>
      <c r="AC66" t="str">
        <f>IF(EV_Data4[[#This Row],[price_usd]]&gt;=80000,"Luxury",IF(EV_Data4[[#This Row],[price_usd]]&gt;=40000,"Mid-Range","Budget"))</f>
        <v>Luxury</v>
      </c>
      <c r="AD66" t="str">
        <f>IF(EV_Data4[[#This Row],[range_miles]]&gt;=350,"Long-Range",IF(EV_Data4[[#This Row],[range_miles]]&gt;=250,"Medium-Range","Short-Range"))</f>
        <v>Medium-Range</v>
      </c>
      <c r="AE66" t="str">
        <f>IF(EV_Data4[[#This Row],[charging_speed_kw]]&gt;=250,"Ultra-Fast",IF(EV_Data4[[#This Row],[charging_speed_kw]]&gt;=150,"Fast-Charging","Standard-Charging"))</f>
        <v>Standard-Charging</v>
      </c>
      <c r="AF66" t="str">
        <f>IF(EV_Data4[[#This Row],[acceleration_0_60_mph]]&lt;=3,"SportsPerformance",IF(EV_Data4[[#This Row],[acceleration_0_60_mph]]&lt;=5,"HighPerformance","Standard"))</f>
        <v>Standard</v>
      </c>
      <c r="AG66" t="str">
        <f>IF(EV_Data4[[#This Row],[customer_rating]]&gt;=4.5,"Excellent",IF(EV_Data4[[#This Row],[customer_rating]]&gt;=3.5,"Good","Average"))</f>
        <v>Average</v>
      </c>
      <c r="AH6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7" spans="1:34" x14ac:dyDescent="0.3">
      <c r="A67" t="s">
        <v>42</v>
      </c>
      <c r="B67" t="s">
        <v>54</v>
      </c>
      <c r="C67">
        <v>2024</v>
      </c>
      <c r="D67" t="s">
        <v>33</v>
      </c>
      <c r="E67" s="3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27</v>
      </c>
      <c r="N67">
        <v>5</v>
      </c>
      <c r="O67" t="s">
        <v>51</v>
      </c>
      <c r="P67">
        <v>23</v>
      </c>
      <c r="Q67">
        <v>1556</v>
      </c>
      <c r="R67">
        <v>3</v>
      </c>
      <c r="S67">
        <v>0</v>
      </c>
      <c r="T67" t="s">
        <v>45</v>
      </c>
      <c r="U67" t="s">
        <v>33</v>
      </c>
      <c r="V67" s="3">
        <v>81219</v>
      </c>
      <c r="W67">
        <v>3.63</v>
      </c>
      <c r="X67">
        <v>3</v>
      </c>
      <c r="Y67" s="1">
        <f>EV_Data4[[#This Row],[range_miles]]/EV_Data4[[#This Row],[battery_capacity_kwh]]</f>
        <v>3.5571428571428569</v>
      </c>
      <c r="Z67" s="4">
        <f>EV_Data4[[#This Row],[price_usd]]/EV_Data4[[#This Row],[range_miles]]</f>
        <v>274.84602409638558</v>
      </c>
      <c r="AA67" s="2">
        <f>(EV_Data4[[#This Row],[customer_rating]]*EV_Data4[[#This Row],[safety_rating]]*1000)/EV_Data4[[#This Row],[price_usd]]</f>
        <v>0.15912524077007847</v>
      </c>
      <c r="AB67">
        <f>EV_Data4[[#This Row],[horsepower]]+EV_Data4[[#This Row],[torque_nm]]/EV_Data4[[#This Row],[acceleration_0_60_mph]]</f>
        <v>894.21348314606746</v>
      </c>
      <c r="AC67" t="str">
        <f>IF(EV_Data4[[#This Row],[price_usd]]&gt;=80000,"Luxury",IF(EV_Data4[[#This Row],[price_usd]]&gt;=40000,"Mid-Range","Budget"))</f>
        <v>Mid-Range</v>
      </c>
      <c r="AD67" t="str">
        <f>IF(EV_Data4[[#This Row],[range_miles]]&gt;=350,"Long-Range",IF(EV_Data4[[#This Row],[range_miles]]&gt;=250,"Medium-Range","Short-Range"))</f>
        <v>Short-Range</v>
      </c>
      <c r="AE67" t="str">
        <f>IF(EV_Data4[[#This Row],[charging_speed_kw]]&gt;=250,"Ultra-Fast",IF(EV_Data4[[#This Row],[charging_speed_kw]]&gt;=150,"Fast-Charging","Standard-Charging"))</f>
        <v>Standard-Charging</v>
      </c>
      <c r="AF67" t="str">
        <f>IF(EV_Data4[[#This Row],[acceleration_0_60_mph]]&lt;=3,"SportsPerformance",IF(EV_Data4[[#This Row],[acceleration_0_60_mph]]&lt;=5,"HighPerformance","Standard"))</f>
        <v>Standard</v>
      </c>
      <c r="AG67" t="str">
        <f>IF(EV_Data4[[#This Row],[customer_rating]]&gt;=4.5,"Excellent",IF(EV_Data4[[#This Row],[customer_rating]]&gt;=3.5,"Good","Average"))</f>
        <v>Good</v>
      </c>
      <c r="AH6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8" spans="1:34" x14ac:dyDescent="0.3">
      <c r="A68" t="s">
        <v>46</v>
      </c>
      <c r="B68" t="s">
        <v>49</v>
      </c>
      <c r="C68">
        <v>2025</v>
      </c>
      <c r="D68" t="s">
        <v>26</v>
      </c>
      <c r="E68" s="3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48</v>
      </c>
      <c r="N68">
        <v>7</v>
      </c>
      <c r="O68" t="s">
        <v>28</v>
      </c>
      <c r="P68">
        <v>70.3</v>
      </c>
      <c r="Q68">
        <v>2547</v>
      </c>
      <c r="R68">
        <v>5</v>
      </c>
      <c r="S68">
        <v>3</v>
      </c>
      <c r="T68" t="s">
        <v>41</v>
      </c>
      <c r="U68" t="s">
        <v>37</v>
      </c>
      <c r="V68" s="3">
        <v>437912</v>
      </c>
      <c r="W68">
        <v>4.03</v>
      </c>
      <c r="X68">
        <v>5</v>
      </c>
      <c r="Y68" s="1">
        <f>EV_Data4[[#This Row],[range_miles]]/EV_Data4[[#This Row],[battery_capacity_kwh]]</f>
        <v>3.6461126005361928</v>
      </c>
      <c r="Z68" s="4">
        <f>EV_Data4[[#This Row],[price_usd]]/EV_Data4[[#This Row],[range_miles]]</f>
        <v>105.87355392156864</v>
      </c>
      <c r="AA68" s="2">
        <f>(EV_Data4[[#This Row],[customer_rating]]*EV_Data4[[#This Row],[safety_rating]]*1000)/EV_Data4[[#This Row],[price_usd]]</f>
        <v>0.46647395003427372</v>
      </c>
      <c r="AB68">
        <f>EV_Data4[[#This Row],[horsepower]]+EV_Data4[[#This Row],[torque_nm]]/EV_Data4[[#This Row],[acceleration_0_60_mph]]</f>
        <v>422.39716312056737</v>
      </c>
      <c r="AC68" t="str">
        <f>IF(EV_Data4[[#This Row],[price_usd]]&gt;=80000,"Luxury",IF(EV_Data4[[#This Row],[price_usd]]&gt;=40000,"Mid-Range","Budget"))</f>
        <v>Mid-Range</v>
      </c>
      <c r="AD68" t="str">
        <f>IF(EV_Data4[[#This Row],[range_miles]]&gt;=350,"Long-Range",IF(EV_Data4[[#This Row],[range_miles]]&gt;=250,"Medium-Range","Short-Range"))</f>
        <v>Long-Range</v>
      </c>
      <c r="AE68" t="str">
        <f>IF(EV_Data4[[#This Row],[charging_speed_kw]]&gt;=250,"Ultra-Fast",IF(EV_Data4[[#This Row],[charging_speed_kw]]&gt;=150,"Fast-Charging","Standard-Charging"))</f>
        <v>Ultra-Fast</v>
      </c>
      <c r="AF68" t="str">
        <f>IF(EV_Data4[[#This Row],[acceleration_0_60_mph]]&lt;=3,"SportsPerformance",IF(EV_Data4[[#This Row],[acceleration_0_60_mph]]&lt;=5,"HighPerformance","Standard"))</f>
        <v>HighPerformance</v>
      </c>
      <c r="AG68" t="str">
        <f>IF(EV_Data4[[#This Row],[customer_rating]]&gt;=4.5,"Excellent",IF(EV_Data4[[#This Row],[customer_rating]]&gt;=3.5,"Good","Average"))</f>
        <v>Good</v>
      </c>
      <c r="AH6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69" spans="1:34" x14ac:dyDescent="0.3">
      <c r="A69" t="s">
        <v>76</v>
      </c>
      <c r="B69" t="s">
        <v>98</v>
      </c>
      <c r="C69">
        <v>2024</v>
      </c>
      <c r="D69" t="s">
        <v>44</v>
      </c>
      <c r="E69" s="3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48</v>
      </c>
      <c r="N69">
        <v>5</v>
      </c>
      <c r="O69" t="s">
        <v>40</v>
      </c>
      <c r="P69">
        <v>67.5</v>
      </c>
      <c r="Q69">
        <v>1894</v>
      </c>
      <c r="R69">
        <v>5</v>
      </c>
      <c r="S69">
        <v>1</v>
      </c>
      <c r="T69" t="s">
        <v>41</v>
      </c>
      <c r="U69" t="s">
        <v>33</v>
      </c>
      <c r="V69" s="3">
        <v>36517</v>
      </c>
      <c r="W69">
        <v>3.69</v>
      </c>
      <c r="X69">
        <v>3</v>
      </c>
      <c r="Y69" s="1">
        <f>EV_Data4[[#This Row],[range_miles]]/EV_Data4[[#This Row],[battery_capacity_kwh]]</f>
        <v>3.6906077348066297</v>
      </c>
      <c r="Z69" s="4">
        <f>EV_Data4[[#This Row],[price_usd]]/EV_Data4[[#This Row],[range_miles]]</f>
        <v>198.81020958083832</v>
      </c>
      <c r="AA69" s="2">
        <f>(EV_Data4[[#This Row],[customer_rating]]*EV_Data4[[#This Row],[safety_rating]]*1000)/EV_Data4[[#This Row],[price_usd]]</f>
        <v>0.27785052424897155</v>
      </c>
      <c r="AB69">
        <f>EV_Data4[[#This Row],[horsepower]]+EV_Data4[[#This Row],[torque_nm]]/EV_Data4[[#This Row],[acceleration_0_60_mph]]</f>
        <v>867.13605442176868</v>
      </c>
      <c r="AC69" t="str">
        <f>IF(EV_Data4[[#This Row],[price_usd]]&gt;=80000,"Luxury",IF(EV_Data4[[#This Row],[price_usd]]&gt;=40000,"Mid-Range","Budget"))</f>
        <v>Mid-Range</v>
      </c>
      <c r="AD69" t="str">
        <f>IF(EV_Data4[[#This Row],[range_miles]]&gt;=350,"Long-Range",IF(EV_Data4[[#This Row],[range_miles]]&gt;=250,"Medium-Range","Short-Range"))</f>
        <v>Medium-Range</v>
      </c>
      <c r="AE69" t="str">
        <f>IF(EV_Data4[[#This Row],[charging_speed_kw]]&gt;=250,"Ultra-Fast",IF(EV_Data4[[#This Row],[charging_speed_kw]]&gt;=150,"Fast-Charging","Standard-Charging"))</f>
        <v>Standard-Charging</v>
      </c>
      <c r="AF69" t="str">
        <f>IF(EV_Data4[[#This Row],[acceleration_0_60_mph]]&lt;=3,"SportsPerformance",IF(EV_Data4[[#This Row],[acceleration_0_60_mph]]&lt;=5,"HighPerformance","Standard"))</f>
        <v>Standard</v>
      </c>
      <c r="AG69" t="str">
        <f>IF(EV_Data4[[#This Row],[customer_rating]]&gt;=4.5,"Excellent",IF(EV_Data4[[#This Row],[customer_rating]]&gt;=3.5,"Good","Average"))</f>
        <v>Good</v>
      </c>
      <c r="AH6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0" spans="1:34" x14ac:dyDescent="0.3">
      <c r="A70" t="s">
        <v>46</v>
      </c>
      <c r="B70" t="s">
        <v>78</v>
      </c>
      <c r="C70">
        <v>2024</v>
      </c>
      <c r="D70" t="s">
        <v>26</v>
      </c>
      <c r="E70" s="3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48</v>
      </c>
      <c r="N70">
        <v>7</v>
      </c>
      <c r="O70" t="s">
        <v>50</v>
      </c>
      <c r="P70">
        <v>27.2</v>
      </c>
      <c r="Q70">
        <v>1500</v>
      </c>
      <c r="R70">
        <v>5</v>
      </c>
      <c r="S70">
        <v>2</v>
      </c>
      <c r="T70" t="s">
        <v>41</v>
      </c>
      <c r="U70" t="s">
        <v>37</v>
      </c>
      <c r="V70" s="3">
        <v>238196</v>
      </c>
      <c r="W70">
        <v>4</v>
      </c>
      <c r="X70">
        <v>5</v>
      </c>
      <c r="Y70" s="1">
        <f>EV_Data4[[#This Row],[range_miles]]/EV_Data4[[#This Row],[battery_capacity_kwh]]</f>
        <v>3.595959595959596</v>
      </c>
      <c r="Z70" s="4">
        <f>EV_Data4[[#This Row],[price_usd]]/EV_Data4[[#This Row],[range_miles]]</f>
        <v>120.59601123595506</v>
      </c>
      <c r="AA70" s="2">
        <f>(EV_Data4[[#This Row],[customer_rating]]*EV_Data4[[#This Row],[safety_rating]]*1000)/EV_Data4[[#This Row],[price_usd]]</f>
        <v>0.46585102363774678</v>
      </c>
      <c r="AB70">
        <f>EV_Data4[[#This Row],[horsepower]]+EV_Data4[[#This Row],[torque_nm]]/EV_Data4[[#This Row],[acceleration_0_60_mph]]</f>
        <v>278.67958656330751</v>
      </c>
      <c r="AC70" t="str">
        <f>IF(EV_Data4[[#This Row],[price_usd]]&gt;=80000,"Luxury",IF(EV_Data4[[#This Row],[price_usd]]&gt;=40000,"Mid-Range","Budget"))</f>
        <v>Mid-Range</v>
      </c>
      <c r="AD70" t="str">
        <f>IF(EV_Data4[[#This Row],[range_miles]]&gt;=350,"Long-Range",IF(EV_Data4[[#This Row],[range_miles]]&gt;=250,"Medium-Range","Short-Range"))</f>
        <v>Long-Range</v>
      </c>
      <c r="AE70" t="str">
        <f>IF(EV_Data4[[#This Row],[charging_speed_kw]]&gt;=250,"Ultra-Fast",IF(EV_Data4[[#This Row],[charging_speed_kw]]&gt;=150,"Fast-Charging","Standard-Charging"))</f>
        <v>Fast-Charging</v>
      </c>
      <c r="AF70" t="str">
        <f>IF(EV_Data4[[#This Row],[acceleration_0_60_mph]]&lt;=3,"SportsPerformance",IF(EV_Data4[[#This Row],[acceleration_0_60_mph]]&lt;=5,"HighPerformance","Standard"))</f>
        <v>HighPerformance</v>
      </c>
      <c r="AG70" t="str">
        <f>IF(EV_Data4[[#This Row],[customer_rating]]&gt;=4.5,"Excellent",IF(EV_Data4[[#This Row],[customer_rating]]&gt;=3.5,"Good","Average"))</f>
        <v>Good</v>
      </c>
      <c r="AH7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1" spans="1:34" x14ac:dyDescent="0.3">
      <c r="A71" t="s">
        <v>99</v>
      </c>
      <c r="B71" t="s">
        <v>100</v>
      </c>
      <c r="C71">
        <v>2022</v>
      </c>
      <c r="D71" t="s">
        <v>44</v>
      </c>
      <c r="E71" s="3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27</v>
      </c>
      <c r="N71">
        <v>7</v>
      </c>
      <c r="O71" t="s">
        <v>28</v>
      </c>
      <c r="P71">
        <v>72.099999999999994</v>
      </c>
      <c r="Q71">
        <v>2679</v>
      </c>
      <c r="R71">
        <v>5</v>
      </c>
      <c r="S71">
        <v>0</v>
      </c>
      <c r="T71" t="s">
        <v>29</v>
      </c>
      <c r="U71" t="s">
        <v>30</v>
      </c>
      <c r="V71" s="3">
        <v>26972</v>
      </c>
      <c r="W71">
        <v>3.68</v>
      </c>
      <c r="X71">
        <v>7</v>
      </c>
      <c r="Y71" s="1">
        <f>EV_Data4[[#This Row],[range_miles]]/EV_Data4[[#This Row],[battery_capacity_kwh]]</f>
        <v>3.3377135348226021</v>
      </c>
      <c r="Z71" s="4">
        <f>EV_Data4[[#This Row],[price_usd]]/EV_Data4[[#This Row],[range_miles]]</f>
        <v>401.1729527559055</v>
      </c>
      <c r="AA71" s="2">
        <f>(EV_Data4[[#This Row],[customer_rating]]*EV_Data4[[#This Row],[safety_rating]]*1000)/EV_Data4[[#This Row],[price_usd]]</f>
        <v>0.18057285363893069</v>
      </c>
      <c r="AB71">
        <f>EV_Data4[[#This Row],[horsepower]]+EV_Data4[[#This Row],[torque_nm]]/EV_Data4[[#This Row],[acceleration_0_60_mph]]</f>
        <v>391.59722222222223</v>
      </c>
      <c r="AC71" t="str">
        <f>IF(EV_Data4[[#This Row],[price_usd]]&gt;=80000,"Luxury",IF(EV_Data4[[#This Row],[price_usd]]&gt;=40000,"Mid-Range","Budget"))</f>
        <v>Luxury</v>
      </c>
      <c r="AD71" t="str">
        <f>IF(EV_Data4[[#This Row],[range_miles]]&gt;=350,"Long-Range",IF(EV_Data4[[#This Row],[range_miles]]&gt;=250,"Medium-Range","Short-Range"))</f>
        <v>Medium-Range</v>
      </c>
      <c r="AE71" t="str">
        <f>IF(EV_Data4[[#This Row],[charging_speed_kw]]&gt;=250,"Ultra-Fast",IF(EV_Data4[[#This Row],[charging_speed_kw]]&gt;=150,"Fast-Charging","Standard-Charging"))</f>
        <v>Ultra-Fast</v>
      </c>
      <c r="AF71" t="str">
        <f>IF(EV_Data4[[#This Row],[acceleration_0_60_mph]]&lt;=3,"SportsPerformance",IF(EV_Data4[[#This Row],[acceleration_0_60_mph]]&lt;=5,"HighPerformance","Standard"))</f>
        <v>Standard</v>
      </c>
      <c r="AG71" t="str">
        <f>IF(EV_Data4[[#This Row],[customer_rating]]&gt;=4.5,"Excellent",IF(EV_Data4[[#This Row],[customer_rating]]&gt;=3.5,"Good","Average"))</f>
        <v>Good</v>
      </c>
      <c r="AH7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2" spans="1:34" x14ac:dyDescent="0.3">
      <c r="A72" t="s">
        <v>76</v>
      </c>
      <c r="B72" t="s">
        <v>81</v>
      </c>
      <c r="C72">
        <v>2025</v>
      </c>
      <c r="D72" t="s">
        <v>33</v>
      </c>
      <c r="E72" s="3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27</v>
      </c>
      <c r="N72">
        <v>5</v>
      </c>
      <c r="O72" t="s">
        <v>50</v>
      </c>
      <c r="P72">
        <v>16.399999999999999</v>
      </c>
      <c r="Q72">
        <v>1785</v>
      </c>
      <c r="R72">
        <v>5</v>
      </c>
      <c r="S72">
        <v>0</v>
      </c>
      <c r="T72" t="s">
        <v>41</v>
      </c>
      <c r="U72" t="s">
        <v>37</v>
      </c>
      <c r="V72" s="3">
        <v>26865</v>
      </c>
      <c r="W72">
        <v>3</v>
      </c>
      <c r="X72">
        <v>3</v>
      </c>
      <c r="Y72" s="1">
        <f>EV_Data4[[#This Row],[range_miles]]/EV_Data4[[#This Row],[battery_capacity_kwh]]</f>
        <v>3.5934664246823957</v>
      </c>
      <c r="Z72" s="4">
        <f>EV_Data4[[#This Row],[price_usd]]/EV_Data4[[#This Row],[range_miles]]</f>
        <v>229.99792929292929</v>
      </c>
      <c r="AA72" s="2">
        <f>(EV_Data4[[#This Row],[customer_rating]]*EV_Data4[[#This Row],[safety_rating]]*1000)/EV_Data4[[#This Row],[price_usd]]</f>
        <v>0.32938372962953777</v>
      </c>
      <c r="AB72">
        <f>EV_Data4[[#This Row],[horsepower]]+EV_Data4[[#This Row],[torque_nm]]/EV_Data4[[#This Row],[acceleration_0_60_mph]]</f>
        <v>442.68821292775664</v>
      </c>
      <c r="AC72" t="str">
        <f>IF(EV_Data4[[#This Row],[price_usd]]&gt;=80000,"Luxury",IF(EV_Data4[[#This Row],[price_usd]]&gt;=40000,"Mid-Range","Budget"))</f>
        <v>Mid-Range</v>
      </c>
      <c r="AD72" t="str">
        <f>IF(EV_Data4[[#This Row],[range_miles]]&gt;=350,"Long-Range",IF(EV_Data4[[#This Row],[range_miles]]&gt;=250,"Medium-Range","Short-Range"))</f>
        <v>Short-Range</v>
      </c>
      <c r="AE72" t="str">
        <f>IF(EV_Data4[[#This Row],[charging_speed_kw]]&gt;=250,"Ultra-Fast",IF(EV_Data4[[#This Row],[charging_speed_kw]]&gt;=150,"Fast-Charging","Standard-Charging"))</f>
        <v>Standard-Charging</v>
      </c>
      <c r="AF72" t="str">
        <f>IF(EV_Data4[[#This Row],[acceleration_0_60_mph]]&lt;=3,"SportsPerformance",IF(EV_Data4[[#This Row],[acceleration_0_60_mph]]&lt;=5,"HighPerformance","Standard"))</f>
        <v>Standard</v>
      </c>
      <c r="AG72" t="str">
        <f>IF(EV_Data4[[#This Row],[customer_rating]]&gt;=4.5,"Excellent",IF(EV_Data4[[#This Row],[customer_rating]]&gt;=3.5,"Good","Average"))</f>
        <v>Average</v>
      </c>
      <c r="AH7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3" spans="1:34" x14ac:dyDescent="0.3">
      <c r="A73" t="s">
        <v>46</v>
      </c>
      <c r="B73" t="s">
        <v>57</v>
      </c>
      <c r="C73">
        <v>2024</v>
      </c>
      <c r="D73" t="s">
        <v>33</v>
      </c>
      <c r="E73" s="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27</v>
      </c>
      <c r="N73">
        <v>5</v>
      </c>
      <c r="O73" t="s">
        <v>40</v>
      </c>
      <c r="P73">
        <v>69.7</v>
      </c>
      <c r="Q73">
        <v>1686</v>
      </c>
      <c r="R73">
        <v>5</v>
      </c>
      <c r="S73">
        <v>2</v>
      </c>
      <c r="T73" t="s">
        <v>41</v>
      </c>
      <c r="U73" t="s">
        <v>33</v>
      </c>
      <c r="V73" s="3">
        <v>187104</v>
      </c>
      <c r="W73">
        <v>3.23</v>
      </c>
      <c r="X73">
        <v>5</v>
      </c>
      <c r="Y73" s="1">
        <f>EV_Data4[[#This Row],[range_miles]]/EV_Data4[[#This Row],[battery_capacity_kwh]]</f>
        <v>3.2751091703056772</v>
      </c>
      <c r="Z73" s="4">
        <f>EV_Data4[[#This Row],[price_usd]]/EV_Data4[[#This Row],[range_miles]]</f>
        <v>444.71813333333336</v>
      </c>
      <c r="AA73" s="2">
        <f>(EV_Data4[[#This Row],[customer_rating]]*EV_Data4[[#This Row],[safety_rating]]*1000)/EV_Data4[[#This Row],[price_usd]]</f>
        <v>0.2421009142570005</v>
      </c>
      <c r="AB73">
        <f>EV_Data4[[#This Row],[horsepower]]+EV_Data4[[#This Row],[torque_nm]]/EV_Data4[[#This Row],[acceleration_0_60_mph]]</f>
        <v>566.92485549132948</v>
      </c>
      <c r="AC73" t="str">
        <f>IF(EV_Data4[[#This Row],[price_usd]]&gt;=80000,"Luxury",IF(EV_Data4[[#This Row],[price_usd]]&gt;=40000,"Mid-Range","Budget"))</f>
        <v>Mid-Range</v>
      </c>
      <c r="AD73" t="str">
        <f>IF(EV_Data4[[#This Row],[range_miles]]&gt;=350,"Long-Range",IF(EV_Data4[[#This Row],[range_miles]]&gt;=250,"Medium-Range","Short-Range"))</f>
        <v>Short-Range</v>
      </c>
      <c r="AE73" t="str">
        <f>IF(EV_Data4[[#This Row],[charging_speed_kw]]&gt;=250,"Ultra-Fast",IF(EV_Data4[[#This Row],[charging_speed_kw]]&gt;=150,"Fast-Charging","Standard-Charging"))</f>
        <v>Ultra-Fast</v>
      </c>
      <c r="AF73" t="str">
        <f>IF(EV_Data4[[#This Row],[acceleration_0_60_mph]]&lt;=3,"SportsPerformance",IF(EV_Data4[[#This Row],[acceleration_0_60_mph]]&lt;=5,"HighPerformance","Standard"))</f>
        <v>Standard</v>
      </c>
      <c r="AG73" t="str">
        <f>IF(EV_Data4[[#This Row],[customer_rating]]&gt;=4.5,"Excellent",IF(EV_Data4[[#This Row],[customer_rating]]&gt;=3.5,"Good","Average"))</f>
        <v>Average</v>
      </c>
      <c r="AH7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4" spans="1:34" x14ac:dyDescent="0.3">
      <c r="A74" t="s">
        <v>46</v>
      </c>
      <c r="B74" t="s">
        <v>57</v>
      </c>
      <c r="C74">
        <v>2020</v>
      </c>
      <c r="D74" t="s">
        <v>26</v>
      </c>
      <c r="E74" s="3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48</v>
      </c>
      <c r="N74">
        <v>5</v>
      </c>
      <c r="O74" t="s">
        <v>28</v>
      </c>
      <c r="P74">
        <v>79.8</v>
      </c>
      <c r="Q74">
        <v>2284</v>
      </c>
      <c r="R74">
        <v>3</v>
      </c>
      <c r="S74">
        <v>2</v>
      </c>
      <c r="T74" t="s">
        <v>41</v>
      </c>
      <c r="U74" t="s">
        <v>30</v>
      </c>
      <c r="V74" s="3">
        <v>184383</v>
      </c>
      <c r="W74">
        <v>3.8</v>
      </c>
      <c r="X74">
        <v>5</v>
      </c>
      <c r="Y74" s="1">
        <f>EV_Data4[[#This Row],[range_miles]]/EV_Data4[[#This Row],[battery_capacity_kwh]]</f>
        <v>3.1174089068825914</v>
      </c>
      <c r="Z74" s="4">
        <f>EV_Data4[[#This Row],[price_usd]]/EV_Data4[[#This Row],[range_miles]]</f>
        <v>445.45675324675324</v>
      </c>
      <c r="AA74" s="2">
        <f>(EV_Data4[[#This Row],[customer_rating]]*EV_Data4[[#This Row],[safety_rating]]*1000)/EV_Data4[[#This Row],[price_usd]]</f>
        <v>0.11078662292344323</v>
      </c>
      <c r="AB74">
        <f>EV_Data4[[#This Row],[horsepower]]+EV_Data4[[#This Row],[torque_nm]]/EV_Data4[[#This Row],[acceleration_0_60_mph]]</f>
        <v>925.24137931034488</v>
      </c>
      <c r="AC74" t="str">
        <f>IF(EV_Data4[[#This Row],[price_usd]]&gt;=80000,"Luxury",IF(EV_Data4[[#This Row],[price_usd]]&gt;=40000,"Mid-Range","Budget"))</f>
        <v>Luxury</v>
      </c>
      <c r="AD74" t="str">
        <f>IF(EV_Data4[[#This Row],[range_miles]]&gt;=350,"Long-Range",IF(EV_Data4[[#This Row],[range_miles]]&gt;=250,"Medium-Range","Short-Range"))</f>
        <v>Short-Range</v>
      </c>
      <c r="AE74" t="str">
        <f>IF(EV_Data4[[#This Row],[charging_speed_kw]]&gt;=250,"Ultra-Fast",IF(EV_Data4[[#This Row],[charging_speed_kw]]&gt;=150,"Fast-Charging","Standard-Charging"))</f>
        <v>Ultra-Fast</v>
      </c>
      <c r="AF74" t="str">
        <f>IF(EV_Data4[[#This Row],[acceleration_0_60_mph]]&lt;=3,"SportsPerformance",IF(EV_Data4[[#This Row],[acceleration_0_60_mph]]&lt;=5,"HighPerformance","Standard"))</f>
        <v>SportsPerformance</v>
      </c>
      <c r="AG74" t="str">
        <f>IF(EV_Data4[[#This Row],[customer_rating]]&gt;=4.5,"Excellent",IF(EV_Data4[[#This Row],[customer_rating]]&gt;=3.5,"Good","Average"))</f>
        <v>Good</v>
      </c>
      <c r="AH7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5" spans="1:34" x14ac:dyDescent="0.3">
      <c r="A75" t="s">
        <v>76</v>
      </c>
      <c r="B75" t="s">
        <v>98</v>
      </c>
      <c r="C75">
        <v>2024</v>
      </c>
      <c r="D75" t="s">
        <v>44</v>
      </c>
      <c r="E75" s="3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27</v>
      </c>
      <c r="N75">
        <v>7</v>
      </c>
      <c r="O75" t="s">
        <v>28</v>
      </c>
      <c r="P75">
        <v>72.900000000000006</v>
      </c>
      <c r="Q75">
        <v>2451</v>
      </c>
      <c r="R75">
        <v>5</v>
      </c>
      <c r="S75">
        <v>0</v>
      </c>
      <c r="T75" t="s">
        <v>41</v>
      </c>
      <c r="U75" t="s">
        <v>33</v>
      </c>
      <c r="V75" s="3">
        <v>54063</v>
      </c>
      <c r="W75">
        <v>3.64</v>
      </c>
      <c r="X75">
        <v>4</v>
      </c>
      <c r="Y75" s="1">
        <f>EV_Data4[[#This Row],[range_miles]]/EV_Data4[[#This Row],[battery_capacity_kwh]]</f>
        <v>3.6174863387978142</v>
      </c>
      <c r="Z75" s="4">
        <f>EV_Data4[[#This Row],[price_usd]]/EV_Data4[[#This Row],[range_miles]]</f>
        <v>210.64471299093654</v>
      </c>
      <c r="AA75" s="2">
        <f>(EV_Data4[[#This Row],[customer_rating]]*EV_Data4[[#This Row],[safety_rating]]*1000)/EV_Data4[[#This Row],[price_usd]]</f>
        <v>0.26103144711818416</v>
      </c>
      <c r="AB75">
        <f>EV_Data4[[#This Row],[horsepower]]+EV_Data4[[#This Row],[torque_nm]]/EV_Data4[[#This Row],[acceleration_0_60_mph]]</f>
        <v>924.51879699248116</v>
      </c>
      <c r="AC75" t="str">
        <f>IF(EV_Data4[[#This Row],[price_usd]]&gt;=80000,"Luxury",IF(EV_Data4[[#This Row],[price_usd]]&gt;=40000,"Mid-Range","Budget"))</f>
        <v>Mid-Range</v>
      </c>
      <c r="AD75" t="str">
        <f>IF(EV_Data4[[#This Row],[range_miles]]&gt;=350,"Long-Range",IF(EV_Data4[[#This Row],[range_miles]]&gt;=250,"Medium-Range","Short-Range"))</f>
        <v>Medium-Range</v>
      </c>
      <c r="AE75" t="str">
        <f>IF(EV_Data4[[#This Row],[charging_speed_kw]]&gt;=250,"Ultra-Fast",IF(EV_Data4[[#This Row],[charging_speed_kw]]&gt;=150,"Fast-Charging","Standard-Charging"))</f>
        <v>Standard-Charging</v>
      </c>
      <c r="AF75" t="str">
        <f>IF(EV_Data4[[#This Row],[acceleration_0_60_mph]]&lt;=3,"SportsPerformance",IF(EV_Data4[[#This Row],[acceleration_0_60_mph]]&lt;=5,"HighPerformance","Standard"))</f>
        <v>Standard</v>
      </c>
      <c r="AG75" t="str">
        <f>IF(EV_Data4[[#This Row],[customer_rating]]&gt;=4.5,"Excellent",IF(EV_Data4[[#This Row],[customer_rating]]&gt;=3.5,"Good","Average"))</f>
        <v>Good</v>
      </c>
      <c r="AH7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6" spans="1:34" x14ac:dyDescent="0.3">
      <c r="A76" t="s">
        <v>38</v>
      </c>
      <c r="B76" t="s">
        <v>101</v>
      </c>
      <c r="C76">
        <v>2025</v>
      </c>
      <c r="D76" t="s">
        <v>26</v>
      </c>
      <c r="E76" s="3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27</v>
      </c>
      <c r="N76">
        <v>5</v>
      </c>
      <c r="O76" t="s">
        <v>40</v>
      </c>
      <c r="P76">
        <v>72.099999999999994</v>
      </c>
      <c r="Q76">
        <v>1834</v>
      </c>
      <c r="R76">
        <v>4</v>
      </c>
      <c r="S76">
        <v>1</v>
      </c>
      <c r="T76" t="s">
        <v>41</v>
      </c>
      <c r="U76" t="s">
        <v>30</v>
      </c>
      <c r="V76" s="3">
        <v>7957</v>
      </c>
      <c r="W76">
        <v>4.16</v>
      </c>
      <c r="X76">
        <v>5</v>
      </c>
      <c r="Y76" s="1">
        <f>EV_Data4[[#This Row],[range_miles]]/EV_Data4[[#This Row],[battery_capacity_kwh]]</f>
        <v>3.3876500857632936</v>
      </c>
      <c r="Z76" s="4">
        <f>EV_Data4[[#This Row],[price_usd]]/EV_Data4[[#This Row],[range_miles]]</f>
        <v>258.35286075949369</v>
      </c>
      <c r="AA76" s="2">
        <f>(EV_Data4[[#This Row],[customer_rating]]*EV_Data4[[#This Row],[safety_rating]]*1000)/EV_Data4[[#This Row],[price_usd]]</f>
        <v>0.16305831549393049</v>
      </c>
      <c r="AB76">
        <f>EV_Data4[[#This Row],[horsepower]]+EV_Data4[[#This Row],[torque_nm]]/EV_Data4[[#This Row],[acceleration_0_60_mph]]</f>
        <v>1212.1140142517816</v>
      </c>
      <c r="AC76" t="str">
        <f>IF(EV_Data4[[#This Row],[price_usd]]&gt;=80000,"Luxury",IF(EV_Data4[[#This Row],[price_usd]]&gt;=40000,"Mid-Range","Budget"))</f>
        <v>Luxury</v>
      </c>
      <c r="AD76" t="str">
        <f>IF(EV_Data4[[#This Row],[range_miles]]&gt;=350,"Long-Range",IF(EV_Data4[[#This Row],[range_miles]]&gt;=250,"Medium-Range","Short-Range"))</f>
        <v>Long-Range</v>
      </c>
      <c r="AE76" t="str">
        <f>IF(EV_Data4[[#This Row],[charging_speed_kw]]&gt;=250,"Ultra-Fast",IF(EV_Data4[[#This Row],[charging_speed_kw]]&gt;=150,"Fast-Charging","Standard-Charging"))</f>
        <v>Fast-Charging</v>
      </c>
      <c r="AF76" t="str">
        <f>IF(EV_Data4[[#This Row],[acceleration_0_60_mph]]&lt;=3,"SportsPerformance",IF(EV_Data4[[#This Row],[acceleration_0_60_mph]]&lt;=5,"HighPerformance","Standard"))</f>
        <v>HighPerformance</v>
      </c>
      <c r="AG76" t="str">
        <f>IF(EV_Data4[[#This Row],[customer_rating]]&gt;=4.5,"Excellent",IF(EV_Data4[[#This Row],[customer_rating]]&gt;=3.5,"Good","Average"))</f>
        <v>Good</v>
      </c>
      <c r="AH7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7" spans="1:34" x14ac:dyDescent="0.3">
      <c r="A77" t="s">
        <v>38</v>
      </c>
      <c r="B77" t="s">
        <v>102</v>
      </c>
      <c r="C77">
        <v>2024</v>
      </c>
      <c r="D77" t="s">
        <v>44</v>
      </c>
      <c r="E77" s="3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27</v>
      </c>
      <c r="N77">
        <v>5</v>
      </c>
      <c r="O77" t="s">
        <v>35</v>
      </c>
      <c r="P77">
        <v>65.5</v>
      </c>
      <c r="Q77">
        <v>2096</v>
      </c>
      <c r="R77">
        <v>5</v>
      </c>
      <c r="S77">
        <v>0</v>
      </c>
      <c r="T77" t="s">
        <v>41</v>
      </c>
      <c r="U77" t="s">
        <v>33</v>
      </c>
      <c r="V77" s="3">
        <v>14020</v>
      </c>
      <c r="W77">
        <v>3.97</v>
      </c>
      <c r="X77">
        <v>4</v>
      </c>
      <c r="Y77" s="1">
        <f>EV_Data4[[#This Row],[range_miles]]/EV_Data4[[#This Row],[battery_capacity_kwh]]</f>
        <v>3.5762876579203109</v>
      </c>
      <c r="Z77" s="4">
        <f>EV_Data4[[#This Row],[price_usd]]/EV_Data4[[#This Row],[range_miles]]</f>
        <v>213.77315217391305</v>
      </c>
      <c r="AA77" s="2">
        <f>(EV_Data4[[#This Row],[customer_rating]]*EV_Data4[[#This Row],[safety_rating]]*1000)/EV_Data4[[#This Row],[price_usd]]</f>
        <v>0.25232456387891877</v>
      </c>
      <c r="AB77">
        <f>EV_Data4[[#This Row],[horsepower]]+EV_Data4[[#This Row],[torque_nm]]/EV_Data4[[#This Row],[acceleration_0_60_mph]]</f>
        <v>1206.3063063063064</v>
      </c>
      <c r="AC77" t="str">
        <f>IF(EV_Data4[[#This Row],[price_usd]]&gt;=80000,"Luxury",IF(EV_Data4[[#This Row],[price_usd]]&gt;=40000,"Mid-Range","Budget"))</f>
        <v>Mid-Range</v>
      </c>
      <c r="AD77" t="str">
        <f>IF(EV_Data4[[#This Row],[range_miles]]&gt;=350,"Long-Range",IF(EV_Data4[[#This Row],[range_miles]]&gt;=250,"Medium-Range","Short-Range"))</f>
        <v>Long-Range</v>
      </c>
      <c r="AE77" t="str">
        <f>IF(EV_Data4[[#This Row],[charging_speed_kw]]&gt;=250,"Ultra-Fast",IF(EV_Data4[[#This Row],[charging_speed_kw]]&gt;=150,"Fast-Charging","Standard-Charging"))</f>
        <v>Standard-Charging</v>
      </c>
      <c r="AF77" t="str">
        <f>IF(EV_Data4[[#This Row],[acceleration_0_60_mph]]&lt;=3,"SportsPerformance",IF(EV_Data4[[#This Row],[acceleration_0_60_mph]]&lt;=5,"HighPerformance","Standard"))</f>
        <v>HighPerformance</v>
      </c>
      <c r="AG77" t="str">
        <f>IF(EV_Data4[[#This Row],[customer_rating]]&gt;=4.5,"Excellent",IF(EV_Data4[[#This Row],[customer_rating]]&gt;=3.5,"Good","Average"))</f>
        <v>Good</v>
      </c>
      <c r="AH7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8" spans="1:34" x14ac:dyDescent="0.3">
      <c r="A78" t="s">
        <v>76</v>
      </c>
      <c r="B78" t="s">
        <v>77</v>
      </c>
      <c r="C78">
        <v>2024</v>
      </c>
      <c r="D78" t="s">
        <v>61</v>
      </c>
      <c r="E78" s="3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48</v>
      </c>
      <c r="N78">
        <v>5</v>
      </c>
      <c r="O78" t="s">
        <v>40</v>
      </c>
      <c r="P78">
        <v>80</v>
      </c>
      <c r="Q78">
        <v>1521</v>
      </c>
      <c r="R78">
        <v>5</v>
      </c>
      <c r="S78">
        <v>0</v>
      </c>
      <c r="T78" t="s">
        <v>41</v>
      </c>
      <c r="U78" t="s">
        <v>33</v>
      </c>
      <c r="V78" s="3">
        <v>21827</v>
      </c>
      <c r="W78">
        <v>3.81</v>
      </c>
      <c r="X78">
        <v>3</v>
      </c>
      <c r="Y78" s="1">
        <f>EV_Data4[[#This Row],[range_miles]]/EV_Data4[[#This Row],[battery_capacity_kwh]]</f>
        <v>3.624242424242424</v>
      </c>
      <c r="Z78" s="4">
        <f>EV_Data4[[#This Row],[price_usd]]/EV_Data4[[#This Row],[range_miles]]</f>
        <v>265.67959866220735</v>
      </c>
      <c r="AA78" s="2">
        <f>(EV_Data4[[#This Row],[customer_rating]]*EV_Data4[[#This Row],[safety_rating]]*1000)/EV_Data4[[#This Row],[price_usd]]</f>
        <v>0.23980905911765374</v>
      </c>
      <c r="AB78">
        <f>EV_Data4[[#This Row],[horsepower]]+EV_Data4[[#This Row],[torque_nm]]/EV_Data4[[#This Row],[acceleration_0_60_mph]]</f>
        <v>1102.3028064992614</v>
      </c>
      <c r="AC78" t="str">
        <f>IF(EV_Data4[[#This Row],[price_usd]]&gt;=80000,"Luxury",IF(EV_Data4[[#This Row],[price_usd]]&gt;=40000,"Mid-Range","Budget"))</f>
        <v>Mid-Range</v>
      </c>
      <c r="AD78" t="str">
        <f>IF(EV_Data4[[#This Row],[range_miles]]&gt;=350,"Long-Range",IF(EV_Data4[[#This Row],[range_miles]]&gt;=250,"Medium-Range","Short-Range"))</f>
        <v>Medium-Range</v>
      </c>
      <c r="AE78" t="str">
        <f>IF(EV_Data4[[#This Row],[charging_speed_kw]]&gt;=250,"Ultra-Fast",IF(EV_Data4[[#This Row],[charging_speed_kw]]&gt;=150,"Fast-Charging","Standard-Charging"))</f>
        <v>Standard-Charging</v>
      </c>
      <c r="AF78" t="str">
        <f>IF(EV_Data4[[#This Row],[acceleration_0_60_mph]]&lt;=3,"SportsPerformance",IF(EV_Data4[[#This Row],[acceleration_0_60_mph]]&lt;=5,"HighPerformance","Standard"))</f>
        <v>Standard</v>
      </c>
      <c r="AG78" t="str">
        <f>IF(EV_Data4[[#This Row],[customer_rating]]&gt;=4.5,"Excellent",IF(EV_Data4[[#This Row],[customer_rating]]&gt;=3.5,"Good","Average"))</f>
        <v>Good</v>
      </c>
      <c r="AH7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9" spans="1:34" x14ac:dyDescent="0.3">
      <c r="A79" t="s">
        <v>46</v>
      </c>
      <c r="B79" t="s">
        <v>47</v>
      </c>
      <c r="C79">
        <v>2024</v>
      </c>
      <c r="D79" t="s">
        <v>26</v>
      </c>
      <c r="E79" s="3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27</v>
      </c>
      <c r="N79">
        <v>5</v>
      </c>
      <c r="O79" t="s">
        <v>51</v>
      </c>
      <c r="P79">
        <v>17.8</v>
      </c>
      <c r="Q79">
        <v>1500</v>
      </c>
      <c r="R79">
        <v>4</v>
      </c>
      <c r="S79">
        <v>2</v>
      </c>
      <c r="T79" t="s">
        <v>41</v>
      </c>
      <c r="U79" t="s">
        <v>30</v>
      </c>
      <c r="V79" s="3">
        <v>220216</v>
      </c>
      <c r="W79">
        <v>4.07</v>
      </c>
      <c r="X79">
        <v>5</v>
      </c>
      <c r="Y79" s="1">
        <f>EV_Data4[[#This Row],[range_miles]]/EV_Data4[[#This Row],[battery_capacity_kwh]]</f>
        <v>3.426124197002141</v>
      </c>
      <c r="Z79" s="4">
        <f>EV_Data4[[#This Row],[price_usd]]/EV_Data4[[#This Row],[range_miles]]</f>
        <v>434.45400000000001</v>
      </c>
      <c r="AA79" s="2">
        <f>(EV_Data4[[#This Row],[customer_rating]]*EV_Data4[[#This Row],[safety_rating]]*1000)/EV_Data4[[#This Row],[price_usd]]</f>
        <v>0.11710100493953331</v>
      </c>
      <c r="AB79">
        <f>EV_Data4[[#This Row],[horsepower]]+EV_Data4[[#This Row],[torque_nm]]/EV_Data4[[#This Row],[acceleration_0_60_mph]]</f>
        <v>1294.6732026143791</v>
      </c>
      <c r="AC79" t="str">
        <f>IF(EV_Data4[[#This Row],[price_usd]]&gt;=80000,"Luxury",IF(EV_Data4[[#This Row],[price_usd]]&gt;=40000,"Mid-Range","Budget"))</f>
        <v>Luxury</v>
      </c>
      <c r="AD79" t="str">
        <f>IF(EV_Data4[[#This Row],[range_miles]]&gt;=350,"Long-Range",IF(EV_Data4[[#This Row],[range_miles]]&gt;=250,"Medium-Range","Short-Range"))</f>
        <v>Medium-Range</v>
      </c>
      <c r="AE79" t="str">
        <f>IF(EV_Data4[[#This Row],[charging_speed_kw]]&gt;=250,"Ultra-Fast",IF(EV_Data4[[#This Row],[charging_speed_kw]]&gt;=150,"Fast-Charging","Standard-Charging"))</f>
        <v>Ultra-Fast</v>
      </c>
      <c r="AF79" t="str">
        <f>IF(EV_Data4[[#This Row],[acceleration_0_60_mph]]&lt;=3,"SportsPerformance",IF(EV_Data4[[#This Row],[acceleration_0_60_mph]]&lt;=5,"HighPerformance","Standard"))</f>
        <v>HighPerformance</v>
      </c>
      <c r="AG79" t="str">
        <f>IF(EV_Data4[[#This Row],[customer_rating]]&gt;=4.5,"Excellent",IF(EV_Data4[[#This Row],[customer_rating]]&gt;=3.5,"Good","Average"))</f>
        <v>Good</v>
      </c>
      <c r="AH7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0" spans="1:34" x14ac:dyDescent="0.3">
      <c r="A80" t="s">
        <v>24</v>
      </c>
      <c r="B80" t="s">
        <v>85</v>
      </c>
      <c r="C80">
        <v>2025</v>
      </c>
      <c r="D80" t="s">
        <v>56</v>
      </c>
      <c r="E80" s="3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34</v>
      </c>
      <c r="N80">
        <v>5</v>
      </c>
      <c r="O80" t="s">
        <v>58</v>
      </c>
      <c r="P80">
        <v>20.9</v>
      </c>
      <c r="Q80">
        <v>1571</v>
      </c>
      <c r="R80">
        <v>5</v>
      </c>
      <c r="S80">
        <v>1</v>
      </c>
      <c r="T80" t="s">
        <v>29</v>
      </c>
      <c r="U80" t="s">
        <v>37</v>
      </c>
      <c r="V80" s="3">
        <v>293320</v>
      </c>
      <c r="W80">
        <v>3.41</v>
      </c>
      <c r="X80">
        <v>3</v>
      </c>
      <c r="Y80" s="1">
        <f>EV_Data4[[#This Row],[range_miles]]/EV_Data4[[#This Row],[battery_capacity_kwh]]</f>
        <v>3.5538461538461537</v>
      </c>
      <c r="Z80" s="4">
        <f>EV_Data4[[#This Row],[price_usd]]/EV_Data4[[#This Row],[range_miles]]</f>
        <v>168.35255411255412</v>
      </c>
      <c r="AA80" s="2">
        <f>(EV_Data4[[#This Row],[customer_rating]]*EV_Data4[[#This Row],[safety_rating]]*1000)/EV_Data4[[#This Row],[price_usd]]</f>
        <v>0.43842235835743582</v>
      </c>
      <c r="AB80">
        <f>EV_Data4[[#This Row],[horsepower]]+EV_Data4[[#This Row],[torque_nm]]/EV_Data4[[#This Row],[acceleration_0_60_mph]]</f>
        <v>355.13114754098359</v>
      </c>
      <c r="AC80" t="str">
        <f>IF(EV_Data4[[#This Row],[price_usd]]&gt;=80000,"Luxury",IF(EV_Data4[[#This Row],[price_usd]]&gt;=40000,"Mid-Range","Budget"))</f>
        <v>Budget</v>
      </c>
      <c r="AD80" t="str">
        <f>IF(EV_Data4[[#This Row],[range_miles]]&gt;=350,"Long-Range",IF(EV_Data4[[#This Row],[range_miles]]&gt;=250,"Medium-Range","Short-Range"))</f>
        <v>Short-Range</v>
      </c>
      <c r="AE80" t="str">
        <f>IF(EV_Data4[[#This Row],[charging_speed_kw]]&gt;=250,"Ultra-Fast",IF(EV_Data4[[#This Row],[charging_speed_kw]]&gt;=150,"Fast-Charging","Standard-Charging"))</f>
        <v>Standard-Charging</v>
      </c>
      <c r="AF80" t="str">
        <f>IF(EV_Data4[[#This Row],[acceleration_0_60_mph]]&lt;=3,"SportsPerformance",IF(EV_Data4[[#This Row],[acceleration_0_60_mph]]&lt;=5,"HighPerformance","Standard"))</f>
        <v>Standard</v>
      </c>
      <c r="AG80" t="str">
        <f>IF(EV_Data4[[#This Row],[customer_rating]]&gt;=4.5,"Excellent",IF(EV_Data4[[#This Row],[customer_rating]]&gt;=3.5,"Good","Average"))</f>
        <v>Average</v>
      </c>
      <c r="AH8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1" spans="1:34" x14ac:dyDescent="0.3">
      <c r="A81" t="s">
        <v>46</v>
      </c>
      <c r="B81" t="s">
        <v>47</v>
      </c>
      <c r="C81">
        <v>2025</v>
      </c>
      <c r="D81" t="s">
        <v>26</v>
      </c>
      <c r="E81" s="3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48</v>
      </c>
      <c r="N81">
        <v>7</v>
      </c>
      <c r="O81" t="s">
        <v>35</v>
      </c>
      <c r="P81">
        <v>44.7</v>
      </c>
      <c r="Q81">
        <v>1923</v>
      </c>
      <c r="R81">
        <v>5</v>
      </c>
      <c r="S81">
        <v>2</v>
      </c>
      <c r="T81" t="s">
        <v>41</v>
      </c>
      <c r="U81" t="s">
        <v>30</v>
      </c>
      <c r="V81" s="3">
        <v>248754</v>
      </c>
      <c r="W81">
        <v>4.09</v>
      </c>
      <c r="X81">
        <v>5</v>
      </c>
      <c r="Y81" s="1">
        <f>EV_Data4[[#This Row],[range_miles]]/EV_Data4[[#This Row],[battery_capacity_kwh]]</f>
        <v>3.5434412265758088</v>
      </c>
      <c r="Z81" s="4">
        <f>EV_Data4[[#This Row],[price_usd]]/EV_Data4[[#This Row],[range_miles]]</f>
        <v>407.13084134615383</v>
      </c>
      <c r="AA81" s="2">
        <f>(EV_Data4[[#This Row],[customer_rating]]*EV_Data4[[#This Row],[safety_rating]]*1000)/EV_Data4[[#This Row],[price_usd]]</f>
        <v>0.12074411676505196</v>
      </c>
      <c r="AB81">
        <f>EV_Data4[[#This Row],[horsepower]]+EV_Data4[[#This Row],[torque_nm]]/EV_Data4[[#This Row],[acceleration_0_60_mph]]</f>
        <v>1304.248366013072</v>
      </c>
      <c r="AC81" t="str">
        <f>IF(EV_Data4[[#This Row],[price_usd]]&gt;=80000,"Luxury",IF(EV_Data4[[#This Row],[price_usd]]&gt;=40000,"Mid-Range","Budget"))</f>
        <v>Luxury</v>
      </c>
      <c r="AD81" t="str">
        <f>IF(EV_Data4[[#This Row],[range_miles]]&gt;=350,"Long-Range",IF(EV_Data4[[#This Row],[range_miles]]&gt;=250,"Medium-Range","Short-Range"))</f>
        <v>Long-Range</v>
      </c>
      <c r="AE81" t="str">
        <f>IF(EV_Data4[[#This Row],[charging_speed_kw]]&gt;=250,"Ultra-Fast",IF(EV_Data4[[#This Row],[charging_speed_kw]]&gt;=150,"Fast-Charging","Standard-Charging"))</f>
        <v>Fast-Charging</v>
      </c>
      <c r="AF81" t="str">
        <f>IF(EV_Data4[[#This Row],[acceleration_0_60_mph]]&lt;=3,"SportsPerformance",IF(EV_Data4[[#This Row],[acceleration_0_60_mph]]&lt;=5,"HighPerformance","Standard"))</f>
        <v>HighPerformance</v>
      </c>
      <c r="AG81" t="str">
        <f>IF(EV_Data4[[#This Row],[customer_rating]]&gt;=4.5,"Excellent",IF(EV_Data4[[#This Row],[customer_rating]]&gt;=3.5,"Good","Average"))</f>
        <v>Good</v>
      </c>
      <c r="AH8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2" spans="1:34" x14ac:dyDescent="0.3">
      <c r="A82" t="s">
        <v>52</v>
      </c>
      <c r="B82" t="s">
        <v>103</v>
      </c>
      <c r="C82">
        <v>2023</v>
      </c>
      <c r="D82" t="s">
        <v>61</v>
      </c>
      <c r="E82" s="3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34</v>
      </c>
      <c r="N82">
        <v>7</v>
      </c>
      <c r="O82" t="s">
        <v>35</v>
      </c>
      <c r="P82">
        <v>57.7</v>
      </c>
      <c r="Q82">
        <v>1857</v>
      </c>
      <c r="R82">
        <v>4</v>
      </c>
      <c r="S82">
        <v>1</v>
      </c>
      <c r="T82" t="s">
        <v>29</v>
      </c>
      <c r="U82" t="s">
        <v>30</v>
      </c>
      <c r="V82" s="3">
        <v>76491</v>
      </c>
      <c r="W82">
        <v>3.42</v>
      </c>
      <c r="X82">
        <v>7</v>
      </c>
      <c r="Y82" s="1">
        <f>EV_Data4[[#This Row],[range_miles]]/EV_Data4[[#This Row],[battery_capacity_kwh]]</f>
        <v>3.504672897196262</v>
      </c>
      <c r="Z82" s="4">
        <f>EV_Data4[[#This Row],[price_usd]]/EV_Data4[[#This Row],[range_miles]]</f>
        <v>963.87860000000001</v>
      </c>
      <c r="AA82" s="2">
        <f>(EV_Data4[[#This Row],[customer_rating]]*EV_Data4[[#This Row],[safety_rating]]*1000)/EV_Data4[[#This Row],[price_usd]]</f>
        <v>9.4617724680265747E-2</v>
      </c>
      <c r="AB82">
        <f>EV_Data4[[#This Row],[horsepower]]+EV_Data4[[#This Row],[torque_nm]]/EV_Data4[[#This Row],[acceleration_0_60_mph]]</f>
        <v>972.97791798107255</v>
      </c>
      <c r="AC82" t="str">
        <f>IF(EV_Data4[[#This Row],[price_usd]]&gt;=80000,"Luxury",IF(EV_Data4[[#This Row],[price_usd]]&gt;=40000,"Mid-Range","Budget"))</f>
        <v>Luxury</v>
      </c>
      <c r="AD82" t="str">
        <f>IF(EV_Data4[[#This Row],[range_miles]]&gt;=350,"Long-Range",IF(EV_Data4[[#This Row],[range_miles]]&gt;=250,"Medium-Range","Short-Range"))</f>
        <v>Short-Range</v>
      </c>
      <c r="AE82" t="str">
        <f>IF(EV_Data4[[#This Row],[charging_speed_kw]]&gt;=250,"Ultra-Fast",IF(EV_Data4[[#This Row],[charging_speed_kw]]&gt;=150,"Fast-Charging","Standard-Charging"))</f>
        <v>Standard-Charging</v>
      </c>
      <c r="AF82" t="str">
        <f>IF(EV_Data4[[#This Row],[acceleration_0_60_mph]]&lt;=3,"SportsPerformance",IF(EV_Data4[[#This Row],[acceleration_0_60_mph]]&lt;=5,"HighPerformance","Standard"))</f>
        <v>Standard</v>
      </c>
      <c r="AG82" t="str">
        <f>IF(EV_Data4[[#This Row],[customer_rating]]&gt;=4.5,"Excellent",IF(EV_Data4[[#This Row],[customer_rating]]&gt;=3.5,"Good","Average"))</f>
        <v>Average</v>
      </c>
      <c r="AH8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3" spans="1:34" x14ac:dyDescent="0.3">
      <c r="A83" t="s">
        <v>83</v>
      </c>
      <c r="B83" t="s">
        <v>104</v>
      </c>
      <c r="C83">
        <v>2023</v>
      </c>
      <c r="D83" t="s">
        <v>33</v>
      </c>
      <c r="E83" s="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27</v>
      </c>
      <c r="N83">
        <v>7</v>
      </c>
      <c r="O83" t="s">
        <v>28</v>
      </c>
      <c r="P83">
        <v>60.3</v>
      </c>
      <c r="Q83">
        <v>2745</v>
      </c>
      <c r="R83">
        <v>4</v>
      </c>
      <c r="S83">
        <v>2</v>
      </c>
      <c r="T83" t="s">
        <v>29</v>
      </c>
      <c r="U83" t="s">
        <v>33</v>
      </c>
      <c r="V83" s="3">
        <v>51887</v>
      </c>
      <c r="W83">
        <v>3.42</v>
      </c>
      <c r="X83">
        <v>6</v>
      </c>
      <c r="Y83" s="1">
        <f>EV_Data4[[#This Row],[range_miles]]/EV_Data4[[#This Row],[battery_capacity_kwh]]</f>
        <v>3.4163208852005535</v>
      </c>
      <c r="Z83" s="4">
        <f>EV_Data4[[#This Row],[price_usd]]/EV_Data4[[#This Row],[range_miles]]</f>
        <v>348.50983805668011</v>
      </c>
      <c r="AA83" s="2">
        <f>(EV_Data4[[#This Row],[customer_rating]]*EV_Data4[[#This Row],[safety_rating]]*1000)/EV_Data4[[#This Row],[price_usd]]</f>
        <v>0.15891836997613787</v>
      </c>
      <c r="AB83">
        <f>EV_Data4[[#This Row],[horsepower]]+EV_Data4[[#This Row],[torque_nm]]/EV_Data4[[#This Row],[acceleration_0_60_mph]]</f>
        <v>703.85059422750419</v>
      </c>
      <c r="AC83" t="str">
        <f>IF(EV_Data4[[#This Row],[price_usd]]&gt;=80000,"Luxury",IF(EV_Data4[[#This Row],[price_usd]]&gt;=40000,"Mid-Range","Budget"))</f>
        <v>Luxury</v>
      </c>
      <c r="AD83" t="str">
        <f>IF(EV_Data4[[#This Row],[range_miles]]&gt;=350,"Long-Range",IF(EV_Data4[[#This Row],[range_miles]]&gt;=250,"Medium-Range","Short-Range"))</f>
        <v>Short-Range</v>
      </c>
      <c r="AE83" t="str">
        <f>IF(EV_Data4[[#This Row],[charging_speed_kw]]&gt;=250,"Ultra-Fast",IF(EV_Data4[[#This Row],[charging_speed_kw]]&gt;=150,"Fast-Charging","Standard-Charging"))</f>
        <v>Standard-Charging</v>
      </c>
      <c r="AF83" t="str">
        <f>IF(EV_Data4[[#This Row],[acceleration_0_60_mph]]&lt;=3,"SportsPerformance",IF(EV_Data4[[#This Row],[acceleration_0_60_mph]]&lt;=5,"HighPerformance","Standard"))</f>
        <v>Standard</v>
      </c>
      <c r="AG83" t="str">
        <f>IF(EV_Data4[[#This Row],[customer_rating]]&gt;=4.5,"Excellent",IF(EV_Data4[[#This Row],[customer_rating]]&gt;=3.5,"Good","Average"))</f>
        <v>Average</v>
      </c>
      <c r="AH8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4" spans="1:34" x14ac:dyDescent="0.3">
      <c r="A84" t="s">
        <v>63</v>
      </c>
      <c r="B84" t="s">
        <v>88</v>
      </c>
      <c r="C84">
        <v>2026</v>
      </c>
      <c r="D84" t="s">
        <v>26</v>
      </c>
      <c r="E84" s="3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48</v>
      </c>
      <c r="N84">
        <v>5</v>
      </c>
      <c r="O84" t="s">
        <v>28</v>
      </c>
      <c r="P84">
        <v>62.3</v>
      </c>
      <c r="Q84">
        <v>2633</v>
      </c>
      <c r="R84">
        <v>3</v>
      </c>
      <c r="S84">
        <v>0</v>
      </c>
      <c r="T84" t="s">
        <v>65</v>
      </c>
      <c r="U84" t="s">
        <v>30</v>
      </c>
      <c r="V84" s="3">
        <v>216998</v>
      </c>
      <c r="W84">
        <v>3.69</v>
      </c>
      <c r="X84">
        <v>3</v>
      </c>
      <c r="Y84" s="1">
        <f>EV_Data4[[#This Row],[range_miles]]/EV_Data4[[#This Row],[battery_capacity_kwh]]</f>
        <v>3.2381889763779528</v>
      </c>
      <c r="Z84" s="4">
        <f>EV_Data4[[#This Row],[price_usd]]/EV_Data4[[#This Row],[range_miles]]</f>
        <v>308.69696048632221</v>
      </c>
      <c r="AA84" s="2">
        <f>(EV_Data4[[#This Row],[customer_rating]]*EV_Data4[[#This Row],[safety_rating]]*1000)/EV_Data4[[#This Row],[price_usd]]</f>
        <v>0.10899821093270763</v>
      </c>
      <c r="AB84">
        <f>EV_Data4[[#This Row],[horsepower]]+EV_Data4[[#This Row],[torque_nm]]/EV_Data4[[#This Row],[acceleration_0_60_mph]]</f>
        <v>1349.8069498069499</v>
      </c>
      <c r="AC84" t="str">
        <f>IF(EV_Data4[[#This Row],[price_usd]]&gt;=80000,"Luxury",IF(EV_Data4[[#This Row],[price_usd]]&gt;=40000,"Mid-Range","Budget"))</f>
        <v>Luxury</v>
      </c>
      <c r="AD84" t="str">
        <f>IF(EV_Data4[[#This Row],[range_miles]]&gt;=350,"Long-Range",IF(EV_Data4[[#This Row],[range_miles]]&gt;=250,"Medium-Range","Short-Range"))</f>
        <v>Medium-Range</v>
      </c>
      <c r="AE84" t="str">
        <f>IF(EV_Data4[[#This Row],[charging_speed_kw]]&gt;=250,"Ultra-Fast",IF(EV_Data4[[#This Row],[charging_speed_kw]]&gt;=150,"Fast-Charging","Standard-Charging"))</f>
        <v>Fast-Charging</v>
      </c>
      <c r="AF84" t="str">
        <f>IF(EV_Data4[[#This Row],[acceleration_0_60_mph]]&lt;=3,"SportsPerformance",IF(EV_Data4[[#This Row],[acceleration_0_60_mph]]&lt;=5,"HighPerformance","Standard"))</f>
        <v>SportsPerformance</v>
      </c>
      <c r="AG84" t="str">
        <f>IF(EV_Data4[[#This Row],[customer_rating]]&gt;=4.5,"Excellent",IF(EV_Data4[[#This Row],[customer_rating]]&gt;=3.5,"Good","Average"))</f>
        <v>Good</v>
      </c>
      <c r="AH8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5" spans="1:34" x14ac:dyDescent="0.3">
      <c r="A85" t="s">
        <v>46</v>
      </c>
      <c r="B85" t="s">
        <v>72</v>
      </c>
      <c r="C85">
        <v>2024</v>
      </c>
      <c r="D85" t="s">
        <v>44</v>
      </c>
      <c r="E85" s="3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27</v>
      </c>
      <c r="N85">
        <v>5</v>
      </c>
      <c r="O85" t="s">
        <v>28</v>
      </c>
      <c r="P85">
        <v>67</v>
      </c>
      <c r="Q85">
        <v>2567</v>
      </c>
      <c r="R85">
        <v>5</v>
      </c>
      <c r="S85">
        <v>3</v>
      </c>
      <c r="T85" t="s">
        <v>41</v>
      </c>
      <c r="U85" t="s">
        <v>30</v>
      </c>
      <c r="V85" s="3">
        <v>138950</v>
      </c>
      <c r="W85">
        <v>3.85</v>
      </c>
      <c r="X85">
        <v>6</v>
      </c>
      <c r="Y85" s="1">
        <f>EV_Data4[[#This Row],[range_miles]]/EV_Data4[[#This Row],[battery_capacity_kwh]]</f>
        <v>3.5272727272727273</v>
      </c>
      <c r="Z85" s="4">
        <f>EV_Data4[[#This Row],[price_usd]]/EV_Data4[[#This Row],[range_miles]]</f>
        <v>546.1371134020618</v>
      </c>
      <c r="AA85" s="2">
        <f>(EV_Data4[[#This Row],[customer_rating]]*EV_Data4[[#This Row],[safety_rating]]*1000)/EV_Data4[[#This Row],[price_usd]]</f>
        <v>0.12112563150499699</v>
      </c>
      <c r="AB85">
        <f>EV_Data4[[#This Row],[horsepower]]+EV_Data4[[#This Row],[torque_nm]]/EV_Data4[[#This Row],[acceleration_0_60_mph]]</f>
        <v>1236.9458128078818</v>
      </c>
      <c r="AC85" t="str">
        <f>IF(EV_Data4[[#This Row],[price_usd]]&gt;=80000,"Luxury",IF(EV_Data4[[#This Row],[price_usd]]&gt;=40000,"Mid-Range","Budget"))</f>
        <v>Luxury</v>
      </c>
      <c r="AD85" t="str">
        <f>IF(EV_Data4[[#This Row],[range_miles]]&gt;=350,"Long-Range",IF(EV_Data4[[#This Row],[range_miles]]&gt;=250,"Medium-Range","Short-Range"))</f>
        <v>Medium-Range</v>
      </c>
      <c r="AE85" t="str">
        <f>IF(EV_Data4[[#This Row],[charging_speed_kw]]&gt;=250,"Ultra-Fast",IF(EV_Data4[[#This Row],[charging_speed_kw]]&gt;=150,"Fast-Charging","Standard-Charging"))</f>
        <v>Ultra-Fast</v>
      </c>
      <c r="AF85" t="str">
        <f>IF(EV_Data4[[#This Row],[acceleration_0_60_mph]]&lt;=3,"SportsPerformance",IF(EV_Data4[[#This Row],[acceleration_0_60_mph]]&lt;=5,"HighPerformance","Standard"))</f>
        <v>HighPerformance</v>
      </c>
      <c r="AG85" t="str">
        <f>IF(EV_Data4[[#This Row],[customer_rating]]&gt;=4.5,"Excellent",IF(EV_Data4[[#This Row],[customer_rating]]&gt;=3.5,"Good","Average"))</f>
        <v>Good</v>
      </c>
      <c r="AH85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86" spans="1:34" x14ac:dyDescent="0.3">
      <c r="A86" t="s">
        <v>63</v>
      </c>
      <c r="B86" t="s">
        <v>73</v>
      </c>
      <c r="C86">
        <v>2023</v>
      </c>
      <c r="D86" t="s">
        <v>61</v>
      </c>
      <c r="E86" s="3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34</v>
      </c>
      <c r="N86">
        <v>7</v>
      </c>
      <c r="O86" t="s">
        <v>58</v>
      </c>
      <c r="P86">
        <v>16.899999999999999</v>
      </c>
      <c r="Q86">
        <v>1621</v>
      </c>
      <c r="R86">
        <v>4</v>
      </c>
      <c r="S86">
        <v>0</v>
      </c>
      <c r="T86" t="s">
        <v>65</v>
      </c>
      <c r="U86" t="s">
        <v>66</v>
      </c>
      <c r="V86" s="3">
        <v>183596</v>
      </c>
      <c r="W86">
        <v>3.23</v>
      </c>
      <c r="X86">
        <v>3</v>
      </c>
      <c r="Y86" s="1">
        <f>EV_Data4[[#This Row],[range_miles]]/EV_Data4[[#This Row],[battery_capacity_kwh]]</f>
        <v>3.5377358490566038</v>
      </c>
      <c r="Z86" s="4">
        <f>EV_Data4[[#This Row],[price_usd]]/EV_Data4[[#This Row],[range_miles]]</f>
        <v>143.48686666666666</v>
      </c>
      <c r="AA86" s="2">
        <f>(EV_Data4[[#This Row],[customer_rating]]*EV_Data4[[#This Row],[safety_rating]]*1000)/EV_Data4[[#This Row],[price_usd]]</f>
        <v>0.60028722721661409</v>
      </c>
      <c r="AB86">
        <f>EV_Data4[[#This Row],[horsepower]]+EV_Data4[[#This Row],[torque_nm]]/EV_Data4[[#This Row],[acceleration_0_60_mph]]</f>
        <v>236.23976608187135</v>
      </c>
      <c r="AC86" t="str">
        <f>IF(EV_Data4[[#This Row],[price_usd]]&gt;=80000,"Luxury",IF(EV_Data4[[#This Row],[price_usd]]&gt;=40000,"Mid-Range","Budget"))</f>
        <v>Budget</v>
      </c>
      <c r="AD86" t="str">
        <f>IF(EV_Data4[[#This Row],[range_miles]]&gt;=350,"Long-Range",IF(EV_Data4[[#This Row],[range_miles]]&gt;=250,"Medium-Range","Short-Range"))</f>
        <v>Short-Range</v>
      </c>
      <c r="AE86" t="str">
        <f>IF(EV_Data4[[#This Row],[charging_speed_kw]]&gt;=250,"Ultra-Fast",IF(EV_Data4[[#This Row],[charging_speed_kw]]&gt;=150,"Fast-Charging","Standard-Charging"))</f>
        <v>Standard-Charging</v>
      </c>
      <c r="AF86" t="str">
        <f>IF(EV_Data4[[#This Row],[acceleration_0_60_mph]]&lt;=3,"SportsPerformance",IF(EV_Data4[[#This Row],[acceleration_0_60_mph]]&lt;=5,"HighPerformance","Standard"))</f>
        <v>Standard</v>
      </c>
      <c r="AG86" t="str">
        <f>IF(EV_Data4[[#This Row],[customer_rating]]&gt;=4.5,"Excellent",IF(EV_Data4[[#This Row],[customer_rating]]&gt;=3.5,"Good","Average"))</f>
        <v>Average</v>
      </c>
      <c r="AH8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7" spans="1:34" x14ac:dyDescent="0.3">
      <c r="A87" t="s">
        <v>63</v>
      </c>
      <c r="B87" t="s">
        <v>82</v>
      </c>
      <c r="C87">
        <v>2024</v>
      </c>
      <c r="D87" t="s">
        <v>33</v>
      </c>
      <c r="E87" s="3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48</v>
      </c>
      <c r="N87">
        <v>5</v>
      </c>
      <c r="O87" t="s">
        <v>40</v>
      </c>
      <c r="P87">
        <v>61.5</v>
      </c>
      <c r="Q87">
        <v>1876</v>
      </c>
      <c r="R87">
        <v>5</v>
      </c>
      <c r="S87">
        <v>0</v>
      </c>
      <c r="T87" t="s">
        <v>65</v>
      </c>
      <c r="U87" t="s">
        <v>30</v>
      </c>
      <c r="V87" s="3">
        <v>137465</v>
      </c>
      <c r="W87">
        <v>3.1</v>
      </c>
      <c r="X87">
        <v>4</v>
      </c>
      <c r="Y87" s="1">
        <f>EV_Data4[[#This Row],[range_miles]]/EV_Data4[[#This Row],[battery_capacity_kwh]]</f>
        <v>3.86</v>
      </c>
      <c r="Z87" s="4">
        <f>EV_Data4[[#This Row],[price_usd]]/EV_Data4[[#This Row],[range_miles]]</f>
        <v>520.00098445595859</v>
      </c>
      <c r="AA87" s="2">
        <f>(EV_Data4[[#This Row],[customer_rating]]*EV_Data4[[#This Row],[safety_rating]]*1000)/EV_Data4[[#This Row],[price_usd]]</f>
        <v>0.15444370920381875</v>
      </c>
      <c r="AB87">
        <f>EV_Data4[[#This Row],[horsepower]]+EV_Data4[[#This Row],[torque_nm]]/EV_Data4[[#This Row],[acceleration_0_60_mph]]</f>
        <v>1144.3902439024391</v>
      </c>
      <c r="AC87" t="str">
        <f>IF(EV_Data4[[#This Row],[price_usd]]&gt;=80000,"Luxury",IF(EV_Data4[[#This Row],[price_usd]]&gt;=40000,"Mid-Range","Budget"))</f>
        <v>Luxury</v>
      </c>
      <c r="AD87" t="str">
        <f>IF(EV_Data4[[#This Row],[range_miles]]&gt;=350,"Long-Range",IF(EV_Data4[[#This Row],[range_miles]]&gt;=250,"Medium-Range","Short-Range"))</f>
        <v>Short-Range</v>
      </c>
      <c r="AE87" t="str">
        <f>IF(EV_Data4[[#This Row],[charging_speed_kw]]&gt;=250,"Ultra-Fast",IF(EV_Data4[[#This Row],[charging_speed_kw]]&gt;=150,"Fast-Charging","Standard-Charging"))</f>
        <v>Standard-Charging</v>
      </c>
      <c r="AF87" t="str">
        <f>IF(EV_Data4[[#This Row],[acceleration_0_60_mph]]&lt;=3,"SportsPerformance",IF(EV_Data4[[#This Row],[acceleration_0_60_mph]]&lt;=5,"HighPerformance","Standard"))</f>
        <v>Standard</v>
      </c>
      <c r="AG87" t="str">
        <f>IF(EV_Data4[[#This Row],[customer_rating]]&gt;=4.5,"Excellent",IF(EV_Data4[[#This Row],[customer_rating]]&gt;=3.5,"Good","Average"))</f>
        <v>Average</v>
      </c>
      <c r="AH8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8" spans="1:34" x14ac:dyDescent="0.3">
      <c r="A88" t="s">
        <v>38</v>
      </c>
      <c r="B88" t="s">
        <v>101</v>
      </c>
      <c r="C88">
        <v>2026</v>
      </c>
      <c r="D88" t="s">
        <v>56</v>
      </c>
      <c r="E88" s="3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34</v>
      </c>
      <c r="N88">
        <v>5</v>
      </c>
      <c r="O88" t="s">
        <v>28</v>
      </c>
      <c r="P88">
        <v>62.1</v>
      </c>
      <c r="Q88">
        <v>2581</v>
      </c>
      <c r="R88">
        <v>5</v>
      </c>
      <c r="S88">
        <v>0</v>
      </c>
      <c r="T88" t="s">
        <v>41</v>
      </c>
      <c r="U88" t="s">
        <v>37</v>
      </c>
      <c r="V88" s="3">
        <v>8032</v>
      </c>
      <c r="W88">
        <v>3.56</v>
      </c>
      <c r="X88">
        <v>3</v>
      </c>
      <c r="Y88" s="1">
        <f>EV_Data4[[#This Row],[range_miles]]/EV_Data4[[#This Row],[battery_capacity_kwh]]</f>
        <v>3.358974358974359</v>
      </c>
      <c r="Z88" s="4">
        <f>EV_Data4[[#This Row],[price_usd]]/EV_Data4[[#This Row],[range_miles]]</f>
        <v>243.11748091603053</v>
      </c>
      <c r="AA88" s="2">
        <f>(EV_Data4[[#This Row],[customer_rating]]*EV_Data4[[#This Row],[safety_rating]]*1000)/EV_Data4[[#This Row],[price_usd]]</f>
        <v>0.27944897685565895</v>
      </c>
      <c r="AB88">
        <f>EV_Data4[[#This Row],[horsepower]]+EV_Data4[[#This Row],[torque_nm]]/EV_Data4[[#This Row],[acceleration_0_60_mph]]</f>
        <v>936.91256830601094</v>
      </c>
      <c r="AC88" t="str">
        <f>IF(EV_Data4[[#This Row],[price_usd]]&gt;=80000,"Luxury",IF(EV_Data4[[#This Row],[price_usd]]&gt;=40000,"Mid-Range","Budget"))</f>
        <v>Mid-Range</v>
      </c>
      <c r="AD88" t="str">
        <f>IF(EV_Data4[[#This Row],[range_miles]]&gt;=350,"Long-Range",IF(EV_Data4[[#This Row],[range_miles]]&gt;=250,"Medium-Range","Short-Range"))</f>
        <v>Medium-Range</v>
      </c>
      <c r="AE88" t="str">
        <f>IF(EV_Data4[[#This Row],[charging_speed_kw]]&gt;=250,"Ultra-Fast",IF(EV_Data4[[#This Row],[charging_speed_kw]]&gt;=150,"Fast-Charging","Standard-Charging"))</f>
        <v>Standard-Charging</v>
      </c>
      <c r="AF88" t="str">
        <f>IF(EV_Data4[[#This Row],[acceleration_0_60_mph]]&lt;=3,"SportsPerformance",IF(EV_Data4[[#This Row],[acceleration_0_60_mph]]&lt;=5,"HighPerformance","Standard"))</f>
        <v>Standard</v>
      </c>
      <c r="AG88" t="str">
        <f>IF(EV_Data4[[#This Row],[customer_rating]]&gt;=4.5,"Excellent",IF(EV_Data4[[#This Row],[customer_rating]]&gt;=3.5,"Good","Average"))</f>
        <v>Good</v>
      </c>
      <c r="AH8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9" spans="1:34" x14ac:dyDescent="0.3">
      <c r="A89" t="s">
        <v>83</v>
      </c>
      <c r="B89" t="s">
        <v>89</v>
      </c>
      <c r="C89">
        <v>2024</v>
      </c>
      <c r="D89" t="s">
        <v>61</v>
      </c>
      <c r="E89" s="3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48</v>
      </c>
      <c r="N89">
        <v>5</v>
      </c>
      <c r="O89" t="s">
        <v>28</v>
      </c>
      <c r="P89">
        <v>57.9</v>
      </c>
      <c r="Q89">
        <v>2679</v>
      </c>
      <c r="R89">
        <v>3</v>
      </c>
      <c r="S89">
        <v>1</v>
      </c>
      <c r="T89" t="s">
        <v>29</v>
      </c>
      <c r="U89" t="s">
        <v>33</v>
      </c>
      <c r="V89" s="3">
        <v>42777</v>
      </c>
      <c r="W89">
        <v>3.19</v>
      </c>
      <c r="X89">
        <v>6</v>
      </c>
      <c r="Y89" s="1">
        <f>EV_Data4[[#This Row],[range_miles]]/EV_Data4[[#This Row],[battery_capacity_kwh]]</f>
        <v>3.2952380952380951</v>
      </c>
      <c r="Z89" s="4">
        <f>EV_Data4[[#This Row],[price_usd]]/EV_Data4[[#This Row],[range_miles]]</f>
        <v>487.89549132947974</v>
      </c>
      <c r="AA89" s="2">
        <f>(EV_Data4[[#This Row],[customer_rating]]*EV_Data4[[#This Row],[safety_rating]]*1000)/EV_Data4[[#This Row],[price_usd]]</f>
        <v>0.11338067282484451</v>
      </c>
      <c r="AB89">
        <f>EV_Data4[[#This Row],[horsepower]]+EV_Data4[[#This Row],[torque_nm]]/EV_Data4[[#This Row],[acceleration_0_60_mph]]</f>
        <v>711.2141453831041</v>
      </c>
      <c r="AC89" t="str">
        <f>IF(EV_Data4[[#This Row],[price_usd]]&gt;=80000,"Luxury",IF(EV_Data4[[#This Row],[price_usd]]&gt;=40000,"Mid-Range","Budget"))</f>
        <v>Luxury</v>
      </c>
      <c r="AD89" t="str">
        <f>IF(EV_Data4[[#This Row],[range_miles]]&gt;=350,"Long-Range",IF(EV_Data4[[#This Row],[range_miles]]&gt;=250,"Medium-Range","Short-Range"))</f>
        <v>Short-Range</v>
      </c>
      <c r="AE89" t="str">
        <f>IF(EV_Data4[[#This Row],[charging_speed_kw]]&gt;=250,"Ultra-Fast",IF(EV_Data4[[#This Row],[charging_speed_kw]]&gt;=150,"Fast-Charging","Standard-Charging"))</f>
        <v>Standard-Charging</v>
      </c>
      <c r="AF89" t="str">
        <f>IF(EV_Data4[[#This Row],[acceleration_0_60_mph]]&lt;=3,"SportsPerformance",IF(EV_Data4[[#This Row],[acceleration_0_60_mph]]&lt;=5,"HighPerformance","Standard"))</f>
        <v>Standard</v>
      </c>
      <c r="AG89" t="str">
        <f>IF(EV_Data4[[#This Row],[customer_rating]]&gt;=4.5,"Excellent",IF(EV_Data4[[#This Row],[customer_rating]]&gt;=3.5,"Good","Average"))</f>
        <v>Average</v>
      </c>
      <c r="AH8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0" spans="1:34" x14ac:dyDescent="0.3">
      <c r="A90" t="s">
        <v>86</v>
      </c>
      <c r="B90" t="s">
        <v>105</v>
      </c>
      <c r="C90">
        <v>2024</v>
      </c>
      <c r="D90" t="s">
        <v>61</v>
      </c>
      <c r="E90" s="3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34</v>
      </c>
      <c r="N90">
        <v>5</v>
      </c>
      <c r="O90" t="s">
        <v>35</v>
      </c>
      <c r="P90">
        <v>53</v>
      </c>
      <c r="Q90">
        <v>2121</v>
      </c>
      <c r="R90">
        <v>4</v>
      </c>
      <c r="S90">
        <v>1</v>
      </c>
      <c r="T90" t="s">
        <v>29</v>
      </c>
      <c r="U90" t="s">
        <v>33</v>
      </c>
      <c r="V90" s="3">
        <v>36319</v>
      </c>
      <c r="W90">
        <v>3</v>
      </c>
      <c r="X90">
        <v>5</v>
      </c>
      <c r="Y90" s="1">
        <f>EV_Data4[[#This Row],[range_miles]]/EV_Data4[[#This Row],[battery_capacity_kwh]]</f>
        <v>3.5799522673031028</v>
      </c>
      <c r="Z90" s="4">
        <f>EV_Data4[[#This Row],[price_usd]]/EV_Data4[[#This Row],[range_miles]]</f>
        <v>492.73859999999996</v>
      </c>
      <c r="AA90" s="2">
        <f>(EV_Data4[[#This Row],[customer_rating]]*EV_Data4[[#This Row],[safety_rating]]*1000)/EV_Data4[[#This Row],[price_usd]]</f>
        <v>0.16235789118205882</v>
      </c>
      <c r="AB90">
        <f>EV_Data4[[#This Row],[horsepower]]+EV_Data4[[#This Row],[torque_nm]]/EV_Data4[[#This Row],[acceleration_0_60_mph]]</f>
        <v>480.08854166666669</v>
      </c>
      <c r="AC90" t="str">
        <f>IF(EV_Data4[[#This Row],[price_usd]]&gt;=80000,"Luxury",IF(EV_Data4[[#This Row],[price_usd]]&gt;=40000,"Mid-Range","Budget"))</f>
        <v>Mid-Range</v>
      </c>
      <c r="AD90" t="str">
        <f>IF(EV_Data4[[#This Row],[range_miles]]&gt;=350,"Long-Range",IF(EV_Data4[[#This Row],[range_miles]]&gt;=250,"Medium-Range","Short-Range"))</f>
        <v>Short-Range</v>
      </c>
      <c r="AE90" t="str">
        <f>IF(EV_Data4[[#This Row],[charging_speed_kw]]&gt;=250,"Ultra-Fast",IF(EV_Data4[[#This Row],[charging_speed_kw]]&gt;=150,"Fast-Charging","Standard-Charging"))</f>
        <v>Standard-Charging</v>
      </c>
      <c r="AF90" t="str">
        <f>IF(EV_Data4[[#This Row],[acceleration_0_60_mph]]&lt;=3,"SportsPerformance",IF(EV_Data4[[#This Row],[acceleration_0_60_mph]]&lt;=5,"HighPerformance","Standard"))</f>
        <v>Standard</v>
      </c>
      <c r="AG90" t="str">
        <f>IF(EV_Data4[[#This Row],[customer_rating]]&gt;=4.5,"Excellent",IF(EV_Data4[[#This Row],[customer_rating]]&gt;=3.5,"Good","Average"))</f>
        <v>Average</v>
      </c>
      <c r="AH9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1" spans="1:34" x14ac:dyDescent="0.3">
      <c r="A91" t="s">
        <v>68</v>
      </c>
      <c r="B91" t="s">
        <v>106</v>
      </c>
      <c r="C91">
        <v>2025</v>
      </c>
      <c r="D91" t="s">
        <v>26</v>
      </c>
      <c r="E91" s="3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27</v>
      </c>
      <c r="N91">
        <v>7</v>
      </c>
      <c r="O91" t="s">
        <v>58</v>
      </c>
      <c r="P91">
        <v>30.1</v>
      </c>
      <c r="Q91">
        <v>1792</v>
      </c>
      <c r="R91">
        <v>4</v>
      </c>
      <c r="S91">
        <v>2</v>
      </c>
      <c r="T91" t="s">
        <v>45</v>
      </c>
      <c r="U91" t="s">
        <v>37</v>
      </c>
      <c r="V91" s="3">
        <v>68118</v>
      </c>
      <c r="W91">
        <v>3.73</v>
      </c>
      <c r="X91">
        <v>4</v>
      </c>
      <c r="Y91" s="1">
        <f>EV_Data4[[#This Row],[range_miles]]/EV_Data4[[#This Row],[battery_capacity_kwh]]</f>
        <v>3.5527950310559007</v>
      </c>
      <c r="Z91" s="4">
        <f>EV_Data4[[#This Row],[price_usd]]/EV_Data4[[#This Row],[range_miles]]</f>
        <v>202.46447552447552</v>
      </c>
      <c r="AA91" s="2">
        <f>(EV_Data4[[#This Row],[customer_rating]]*EV_Data4[[#This Row],[safety_rating]]*1000)/EV_Data4[[#This Row],[price_usd]]</f>
        <v>0.25766412617667195</v>
      </c>
      <c r="AB91">
        <f>EV_Data4[[#This Row],[horsepower]]+EV_Data4[[#This Row],[torque_nm]]/EV_Data4[[#This Row],[acceleration_0_60_mph]]</f>
        <v>917.40579710144925</v>
      </c>
      <c r="AC91" t="str">
        <f>IF(EV_Data4[[#This Row],[price_usd]]&gt;=80000,"Luxury",IF(EV_Data4[[#This Row],[price_usd]]&gt;=40000,"Mid-Range","Budget"))</f>
        <v>Mid-Range</v>
      </c>
      <c r="AD91" t="str">
        <f>IF(EV_Data4[[#This Row],[range_miles]]&gt;=350,"Long-Range",IF(EV_Data4[[#This Row],[range_miles]]&gt;=250,"Medium-Range","Short-Range"))</f>
        <v>Medium-Range</v>
      </c>
      <c r="AE91" t="str">
        <f>IF(EV_Data4[[#This Row],[charging_speed_kw]]&gt;=250,"Ultra-Fast",IF(EV_Data4[[#This Row],[charging_speed_kw]]&gt;=150,"Fast-Charging","Standard-Charging"))</f>
        <v>Fast-Charging</v>
      </c>
      <c r="AF91" t="str">
        <f>IF(EV_Data4[[#This Row],[acceleration_0_60_mph]]&lt;=3,"SportsPerformance",IF(EV_Data4[[#This Row],[acceleration_0_60_mph]]&lt;=5,"HighPerformance","Standard"))</f>
        <v>SportsPerformance</v>
      </c>
      <c r="AG91" t="str">
        <f>IF(EV_Data4[[#This Row],[customer_rating]]&gt;=4.5,"Excellent",IF(EV_Data4[[#This Row],[customer_rating]]&gt;=3.5,"Good","Average"))</f>
        <v>Good</v>
      </c>
      <c r="AH9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2" spans="1:34" x14ac:dyDescent="0.3">
      <c r="A92" t="s">
        <v>46</v>
      </c>
      <c r="B92" t="s">
        <v>72</v>
      </c>
      <c r="C92">
        <v>2024</v>
      </c>
      <c r="D92" t="s">
        <v>56</v>
      </c>
      <c r="E92" s="3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27</v>
      </c>
      <c r="N92">
        <v>7</v>
      </c>
      <c r="O92" t="s">
        <v>28</v>
      </c>
      <c r="P92">
        <v>68.099999999999994</v>
      </c>
      <c r="Q92">
        <v>2403</v>
      </c>
      <c r="R92">
        <v>3</v>
      </c>
      <c r="S92">
        <v>3</v>
      </c>
      <c r="T92" t="s">
        <v>41</v>
      </c>
      <c r="U92" t="s">
        <v>37</v>
      </c>
      <c r="V92" s="3">
        <v>246203</v>
      </c>
      <c r="W92">
        <v>3.51</v>
      </c>
      <c r="X92">
        <v>4</v>
      </c>
      <c r="Y92" s="1">
        <f>EV_Data4[[#This Row],[range_miles]]/EV_Data4[[#This Row],[battery_capacity_kwh]]</f>
        <v>3.9622641509433958</v>
      </c>
      <c r="Z92" s="4">
        <f>EV_Data4[[#This Row],[price_usd]]/EV_Data4[[#This Row],[range_miles]]</f>
        <v>203.14365079365081</v>
      </c>
      <c r="AA92" s="2">
        <f>(EV_Data4[[#This Row],[customer_rating]]*EV_Data4[[#This Row],[safety_rating]]*1000)/EV_Data4[[#This Row],[price_usd]]</f>
        <v>0.27426053187790328</v>
      </c>
      <c r="AB92">
        <f>EV_Data4[[#This Row],[horsepower]]+EV_Data4[[#This Row],[torque_nm]]/EV_Data4[[#This Row],[acceleration_0_60_mph]]</f>
        <v>265.09523809523807</v>
      </c>
      <c r="AC92" t="str">
        <f>IF(EV_Data4[[#This Row],[price_usd]]&gt;=80000,"Luxury",IF(EV_Data4[[#This Row],[price_usd]]&gt;=40000,"Mid-Range","Budget"))</f>
        <v>Budget</v>
      </c>
      <c r="AD92" t="str">
        <f>IF(EV_Data4[[#This Row],[range_miles]]&gt;=350,"Long-Range",IF(EV_Data4[[#This Row],[range_miles]]&gt;=250,"Medium-Range","Short-Range"))</f>
        <v>Short-Range</v>
      </c>
      <c r="AE92" t="str">
        <f>IF(EV_Data4[[#This Row],[charging_speed_kw]]&gt;=250,"Ultra-Fast",IF(EV_Data4[[#This Row],[charging_speed_kw]]&gt;=150,"Fast-Charging","Standard-Charging"))</f>
        <v>Ultra-Fast</v>
      </c>
      <c r="AF92" t="str">
        <f>IF(EV_Data4[[#This Row],[acceleration_0_60_mph]]&lt;=3,"SportsPerformance",IF(EV_Data4[[#This Row],[acceleration_0_60_mph]]&lt;=5,"HighPerformance","Standard"))</f>
        <v>Standard</v>
      </c>
      <c r="AG92" t="str">
        <f>IF(EV_Data4[[#This Row],[customer_rating]]&gt;=4.5,"Excellent",IF(EV_Data4[[#This Row],[customer_rating]]&gt;=3.5,"Good","Average"))</f>
        <v>Good</v>
      </c>
      <c r="AH92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93" spans="1:34" x14ac:dyDescent="0.3">
      <c r="A93" t="s">
        <v>38</v>
      </c>
      <c r="B93" t="s">
        <v>101</v>
      </c>
      <c r="C93">
        <v>2026</v>
      </c>
      <c r="D93" t="s">
        <v>61</v>
      </c>
      <c r="E93" s="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34</v>
      </c>
      <c r="N93">
        <v>5</v>
      </c>
      <c r="O93" t="s">
        <v>50</v>
      </c>
      <c r="P93">
        <v>39.299999999999997</v>
      </c>
      <c r="Q93">
        <v>1500</v>
      </c>
      <c r="R93">
        <v>5</v>
      </c>
      <c r="S93">
        <v>0</v>
      </c>
      <c r="T93" t="s">
        <v>41</v>
      </c>
      <c r="U93" t="s">
        <v>33</v>
      </c>
      <c r="V93" s="3">
        <v>27175</v>
      </c>
      <c r="W93">
        <v>3.31</v>
      </c>
      <c r="X93">
        <v>4</v>
      </c>
      <c r="Y93" s="1">
        <f>EV_Data4[[#This Row],[range_miles]]/EV_Data4[[#This Row],[battery_capacity_kwh]]</f>
        <v>3.44758064516129</v>
      </c>
      <c r="Z93" s="4">
        <f>EV_Data4[[#This Row],[price_usd]]/EV_Data4[[#This Row],[range_miles]]</f>
        <v>416.00163742690057</v>
      </c>
      <c r="AA93" s="2">
        <f>(EV_Data4[[#This Row],[customer_rating]]*EV_Data4[[#This Row],[safety_rating]]*1000)/EV_Data4[[#This Row],[price_usd]]</f>
        <v>0.23265203072187637</v>
      </c>
      <c r="AB93">
        <f>EV_Data4[[#This Row],[horsepower]]+EV_Data4[[#This Row],[torque_nm]]/EV_Data4[[#This Row],[acceleration_0_60_mph]]</f>
        <v>1052.047287899861</v>
      </c>
      <c r="AC93" t="str">
        <f>IF(EV_Data4[[#This Row],[price_usd]]&gt;=80000,"Luxury",IF(EV_Data4[[#This Row],[price_usd]]&gt;=40000,"Mid-Range","Budget"))</f>
        <v>Mid-Range</v>
      </c>
      <c r="AD93" t="str">
        <f>IF(EV_Data4[[#This Row],[range_miles]]&gt;=350,"Long-Range",IF(EV_Data4[[#This Row],[range_miles]]&gt;=250,"Medium-Range","Short-Range"))</f>
        <v>Short-Range</v>
      </c>
      <c r="AE93" t="str">
        <f>IF(EV_Data4[[#This Row],[charging_speed_kw]]&gt;=250,"Ultra-Fast",IF(EV_Data4[[#This Row],[charging_speed_kw]]&gt;=150,"Fast-Charging","Standard-Charging"))</f>
        <v>Standard-Charging</v>
      </c>
      <c r="AF93" t="str">
        <f>IF(EV_Data4[[#This Row],[acceleration_0_60_mph]]&lt;=3,"SportsPerformance",IF(EV_Data4[[#This Row],[acceleration_0_60_mph]]&lt;=5,"HighPerformance","Standard"))</f>
        <v>Standard</v>
      </c>
      <c r="AG93" t="str">
        <f>IF(EV_Data4[[#This Row],[customer_rating]]&gt;=4.5,"Excellent",IF(EV_Data4[[#This Row],[customer_rating]]&gt;=3.5,"Good","Average"))</f>
        <v>Average</v>
      </c>
      <c r="AH9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4" spans="1:34" x14ac:dyDescent="0.3">
      <c r="A94" t="s">
        <v>38</v>
      </c>
      <c r="B94" t="s">
        <v>55</v>
      </c>
      <c r="C94">
        <v>2024</v>
      </c>
      <c r="D94" t="s">
        <v>44</v>
      </c>
      <c r="E94" s="3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48</v>
      </c>
      <c r="N94">
        <v>5</v>
      </c>
      <c r="O94" t="s">
        <v>40</v>
      </c>
      <c r="P94">
        <v>75</v>
      </c>
      <c r="Q94">
        <v>1598</v>
      </c>
      <c r="R94">
        <v>4</v>
      </c>
      <c r="S94">
        <v>0</v>
      </c>
      <c r="T94" t="s">
        <v>41</v>
      </c>
      <c r="U94" t="s">
        <v>33</v>
      </c>
      <c r="V94" s="3">
        <v>12139</v>
      </c>
      <c r="W94">
        <v>3.5</v>
      </c>
      <c r="X94">
        <v>4</v>
      </c>
      <c r="Y94" s="1">
        <f>EV_Data4[[#This Row],[range_miles]]/EV_Data4[[#This Row],[battery_capacity_kwh]]</f>
        <v>3.6188178528347406</v>
      </c>
      <c r="Z94" s="4">
        <f>EV_Data4[[#This Row],[price_usd]]/EV_Data4[[#This Row],[range_miles]]</f>
        <v>255.20159999999998</v>
      </c>
      <c r="AA94" s="2">
        <f>(EV_Data4[[#This Row],[customer_rating]]*EV_Data4[[#This Row],[safety_rating]]*1000)/EV_Data4[[#This Row],[price_usd]]</f>
        <v>0.18286196742758146</v>
      </c>
      <c r="AB94">
        <f>EV_Data4[[#This Row],[horsepower]]+EV_Data4[[#This Row],[torque_nm]]/EV_Data4[[#This Row],[acceleration_0_60_mph]]</f>
        <v>1210.5011933174223</v>
      </c>
      <c r="AC94" t="str">
        <f>IF(EV_Data4[[#This Row],[price_usd]]&gt;=80000,"Luxury",IF(EV_Data4[[#This Row],[price_usd]]&gt;=40000,"Mid-Range","Budget"))</f>
        <v>Mid-Range</v>
      </c>
      <c r="AD94" t="str">
        <f>IF(EV_Data4[[#This Row],[range_miles]]&gt;=350,"Long-Range",IF(EV_Data4[[#This Row],[range_miles]]&gt;=250,"Medium-Range","Short-Range"))</f>
        <v>Medium-Range</v>
      </c>
      <c r="AE94" t="str">
        <f>IF(EV_Data4[[#This Row],[charging_speed_kw]]&gt;=250,"Ultra-Fast",IF(EV_Data4[[#This Row],[charging_speed_kw]]&gt;=150,"Fast-Charging","Standard-Charging"))</f>
        <v>Standard-Charging</v>
      </c>
      <c r="AF94" t="str">
        <f>IF(EV_Data4[[#This Row],[acceleration_0_60_mph]]&lt;=3,"SportsPerformance",IF(EV_Data4[[#This Row],[acceleration_0_60_mph]]&lt;=5,"HighPerformance","Standard"))</f>
        <v>HighPerformance</v>
      </c>
      <c r="AG94" t="str">
        <f>IF(EV_Data4[[#This Row],[customer_rating]]&gt;=4.5,"Excellent",IF(EV_Data4[[#This Row],[customer_rating]]&gt;=3.5,"Good","Average"))</f>
        <v>Good</v>
      </c>
      <c r="AH9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5" spans="1:34" x14ac:dyDescent="0.3">
      <c r="A95" t="s">
        <v>42</v>
      </c>
      <c r="B95" t="s">
        <v>54</v>
      </c>
      <c r="C95">
        <v>2023</v>
      </c>
      <c r="D95" t="s">
        <v>33</v>
      </c>
      <c r="E95" s="3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27</v>
      </c>
      <c r="N95">
        <v>5</v>
      </c>
      <c r="O95" t="s">
        <v>51</v>
      </c>
      <c r="P95">
        <v>23.4</v>
      </c>
      <c r="Q95">
        <v>1506</v>
      </c>
      <c r="R95">
        <v>5</v>
      </c>
      <c r="S95">
        <v>0</v>
      </c>
      <c r="T95" t="s">
        <v>45</v>
      </c>
      <c r="U95" t="s">
        <v>33</v>
      </c>
      <c r="V95" s="3">
        <v>83731</v>
      </c>
      <c r="W95">
        <v>3.6</v>
      </c>
      <c r="X95">
        <v>4</v>
      </c>
      <c r="Y95" s="1">
        <f>EV_Data4[[#This Row],[range_miles]]/EV_Data4[[#This Row],[battery_capacity_kwh]]</f>
        <v>3.463611859838275</v>
      </c>
      <c r="Z95" s="4">
        <f>EV_Data4[[#This Row],[price_usd]]/EV_Data4[[#This Row],[range_miles]]</f>
        <v>360.2890661478599</v>
      </c>
      <c r="AA95" s="2">
        <f>(EV_Data4[[#This Row],[customer_rating]]*EV_Data4[[#This Row],[safety_rating]]*1000)/EV_Data4[[#This Row],[price_usd]]</f>
        <v>0.19439643632452933</v>
      </c>
      <c r="AB95">
        <f>EV_Data4[[#This Row],[horsepower]]+EV_Data4[[#This Row],[torque_nm]]/EV_Data4[[#This Row],[acceleration_0_60_mph]]</f>
        <v>1143.75</v>
      </c>
      <c r="AC95" t="str">
        <f>IF(EV_Data4[[#This Row],[price_usd]]&gt;=80000,"Luxury",IF(EV_Data4[[#This Row],[price_usd]]&gt;=40000,"Mid-Range","Budget"))</f>
        <v>Luxury</v>
      </c>
      <c r="AD95" t="str">
        <f>IF(EV_Data4[[#This Row],[range_miles]]&gt;=350,"Long-Range",IF(EV_Data4[[#This Row],[range_miles]]&gt;=250,"Medium-Range","Short-Range"))</f>
        <v>Medium-Range</v>
      </c>
      <c r="AE95" t="str">
        <f>IF(EV_Data4[[#This Row],[charging_speed_kw]]&gt;=250,"Ultra-Fast",IF(EV_Data4[[#This Row],[charging_speed_kw]]&gt;=150,"Fast-Charging","Standard-Charging"))</f>
        <v>Standard-Charging</v>
      </c>
      <c r="AF95" t="str">
        <f>IF(EV_Data4[[#This Row],[acceleration_0_60_mph]]&lt;=3,"SportsPerformance",IF(EV_Data4[[#This Row],[acceleration_0_60_mph]]&lt;=5,"HighPerformance","Standard"))</f>
        <v>Standard</v>
      </c>
      <c r="AG95" t="str">
        <f>IF(EV_Data4[[#This Row],[customer_rating]]&gt;=4.5,"Excellent",IF(EV_Data4[[#This Row],[customer_rating]]&gt;=3.5,"Good","Average"))</f>
        <v>Good</v>
      </c>
      <c r="AH9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6" spans="1:34" x14ac:dyDescent="0.3">
      <c r="A96" t="s">
        <v>76</v>
      </c>
      <c r="B96" t="s">
        <v>77</v>
      </c>
      <c r="C96">
        <v>2023</v>
      </c>
      <c r="D96" t="s">
        <v>44</v>
      </c>
      <c r="E96" s="3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34</v>
      </c>
      <c r="N96">
        <v>5</v>
      </c>
      <c r="O96" t="s">
        <v>50</v>
      </c>
      <c r="P96">
        <v>21.8</v>
      </c>
      <c r="Q96">
        <v>1734</v>
      </c>
      <c r="R96">
        <v>5</v>
      </c>
      <c r="S96">
        <v>0</v>
      </c>
      <c r="T96" t="s">
        <v>41</v>
      </c>
      <c r="U96" t="s">
        <v>33</v>
      </c>
      <c r="V96" s="3">
        <v>48060</v>
      </c>
      <c r="W96">
        <v>4.04</v>
      </c>
      <c r="X96">
        <v>4</v>
      </c>
      <c r="Y96" s="1">
        <f>EV_Data4[[#This Row],[range_miles]]/EV_Data4[[#This Row],[battery_capacity_kwh]]</f>
        <v>3.4375</v>
      </c>
      <c r="Z96" s="4">
        <f>EV_Data4[[#This Row],[price_usd]]/EV_Data4[[#This Row],[range_miles]]</f>
        <v>209.56473829201101</v>
      </c>
      <c r="AA96" s="2">
        <f>(EV_Data4[[#This Row],[customer_rating]]*EV_Data4[[#This Row],[safety_rating]]*1000)/EV_Data4[[#This Row],[price_usd]]</f>
        <v>0.26553791145230832</v>
      </c>
      <c r="AB96">
        <f>EV_Data4[[#This Row],[horsepower]]+EV_Data4[[#This Row],[torque_nm]]/EV_Data4[[#This Row],[acceleration_0_60_mph]]</f>
        <v>1078.8859857482184</v>
      </c>
      <c r="AC96" t="str">
        <f>IF(EV_Data4[[#This Row],[price_usd]]&gt;=80000,"Luxury",IF(EV_Data4[[#This Row],[price_usd]]&gt;=40000,"Mid-Range","Budget"))</f>
        <v>Mid-Range</v>
      </c>
      <c r="AD96" t="str">
        <f>IF(EV_Data4[[#This Row],[range_miles]]&gt;=350,"Long-Range",IF(EV_Data4[[#This Row],[range_miles]]&gt;=250,"Medium-Range","Short-Range"))</f>
        <v>Long-Range</v>
      </c>
      <c r="AE96" t="str">
        <f>IF(EV_Data4[[#This Row],[charging_speed_kw]]&gt;=250,"Ultra-Fast",IF(EV_Data4[[#This Row],[charging_speed_kw]]&gt;=150,"Fast-Charging","Standard-Charging"))</f>
        <v>Standard-Charging</v>
      </c>
      <c r="AF96" t="str">
        <f>IF(EV_Data4[[#This Row],[acceleration_0_60_mph]]&lt;=3,"SportsPerformance",IF(EV_Data4[[#This Row],[acceleration_0_60_mph]]&lt;=5,"HighPerformance","Standard"))</f>
        <v>HighPerformance</v>
      </c>
      <c r="AG96" t="str">
        <f>IF(EV_Data4[[#This Row],[customer_rating]]&gt;=4.5,"Excellent",IF(EV_Data4[[#This Row],[customer_rating]]&gt;=3.5,"Good","Average"))</f>
        <v>Good</v>
      </c>
      <c r="AH9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7" spans="1:34" x14ac:dyDescent="0.3">
      <c r="A97" t="s">
        <v>68</v>
      </c>
      <c r="B97" t="s">
        <v>90</v>
      </c>
      <c r="C97">
        <v>2024</v>
      </c>
      <c r="D97" t="s">
        <v>61</v>
      </c>
      <c r="E97" s="3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48</v>
      </c>
      <c r="N97">
        <v>5</v>
      </c>
      <c r="O97" t="s">
        <v>35</v>
      </c>
      <c r="P97">
        <v>43.9</v>
      </c>
      <c r="Q97">
        <v>1844</v>
      </c>
      <c r="R97">
        <v>4</v>
      </c>
      <c r="S97">
        <v>1</v>
      </c>
      <c r="T97" t="s">
        <v>45</v>
      </c>
      <c r="U97" t="s">
        <v>37</v>
      </c>
      <c r="V97" s="3">
        <v>128091</v>
      </c>
      <c r="W97">
        <v>3</v>
      </c>
      <c r="X97">
        <v>4</v>
      </c>
      <c r="Y97" s="1">
        <f>EV_Data4[[#This Row],[range_miles]]/EV_Data4[[#This Row],[battery_capacity_kwh]]</f>
        <v>3.4097859327217122</v>
      </c>
      <c r="Z97" s="4">
        <f>EV_Data4[[#This Row],[price_usd]]/EV_Data4[[#This Row],[range_miles]]</f>
        <v>200.24659192825112</v>
      </c>
      <c r="AA97" s="2">
        <f>(EV_Data4[[#This Row],[customer_rating]]*EV_Data4[[#This Row],[safety_rating]]*1000)/EV_Data4[[#This Row],[price_usd]]</f>
        <v>0.26872696645996341</v>
      </c>
      <c r="AB97">
        <f>EV_Data4[[#This Row],[horsepower]]+EV_Data4[[#This Row],[torque_nm]]/EV_Data4[[#This Row],[acceleration_0_60_mph]]</f>
        <v>501.52758132956154</v>
      </c>
      <c r="AC97" t="str">
        <f>IF(EV_Data4[[#This Row],[price_usd]]&gt;=80000,"Luxury",IF(EV_Data4[[#This Row],[price_usd]]&gt;=40000,"Mid-Range","Budget"))</f>
        <v>Mid-Range</v>
      </c>
      <c r="AD97" t="str">
        <f>IF(EV_Data4[[#This Row],[range_miles]]&gt;=350,"Long-Range",IF(EV_Data4[[#This Row],[range_miles]]&gt;=250,"Medium-Range","Short-Range"))</f>
        <v>Short-Range</v>
      </c>
      <c r="AE97" t="str">
        <f>IF(EV_Data4[[#This Row],[charging_speed_kw]]&gt;=250,"Ultra-Fast",IF(EV_Data4[[#This Row],[charging_speed_kw]]&gt;=150,"Fast-Charging","Standard-Charging"))</f>
        <v>Standard-Charging</v>
      </c>
      <c r="AF97" t="str">
        <f>IF(EV_Data4[[#This Row],[acceleration_0_60_mph]]&lt;=3,"SportsPerformance",IF(EV_Data4[[#This Row],[acceleration_0_60_mph]]&lt;=5,"HighPerformance","Standard"))</f>
        <v>Standard</v>
      </c>
      <c r="AG97" t="str">
        <f>IF(EV_Data4[[#This Row],[customer_rating]]&gt;=4.5,"Excellent",IF(EV_Data4[[#This Row],[customer_rating]]&gt;=3.5,"Good","Average"))</f>
        <v>Average</v>
      </c>
      <c r="AH9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8" spans="1:34" x14ac:dyDescent="0.3">
      <c r="A98" t="s">
        <v>68</v>
      </c>
      <c r="B98" t="s">
        <v>79</v>
      </c>
      <c r="C98">
        <v>2025</v>
      </c>
      <c r="D98" t="s">
        <v>26</v>
      </c>
      <c r="E98" s="3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48</v>
      </c>
      <c r="N98">
        <v>5</v>
      </c>
      <c r="O98" t="s">
        <v>58</v>
      </c>
      <c r="P98">
        <v>36.200000000000003</v>
      </c>
      <c r="Q98">
        <v>1557</v>
      </c>
      <c r="R98">
        <v>5</v>
      </c>
      <c r="S98">
        <v>0</v>
      </c>
      <c r="T98" t="s">
        <v>45</v>
      </c>
      <c r="U98" t="s">
        <v>37</v>
      </c>
      <c r="V98" s="3">
        <v>96533</v>
      </c>
      <c r="W98">
        <v>3.3</v>
      </c>
      <c r="X98">
        <v>3</v>
      </c>
      <c r="Y98" s="1">
        <f>EV_Data4[[#This Row],[range_miles]]/EV_Data4[[#This Row],[battery_capacity_kwh]]</f>
        <v>3.6255924170616112</v>
      </c>
      <c r="Z98" s="4">
        <f>EV_Data4[[#This Row],[price_usd]]/EV_Data4[[#This Row],[range_miles]]</f>
        <v>149.79735294117646</v>
      </c>
      <c r="AA98" s="2">
        <f>(EV_Data4[[#This Row],[customer_rating]]*EV_Data4[[#This Row],[safety_rating]]*1000)/EV_Data4[[#This Row],[price_usd]]</f>
        <v>0.35996342771574408</v>
      </c>
      <c r="AB98">
        <f>EV_Data4[[#This Row],[horsepower]]+EV_Data4[[#This Row],[torque_nm]]/EV_Data4[[#This Row],[acceleration_0_60_mph]]</f>
        <v>519.92670157068062</v>
      </c>
      <c r="AC98" t="str">
        <f>IF(EV_Data4[[#This Row],[price_usd]]&gt;=80000,"Luxury",IF(EV_Data4[[#This Row],[price_usd]]&gt;=40000,"Mid-Range","Budget"))</f>
        <v>Mid-Range</v>
      </c>
      <c r="AD98" t="str">
        <f>IF(EV_Data4[[#This Row],[range_miles]]&gt;=350,"Long-Range",IF(EV_Data4[[#This Row],[range_miles]]&gt;=250,"Medium-Range","Short-Range"))</f>
        <v>Medium-Range</v>
      </c>
      <c r="AE98" t="str">
        <f>IF(EV_Data4[[#This Row],[charging_speed_kw]]&gt;=250,"Ultra-Fast",IF(EV_Data4[[#This Row],[charging_speed_kw]]&gt;=150,"Fast-Charging","Standard-Charging"))</f>
        <v>Fast-Charging</v>
      </c>
      <c r="AF98" t="str">
        <f>IF(EV_Data4[[#This Row],[acceleration_0_60_mph]]&lt;=3,"SportsPerformance",IF(EV_Data4[[#This Row],[acceleration_0_60_mph]]&lt;=5,"HighPerformance","Standard"))</f>
        <v>HighPerformance</v>
      </c>
      <c r="AG98" t="str">
        <f>IF(EV_Data4[[#This Row],[customer_rating]]&gt;=4.5,"Excellent",IF(EV_Data4[[#This Row],[customer_rating]]&gt;=3.5,"Good","Average"))</f>
        <v>Average</v>
      </c>
      <c r="AH9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9" spans="1:34" x14ac:dyDescent="0.3">
      <c r="A99" t="s">
        <v>24</v>
      </c>
      <c r="B99" t="s">
        <v>70</v>
      </c>
      <c r="C99">
        <v>2023</v>
      </c>
      <c r="D99" t="s">
        <v>26</v>
      </c>
      <c r="E99" s="3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48</v>
      </c>
      <c r="N99">
        <v>5</v>
      </c>
      <c r="O99" t="s">
        <v>50</v>
      </c>
      <c r="P99">
        <v>29.1</v>
      </c>
      <c r="Q99">
        <v>1500</v>
      </c>
      <c r="R99">
        <v>3</v>
      </c>
      <c r="S99">
        <v>1</v>
      </c>
      <c r="T99" t="s">
        <v>29</v>
      </c>
      <c r="U99" t="s">
        <v>33</v>
      </c>
      <c r="V99" s="3">
        <v>234095</v>
      </c>
      <c r="W99">
        <v>3.86</v>
      </c>
      <c r="X99">
        <v>5</v>
      </c>
      <c r="Y99" s="1">
        <f>EV_Data4[[#This Row],[range_miles]]/EV_Data4[[#This Row],[battery_capacity_kwh]]</f>
        <v>3.6639118457300275</v>
      </c>
      <c r="Z99" s="4">
        <f>EV_Data4[[#This Row],[price_usd]]/EV_Data4[[#This Row],[range_miles]]</f>
        <v>202.81192982456142</v>
      </c>
      <c r="AA99" s="2">
        <f>(EV_Data4[[#This Row],[customer_rating]]*EV_Data4[[#This Row],[safety_rating]]*1000)/EV_Data4[[#This Row],[price_usd]]</f>
        <v>0.1431008344335703</v>
      </c>
      <c r="AB99">
        <f>EV_Data4[[#This Row],[horsepower]]+EV_Data4[[#This Row],[torque_nm]]/EV_Data4[[#This Row],[acceleration_0_60_mph]]</f>
        <v>1097.628647214854</v>
      </c>
      <c r="AC99" t="str">
        <f>IF(EV_Data4[[#This Row],[price_usd]]&gt;=80000,"Luxury",IF(EV_Data4[[#This Row],[price_usd]]&gt;=40000,"Mid-Range","Budget"))</f>
        <v>Luxury</v>
      </c>
      <c r="AD99" t="str">
        <f>IF(EV_Data4[[#This Row],[range_miles]]&gt;=350,"Long-Range",IF(EV_Data4[[#This Row],[range_miles]]&gt;=250,"Medium-Range","Short-Range"))</f>
        <v>Long-Range</v>
      </c>
      <c r="AE99" t="str">
        <f>IF(EV_Data4[[#This Row],[charging_speed_kw]]&gt;=250,"Ultra-Fast",IF(EV_Data4[[#This Row],[charging_speed_kw]]&gt;=150,"Fast-Charging","Standard-Charging"))</f>
        <v>Fast-Charging</v>
      </c>
      <c r="AF99" t="str">
        <f>IF(EV_Data4[[#This Row],[acceleration_0_60_mph]]&lt;=3,"SportsPerformance",IF(EV_Data4[[#This Row],[acceleration_0_60_mph]]&lt;=5,"HighPerformance","Standard"))</f>
        <v>HighPerformance</v>
      </c>
      <c r="AG99" t="str">
        <f>IF(EV_Data4[[#This Row],[customer_rating]]&gt;=4.5,"Excellent",IF(EV_Data4[[#This Row],[customer_rating]]&gt;=3.5,"Good","Average"))</f>
        <v>Good</v>
      </c>
      <c r="AH9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0" spans="1:34" x14ac:dyDescent="0.3">
      <c r="A100" t="s">
        <v>46</v>
      </c>
      <c r="B100" t="s">
        <v>78</v>
      </c>
      <c r="C100">
        <v>2023</v>
      </c>
      <c r="D100" t="s">
        <v>26</v>
      </c>
      <c r="E100" s="3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48</v>
      </c>
      <c r="N100">
        <v>5</v>
      </c>
      <c r="O100" t="s">
        <v>51</v>
      </c>
      <c r="P100">
        <v>31.5</v>
      </c>
      <c r="Q100">
        <v>1782</v>
      </c>
      <c r="R100">
        <v>3</v>
      </c>
      <c r="S100">
        <v>3</v>
      </c>
      <c r="T100" t="s">
        <v>41</v>
      </c>
      <c r="U100" t="s">
        <v>30</v>
      </c>
      <c r="V100" s="3">
        <v>148529</v>
      </c>
      <c r="W100">
        <v>4.29</v>
      </c>
      <c r="X100">
        <v>5</v>
      </c>
      <c r="Y100" s="1">
        <f>EV_Data4[[#This Row],[range_miles]]/EV_Data4[[#This Row],[battery_capacity_kwh]]</f>
        <v>3.2737535277516465</v>
      </c>
      <c r="Z100" s="4">
        <f>EV_Data4[[#This Row],[price_usd]]/EV_Data4[[#This Row],[range_miles]]</f>
        <v>530.87890804597703</v>
      </c>
      <c r="AA100" s="2">
        <f>(EV_Data4[[#This Row],[customer_rating]]*EV_Data4[[#This Row],[safety_rating]]*1000)/EV_Data4[[#This Row],[price_usd]]</f>
        <v>6.966326606723422E-2</v>
      </c>
      <c r="AB100">
        <f>EV_Data4[[#This Row],[horsepower]]+EV_Data4[[#This Row],[torque_nm]]/EV_Data4[[#This Row],[acceleration_0_60_mph]]</f>
        <v>1245.3083109919571</v>
      </c>
      <c r="AC100" t="str">
        <f>IF(EV_Data4[[#This Row],[price_usd]]&gt;=80000,"Luxury",IF(EV_Data4[[#This Row],[price_usd]]&gt;=40000,"Mid-Range","Budget"))</f>
        <v>Luxury</v>
      </c>
      <c r="AD100" t="str">
        <f>IF(EV_Data4[[#This Row],[range_miles]]&gt;=350,"Long-Range",IF(EV_Data4[[#This Row],[range_miles]]&gt;=250,"Medium-Range","Short-Range"))</f>
        <v>Medium-Range</v>
      </c>
      <c r="AE100" t="str">
        <f>IF(EV_Data4[[#This Row],[charging_speed_kw]]&gt;=250,"Ultra-Fast",IF(EV_Data4[[#This Row],[charging_speed_kw]]&gt;=150,"Fast-Charging","Standard-Charging"))</f>
        <v>Ultra-Fast</v>
      </c>
      <c r="AF100" t="str">
        <f>IF(EV_Data4[[#This Row],[acceleration_0_60_mph]]&lt;=3,"SportsPerformance",IF(EV_Data4[[#This Row],[acceleration_0_60_mph]]&lt;=5,"HighPerformance","Standard"))</f>
        <v>HighPerformance</v>
      </c>
      <c r="AG100" t="str">
        <f>IF(EV_Data4[[#This Row],[customer_rating]]&gt;=4.5,"Excellent",IF(EV_Data4[[#This Row],[customer_rating]]&gt;=3.5,"Good","Average"))</f>
        <v>Good</v>
      </c>
      <c r="AH100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01" spans="1:34" x14ac:dyDescent="0.3">
      <c r="A101" t="s">
        <v>46</v>
      </c>
      <c r="B101" t="s">
        <v>72</v>
      </c>
      <c r="C101">
        <v>2024</v>
      </c>
      <c r="D101" t="s">
        <v>26</v>
      </c>
      <c r="E101" s="3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48</v>
      </c>
      <c r="N101">
        <v>5</v>
      </c>
      <c r="O101" t="s">
        <v>28</v>
      </c>
      <c r="P101">
        <v>59.7</v>
      </c>
      <c r="Q101">
        <v>2270</v>
      </c>
      <c r="R101">
        <v>3</v>
      </c>
      <c r="S101">
        <v>3</v>
      </c>
      <c r="T101" t="s">
        <v>41</v>
      </c>
      <c r="U101" t="s">
        <v>30</v>
      </c>
      <c r="V101" s="3">
        <v>234160</v>
      </c>
      <c r="W101">
        <v>3.91</v>
      </c>
      <c r="X101">
        <v>6</v>
      </c>
      <c r="Y101" s="1">
        <f>EV_Data4[[#This Row],[range_miles]]/EV_Data4[[#This Row],[battery_capacity_kwh]]</f>
        <v>3.172043010752688</v>
      </c>
      <c r="Z101" s="4">
        <f>EV_Data4[[#This Row],[price_usd]]/EV_Data4[[#This Row],[range_miles]]</f>
        <v>603.20030508474576</v>
      </c>
      <c r="AA101" s="2">
        <f>(EV_Data4[[#This Row],[customer_rating]]*EV_Data4[[#This Row],[safety_rating]]*1000)/EV_Data4[[#This Row],[price_usd]]</f>
        <v>6.5919581819210746E-2</v>
      </c>
      <c r="AB101">
        <f>EV_Data4[[#This Row],[horsepower]]+EV_Data4[[#This Row],[torque_nm]]/EV_Data4[[#This Row],[acceleration_0_60_mph]]</f>
        <v>1229.0237467018469</v>
      </c>
      <c r="AC101" t="str">
        <f>IF(EV_Data4[[#This Row],[price_usd]]&gt;=80000,"Luxury",IF(EV_Data4[[#This Row],[price_usd]]&gt;=40000,"Mid-Range","Budget"))</f>
        <v>Luxury</v>
      </c>
      <c r="AD101" t="str">
        <f>IF(EV_Data4[[#This Row],[range_miles]]&gt;=350,"Long-Range",IF(EV_Data4[[#This Row],[range_miles]]&gt;=250,"Medium-Range","Short-Range"))</f>
        <v>Medium-Range</v>
      </c>
      <c r="AE101" t="str">
        <f>IF(EV_Data4[[#This Row],[charging_speed_kw]]&gt;=250,"Ultra-Fast",IF(EV_Data4[[#This Row],[charging_speed_kw]]&gt;=150,"Fast-Charging","Standard-Charging"))</f>
        <v>Ultra-Fast</v>
      </c>
      <c r="AF101" t="str">
        <f>IF(EV_Data4[[#This Row],[acceleration_0_60_mph]]&lt;=3,"SportsPerformance",IF(EV_Data4[[#This Row],[acceleration_0_60_mph]]&lt;=5,"HighPerformance","Standard"))</f>
        <v>HighPerformance</v>
      </c>
      <c r="AG101" t="str">
        <f>IF(EV_Data4[[#This Row],[customer_rating]]&gt;=4.5,"Excellent",IF(EV_Data4[[#This Row],[customer_rating]]&gt;=3.5,"Good","Average"))</f>
        <v>Good</v>
      </c>
      <c r="AH101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02" spans="1:34" x14ac:dyDescent="0.3">
      <c r="A102" t="s">
        <v>46</v>
      </c>
      <c r="B102" t="s">
        <v>72</v>
      </c>
      <c r="C102">
        <v>2024</v>
      </c>
      <c r="D102" t="s">
        <v>56</v>
      </c>
      <c r="E102" s="3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27</v>
      </c>
      <c r="N102">
        <v>7</v>
      </c>
      <c r="O102" t="s">
        <v>28</v>
      </c>
      <c r="P102">
        <v>63.9</v>
      </c>
      <c r="Q102">
        <v>2448</v>
      </c>
      <c r="R102">
        <v>4</v>
      </c>
      <c r="S102">
        <v>2</v>
      </c>
      <c r="T102" t="s">
        <v>41</v>
      </c>
      <c r="U102" t="s">
        <v>37</v>
      </c>
      <c r="V102" s="3">
        <v>228933</v>
      </c>
      <c r="W102">
        <v>3.44</v>
      </c>
      <c r="X102">
        <v>5</v>
      </c>
      <c r="Y102" s="1">
        <f>EV_Data4[[#This Row],[range_miles]]/EV_Data4[[#This Row],[battery_capacity_kwh]]</f>
        <v>3.4</v>
      </c>
      <c r="Z102" s="4">
        <f>EV_Data4[[#This Row],[price_usd]]/EV_Data4[[#This Row],[range_miles]]</f>
        <v>251.96584033613448</v>
      </c>
      <c r="AA102" s="2">
        <f>(EV_Data4[[#This Row],[customer_rating]]*EV_Data4[[#This Row],[safety_rating]]*1000)/EV_Data4[[#This Row],[price_usd]]</f>
        <v>0.22945620713225265</v>
      </c>
      <c r="AB102">
        <f>EV_Data4[[#This Row],[horsepower]]+EV_Data4[[#This Row],[torque_nm]]/EV_Data4[[#This Row],[acceleration_0_60_mph]]</f>
        <v>459.41221374045801</v>
      </c>
      <c r="AC102" t="str">
        <f>IF(EV_Data4[[#This Row],[price_usd]]&gt;=80000,"Luxury",IF(EV_Data4[[#This Row],[price_usd]]&gt;=40000,"Mid-Range","Budget"))</f>
        <v>Mid-Range</v>
      </c>
      <c r="AD102" t="str">
        <f>IF(EV_Data4[[#This Row],[range_miles]]&gt;=350,"Long-Range",IF(EV_Data4[[#This Row],[range_miles]]&gt;=250,"Medium-Range","Short-Range"))</f>
        <v>Short-Range</v>
      </c>
      <c r="AE102" t="str">
        <f>IF(EV_Data4[[#This Row],[charging_speed_kw]]&gt;=250,"Ultra-Fast",IF(EV_Data4[[#This Row],[charging_speed_kw]]&gt;=150,"Fast-Charging","Standard-Charging"))</f>
        <v>Fast-Charging</v>
      </c>
      <c r="AF102" t="str">
        <f>IF(EV_Data4[[#This Row],[acceleration_0_60_mph]]&lt;=3,"SportsPerformance",IF(EV_Data4[[#This Row],[acceleration_0_60_mph]]&lt;=5,"HighPerformance","Standard"))</f>
        <v>Standard</v>
      </c>
      <c r="AG102" t="str">
        <f>IF(EV_Data4[[#This Row],[customer_rating]]&gt;=4.5,"Excellent",IF(EV_Data4[[#This Row],[customer_rating]]&gt;=3.5,"Good","Average"))</f>
        <v>Average</v>
      </c>
      <c r="AH10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3" spans="1:34" x14ac:dyDescent="0.3">
      <c r="A103" t="s">
        <v>83</v>
      </c>
      <c r="B103" t="s">
        <v>104</v>
      </c>
      <c r="C103">
        <v>2024</v>
      </c>
      <c r="D103" t="s">
        <v>26</v>
      </c>
      <c r="E103" s="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48</v>
      </c>
      <c r="N103">
        <v>5</v>
      </c>
      <c r="O103" t="s">
        <v>50</v>
      </c>
      <c r="P103">
        <v>34.200000000000003</v>
      </c>
      <c r="Q103">
        <v>1588</v>
      </c>
      <c r="R103">
        <v>5</v>
      </c>
      <c r="S103">
        <v>1</v>
      </c>
      <c r="T103" t="s">
        <v>29</v>
      </c>
      <c r="U103" t="s">
        <v>33</v>
      </c>
      <c r="V103" s="3">
        <v>33561</v>
      </c>
      <c r="W103">
        <v>3.47</v>
      </c>
      <c r="X103">
        <v>7</v>
      </c>
      <c r="Y103" s="1">
        <f>EV_Data4[[#This Row],[range_miles]]/EV_Data4[[#This Row],[battery_capacity_kwh]]</f>
        <v>3.670374115267947</v>
      </c>
      <c r="Z103" s="4">
        <f>EV_Data4[[#This Row],[price_usd]]/EV_Data4[[#This Row],[range_miles]]</f>
        <v>231.75192837465565</v>
      </c>
      <c r="AA103" s="2">
        <f>(EV_Data4[[#This Row],[customer_rating]]*EV_Data4[[#This Row],[safety_rating]]*1000)/EV_Data4[[#This Row],[price_usd]]</f>
        <v>0.20623838423221372</v>
      </c>
      <c r="AB103">
        <f>EV_Data4[[#This Row],[horsepower]]+EV_Data4[[#This Row],[torque_nm]]/EV_Data4[[#This Row],[acceleration_0_60_mph]]</f>
        <v>797.29411764705878</v>
      </c>
      <c r="AC103" t="str">
        <f>IF(EV_Data4[[#This Row],[price_usd]]&gt;=80000,"Luxury",IF(EV_Data4[[#This Row],[price_usd]]&gt;=40000,"Mid-Range","Budget"))</f>
        <v>Luxury</v>
      </c>
      <c r="AD103" t="str">
        <f>IF(EV_Data4[[#This Row],[range_miles]]&gt;=350,"Long-Range",IF(EV_Data4[[#This Row],[range_miles]]&gt;=250,"Medium-Range","Short-Range"))</f>
        <v>Long-Range</v>
      </c>
      <c r="AE103" t="str">
        <f>IF(EV_Data4[[#This Row],[charging_speed_kw]]&gt;=250,"Ultra-Fast",IF(EV_Data4[[#This Row],[charging_speed_kw]]&gt;=150,"Fast-Charging","Standard-Charging"))</f>
        <v>Fast-Charging</v>
      </c>
      <c r="AF103" t="str">
        <f>IF(EV_Data4[[#This Row],[acceleration_0_60_mph]]&lt;=3,"SportsPerformance",IF(EV_Data4[[#This Row],[acceleration_0_60_mph]]&lt;=5,"HighPerformance","Standard"))</f>
        <v>HighPerformance</v>
      </c>
      <c r="AG103" t="str">
        <f>IF(EV_Data4[[#This Row],[customer_rating]]&gt;=4.5,"Excellent",IF(EV_Data4[[#This Row],[customer_rating]]&gt;=3.5,"Good","Average"))</f>
        <v>Average</v>
      </c>
      <c r="AH10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4" spans="1:34" x14ac:dyDescent="0.3">
      <c r="A104" t="s">
        <v>63</v>
      </c>
      <c r="B104" t="s">
        <v>107</v>
      </c>
      <c r="C104">
        <v>2022</v>
      </c>
      <c r="D104" t="s">
        <v>61</v>
      </c>
      <c r="E104" s="3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27</v>
      </c>
      <c r="N104">
        <v>5</v>
      </c>
      <c r="O104" t="s">
        <v>28</v>
      </c>
      <c r="P104">
        <v>51.2</v>
      </c>
      <c r="Q104">
        <v>2894</v>
      </c>
      <c r="R104">
        <v>4</v>
      </c>
      <c r="S104">
        <v>0</v>
      </c>
      <c r="T104" t="s">
        <v>65</v>
      </c>
      <c r="U104" t="s">
        <v>37</v>
      </c>
      <c r="V104" s="3">
        <v>192045</v>
      </c>
      <c r="W104">
        <v>3.31</v>
      </c>
      <c r="X104">
        <v>5</v>
      </c>
      <c r="Y104" s="1">
        <f>EV_Data4[[#This Row],[range_miles]]/EV_Data4[[#This Row],[battery_capacity_kwh]]</f>
        <v>3.6952380952380954</v>
      </c>
      <c r="Z104" s="4">
        <f>EV_Data4[[#This Row],[price_usd]]/EV_Data4[[#This Row],[range_miles]]</f>
        <v>193.37845360824741</v>
      </c>
      <c r="AA104" s="2">
        <f>(EV_Data4[[#This Row],[customer_rating]]*EV_Data4[[#This Row],[safety_rating]]*1000)/EV_Data4[[#This Row],[price_usd]]</f>
        <v>0.35292154532722814</v>
      </c>
      <c r="AB104">
        <f>EV_Data4[[#This Row],[horsepower]]+EV_Data4[[#This Row],[torque_nm]]/EV_Data4[[#This Row],[acceleration_0_60_mph]]</f>
        <v>400.7313997477932</v>
      </c>
      <c r="AC104" t="str">
        <f>IF(EV_Data4[[#This Row],[price_usd]]&gt;=80000,"Luxury",IF(EV_Data4[[#This Row],[price_usd]]&gt;=40000,"Mid-Range","Budget"))</f>
        <v>Budget</v>
      </c>
      <c r="AD104" t="str">
        <f>IF(EV_Data4[[#This Row],[range_miles]]&gt;=350,"Long-Range",IF(EV_Data4[[#This Row],[range_miles]]&gt;=250,"Medium-Range","Short-Range"))</f>
        <v>Short-Range</v>
      </c>
      <c r="AE104" t="str">
        <f>IF(EV_Data4[[#This Row],[charging_speed_kw]]&gt;=250,"Ultra-Fast",IF(EV_Data4[[#This Row],[charging_speed_kw]]&gt;=150,"Fast-Charging","Standard-Charging"))</f>
        <v>Standard-Charging</v>
      </c>
      <c r="AF104" t="str">
        <f>IF(EV_Data4[[#This Row],[acceleration_0_60_mph]]&lt;=3,"SportsPerformance",IF(EV_Data4[[#This Row],[acceleration_0_60_mph]]&lt;=5,"HighPerformance","Standard"))</f>
        <v>Standard</v>
      </c>
      <c r="AG104" t="str">
        <f>IF(EV_Data4[[#This Row],[customer_rating]]&gt;=4.5,"Excellent",IF(EV_Data4[[#This Row],[customer_rating]]&gt;=3.5,"Good","Average"))</f>
        <v>Average</v>
      </c>
      <c r="AH10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5" spans="1:34" x14ac:dyDescent="0.3">
      <c r="A105" t="s">
        <v>68</v>
      </c>
      <c r="B105" t="s">
        <v>69</v>
      </c>
      <c r="C105">
        <v>2022</v>
      </c>
      <c r="D105" t="s">
        <v>44</v>
      </c>
      <c r="E105" s="3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48</v>
      </c>
      <c r="N105">
        <v>7</v>
      </c>
      <c r="O105" t="s">
        <v>51</v>
      </c>
      <c r="P105">
        <v>32.6</v>
      </c>
      <c r="Q105">
        <v>1784</v>
      </c>
      <c r="R105">
        <v>4</v>
      </c>
      <c r="S105">
        <v>1</v>
      </c>
      <c r="T105" t="s">
        <v>45</v>
      </c>
      <c r="U105" t="s">
        <v>33</v>
      </c>
      <c r="V105" s="3">
        <v>95418</v>
      </c>
      <c r="W105">
        <v>3.69</v>
      </c>
      <c r="X105">
        <v>4</v>
      </c>
      <c r="Y105" s="1">
        <f>EV_Data4[[#This Row],[range_miles]]/EV_Data4[[#This Row],[battery_capacity_kwh]]</f>
        <v>3.6396724294813465</v>
      </c>
      <c r="Z105" s="4">
        <f>EV_Data4[[#This Row],[price_usd]]/EV_Data4[[#This Row],[range_miles]]</f>
        <v>211.28404999999998</v>
      </c>
      <c r="AA105" s="2">
        <f>(EV_Data4[[#This Row],[customer_rating]]*EV_Data4[[#This Row],[safety_rating]]*1000)/EV_Data4[[#This Row],[price_usd]]</f>
        <v>0.1746464061059034</v>
      </c>
      <c r="AB105">
        <f>EV_Data4[[#This Row],[horsepower]]+EV_Data4[[#This Row],[torque_nm]]/EV_Data4[[#This Row],[acceleration_0_60_mph]]</f>
        <v>1154.2517006802721</v>
      </c>
      <c r="AC105" t="str">
        <f>IF(EV_Data4[[#This Row],[price_usd]]&gt;=80000,"Luxury",IF(EV_Data4[[#This Row],[price_usd]]&gt;=40000,"Mid-Range","Budget"))</f>
        <v>Luxury</v>
      </c>
      <c r="AD105" t="str">
        <f>IF(EV_Data4[[#This Row],[range_miles]]&gt;=350,"Long-Range",IF(EV_Data4[[#This Row],[range_miles]]&gt;=250,"Medium-Range","Short-Range"))</f>
        <v>Long-Range</v>
      </c>
      <c r="AE105" t="str">
        <f>IF(EV_Data4[[#This Row],[charging_speed_kw]]&gt;=250,"Ultra-Fast",IF(EV_Data4[[#This Row],[charging_speed_kw]]&gt;=150,"Fast-Charging","Standard-Charging"))</f>
        <v>Standard-Charging</v>
      </c>
      <c r="AF105" t="str">
        <f>IF(EV_Data4[[#This Row],[acceleration_0_60_mph]]&lt;=3,"SportsPerformance",IF(EV_Data4[[#This Row],[acceleration_0_60_mph]]&lt;=5,"HighPerformance","Standard"))</f>
        <v>Standard</v>
      </c>
      <c r="AG105" t="str">
        <f>IF(EV_Data4[[#This Row],[customer_rating]]&gt;=4.5,"Excellent",IF(EV_Data4[[#This Row],[customer_rating]]&gt;=3.5,"Good","Average"))</f>
        <v>Good</v>
      </c>
      <c r="AH10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6" spans="1:34" x14ac:dyDescent="0.3">
      <c r="A106" t="s">
        <v>86</v>
      </c>
      <c r="B106" t="s">
        <v>108</v>
      </c>
      <c r="C106">
        <v>2025</v>
      </c>
      <c r="D106" t="s">
        <v>33</v>
      </c>
      <c r="E106" s="3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48</v>
      </c>
      <c r="N106">
        <v>7</v>
      </c>
      <c r="O106" t="s">
        <v>40</v>
      </c>
      <c r="P106">
        <v>67.099999999999994</v>
      </c>
      <c r="Q106">
        <v>1500</v>
      </c>
      <c r="R106">
        <v>5</v>
      </c>
      <c r="S106">
        <v>1</v>
      </c>
      <c r="T106" t="s">
        <v>29</v>
      </c>
      <c r="U106" t="s">
        <v>33</v>
      </c>
      <c r="V106" s="3">
        <v>43236</v>
      </c>
      <c r="W106">
        <v>3.38</v>
      </c>
      <c r="X106">
        <v>7</v>
      </c>
      <c r="Y106" s="1">
        <f>EV_Data4[[#This Row],[range_miles]]/EV_Data4[[#This Row],[battery_capacity_kwh]]</f>
        <v>3.4841628959276019</v>
      </c>
      <c r="Z106" s="4">
        <f>EV_Data4[[#This Row],[price_usd]]/EV_Data4[[#This Row],[range_miles]]</f>
        <v>347.80545454545455</v>
      </c>
      <c r="AA106" s="2">
        <f>(EV_Data4[[#This Row],[customer_rating]]*EV_Data4[[#This Row],[safety_rating]]*1000)/EV_Data4[[#This Row],[price_usd]]</f>
        <v>0.21034797529494148</v>
      </c>
      <c r="AB106">
        <f>EV_Data4[[#This Row],[horsepower]]+EV_Data4[[#This Row],[torque_nm]]/EV_Data4[[#This Row],[acceleration_0_60_mph]]</f>
        <v>527.77076411960138</v>
      </c>
      <c r="AC106" t="str">
        <f>IF(EV_Data4[[#This Row],[price_usd]]&gt;=80000,"Luxury",IF(EV_Data4[[#This Row],[price_usd]]&gt;=40000,"Mid-Range","Budget"))</f>
        <v>Luxury</v>
      </c>
      <c r="AD106" t="str">
        <f>IF(EV_Data4[[#This Row],[range_miles]]&gt;=350,"Long-Range",IF(EV_Data4[[#This Row],[range_miles]]&gt;=250,"Medium-Range","Short-Range"))</f>
        <v>Short-Range</v>
      </c>
      <c r="AE106" t="str">
        <f>IF(EV_Data4[[#This Row],[charging_speed_kw]]&gt;=250,"Ultra-Fast",IF(EV_Data4[[#This Row],[charging_speed_kw]]&gt;=150,"Fast-Charging","Standard-Charging"))</f>
        <v>Standard-Charging</v>
      </c>
      <c r="AF106" t="str">
        <f>IF(EV_Data4[[#This Row],[acceleration_0_60_mph]]&lt;=3,"SportsPerformance",IF(EV_Data4[[#This Row],[acceleration_0_60_mph]]&lt;=5,"HighPerformance","Standard"))</f>
        <v>Standard</v>
      </c>
      <c r="AG106" t="str">
        <f>IF(EV_Data4[[#This Row],[customer_rating]]&gt;=4.5,"Excellent",IF(EV_Data4[[#This Row],[customer_rating]]&gt;=3.5,"Good","Average"))</f>
        <v>Average</v>
      </c>
      <c r="AH10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7" spans="1:34" x14ac:dyDescent="0.3">
      <c r="A107" t="s">
        <v>63</v>
      </c>
      <c r="B107" t="s">
        <v>82</v>
      </c>
      <c r="C107">
        <v>2025</v>
      </c>
      <c r="D107" t="s">
        <v>56</v>
      </c>
      <c r="E107" s="3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34</v>
      </c>
      <c r="N107">
        <v>5</v>
      </c>
      <c r="O107" t="s">
        <v>58</v>
      </c>
      <c r="P107">
        <v>30.5</v>
      </c>
      <c r="Q107">
        <v>1500</v>
      </c>
      <c r="R107">
        <v>3</v>
      </c>
      <c r="S107">
        <v>0</v>
      </c>
      <c r="T107" t="s">
        <v>65</v>
      </c>
      <c r="U107" t="s">
        <v>33</v>
      </c>
      <c r="V107" s="3">
        <v>114789</v>
      </c>
      <c r="W107">
        <v>3.65</v>
      </c>
      <c r="X107">
        <v>3</v>
      </c>
      <c r="Y107" s="1">
        <f>EV_Data4[[#This Row],[range_miles]]/EV_Data4[[#This Row],[battery_capacity_kwh]]</f>
        <v>4.0317919075144504</v>
      </c>
      <c r="Z107" s="4">
        <f>EV_Data4[[#This Row],[price_usd]]/EV_Data4[[#This Row],[range_miles]]</f>
        <v>271.49774193548387</v>
      </c>
      <c r="AA107" s="2">
        <f>(EV_Data4[[#This Row],[customer_rating]]*EV_Data4[[#This Row],[safety_rating]]*1000)/EV_Data4[[#This Row],[price_usd]]</f>
        <v>0.14455852025938157</v>
      </c>
      <c r="AB107">
        <f>EV_Data4[[#This Row],[horsepower]]+EV_Data4[[#This Row],[torque_nm]]/EV_Data4[[#This Row],[acceleration_0_60_mph]]</f>
        <v>931.45161290322585</v>
      </c>
      <c r="AC107" t="str">
        <f>IF(EV_Data4[[#This Row],[price_usd]]&gt;=80000,"Luxury",IF(EV_Data4[[#This Row],[price_usd]]&gt;=40000,"Mid-Range","Budget"))</f>
        <v>Mid-Range</v>
      </c>
      <c r="AD107" t="str">
        <f>IF(EV_Data4[[#This Row],[range_miles]]&gt;=350,"Long-Range",IF(EV_Data4[[#This Row],[range_miles]]&gt;=250,"Medium-Range","Short-Range"))</f>
        <v>Medium-Range</v>
      </c>
      <c r="AE107" t="str">
        <f>IF(EV_Data4[[#This Row],[charging_speed_kw]]&gt;=250,"Ultra-Fast",IF(EV_Data4[[#This Row],[charging_speed_kw]]&gt;=150,"Fast-Charging","Standard-Charging"))</f>
        <v>Standard-Charging</v>
      </c>
      <c r="AF107" t="str">
        <f>IF(EV_Data4[[#This Row],[acceleration_0_60_mph]]&lt;=3,"SportsPerformance",IF(EV_Data4[[#This Row],[acceleration_0_60_mph]]&lt;=5,"HighPerformance","Standard"))</f>
        <v>Standard</v>
      </c>
      <c r="AG107" t="str">
        <f>IF(EV_Data4[[#This Row],[customer_rating]]&gt;=4.5,"Excellent",IF(EV_Data4[[#This Row],[customer_rating]]&gt;=3.5,"Good","Average"))</f>
        <v>Good</v>
      </c>
      <c r="AH10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8" spans="1:34" x14ac:dyDescent="0.3">
      <c r="A108" t="s">
        <v>24</v>
      </c>
      <c r="B108" t="s">
        <v>85</v>
      </c>
      <c r="C108">
        <v>2024</v>
      </c>
      <c r="D108" t="s">
        <v>26</v>
      </c>
      <c r="E108" s="3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34</v>
      </c>
      <c r="N108">
        <v>5</v>
      </c>
      <c r="O108" t="s">
        <v>40</v>
      </c>
      <c r="P108">
        <v>75.099999999999994</v>
      </c>
      <c r="Q108">
        <v>1780</v>
      </c>
      <c r="R108">
        <v>3</v>
      </c>
      <c r="S108">
        <v>0</v>
      </c>
      <c r="T108" t="s">
        <v>29</v>
      </c>
      <c r="U108" t="s">
        <v>37</v>
      </c>
      <c r="V108" s="3">
        <v>263009</v>
      </c>
      <c r="W108">
        <v>3.76</v>
      </c>
      <c r="X108">
        <v>5</v>
      </c>
      <c r="Y108" s="1">
        <f>EV_Data4[[#This Row],[range_miles]]/EV_Data4[[#This Row],[battery_capacity_kwh]]</f>
        <v>3.4689725330620549</v>
      </c>
      <c r="Z108" s="4">
        <f>EV_Data4[[#This Row],[price_usd]]/EV_Data4[[#This Row],[range_miles]]</f>
        <v>146.91346041055718</v>
      </c>
      <c r="AA108" s="2">
        <f>(EV_Data4[[#This Row],[customer_rating]]*EV_Data4[[#This Row],[safety_rating]]*1000)/EV_Data4[[#This Row],[price_usd]]</f>
        <v>0.22516098111901414</v>
      </c>
      <c r="AB108">
        <f>EV_Data4[[#This Row],[horsepower]]+EV_Data4[[#This Row],[torque_nm]]/EV_Data4[[#This Row],[acceleration_0_60_mph]]</f>
        <v>564.31541218637994</v>
      </c>
      <c r="AC108" t="str">
        <f>IF(EV_Data4[[#This Row],[price_usd]]&gt;=80000,"Luxury",IF(EV_Data4[[#This Row],[price_usd]]&gt;=40000,"Mid-Range","Budget"))</f>
        <v>Mid-Range</v>
      </c>
      <c r="AD108" t="str">
        <f>IF(EV_Data4[[#This Row],[range_miles]]&gt;=350,"Long-Range",IF(EV_Data4[[#This Row],[range_miles]]&gt;=250,"Medium-Range","Short-Range"))</f>
        <v>Medium-Range</v>
      </c>
      <c r="AE108" t="str">
        <f>IF(EV_Data4[[#This Row],[charging_speed_kw]]&gt;=250,"Ultra-Fast",IF(EV_Data4[[#This Row],[charging_speed_kw]]&gt;=150,"Fast-Charging","Standard-Charging"))</f>
        <v>Fast-Charging</v>
      </c>
      <c r="AF108" t="str">
        <f>IF(EV_Data4[[#This Row],[acceleration_0_60_mph]]&lt;=3,"SportsPerformance",IF(EV_Data4[[#This Row],[acceleration_0_60_mph]]&lt;=5,"HighPerformance","Standard"))</f>
        <v>SportsPerformance</v>
      </c>
      <c r="AG108" t="str">
        <f>IF(EV_Data4[[#This Row],[customer_rating]]&gt;=4.5,"Excellent",IF(EV_Data4[[#This Row],[customer_rating]]&gt;=3.5,"Good","Average"))</f>
        <v>Good</v>
      </c>
      <c r="AH10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9" spans="1:34" x14ac:dyDescent="0.3">
      <c r="A109" t="s">
        <v>38</v>
      </c>
      <c r="B109" t="s">
        <v>101</v>
      </c>
      <c r="C109">
        <v>2024</v>
      </c>
      <c r="D109" t="s">
        <v>33</v>
      </c>
      <c r="E109" s="3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48</v>
      </c>
      <c r="N109">
        <v>7</v>
      </c>
      <c r="O109" t="s">
        <v>28</v>
      </c>
      <c r="P109">
        <v>60.3</v>
      </c>
      <c r="Q109">
        <v>2572</v>
      </c>
      <c r="R109">
        <v>4</v>
      </c>
      <c r="S109">
        <v>1</v>
      </c>
      <c r="T109" t="s">
        <v>41</v>
      </c>
      <c r="U109" t="s">
        <v>37</v>
      </c>
      <c r="V109" s="3">
        <v>1211</v>
      </c>
      <c r="W109">
        <v>3.34</v>
      </c>
      <c r="X109">
        <v>3</v>
      </c>
      <c r="Y109" s="1">
        <f>EV_Data4[[#This Row],[range_miles]]/EV_Data4[[#This Row],[battery_capacity_kwh]]</f>
        <v>3.5768261964735513</v>
      </c>
      <c r="Z109" s="4">
        <f>EV_Data4[[#This Row],[price_usd]]/EV_Data4[[#This Row],[range_miles]]</f>
        <v>153.76154929577464</v>
      </c>
      <c r="AA109" s="2">
        <f>(EV_Data4[[#This Row],[customer_rating]]*EV_Data4[[#This Row],[safety_rating]]*1000)/EV_Data4[[#This Row],[price_usd]]</f>
        <v>0.30594289493426352</v>
      </c>
      <c r="AB109">
        <f>EV_Data4[[#This Row],[horsepower]]+EV_Data4[[#This Row],[torque_nm]]/EV_Data4[[#This Row],[acceleration_0_60_mph]]</f>
        <v>513.05121638924459</v>
      </c>
      <c r="AC109" t="str">
        <f>IF(EV_Data4[[#This Row],[price_usd]]&gt;=80000,"Luxury",IF(EV_Data4[[#This Row],[price_usd]]&gt;=40000,"Mid-Range","Budget"))</f>
        <v>Mid-Range</v>
      </c>
      <c r="AD109" t="str">
        <f>IF(EV_Data4[[#This Row],[range_miles]]&gt;=350,"Long-Range",IF(EV_Data4[[#This Row],[range_miles]]&gt;=250,"Medium-Range","Short-Range"))</f>
        <v>Medium-Range</v>
      </c>
      <c r="AE109" t="str">
        <f>IF(EV_Data4[[#This Row],[charging_speed_kw]]&gt;=250,"Ultra-Fast",IF(EV_Data4[[#This Row],[charging_speed_kw]]&gt;=150,"Fast-Charging","Standard-Charging"))</f>
        <v>Standard-Charging</v>
      </c>
      <c r="AF109" t="str">
        <f>IF(EV_Data4[[#This Row],[acceleration_0_60_mph]]&lt;=3,"SportsPerformance",IF(EV_Data4[[#This Row],[acceleration_0_60_mph]]&lt;=5,"HighPerformance","Standard"))</f>
        <v>Standard</v>
      </c>
      <c r="AG109" t="str">
        <f>IF(EV_Data4[[#This Row],[customer_rating]]&gt;=4.5,"Excellent",IF(EV_Data4[[#This Row],[customer_rating]]&gt;=3.5,"Good","Average"))</f>
        <v>Average</v>
      </c>
      <c r="AH10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0" spans="1:34" x14ac:dyDescent="0.3">
      <c r="A110" t="s">
        <v>63</v>
      </c>
      <c r="B110" t="s">
        <v>107</v>
      </c>
      <c r="C110">
        <v>2025</v>
      </c>
      <c r="D110" t="s">
        <v>44</v>
      </c>
      <c r="E110" s="3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27</v>
      </c>
      <c r="N110">
        <v>7</v>
      </c>
      <c r="O110" t="s">
        <v>35</v>
      </c>
      <c r="P110">
        <v>62.5</v>
      </c>
      <c r="Q110">
        <v>1726</v>
      </c>
      <c r="R110">
        <v>5</v>
      </c>
      <c r="S110">
        <v>1</v>
      </c>
      <c r="T110" t="s">
        <v>65</v>
      </c>
      <c r="U110" t="s">
        <v>37</v>
      </c>
      <c r="V110" s="3">
        <v>190763</v>
      </c>
      <c r="W110">
        <v>4</v>
      </c>
      <c r="X110">
        <v>3</v>
      </c>
      <c r="Y110" s="1">
        <f>EV_Data4[[#This Row],[range_miles]]/EV_Data4[[#This Row],[battery_capacity_kwh]]</f>
        <v>3.4649555774925962</v>
      </c>
      <c r="Z110" s="4">
        <f>EV_Data4[[#This Row],[price_usd]]/EV_Data4[[#This Row],[range_miles]]</f>
        <v>175.78529914529915</v>
      </c>
      <c r="AA110" s="2">
        <f>(EV_Data4[[#This Row],[customer_rating]]*EV_Data4[[#This Row],[safety_rating]]*1000)/EV_Data4[[#This Row],[price_usd]]</f>
        <v>0.32414574630020043</v>
      </c>
      <c r="AB110">
        <f>EV_Data4[[#This Row],[horsepower]]+EV_Data4[[#This Row],[torque_nm]]/EV_Data4[[#This Row],[acceleration_0_60_mph]]</f>
        <v>777.91832229580575</v>
      </c>
      <c r="AC110" t="str">
        <f>IF(EV_Data4[[#This Row],[price_usd]]&gt;=80000,"Luxury",IF(EV_Data4[[#This Row],[price_usd]]&gt;=40000,"Mid-Range","Budget"))</f>
        <v>Mid-Range</v>
      </c>
      <c r="AD110" t="str">
        <f>IF(EV_Data4[[#This Row],[range_miles]]&gt;=350,"Long-Range",IF(EV_Data4[[#This Row],[range_miles]]&gt;=250,"Medium-Range","Short-Range"))</f>
        <v>Long-Range</v>
      </c>
      <c r="AE110" t="str">
        <f>IF(EV_Data4[[#This Row],[charging_speed_kw]]&gt;=250,"Ultra-Fast",IF(EV_Data4[[#This Row],[charging_speed_kw]]&gt;=150,"Fast-Charging","Standard-Charging"))</f>
        <v>Standard-Charging</v>
      </c>
      <c r="AF110" t="str">
        <f>IF(EV_Data4[[#This Row],[acceleration_0_60_mph]]&lt;=3,"SportsPerformance",IF(EV_Data4[[#This Row],[acceleration_0_60_mph]]&lt;=5,"HighPerformance","Standard"))</f>
        <v>HighPerformance</v>
      </c>
      <c r="AG110" t="str">
        <f>IF(EV_Data4[[#This Row],[customer_rating]]&gt;=4.5,"Excellent",IF(EV_Data4[[#This Row],[customer_rating]]&gt;=3.5,"Good","Average"))</f>
        <v>Good</v>
      </c>
      <c r="AH11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1" spans="1:34" x14ac:dyDescent="0.3">
      <c r="A111" t="s">
        <v>46</v>
      </c>
      <c r="B111" t="s">
        <v>47</v>
      </c>
      <c r="C111">
        <v>2025</v>
      </c>
      <c r="D111" t="s">
        <v>33</v>
      </c>
      <c r="E111" s="3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27</v>
      </c>
      <c r="N111">
        <v>5</v>
      </c>
      <c r="O111" t="s">
        <v>35</v>
      </c>
      <c r="P111">
        <v>42.1</v>
      </c>
      <c r="Q111">
        <v>1903</v>
      </c>
      <c r="R111">
        <v>4</v>
      </c>
      <c r="S111">
        <v>2</v>
      </c>
      <c r="T111" t="s">
        <v>41</v>
      </c>
      <c r="U111" t="s">
        <v>30</v>
      </c>
      <c r="V111" s="3">
        <v>172494</v>
      </c>
      <c r="W111">
        <v>3.77</v>
      </c>
      <c r="X111">
        <v>5</v>
      </c>
      <c r="Y111" s="1">
        <f>EV_Data4[[#This Row],[range_miles]]/EV_Data4[[#This Row],[battery_capacity_kwh]]</f>
        <v>3.3722438391699097</v>
      </c>
      <c r="Z111" s="4">
        <f>EV_Data4[[#This Row],[price_usd]]/EV_Data4[[#This Row],[range_miles]]</f>
        <v>587.33126923076929</v>
      </c>
      <c r="AA111" s="2">
        <f>(EV_Data4[[#This Row],[customer_rating]]*EV_Data4[[#This Row],[safety_rating]]*1000)/EV_Data4[[#This Row],[price_usd]]</f>
        <v>9.875176589178182E-2</v>
      </c>
      <c r="AB111">
        <f>EV_Data4[[#This Row],[horsepower]]+EV_Data4[[#This Row],[torque_nm]]/EV_Data4[[#This Row],[acceleration_0_60_mph]]</f>
        <v>1129.2609351432882</v>
      </c>
      <c r="AC111" t="str">
        <f>IF(EV_Data4[[#This Row],[price_usd]]&gt;=80000,"Luxury",IF(EV_Data4[[#This Row],[price_usd]]&gt;=40000,"Mid-Range","Budget"))</f>
        <v>Luxury</v>
      </c>
      <c r="AD111" t="str">
        <f>IF(EV_Data4[[#This Row],[range_miles]]&gt;=350,"Long-Range",IF(EV_Data4[[#This Row],[range_miles]]&gt;=250,"Medium-Range","Short-Range"))</f>
        <v>Medium-Range</v>
      </c>
      <c r="AE111" t="str">
        <f>IF(EV_Data4[[#This Row],[charging_speed_kw]]&gt;=250,"Ultra-Fast",IF(EV_Data4[[#This Row],[charging_speed_kw]]&gt;=150,"Fast-Charging","Standard-Charging"))</f>
        <v>Ultra-Fast</v>
      </c>
      <c r="AF111" t="str">
        <f>IF(EV_Data4[[#This Row],[acceleration_0_60_mph]]&lt;=3,"SportsPerformance",IF(EV_Data4[[#This Row],[acceleration_0_60_mph]]&lt;=5,"HighPerformance","Standard"))</f>
        <v>Standard</v>
      </c>
      <c r="AG111" t="str">
        <f>IF(EV_Data4[[#This Row],[customer_rating]]&gt;=4.5,"Excellent",IF(EV_Data4[[#This Row],[customer_rating]]&gt;=3.5,"Good","Average"))</f>
        <v>Good</v>
      </c>
      <c r="AH11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2" spans="1:34" x14ac:dyDescent="0.3">
      <c r="A112" t="s">
        <v>63</v>
      </c>
      <c r="B112" t="s">
        <v>88</v>
      </c>
      <c r="C112">
        <v>2023</v>
      </c>
      <c r="D112" t="s">
        <v>26</v>
      </c>
      <c r="E112" s="3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48</v>
      </c>
      <c r="N112">
        <v>7</v>
      </c>
      <c r="O112" t="s">
        <v>35</v>
      </c>
      <c r="P112">
        <v>41.5</v>
      </c>
      <c r="Q112">
        <v>2379</v>
      </c>
      <c r="R112">
        <v>3</v>
      </c>
      <c r="S112">
        <v>2</v>
      </c>
      <c r="T112" t="s">
        <v>65</v>
      </c>
      <c r="U112" t="s">
        <v>66</v>
      </c>
      <c r="V112" s="3">
        <v>226324</v>
      </c>
      <c r="W112">
        <v>3.6</v>
      </c>
      <c r="X112">
        <v>3</v>
      </c>
      <c r="Y112" s="1">
        <f>EV_Data4[[#This Row],[range_miles]]/EV_Data4[[#This Row],[battery_capacity_kwh]]</f>
        <v>3.7166900420757365</v>
      </c>
      <c r="Z112" s="4">
        <f>EV_Data4[[#This Row],[price_usd]]/EV_Data4[[#This Row],[range_miles]]</f>
        <v>99.853509433962259</v>
      </c>
      <c r="AA112" s="2">
        <f>(EV_Data4[[#This Row],[customer_rating]]*EV_Data4[[#This Row],[safety_rating]]*1000)/EV_Data4[[#This Row],[price_usd]]</f>
        <v>0.40814506382557392</v>
      </c>
      <c r="AB112">
        <f>EV_Data4[[#This Row],[horsepower]]+EV_Data4[[#This Row],[torque_nm]]/EV_Data4[[#This Row],[acceleration_0_60_mph]]</f>
        <v>305.65517241379314</v>
      </c>
      <c r="AC112" t="str">
        <f>IF(EV_Data4[[#This Row],[price_usd]]&gt;=80000,"Luxury",IF(EV_Data4[[#This Row],[price_usd]]&gt;=40000,"Mid-Range","Budget"))</f>
        <v>Budget</v>
      </c>
      <c r="AD112" t="str">
        <f>IF(EV_Data4[[#This Row],[range_miles]]&gt;=350,"Long-Range",IF(EV_Data4[[#This Row],[range_miles]]&gt;=250,"Medium-Range","Short-Range"))</f>
        <v>Medium-Range</v>
      </c>
      <c r="AE112" t="str">
        <f>IF(EV_Data4[[#This Row],[charging_speed_kw]]&gt;=250,"Ultra-Fast",IF(EV_Data4[[#This Row],[charging_speed_kw]]&gt;=150,"Fast-Charging","Standard-Charging"))</f>
        <v>Fast-Charging</v>
      </c>
      <c r="AF112" t="str">
        <f>IF(EV_Data4[[#This Row],[acceleration_0_60_mph]]&lt;=3,"SportsPerformance",IF(EV_Data4[[#This Row],[acceleration_0_60_mph]]&lt;=5,"HighPerformance","Standard"))</f>
        <v>SportsPerformance</v>
      </c>
      <c r="AG112" t="str">
        <f>IF(EV_Data4[[#This Row],[customer_rating]]&gt;=4.5,"Excellent",IF(EV_Data4[[#This Row],[customer_rating]]&gt;=3.5,"Good","Average"))</f>
        <v>Good</v>
      </c>
      <c r="AH11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3" spans="1:34" x14ac:dyDescent="0.3">
      <c r="A113" t="s">
        <v>46</v>
      </c>
      <c r="B113" t="s">
        <v>47</v>
      </c>
      <c r="C113">
        <v>2026</v>
      </c>
      <c r="D113" t="s">
        <v>56</v>
      </c>
      <c r="E113" s="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27</v>
      </c>
      <c r="N113">
        <v>5</v>
      </c>
      <c r="O113" t="s">
        <v>40</v>
      </c>
      <c r="P113">
        <v>65.7</v>
      </c>
      <c r="Q113">
        <v>1500</v>
      </c>
      <c r="R113">
        <v>3</v>
      </c>
      <c r="S113">
        <v>2</v>
      </c>
      <c r="T113" t="s">
        <v>41</v>
      </c>
      <c r="U113" t="s">
        <v>37</v>
      </c>
      <c r="V113" s="3">
        <v>214895</v>
      </c>
      <c r="W113">
        <v>3.58</v>
      </c>
      <c r="X113">
        <v>5</v>
      </c>
      <c r="Y113" s="1">
        <f>EV_Data4[[#This Row],[range_miles]]/EV_Data4[[#This Row],[battery_capacity_kwh]]</f>
        <v>3.2967032967032965</v>
      </c>
      <c r="Z113" s="4">
        <f>EV_Data4[[#This Row],[price_usd]]/EV_Data4[[#This Row],[range_miles]]</f>
        <v>243.26240000000001</v>
      </c>
      <c r="AA113" s="2">
        <f>(EV_Data4[[#This Row],[customer_rating]]*EV_Data4[[#This Row],[safety_rating]]*1000)/EV_Data4[[#This Row],[price_usd]]</f>
        <v>0.29433237524582506</v>
      </c>
      <c r="AB113">
        <f>EV_Data4[[#This Row],[horsepower]]+EV_Data4[[#This Row],[torque_nm]]/EV_Data4[[#This Row],[acceleration_0_60_mph]]</f>
        <v>275.35633626097865</v>
      </c>
      <c r="AC113" t="str">
        <f>IF(EV_Data4[[#This Row],[price_usd]]&gt;=80000,"Luxury",IF(EV_Data4[[#This Row],[price_usd]]&gt;=40000,"Mid-Range","Budget"))</f>
        <v>Budget</v>
      </c>
      <c r="AD113" t="str">
        <f>IF(EV_Data4[[#This Row],[range_miles]]&gt;=350,"Long-Range",IF(EV_Data4[[#This Row],[range_miles]]&gt;=250,"Medium-Range","Short-Range"))</f>
        <v>Short-Range</v>
      </c>
      <c r="AE113" t="str">
        <f>IF(EV_Data4[[#This Row],[charging_speed_kw]]&gt;=250,"Ultra-Fast",IF(EV_Data4[[#This Row],[charging_speed_kw]]&gt;=150,"Fast-Charging","Standard-Charging"))</f>
        <v>Ultra-Fast</v>
      </c>
      <c r="AF113" t="str">
        <f>IF(EV_Data4[[#This Row],[acceleration_0_60_mph]]&lt;=3,"SportsPerformance",IF(EV_Data4[[#This Row],[acceleration_0_60_mph]]&lt;=5,"HighPerformance","Standard"))</f>
        <v>Standard</v>
      </c>
      <c r="AG113" t="str">
        <f>IF(EV_Data4[[#This Row],[customer_rating]]&gt;=4.5,"Excellent",IF(EV_Data4[[#This Row],[customer_rating]]&gt;=3.5,"Good","Average"))</f>
        <v>Good</v>
      </c>
      <c r="AH11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4" spans="1:34" x14ac:dyDescent="0.3">
      <c r="A114" t="s">
        <v>94</v>
      </c>
      <c r="B114" t="s">
        <v>95</v>
      </c>
      <c r="C114">
        <v>2021</v>
      </c>
      <c r="D114" t="s">
        <v>56</v>
      </c>
      <c r="E114" s="3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34</v>
      </c>
      <c r="N114">
        <v>5</v>
      </c>
      <c r="O114" t="s">
        <v>50</v>
      </c>
      <c r="P114">
        <v>16.8</v>
      </c>
      <c r="Q114">
        <v>1500</v>
      </c>
      <c r="R114">
        <v>5</v>
      </c>
      <c r="S114">
        <v>2</v>
      </c>
      <c r="T114" t="s">
        <v>41</v>
      </c>
      <c r="U114" t="s">
        <v>37</v>
      </c>
      <c r="V114" s="3">
        <v>7599</v>
      </c>
      <c r="W114">
        <v>3.41</v>
      </c>
      <c r="X114">
        <v>6</v>
      </c>
      <c r="Y114" s="1">
        <f>EV_Data4[[#This Row],[range_miles]]/EV_Data4[[#This Row],[battery_capacity_kwh]]</f>
        <v>3.5976331360946747</v>
      </c>
      <c r="Z114" s="4">
        <f>EV_Data4[[#This Row],[price_usd]]/EV_Data4[[#This Row],[range_miles]]</f>
        <v>200.58865131578946</v>
      </c>
      <c r="AA114" s="2">
        <f>(EV_Data4[[#This Row],[customer_rating]]*EV_Data4[[#This Row],[safety_rating]]*1000)/EV_Data4[[#This Row],[price_usd]]</f>
        <v>0.27960468325545129</v>
      </c>
      <c r="AB114">
        <f>EV_Data4[[#This Row],[horsepower]]+EV_Data4[[#This Row],[torque_nm]]/EV_Data4[[#This Row],[acceleration_0_60_mph]]</f>
        <v>180.91190108191654</v>
      </c>
      <c r="AC114" t="str">
        <f>IF(EV_Data4[[#This Row],[price_usd]]&gt;=80000,"Luxury",IF(EV_Data4[[#This Row],[price_usd]]&gt;=40000,"Mid-Range","Budget"))</f>
        <v>Mid-Range</v>
      </c>
      <c r="AD114" t="str">
        <f>IF(EV_Data4[[#This Row],[range_miles]]&gt;=350,"Long-Range",IF(EV_Data4[[#This Row],[range_miles]]&gt;=250,"Medium-Range","Short-Range"))</f>
        <v>Medium-Range</v>
      </c>
      <c r="AE114" t="str">
        <f>IF(EV_Data4[[#This Row],[charging_speed_kw]]&gt;=250,"Ultra-Fast",IF(EV_Data4[[#This Row],[charging_speed_kw]]&gt;=150,"Fast-Charging","Standard-Charging"))</f>
        <v>Standard-Charging</v>
      </c>
      <c r="AF114" t="str">
        <f>IF(EV_Data4[[#This Row],[acceleration_0_60_mph]]&lt;=3,"SportsPerformance",IF(EV_Data4[[#This Row],[acceleration_0_60_mph]]&lt;=5,"HighPerformance","Standard"))</f>
        <v>Standard</v>
      </c>
      <c r="AG114" t="str">
        <f>IF(EV_Data4[[#This Row],[customer_rating]]&gt;=4.5,"Excellent",IF(EV_Data4[[#This Row],[customer_rating]]&gt;=3.5,"Good","Average"))</f>
        <v>Average</v>
      </c>
      <c r="AH11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5" spans="1:34" x14ac:dyDescent="0.3">
      <c r="A115" t="s">
        <v>76</v>
      </c>
      <c r="B115" t="s">
        <v>91</v>
      </c>
      <c r="C115">
        <v>2025</v>
      </c>
      <c r="D115" t="s">
        <v>56</v>
      </c>
      <c r="E115" s="3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34</v>
      </c>
      <c r="N115">
        <v>4</v>
      </c>
      <c r="O115" t="s">
        <v>28</v>
      </c>
      <c r="P115">
        <v>74.099999999999994</v>
      </c>
      <c r="Q115">
        <v>2341</v>
      </c>
      <c r="R115">
        <v>4</v>
      </c>
      <c r="S115">
        <v>1</v>
      </c>
      <c r="T115" t="s">
        <v>41</v>
      </c>
      <c r="U115" t="s">
        <v>37</v>
      </c>
      <c r="V115" s="3">
        <v>44164</v>
      </c>
      <c r="W115">
        <v>3.54</v>
      </c>
      <c r="X115">
        <v>4</v>
      </c>
      <c r="Y115" s="1">
        <f>EV_Data4[[#This Row],[range_miles]]/EV_Data4[[#This Row],[battery_capacity_kwh]]</f>
        <v>3.4652114597544341</v>
      </c>
      <c r="Z115" s="4">
        <f>EV_Data4[[#This Row],[price_usd]]/EV_Data4[[#This Row],[range_miles]]</f>
        <v>226.51984251968506</v>
      </c>
      <c r="AA115" s="2">
        <f>(EV_Data4[[#This Row],[customer_rating]]*EV_Data4[[#This Row],[safety_rating]]*1000)/EV_Data4[[#This Row],[price_usd]]</f>
        <v>0.24610661421953961</v>
      </c>
      <c r="AB115">
        <f>EV_Data4[[#This Row],[horsepower]]+EV_Data4[[#This Row],[torque_nm]]/EV_Data4[[#This Row],[acceleration_0_60_mph]]</f>
        <v>690.19784656796764</v>
      </c>
      <c r="AC115" t="str">
        <f>IF(EV_Data4[[#This Row],[price_usd]]&gt;=80000,"Luxury",IF(EV_Data4[[#This Row],[price_usd]]&gt;=40000,"Mid-Range","Budget"))</f>
        <v>Mid-Range</v>
      </c>
      <c r="AD115" t="str">
        <f>IF(EV_Data4[[#This Row],[range_miles]]&gt;=350,"Long-Range",IF(EV_Data4[[#This Row],[range_miles]]&gt;=250,"Medium-Range","Short-Range"))</f>
        <v>Medium-Range</v>
      </c>
      <c r="AE115" t="str">
        <f>IF(EV_Data4[[#This Row],[charging_speed_kw]]&gt;=250,"Ultra-Fast",IF(EV_Data4[[#This Row],[charging_speed_kw]]&gt;=150,"Fast-Charging","Standard-Charging"))</f>
        <v>Standard-Charging</v>
      </c>
      <c r="AF115" t="str">
        <f>IF(EV_Data4[[#This Row],[acceleration_0_60_mph]]&lt;=3,"SportsPerformance",IF(EV_Data4[[#This Row],[acceleration_0_60_mph]]&lt;=5,"HighPerformance","Standard"))</f>
        <v>Standard</v>
      </c>
      <c r="AG115" t="str">
        <f>IF(EV_Data4[[#This Row],[customer_rating]]&gt;=4.5,"Excellent",IF(EV_Data4[[#This Row],[customer_rating]]&gt;=3.5,"Good","Average"))</f>
        <v>Good</v>
      </c>
      <c r="AH11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6" spans="1:34" x14ac:dyDescent="0.3">
      <c r="A116" t="s">
        <v>83</v>
      </c>
      <c r="B116" t="s">
        <v>89</v>
      </c>
      <c r="C116">
        <v>2025</v>
      </c>
      <c r="D116" t="s">
        <v>26</v>
      </c>
      <c r="E116" s="3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27</v>
      </c>
      <c r="N116">
        <v>7</v>
      </c>
      <c r="O116" t="s">
        <v>28</v>
      </c>
      <c r="P116">
        <v>62.6</v>
      </c>
      <c r="Q116">
        <v>2729</v>
      </c>
      <c r="R116">
        <v>5</v>
      </c>
      <c r="S116">
        <v>1</v>
      </c>
      <c r="T116" t="s">
        <v>29</v>
      </c>
      <c r="U116" t="s">
        <v>30</v>
      </c>
      <c r="V116" s="3">
        <v>48304</v>
      </c>
      <c r="W116">
        <v>3.22</v>
      </c>
      <c r="X116">
        <v>7</v>
      </c>
      <c r="Y116" s="1">
        <f>EV_Data4[[#This Row],[range_miles]]/EV_Data4[[#This Row],[battery_capacity_kwh]]</f>
        <v>3.6118980169971673</v>
      </c>
      <c r="Z116" s="4">
        <f>EV_Data4[[#This Row],[price_usd]]/EV_Data4[[#This Row],[range_miles]]</f>
        <v>638.52031372549015</v>
      </c>
      <c r="AA116" s="2">
        <f>(EV_Data4[[#This Row],[customer_rating]]*EV_Data4[[#This Row],[safety_rating]]*1000)/EV_Data4[[#This Row],[price_usd]]</f>
        <v>9.8880573639986785E-2</v>
      </c>
      <c r="AB116">
        <f>EV_Data4[[#This Row],[horsepower]]+EV_Data4[[#This Row],[torque_nm]]/EV_Data4[[#This Row],[acceleration_0_60_mph]]</f>
        <v>1314.1304347826087</v>
      </c>
      <c r="AC116" t="str">
        <f>IF(EV_Data4[[#This Row],[price_usd]]&gt;=80000,"Luxury",IF(EV_Data4[[#This Row],[price_usd]]&gt;=40000,"Mid-Range","Budget"))</f>
        <v>Luxury</v>
      </c>
      <c r="AD116" t="str">
        <f>IF(EV_Data4[[#This Row],[range_miles]]&gt;=350,"Long-Range",IF(EV_Data4[[#This Row],[range_miles]]&gt;=250,"Medium-Range","Short-Range"))</f>
        <v>Medium-Range</v>
      </c>
      <c r="AE116" t="str">
        <f>IF(EV_Data4[[#This Row],[charging_speed_kw]]&gt;=250,"Ultra-Fast",IF(EV_Data4[[#This Row],[charging_speed_kw]]&gt;=150,"Fast-Charging","Standard-Charging"))</f>
        <v>Fast-Charging</v>
      </c>
      <c r="AF116" t="str">
        <f>IF(EV_Data4[[#This Row],[acceleration_0_60_mph]]&lt;=3,"SportsPerformance",IF(EV_Data4[[#This Row],[acceleration_0_60_mph]]&lt;=5,"HighPerformance","Standard"))</f>
        <v>SportsPerformance</v>
      </c>
      <c r="AG116" t="str">
        <f>IF(EV_Data4[[#This Row],[customer_rating]]&gt;=4.5,"Excellent",IF(EV_Data4[[#This Row],[customer_rating]]&gt;=3.5,"Good","Average"))</f>
        <v>Average</v>
      </c>
      <c r="AH11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7" spans="1:34" x14ac:dyDescent="0.3">
      <c r="A117" t="s">
        <v>52</v>
      </c>
      <c r="B117" t="s">
        <v>62</v>
      </c>
      <c r="C117">
        <v>2023</v>
      </c>
      <c r="D117" t="s">
        <v>44</v>
      </c>
      <c r="E117" s="3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27</v>
      </c>
      <c r="N117">
        <v>5</v>
      </c>
      <c r="O117" t="s">
        <v>51</v>
      </c>
      <c r="P117">
        <v>27.2</v>
      </c>
      <c r="Q117">
        <v>1540</v>
      </c>
      <c r="R117">
        <v>4</v>
      </c>
      <c r="S117">
        <v>1</v>
      </c>
      <c r="T117" t="s">
        <v>29</v>
      </c>
      <c r="U117" t="s">
        <v>30</v>
      </c>
      <c r="V117" s="3">
        <v>50822</v>
      </c>
      <c r="W117">
        <v>3.77</v>
      </c>
      <c r="X117">
        <v>6</v>
      </c>
      <c r="Y117" s="1">
        <f>EV_Data4[[#This Row],[range_miles]]/EV_Data4[[#This Row],[battery_capacity_kwh]]</f>
        <v>3.3969010727056017</v>
      </c>
      <c r="Z117" s="4">
        <f>EV_Data4[[#This Row],[price_usd]]/EV_Data4[[#This Row],[range_miles]]</f>
        <v>575.17505263157898</v>
      </c>
      <c r="AA117" s="2">
        <f>(EV_Data4[[#This Row],[customer_rating]]*EV_Data4[[#This Row],[safety_rating]]*1000)/EV_Data4[[#This Row],[price_usd]]</f>
        <v>9.1993351345241101E-2</v>
      </c>
      <c r="AB117">
        <f>EV_Data4[[#This Row],[horsepower]]+EV_Data4[[#This Row],[torque_nm]]/EV_Data4[[#This Row],[acceleration_0_60_mph]]</f>
        <v>1203.0042918454935</v>
      </c>
      <c r="AC117" t="str">
        <f>IF(EV_Data4[[#This Row],[price_usd]]&gt;=80000,"Luxury",IF(EV_Data4[[#This Row],[price_usd]]&gt;=40000,"Mid-Range","Budget"))</f>
        <v>Luxury</v>
      </c>
      <c r="AD117" t="str">
        <f>IF(EV_Data4[[#This Row],[range_miles]]&gt;=350,"Long-Range",IF(EV_Data4[[#This Row],[range_miles]]&gt;=250,"Medium-Range","Short-Range"))</f>
        <v>Medium-Range</v>
      </c>
      <c r="AE117" t="str">
        <f>IF(EV_Data4[[#This Row],[charging_speed_kw]]&gt;=250,"Ultra-Fast",IF(EV_Data4[[#This Row],[charging_speed_kw]]&gt;=150,"Fast-Charging","Standard-Charging"))</f>
        <v>Standard-Charging</v>
      </c>
      <c r="AF117" t="str">
        <f>IF(EV_Data4[[#This Row],[acceleration_0_60_mph]]&lt;=3,"SportsPerformance",IF(EV_Data4[[#This Row],[acceleration_0_60_mph]]&lt;=5,"HighPerformance","Standard"))</f>
        <v>HighPerformance</v>
      </c>
      <c r="AG117" t="str">
        <f>IF(EV_Data4[[#This Row],[customer_rating]]&gt;=4.5,"Excellent",IF(EV_Data4[[#This Row],[customer_rating]]&gt;=3.5,"Good","Average"))</f>
        <v>Good</v>
      </c>
      <c r="AH11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8" spans="1:34" x14ac:dyDescent="0.3">
      <c r="A118" t="s">
        <v>76</v>
      </c>
      <c r="B118" t="s">
        <v>91</v>
      </c>
      <c r="C118">
        <v>2024</v>
      </c>
      <c r="D118" t="s">
        <v>44</v>
      </c>
      <c r="E118" s="3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34</v>
      </c>
      <c r="N118">
        <v>2</v>
      </c>
      <c r="O118" t="s">
        <v>28</v>
      </c>
      <c r="P118">
        <v>60.8</v>
      </c>
      <c r="Q118">
        <v>2427</v>
      </c>
      <c r="R118">
        <v>5</v>
      </c>
      <c r="S118">
        <v>0</v>
      </c>
      <c r="T118" t="s">
        <v>41</v>
      </c>
      <c r="U118" t="s">
        <v>37</v>
      </c>
      <c r="V118" s="3">
        <v>49671</v>
      </c>
      <c r="W118">
        <v>3.66</v>
      </c>
      <c r="X118">
        <v>3</v>
      </c>
      <c r="Y118" s="1">
        <f>EV_Data4[[#This Row],[range_miles]]/EV_Data4[[#This Row],[battery_capacity_kwh]]</f>
        <v>3.5054617676266138</v>
      </c>
      <c r="Z118" s="4">
        <f>EV_Data4[[#This Row],[price_usd]]/EV_Data4[[#This Row],[range_miles]]</f>
        <v>155.79991501416433</v>
      </c>
      <c r="AA118" s="2">
        <f>(EV_Data4[[#This Row],[customer_rating]]*EV_Data4[[#This Row],[safety_rating]]*1000)/EV_Data4[[#This Row],[price_usd]]</f>
        <v>0.33274318390133928</v>
      </c>
      <c r="AB118">
        <f>EV_Data4[[#This Row],[horsepower]]+EV_Data4[[#This Row],[torque_nm]]/EV_Data4[[#This Row],[acceleration_0_60_mph]]</f>
        <v>630.81609195402302</v>
      </c>
      <c r="AC118" t="str">
        <f>IF(EV_Data4[[#This Row],[price_usd]]&gt;=80000,"Luxury",IF(EV_Data4[[#This Row],[price_usd]]&gt;=40000,"Mid-Range","Budget"))</f>
        <v>Mid-Range</v>
      </c>
      <c r="AD118" t="str">
        <f>IF(EV_Data4[[#This Row],[range_miles]]&gt;=350,"Long-Range",IF(EV_Data4[[#This Row],[range_miles]]&gt;=250,"Medium-Range","Short-Range"))</f>
        <v>Long-Range</v>
      </c>
      <c r="AE118" t="str">
        <f>IF(EV_Data4[[#This Row],[charging_speed_kw]]&gt;=250,"Ultra-Fast",IF(EV_Data4[[#This Row],[charging_speed_kw]]&gt;=150,"Fast-Charging","Standard-Charging"))</f>
        <v>Standard-Charging</v>
      </c>
      <c r="AF118" t="str">
        <f>IF(EV_Data4[[#This Row],[acceleration_0_60_mph]]&lt;=3,"SportsPerformance",IF(EV_Data4[[#This Row],[acceleration_0_60_mph]]&lt;=5,"HighPerformance","Standard"))</f>
        <v>HighPerformance</v>
      </c>
      <c r="AG118" t="str">
        <f>IF(EV_Data4[[#This Row],[customer_rating]]&gt;=4.5,"Excellent",IF(EV_Data4[[#This Row],[customer_rating]]&gt;=3.5,"Good","Average"))</f>
        <v>Good</v>
      </c>
      <c r="AH11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9" spans="1:34" x14ac:dyDescent="0.3">
      <c r="A119" t="s">
        <v>46</v>
      </c>
      <c r="B119" t="s">
        <v>49</v>
      </c>
      <c r="C119">
        <v>2026</v>
      </c>
      <c r="D119" t="s">
        <v>61</v>
      </c>
      <c r="E119" s="3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48</v>
      </c>
      <c r="N119">
        <v>5</v>
      </c>
      <c r="O119" t="s">
        <v>58</v>
      </c>
      <c r="P119">
        <v>28.9</v>
      </c>
      <c r="Q119">
        <v>1500</v>
      </c>
      <c r="R119">
        <v>5</v>
      </c>
      <c r="S119">
        <v>2</v>
      </c>
      <c r="T119" t="s">
        <v>41</v>
      </c>
      <c r="U119" t="s">
        <v>33</v>
      </c>
      <c r="V119" s="3">
        <v>408778</v>
      </c>
      <c r="W119">
        <v>4.03</v>
      </c>
      <c r="X119">
        <v>4</v>
      </c>
      <c r="Y119" s="1">
        <f>EV_Data4[[#This Row],[range_miles]]/EV_Data4[[#This Row],[battery_capacity_kwh]]</f>
        <v>3.1937172774869107</v>
      </c>
      <c r="Z119" s="4">
        <f>EV_Data4[[#This Row],[price_usd]]/EV_Data4[[#This Row],[range_miles]]</f>
        <v>396.08569672131148</v>
      </c>
      <c r="AA119" s="2">
        <f>(EV_Data4[[#This Row],[customer_rating]]*EV_Data4[[#This Row],[safety_rating]]*1000)/EV_Data4[[#This Row],[price_usd]]</f>
        <v>0.20849520166142224</v>
      </c>
      <c r="AB119">
        <f>EV_Data4[[#This Row],[horsepower]]+EV_Data4[[#This Row],[torque_nm]]/EV_Data4[[#This Row],[acceleration_0_60_mph]]</f>
        <v>785.00334448160538</v>
      </c>
      <c r="AC119" t="str">
        <f>IF(EV_Data4[[#This Row],[price_usd]]&gt;=80000,"Luxury",IF(EV_Data4[[#This Row],[price_usd]]&gt;=40000,"Mid-Range","Budget"))</f>
        <v>Luxury</v>
      </c>
      <c r="AD119" t="str">
        <f>IF(EV_Data4[[#This Row],[range_miles]]&gt;=350,"Long-Range",IF(EV_Data4[[#This Row],[range_miles]]&gt;=250,"Medium-Range","Short-Range"))</f>
        <v>Short-Range</v>
      </c>
      <c r="AE119" t="str">
        <f>IF(EV_Data4[[#This Row],[charging_speed_kw]]&gt;=250,"Ultra-Fast",IF(EV_Data4[[#This Row],[charging_speed_kw]]&gt;=150,"Fast-Charging","Standard-Charging"))</f>
        <v>Fast-Charging</v>
      </c>
      <c r="AF119" t="str">
        <f>IF(EV_Data4[[#This Row],[acceleration_0_60_mph]]&lt;=3,"SportsPerformance",IF(EV_Data4[[#This Row],[acceleration_0_60_mph]]&lt;=5,"HighPerformance","Standard"))</f>
        <v>Standard</v>
      </c>
      <c r="AG119" t="str">
        <f>IF(EV_Data4[[#This Row],[customer_rating]]&gt;=4.5,"Excellent",IF(EV_Data4[[#This Row],[customer_rating]]&gt;=3.5,"Good","Average"))</f>
        <v>Good</v>
      </c>
      <c r="AH11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0" spans="1:34" x14ac:dyDescent="0.3">
      <c r="A120" t="s">
        <v>86</v>
      </c>
      <c r="B120" t="s">
        <v>108</v>
      </c>
      <c r="C120">
        <v>2025</v>
      </c>
      <c r="D120" t="s">
        <v>61</v>
      </c>
      <c r="E120" s="3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34</v>
      </c>
      <c r="N120">
        <v>7</v>
      </c>
      <c r="O120" t="s">
        <v>35</v>
      </c>
      <c r="P120">
        <v>63.6</v>
      </c>
      <c r="Q120">
        <v>1928</v>
      </c>
      <c r="R120">
        <v>5</v>
      </c>
      <c r="S120">
        <v>1</v>
      </c>
      <c r="T120" t="s">
        <v>29</v>
      </c>
      <c r="U120" t="s">
        <v>33</v>
      </c>
      <c r="V120" s="3">
        <v>23427</v>
      </c>
      <c r="W120">
        <v>3.35</v>
      </c>
      <c r="X120">
        <v>5</v>
      </c>
      <c r="Y120" s="1">
        <f>EV_Data4[[#This Row],[range_miles]]/EV_Data4[[#This Row],[battery_capacity_kwh]]</f>
        <v>3.8448275862068964</v>
      </c>
      <c r="Z120" s="4">
        <f>EV_Data4[[#This Row],[price_usd]]/EV_Data4[[#This Row],[range_miles]]</f>
        <v>327.22982062780267</v>
      </c>
      <c r="AA120" s="2">
        <f>(EV_Data4[[#This Row],[customer_rating]]*EV_Data4[[#This Row],[safety_rating]]*1000)/EV_Data4[[#This Row],[price_usd]]</f>
        <v>0.22953931117650889</v>
      </c>
      <c r="AB120">
        <f>EV_Data4[[#This Row],[horsepower]]+EV_Data4[[#This Row],[torque_nm]]/EV_Data4[[#This Row],[acceleration_0_60_mph]]</f>
        <v>460.02564102564105</v>
      </c>
      <c r="AC120" t="str">
        <f>IF(EV_Data4[[#This Row],[price_usd]]&gt;=80000,"Luxury",IF(EV_Data4[[#This Row],[price_usd]]&gt;=40000,"Mid-Range","Budget"))</f>
        <v>Mid-Range</v>
      </c>
      <c r="AD120" t="str">
        <f>IF(EV_Data4[[#This Row],[range_miles]]&gt;=350,"Long-Range",IF(EV_Data4[[#This Row],[range_miles]]&gt;=250,"Medium-Range","Short-Range"))</f>
        <v>Short-Range</v>
      </c>
      <c r="AE120" t="str">
        <f>IF(EV_Data4[[#This Row],[charging_speed_kw]]&gt;=250,"Ultra-Fast",IF(EV_Data4[[#This Row],[charging_speed_kw]]&gt;=150,"Fast-Charging","Standard-Charging"))</f>
        <v>Standard-Charging</v>
      </c>
      <c r="AF120" t="str">
        <f>IF(EV_Data4[[#This Row],[acceleration_0_60_mph]]&lt;=3,"SportsPerformance",IF(EV_Data4[[#This Row],[acceleration_0_60_mph]]&lt;=5,"HighPerformance","Standard"))</f>
        <v>Standard</v>
      </c>
      <c r="AG120" t="str">
        <f>IF(EV_Data4[[#This Row],[customer_rating]]&gt;=4.5,"Excellent",IF(EV_Data4[[#This Row],[customer_rating]]&gt;=3.5,"Good","Average"))</f>
        <v>Average</v>
      </c>
      <c r="AH12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1" spans="1:34" x14ac:dyDescent="0.3">
      <c r="A121" t="s">
        <v>42</v>
      </c>
      <c r="B121" t="s">
        <v>54</v>
      </c>
      <c r="C121">
        <v>2023</v>
      </c>
      <c r="D121" t="s">
        <v>33</v>
      </c>
      <c r="E121" s="3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48</v>
      </c>
      <c r="N121">
        <v>7</v>
      </c>
      <c r="O121" t="s">
        <v>51</v>
      </c>
      <c r="P121">
        <v>38.4</v>
      </c>
      <c r="Q121">
        <v>1751</v>
      </c>
      <c r="R121">
        <v>5</v>
      </c>
      <c r="S121">
        <v>1</v>
      </c>
      <c r="T121" t="s">
        <v>45</v>
      </c>
      <c r="U121" t="s">
        <v>37</v>
      </c>
      <c r="V121" s="3">
        <v>146563</v>
      </c>
      <c r="W121">
        <v>3.09</v>
      </c>
      <c r="X121">
        <v>4</v>
      </c>
      <c r="Y121" s="1">
        <f>EV_Data4[[#This Row],[range_miles]]/EV_Data4[[#This Row],[battery_capacity_kwh]]</f>
        <v>3.0364372469635628</v>
      </c>
      <c r="Z121" s="4">
        <f>EV_Data4[[#This Row],[price_usd]]/EV_Data4[[#This Row],[range_miles]]</f>
        <v>258.64120000000003</v>
      </c>
      <c r="AA121" s="2">
        <f>(EV_Data4[[#This Row],[customer_rating]]*EV_Data4[[#This Row],[safety_rating]]*1000)/EV_Data4[[#This Row],[price_usd]]</f>
        <v>0.39823508396960733</v>
      </c>
      <c r="AB121">
        <f>EV_Data4[[#This Row],[horsepower]]+EV_Data4[[#This Row],[torque_nm]]/EV_Data4[[#This Row],[acceleration_0_60_mph]]</f>
        <v>442.9921875</v>
      </c>
      <c r="AC121" t="str">
        <f>IF(EV_Data4[[#This Row],[price_usd]]&gt;=80000,"Luxury",IF(EV_Data4[[#This Row],[price_usd]]&gt;=40000,"Mid-Range","Budget"))</f>
        <v>Budget</v>
      </c>
      <c r="AD121" t="str">
        <f>IF(EV_Data4[[#This Row],[range_miles]]&gt;=350,"Long-Range",IF(EV_Data4[[#This Row],[range_miles]]&gt;=250,"Medium-Range","Short-Range"))</f>
        <v>Short-Range</v>
      </c>
      <c r="AE121" t="str">
        <f>IF(EV_Data4[[#This Row],[charging_speed_kw]]&gt;=250,"Ultra-Fast",IF(EV_Data4[[#This Row],[charging_speed_kw]]&gt;=150,"Fast-Charging","Standard-Charging"))</f>
        <v>Standard-Charging</v>
      </c>
      <c r="AF121" t="str">
        <f>IF(EV_Data4[[#This Row],[acceleration_0_60_mph]]&lt;=3,"SportsPerformance",IF(EV_Data4[[#This Row],[acceleration_0_60_mph]]&lt;=5,"HighPerformance","Standard"))</f>
        <v>Standard</v>
      </c>
      <c r="AG121" t="str">
        <f>IF(EV_Data4[[#This Row],[customer_rating]]&gt;=4.5,"Excellent",IF(EV_Data4[[#This Row],[customer_rating]]&gt;=3.5,"Good","Average"))</f>
        <v>Average</v>
      </c>
      <c r="AH12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2" spans="1:34" x14ac:dyDescent="0.3">
      <c r="A122" t="s">
        <v>76</v>
      </c>
      <c r="B122" t="s">
        <v>77</v>
      </c>
      <c r="C122">
        <v>2023</v>
      </c>
      <c r="D122" t="s">
        <v>56</v>
      </c>
      <c r="E122" s="3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27</v>
      </c>
      <c r="N122">
        <v>5</v>
      </c>
      <c r="O122" t="s">
        <v>28</v>
      </c>
      <c r="P122">
        <v>65.7</v>
      </c>
      <c r="Q122">
        <v>2597</v>
      </c>
      <c r="R122">
        <v>4</v>
      </c>
      <c r="S122">
        <v>1</v>
      </c>
      <c r="T122" t="s">
        <v>41</v>
      </c>
      <c r="U122" t="s">
        <v>37</v>
      </c>
      <c r="V122" s="3">
        <v>28589</v>
      </c>
      <c r="W122">
        <v>3.5</v>
      </c>
      <c r="X122">
        <v>4</v>
      </c>
      <c r="Y122" s="1">
        <f>EV_Data4[[#This Row],[range_miles]]/EV_Data4[[#This Row],[battery_capacity_kwh]]</f>
        <v>3.5053110773899845</v>
      </c>
      <c r="Z122" s="4">
        <f>EV_Data4[[#This Row],[price_usd]]/EV_Data4[[#This Row],[range_miles]]</f>
        <v>259.24419913419916</v>
      </c>
      <c r="AA122" s="2">
        <f>(EV_Data4[[#This Row],[customer_rating]]*EV_Data4[[#This Row],[safety_rating]]*1000)/EV_Data4[[#This Row],[price_usd]]</f>
        <v>0.23377981381441656</v>
      </c>
      <c r="AB122">
        <f>EV_Data4[[#This Row],[horsepower]]+EV_Data4[[#This Row],[torque_nm]]/EV_Data4[[#This Row],[acceleration_0_60_mph]]</f>
        <v>766.20382165605099</v>
      </c>
      <c r="AC122" t="str">
        <f>IF(EV_Data4[[#This Row],[price_usd]]&gt;=80000,"Luxury",IF(EV_Data4[[#This Row],[price_usd]]&gt;=40000,"Mid-Range","Budget"))</f>
        <v>Mid-Range</v>
      </c>
      <c r="AD122" t="str">
        <f>IF(EV_Data4[[#This Row],[range_miles]]&gt;=350,"Long-Range",IF(EV_Data4[[#This Row],[range_miles]]&gt;=250,"Medium-Range","Short-Range"))</f>
        <v>Short-Range</v>
      </c>
      <c r="AE122" t="str">
        <f>IF(EV_Data4[[#This Row],[charging_speed_kw]]&gt;=250,"Ultra-Fast",IF(EV_Data4[[#This Row],[charging_speed_kw]]&gt;=150,"Fast-Charging","Standard-Charging"))</f>
        <v>Standard-Charging</v>
      </c>
      <c r="AF122" t="str">
        <f>IF(EV_Data4[[#This Row],[acceleration_0_60_mph]]&lt;=3,"SportsPerformance",IF(EV_Data4[[#This Row],[acceleration_0_60_mph]]&lt;=5,"HighPerformance","Standard"))</f>
        <v>Standard</v>
      </c>
      <c r="AG122" t="str">
        <f>IF(EV_Data4[[#This Row],[customer_rating]]&gt;=4.5,"Excellent",IF(EV_Data4[[#This Row],[customer_rating]]&gt;=3.5,"Good","Average"))</f>
        <v>Good</v>
      </c>
      <c r="AH12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3" spans="1:34" x14ac:dyDescent="0.3">
      <c r="A123" t="s">
        <v>86</v>
      </c>
      <c r="B123" t="s">
        <v>105</v>
      </c>
      <c r="C123">
        <v>2024</v>
      </c>
      <c r="D123" t="s">
        <v>44</v>
      </c>
      <c r="E123" s="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48</v>
      </c>
      <c r="N123">
        <v>7</v>
      </c>
      <c r="O123" t="s">
        <v>35</v>
      </c>
      <c r="P123">
        <v>61.8</v>
      </c>
      <c r="Q123">
        <v>2080</v>
      </c>
      <c r="R123">
        <v>5</v>
      </c>
      <c r="S123">
        <v>2</v>
      </c>
      <c r="T123" t="s">
        <v>29</v>
      </c>
      <c r="U123" t="s">
        <v>30</v>
      </c>
      <c r="V123" s="3">
        <v>39897</v>
      </c>
      <c r="W123">
        <v>3.7</v>
      </c>
      <c r="X123">
        <v>7</v>
      </c>
      <c r="Y123" s="1">
        <f>EV_Data4[[#This Row],[range_miles]]/EV_Data4[[#This Row],[battery_capacity_kwh]]</f>
        <v>3.6116322701688559</v>
      </c>
      <c r="Z123" s="4">
        <f>EV_Data4[[#This Row],[price_usd]]/EV_Data4[[#This Row],[range_miles]]</f>
        <v>339.23667532467533</v>
      </c>
      <c r="AA123" s="2">
        <f>(EV_Data4[[#This Row],[customer_rating]]*EV_Data4[[#This Row],[safety_rating]]*1000)/EV_Data4[[#This Row],[price_usd]]</f>
        <v>0.14164726737154432</v>
      </c>
      <c r="AB123">
        <f>EV_Data4[[#This Row],[horsepower]]+EV_Data4[[#This Row],[torque_nm]]/EV_Data4[[#This Row],[acceleration_0_60_mph]]</f>
        <v>1167.8846153846155</v>
      </c>
      <c r="AC123" t="str">
        <f>IF(EV_Data4[[#This Row],[price_usd]]&gt;=80000,"Luxury",IF(EV_Data4[[#This Row],[price_usd]]&gt;=40000,"Mid-Range","Budget"))</f>
        <v>Luxury</v>
      </c>
      <c r="AD123" t="str">
        <f>IF(EV_Data4[[#This Row],[range_miles]]&gt;=350,"Long-Range",IF(EV_Data4[[#This Row],[range_miles]]&gt;=250,"Medium-Range","Short-Range"))</f>
        <v>Long-Range</v>
      </c>
      <c r="AE123" t="str">
        <f>IF(EV_Data4[[#This Row],[charging_speed_kw]]&gt;=250,"Ultra-Fast",IF(EV_Data4[[#This Row],[charging_speed_kw]]&gt;=150,"Fast-Charging","Standard-Charging"))</f>
        <v>Standard-Charging</v>
      </c>
      <c r="AF123" t="str">
        <f>IF(EV_Data4[[#This Row],[acceleration_0_60_mph]]&lt;=3,"SportsPerformance",IF(EV_Data4[[#This Row],[acceleration_0_60_mph]]&lt;=5,"HighPerformance","Standard"))</f>
        <v>Standard</v>
      </c>
      <c r="AG123" t="str">
        <f>IF(EV_Data4[[#This Row],[customer_rating]]&gt;=4.5,"Excellent",IF(EV_Data4[[#This Row],[customer_rating]]&gt;=3.5,"Good","Average"))</f>
        <v>Good</v>
      </c>
      <c r="AH12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4" spans="1:34" x14ac:dyDescent="0.3">
      <c r="A124" t="s">
        <v>63</v>
      </c>
      <c r="B124" t="s">
        <v>67</v>
      </c>
      <c r="C124">
        <v>2024</v>
      </c>
      <c r="D124" t="s">
        <v>44</v>
      </c>
      <c r="E124" s="3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48</v>
      </c>
      <c r="N124">
        <v>7</v>
      </c>
      <c r="O124" t="s">
        <v>51</v>
      </c>
      <c r="P124">
        <v>33.5</v>
      </c>
      <c r="Q124">
        <v>1500</v>
      </c>
      <c r="R124">
        <v>5</v>
      </c>
      <c r="S124">
        <v>0</v>
      </c>
      <c r="T124" t="s">
        <v>65</v>
      </c>
      <c r="U124" t="s">
        <v>37</v>
      </c>
      <c r="V124" s="3">
        <v>108045</v>
      </c>
      <c r="W124">
        <v>3.61</v>
      </c>
      <c r="X124">
        <v>4</v>
      </c>
      <c r="Y124" s="1">
        <f>EV_Data4[[#This Row],[range_miles]]/EV_Data4[[#This Row],[battery_capacity_kwh]]</f>
        <v>3.3419689119170983</v>
      </c>
      <c r="Z124" s="4">
        <f>EV_Data4[[#This Row],[price_usd]]/EV_Data4[[#This Row],[range_miles]]</f>
        <v>185.36205426356591</v>
      </c>
      <c r="AA124" s="2">
        <f>(EV_Data4[[#This Row],[customer_rating]]*EV_Data4[[#This Row],[safety_rating]]*1000)/EV_Data4[[#This Row],[price_usd]]</f>
        <v>0.37743021670767513</v>
      </c>
      <c r="AB124">
        <f>EV_Data4[[#This Row],[horsepower]]+EV_Data4[[#This Row],[torque_nm]]/EV_Data4[[#This Row],[acceleration_0_60_mph]]</f>
        <v>637.90827740492171</v>
      </c>
      <c r="AC124" t="str">
        <f>IF(EV_Data4[[#This Row],[price_usd]]&gt;=80000,"Luxury",IF(EV_Data4[[#This Row],[price_usd]]&gt;=40000,"Mid-Range","Budget"))</f>
        <v>Mid-Range</v>
      </c>
      <c r="AD124" t="str">
        <f>IF(EV_Data4[[#This Row],[range_miles]]&gt;=350,"Long-Range",IF(EV_Data4[[#This Row],[range_miles]]&gt;=250,"Medium-Range","Short-Range"))</f>
        <v>Medium-Range</v>
      </c>
      <c r="AE124" t="str">
        <f>IF(EV_Data4[[#This Row],[charging_speed_kw]]&gt;=250,"Ultra-Fast",IF(EV_Data4[[#This Row],[charging_speed_kw]]&gt;=150,"Fast-Charging","Standard-Charging"))</f>
        <v>Standard-Charging</v>
      </c>
      <c r="AF124" t="str">
        <f>IF(EV_Data4[[#This Row],[acceleration_0_60_mph]]&lt;=3,"SportsPerformance",IF(EV_Data4[[#This Row],[acceleration_0_60_mph]]&lt;=5,"HighPerformance","Standard"))</f>
        <v>HighPerformance</v>
      </c>
      <c r="AG124" t="str">
        <f>IF(EV_Data4[[#This Row],[customer_rating]]&gt;=4.5,"Excellent",IF(EV_Data4[[#This Row],[customer_rating]]&gt;=3.5,"Good","Average"))</f>
        <v>Good</v>
      </c>
      <c r="AH12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5" spans="1:34" x14ac:dyDescent="0.3">
      <c r="A125" t="s">
        <v>46</v>
      </c>
      <c r="B125" t="s">
        <v>57</v>
      </c>
      <c r="C125">
        <v>2023</v>
      </c>
      <c r="D125" t="s">
        <v>26</v>
      </c>
      <c r="E125" s="3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48</v>
      </c>
      <c r="N125">
        <v>7</v>
      </c>
      <c r="O125" t="s">
        <v>28</v>
      </c>
      <c r="P125">
        <v>71.3</v>
      </c>
      <c r="Q125">
        <v>2744</v>
      </c>
      <c r="R125">
        <v>4</v>
      </c>
      <c r="S125">
        <v>3</v>
      </c>
      <c r="T125" t="s">
        <v>41</v>
      </c>
      <c r="U125" t="s">
        <v>33</v>
      </c>
      <c r="V125" s="3">
        <v>208805</v>
      </c>
      <c r="W125">
        <v>4.34</v>
      </c>
      <c r="X125">
        <v>4</v>
      </c>
      <c r="Y125" s="1">
        <f>EV_Data4[[#This Row],[range_miles]]/EV_Data4[[#This Row],[battery_capacity_kwh]]</f>
        <v>3.6486486486486487</v>
      </c>
      <c r="Z125" s="4">
        <f>EV_Data4[[#This Row],[price_usd]]/EV_Data4[[#This Row],[range_miles]]</f>
        <v>160.50582716049382</v>
      </c>
      <c r="AA125" s="2">
        <f>(EV_Data4[[#This Row],[customer_rating]]*EV_Data4[[#This Row],[safety_rating]]*1000)/EV_Data4[[#This Row],[price_usd]]</f>
        <v>0.26705695543379371</v>
      </c>
      <c r="AB125">
        <f>EV_Data4[[#This Row],[horsepower]]+EV_Data4[[#This Row],[torque_nm]]/EV_Data4[[#This Row],[acceleration_0_60_mph]]</f>
        <v>542.26229508196718</v>
      </c>
      <c r="AC125" t="str">
        <f>IF(EV_Data4[[#This Row],[price_usd]]&gt;=80000,"Luxury",IF(EV_Data4[[#This Row],[price_usd]]&gt;=40000,"Mid-Range","Budget"))</f>
        <v>Mid-Range</v>
      </c>
      <c r="AD125" t="str">
        <f>IF(EV_Data4[[#This Row],[range_miles]]&gt;=350,"Long-Range",IF(EV_Data4[[#This Row],[range_miles]]&gt;=250,"Medium-Range","Short-Range"))</f>
        <v>Long-Range</v>
      </c>
      <c r="AE125" t="str">
        <f>IF(EV_Data4[[#This Row],[charging_speed_kw]]&gt;=250,"Ultra-Fast",IF(EV_Data4[[#This Row],[charging_speed_kw]]&gt;=150,"Fast-Charging","Standard-Charging"))</f>
        <v>Ultra-Fast</v>
      </c>
      <c r="AF125" t="str">
        <f>IF(EV_Data4[[#This Row],[acceleration_0_60_mph]]&lt;=3,"SportsPerformance",IF(EV_Data4[[#This Row],[acceleration_0_60_mph]]&lt;=5,"HighPerformance","Standard"))</f>
        <v>HighPerformance</v>
      </c>
      <c r="AG125" t="str">
        <f>IF(EV_Data4[[#This Row],[customer_rating]]&gt;=4.5,"Excellent",IF(EV_Data4[[#This Row],[customer_rating]]&gt;=3.5,"Good","Average"))</f>
        <v>Good</v>
      </c>
      <c r="AH125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26" spans="1:34" x14ac:dyDescent="0.3">
      <c r="A126" t="s">
        <v>63</v>
      </c>
      <c r="B126" t="s">
        <v>107</v>
      </c>
      <c r="C126">
        <v>2024</v>
      </c>
      <c r="D126" t="s">
        <v>61</v>
      </c>
      <c r="E126" s="3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48</v>
      </c>
      <c r="N126">
        <v>5</v>
      </c>
      <c r="O126" t="s">
        <v>40</v>
      </c>
      <c r="P126">
        <v>78.2</v>
      </c>
      <c r="Q126">
        <v>1628</v>
      </c>
      <c r="R126">
        <v>4</v>
      </c>
      <c r="S126">
        <v>0</v>
      </c>
      <c r="T126" t="s">
        <v>65</v>
      </c>
      <c r="U126" t="s">
        <v>66</v>
      </c>
      <c r="V126" s="3">
        <v>169389</v>
      </c>
      <c r="W126">
        <v>3.37</v>
      </c>
      <c r="X126">
        <v>3</v>
      </c>
      <c r="Y126" s="1">
        <f>EV_Data4[[#This Row],[range_miles]]/EV_Data4[[#This Row],[battery_capacity_kwh]]</f>
        <v>3.6854741896758703</v>
      </c>
      <c r="Z126" s="4">
        <f>EV_Data4[[#This Row],[price_usd]]/EV_Data4[[#This Row],[range_miles]]</f>
        <v>70.724429967426715</v>
      </c>
      <c r="AA126" s="2">
        <f>(EV_Data4[[#This Row],[customer_rating]]*EV_Data4[[#This Row],[safety_rating]]*1000)/EV_Data4[[#This Row],[price_usd]]</f>
        <v>0.62084338903115266</v>
      </c>
      <c r="AB126">
        <f>EV_Data4[[#This Row],[horsepower]]+EV_Data4[[#This Row],[torque_nm]]/EV_Data4[[#This Row],[acceleration_0_60_mph]]</f>
        <v>224.78260869565219</v>
      </c>
      <c r="AC126" t="str">
        <f>IF(EV_Data4[[#This Row],[price_usd]]&gt;=80000,"Luxury",IF(EV_Data4[[#This Row],[price_usd]]&gt;=40000,"Mid-Range","Budget"))</f>
        <v>Budget</v>
      </c>
      <c r="AD126" t="str">
        <f>IF(EV_Data4[[#This Row],[range_miles]]&gt;=350,"Long-Range",IF(EV_Data4[[#This Row],[range_miles]]&gt;=250,"Medium-Range","Short-Range"))</f>
        <v>Medium-Range</v>
      </c>
      <c r="AE126" t="str">
        <f>IF(EV_Data4[[#This Row],[charging_speed_kw]]&gt;=250,"Ultra-Fast",IF(EV_Data4[[#This Row],[charging_speed_kw]]&gt;=150,"Fast-Charging","Standard-Charging"))</f>
        <v>Standard-Charging</v>
      </c>
      <c r="AF126" t="str">
        <f>IF(EV_Data4[[#This Row],[acceleration_0_60_mph]]&lt;=3,"SportsPerformance",IF(EV_Data4[[#This Row],[acceleration_0_60_mph]]&lt;=5,"HighPerformance","Standard"))</f>
        <v>Standard</v>
      </c>
      <c r="AG126" t="str">
        <f>IF(EV_Data4[[#This Row],[customer_rating]]&gt;=4.5,"Excellent",IF(EV_Data4[[#This Row],[customer_rating]]&gt;=3.5,"Good","Average"))</f>
        <v>Average</v>
      </c>
      <c r="AH12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7" spans="1:34" x14ac:dyDescent="0.3">
      <c r="A127" t="s">
        <v>24</v>
      </c>
      <c r="B127" t="s">
        <v>75</v>
      </c>
      <c r="C127">
        <v>2024</v>
      </c>
      <c r="D127" t="s">
        <v>44</v>
      </c>
      <c r="E127" s="3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48</v>
      </c>
      <c r="N127">
        <v>7</v>
      </c>
      <c r="O127" t="s">
        <v>58</v>
      </c>
      <c r="P127">
        <v>18.399999999999999</v>
      </c>
      <c r="Q127">
        <v>1630</v>
      </c>
      <c r="R127">
        <v>5</v>
      </c>
      <c r="S127">
        <v>0</v>
      </c>
      <c r="T127" t="s">
        <v>29</v>
      </c>
      <c r="U127" t="s">
        <v>37</v>
      </c>
      <c r="V127" s="3">
        <v>284565</v>
      </c>
      <c r="W127">
        <v>3.65</v>
      </c>
      <c r="X127">
        <v>3</v>
      </c>
      <c r="Y127" s="1">
        <f>EV_Data4[[#This Row],[range_miles]]/EV_Data4[[#This Row],[battery_capacity_kwh]]</f>
        <v>3.6855670103092786</v>
      </c>
      <c r="Z127" s="4">
        <f>EV_Data4[[#This Row],[price_usd]]/EV_Data4[[#This Row],[range_miles]]</f>
        <v>189.98479020979022</v>
      </c>
      <c r="AA127" s="2">
        <f>(EV_Data4[[#This Row],[customer_rating]]*EV_Data4[[#This Row],[safety_rating]]*1000)/EV_Data4[[#This Row],[price_usd]]</f>
        <v>0.33587524949089592</v>
      </c>
      <c r="AB127">
        <f>EV_Data4[[#This Row],[horsepower]]+EV_Data4[[#This Row],[torque_nm]]/EV_Data4[[#This Row],[acceleration_0_60_mph]]</f>
        <v>578.80165289256195</v>
      </c>
      <c r="AC127" t="str">
        <f>IF(EV_Data4[[#This Row],[price_usd]]&gt;=80000,"Luxury",IF(EV_Data4[[#This Row],[price_usd]]&gt;=40000,"Mid-Range","Budget"))</f>
        <v>Mid-Range</v>
      </c>
      <c r="AD127" t="str">
        <f>IF(EV_Data4[[#This Row],[range_miles]]&gt;=350,"Long-Range",IF(EV_Data4[[#This Row],[range_miles]]&gt;=250,"Medium-Range","Short-Range"))</f>
        <v>Medium-Range</v>
      </c>
      <c r="AE127" t="str">
        <f>IF(EV_Data4[[#This Row],[charging_speed_kw]]&gt;=250,"Ultra-Fast",IF(EV_Data4[[#This Row],[charging_speed_kw]]&gt;=150,"Fast-Charging","Standard-Charging"))</f>
        <v>Standard-Charging</v>
      </c>
      <c r="AF127" t="str">
        <f>IF(EV_Data4[[#This Row],[acceleration_0_60_mph]]&lt;=3,"SportsPerformance",IF(EV_Data4[[#This Row],[acceleration_0_60_mph]]&lt;=5,"HighPerformance","Standard"))</f>
        <v>HighPerformance</v>
      </c>
      <c r="AG127" t="str">
        <f>IF(EV_Data4[[#This Row],[customer_rating]]&gt;=4.5,"Excellent",IF(EV_Data4[[#This Row],[customer_rating]]&gt;=3.5,"Good","Average"))</f>
        <v>Good</v>
      </c>
      <c r="AH12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8" spans="1:34" x14ac:dyDescent="0.3">
      <c r="A128" t="s">
        <v>76</v>
      </c>
      <c r="B128" t="s">
        <v>98</v>
      </c>
      <c r="C128">
        <v>2024</v>
      </c>
      <c r="D128" t="s">
        <v>56</v>
      </c>
      <c r="E128" s="3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48</v>
      </c>
      <c r="N128">
        <v>7</v>
      </c>
      <c r="O128" t="s">
        <v>58</v>
      </c>
      <c r="P128">
        <v>32.6</v>
      </c>
      <c r="Q128">
        <v>1500</v>
      </c>
      <c r="R128">
        <v>3</v>
      </c>
      <c r="S128">
        <v>1</v>
      </c>
      <c r="T128" t="s">
        <v>41</v>
      </c>
      <c r="U128" t="s">
        <v>37</v>
      </c>
      <c r="V128" s="3">
        <v>62660</v>
      </c>
      <c r="W128">
        <v>3.28</v>
      </c>
      <c r="X128">
        <v>3</v>
      </c>
      <c r="Y128" s="1">
        <f>EV_Data4[[#This Row],[range_miles]]/EV_Data4[[#This Row],[battery_capacity_kwh]]</f>
        <v>3.6747967479674797</v>
      </c>
      <c r="Z128" s="4">
        <f>EV_Data4[[#This Row],[price_usd]]/EV_Data4[[#This Row],[range_miles]]</f>
        <v>237.77853982300883</v>
      </c>
      <c r="AA128" s="2">
        <f>(EV_Data4[[#This Row],[customer_rating]]*EV_Data4[[#This Row],[safety_rating]]*1000)/EV_Data4[[#This Row],[price_usd]]</f>
        <v>0.18311081833229589</v>
      </c>
      <c r="AB128">
        <f>EV_Data4[[#This Row],[horsepower]]+EV_Data4[[#This Row],[torque_nm]]/EV_Data4[[#This Row],[acceleration_0_60_mph]]</f>
        <v>625.41499330655961</v>
      </c>
      <c r="AC128" t="str">
        <f>IF(EV_Data4[[#This Row],[price_usd]]&gt;=80000,"Luxury",IF(EV_Data4[[#This Row],[price_usd]]&gt;=40000,"Mid-Range","Budget"))</f>
        <v>Mid-Range</v>
      </c>
      <c r="AD128" t="str">
        <f>IF(EV_Data4[[#This Row],[range_miles]]&gt;=350,"Long-Range",IF(EV_Data4[[#This Row],[range_miles]]&gt;=250,"Medium-Range","Short-Range"))</f>
        <v>Short-Range</v>
      </c>
      <c r="AE128" t="str">
        <f>IF(EV_Data4[[#This Row],[charging_speed_kw]]&gt;=250,"Ultra-Fast",IF(EV_Data4[[#This Row],[charging_speed_kw]]&gt;=150,"Fast-Charging","Standard-Charging"))</f>
        <v>Standard-Charging</v>
      </c>
      <c r="AF128" t="str">
        <f>IF(EV_Data4[[#This Row],[acceleration_0_60_mph]]&lt;=3,"SportsPerformance",IF(EV_Data4[[#This Row],[acceleration_0_60_mph]]&lt;=5,"HighPerformance","Standard"))</f>
        <v>Standard</v>
      </c>
      <c r="AG128" t="str">
        <f>IF(EV_Data4[[#This Row],[customer_rating]]&gt;=4.5,"Excellent",IF(EV_Data4[[#This Row],[customer_rating]]&gt;=3.5,"Good","Average"))</f>
        <v>Average</v>
      </c>
      <c r="AH12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9" spans="1:34" x14ac:dyDescent="0.3">
      <c r="A129" t="s">
        <v>52</v>
      </c>
      <c r="B129" t="s">
        <v>103</v>
      </c>
      <c r="C129">
        <v>2026</v>
      </c>
      <c r="D129" t="s">
        <v>61</v>
      </c>
      <c r="E129" s="3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34</v>
      </c>
      <c r="N129">
        <v>7</v>
      </c>
      <c r="O129" t="s">
        <v>40</v>
      </c>
      <c r="P129">
        <v>60.2</v>
      </c>
      <c r="Q129">
        <v>1568</v>
      </c>
      <c r="R129">
        <v>5</v>
      </c>
      <c r="S129">
        <v>1</v>
      </c>
      <c r="T129" t="s">
        <v>29</v>
      </c>
      <c r="U129" t="s">
        <v>33</v>
      </c>
      <c r="V129" s="3">
        <v>79213</v>
      </c>
      <c r="W129">
        <v>3.77</v>
      </c>
      <c r="X129">
        <v>7</v>
      </c>
      <c r="Y129" s="1">
        <f>EV_Data4[[#This Row],[range_miles]]/EV_Data4[[#This Row],[battery_capacity_kwh]]</f>
        <v>3.463917525773196</v>
      </c>
      <c r="Z129" s="4">
        <f>EV_Data4[[#This Row],[price_usd]]/EV_Data4[[#This Row],[range_miles]]</f>
        <v>410.68339285714285</v>
      </c>
      <c r="AA129" s="2">
        <f>(EV_Data4[[#This Row],[customer_rating]]*EV_Data4[[#This Row],[safety_rating]]*1000)/EV_Data4[[#This Row],[price_usd]]</f>
        <v>0.27320895586204241</v>
      </c>
      <c r="AB129">
        <f>EV_Data4[[#This Row],[horsepower]]+EV_Data4[[#This Row],[torque_nm]]/EV_Data4[[#This Row],[acceleration_0_60_mph]]</f>
        <v>326.86710963455153</v>
      </c>
      <c r="AC129" t="str">
        <f>IF(EV_Data4[[#This Row],[price_usd]]&gt;=80000,"Luxury",IF(EV_Data4[[#This Row],[price_usd]]&gt;=40000,"Mid-Range","Budget"))</f>
        <v>Mid-Range</v>
      </c>
      <c r="AD129" t="str">
        <f>IF(EV_Data4[[#This Row],[range_miles]]&gt;=350,"Long-Range",IF(EV_Data4[[#This Row],[range_miles]]&gt;=250,"Medium-Range","Short-Range"))</f>
        <v>Short-Range</v>
      </c>
      <c r="AE129" t="str">
        <f>IF(EV_Data4[[#This Row],[charging_speed_kw]]&gt;=250,"Ultra-Fast",IF(EV_Data4[[#This Row],[charging_speed_kw]]&gt;=150,"Fast-Charging","Standard-Charging"))</f>
        <v>Standard-Charging</v>
      </c>
      <c r="AF129" t="str">
        <f>IF(EV_Data4[[#This Row],[acceleration_0_60_mph]]&lt;=3,"SportsPerformance",IF(EV_Data4[[#This Row],[acceleration_0_60_mph]]&lt;=5,"HighPerformance","Standard"))</f>
        <v>Standard</v>
      </c>
      <c r="AG129" t="str">
        <f>IF(EV_Data4[[#This Row],[customer_rating]]&gt;=4.5,"Excellent",IF(EV_Data4[[#This Row],[customer_rating]]&gt;=3.5,"Good","Average"))</f>
        <v>Good</v>
      </c>
      <c r="AH12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0" spans="1:34" x14ac:dyDescent="0.3">
      <c r="A130" t="s">
        <v>46</v>
      </c>
      <c r="B130" t="s">
        <v>49</v>
      </c>
      <c r="C130">
        <v>2024</v>
      </c>
      <c r="D130" t="s">
        <v>56</v>
      </c>
      <c r="E130" s="3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34</v>
      </c>
      <c r="N130">
        <v>7</v>
      </c>
      <c r="O130" t="s">
        <v>40</v>
      </c>
      <c r="P130">
        <v>79.8</v>
      </c>
      <c r="Q130">
        <v>1500</v>
      </c>
      <c r="R130">
        <v>4</v>
      </c>
      <c r="S130">
        <v>2</v>
      </c>
      <c r="T130" t="s">
        <v>41</v>
      </c>
      <c r="U130" t="s">
        <v>30</v>
      </c>
      <c r="V130" s="3">
        <v>422392</v>
      </c>
      <c r="W130">
        <v>3.52</v>
      </c>
      <c r="X130">
        <v>5</v>
      </c>
      <c r="Y130" s="1">
        <f>EV_Data4[[#This Row],[range_miles]]/EV_Data4[[#This Row],[battery_capacity_kwh]]</f>
        <v>3.3783783783783785</v>
      </c>
      <c r="Z130" s="4">
        <f>EV_Data4[[#This Row],[price_usd]]/EV_Data4[[#This Row],[range_miles]]</f>
        <v>704.04920000000004</v>
      </c>
      <c r="AA130" s="2">
        <f>(EV_Data4[[#This Row],[customer_rating]]*EV_Data4[[#This Row],[safety_rating]]*1000)/EV_Data4[[#This Row],[price_usd]]</f>
        <v>0.13332401580268349</v>
      </c>
      <c r="AB130">
        <f>EV_Data4[[#This Row],[horsepower]]+EV_Data4[[#This Row],[torque_nm]]/EV_Data4[[#This Row],[acceleration_0_60_mph]]</f>
        <v>894.95008051529794</v>
      </c>
      <c r="AC130" t="str">
        <f>IF(EV_Data4[[#This Row],[price_usd]]&gt;=80000,"Luxury",IF(EV_Data4[[#This Row],[price_usd]]&gt;=40000,"Mid-Range","Budget"))</f>
        <v>Luxury</v>
      </c>
      <c r="AD130" t="str">
        <f>IF(EV_Data4[[#This Row],[range_miles]]&gt;=350,"Long-Range",IF(EV_Data4[[#This Row],[range_miles]]&gt;=250,"Medium-Range","Short-Range"))</f>
        <v>Short-Range</v>
      </c>
      <c r="AE130" t="str">
        <f>IF(EV_Data4[[#This Row],[charging_speed_kw]]&gt;=250,"Ultra-Fast",IF(EV_Data4[[#This Row],[charging_speed_kw]]&gt;=150,"Fast-Charging","Standard-Charging"))</f>
        <v>Fast-Charging</v>
      </c>
      <c r="AF130" t="str">
        <f>IF(EV_Data4[[#This Row],[acceleration_0_60_mph]]&lt;=3,"SportsPerformance",IF(EV_Data4[[#This Row],[acceleration_0_60_mph]]&lt;=5,"HighPerformance","Standard"))</f>
        <v>Standard</v>
      </c>
      <c r="AG130" t="str">
        <f>IF(EV_Data4[[#This Row],[customer_rating]]&gt;=4.5,"Excellent",IF(EV_Data4[[#This Row],[customer_rating]]&gt;=3.5,"Good","Average"))</f>
        <v>Good</v>
      </c>
      <c r="AH13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1" spans="1:34" x14ac:dyDescent="0.3">
      <c r="A131" t="s">
        <v>68</v>
      </c>
      <c r="B131" t="s">
        <v>109</v>
      </c>
      <c r="C131">
        <v>2025</v>
      </c>
      <c r="D131" t="s">
        <v>26</v>
      </c>
      <c r="E131" s="3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48</v>
      </c>
      <c r="N131">
        <v>7</v>
      </c>
      <c r="O131" t="s">
        <v>28</v>
      </c>
      <c r="P131">
        <v>59.8</v>
      </c>
      <c r="Q131">
        <v>2842</v>
      </c>
      <c r="R131">
        <v>4</v>
      </c>
      <c r="S131">
        <v>0</v>
      </c>
      <c r="T131" t="s">
        <v>45</v>
      </c>
      <c r="U131" t="s">
        <v>33</v>
      </c>
      <c r="V131" s="3">
        <v>98285</v>
      </c>
      <c r="W131">
        <v>3.82</v>
      </c>
      <c r="X131">
        <v>3</v>
      </c>
      <c r="Y131" s="1">
        <f>EV_Data4[[#This Row],[range_miles]]/EV_Data4[[#This Row],[battery_capacity_kwh]]</f>
        <v>3.6669784845650137</v>
      </c>
      <c r="Z131" s="4">
        <f>EV_Data4[[#This Row],[price_usd]]/EV_Data4[[#This Row],[range_miles]]</f>
        <v>249.91066326530611</v>
      </c>
      <c r="AA131" s="2">
        <f>(EV_Data4[[#This Row],[customer_rating]]*EV_Data4[[#This Row],[safety_rating]]*1000)/EV_Data4[[#This Row],[price_usd]]</f>
        <v>0.15597410421560848</v>
      </c>
      <c r="AB131">
        <f>EV_Data4[[#This Row],[horsepower]]+EV_Data4[[#This Row],[torque_nm]]/EV_Data4[[#This Row],[acceleration_0_60_mph]]</f>
        <v>1233.1632653061224</v>
      </c>
      <c r="AC131" t="str">
        <f>IF(EV_Data4[[#This Row],[price_usd]]&gt;=80000,"Luxury",IF(EV_Data4[[#This Row],[price_usd]]&gt;=40000,"Mid-Range","Budget"))</f>
        <v>Luxury</v>
      </c>
      <c r="AD131" t="str">
        <f>IF(EV_Data4[[#This Row],[range_miles]]&gt;=350,"Long-Range",IF(EV_Data4[[#This Row],[range_miles]]&gt;=250,"Medium-Range","Short-Range"))</f>
        <v>Long-Range</v>
      </c>
      <c r="AE131" t="str">
        <f>IF(EV_Data4[[#This Row],[charging_speed_kw]]&gt;=250,"Ultra-Fast",IF(EV_Data4[[#This Row],[charging_speed_kw]]&gt;=150,"Fast-Charging","Standard-Charging"))</f>
        <v>Fast-Charging</v>
      </c>
      <c r="AF131" t="str">
        <f>IF(EV_Data4[[#This Row],[acceleration_0_60_mph]]&lt;=3,"SportsPerformance",IF(EV_Data4[[#This Row],[acceleration_0_60_mph]]&lt;=5,"HighPerformance","Standard"))</f>
        <v>HighPerformance</v>
      </c>
      <c r="AG131" t="str">
        <f>IF(EV_Data4[[#This Row],[customer_rating]]&gt;=4.5,"Excellent",IF(EV_Data4[[#This Row],[customer_rating]]&gt;=3.5,"Good","Average"))</f>
        <v>Good</v>
      </c>
      <c r="AH13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2" spans="1:34" x14ac:dyDescent="0.3">
      <c r="A132" t="s">
        <v>24</v>
      </c>
      <c r="B132" t="s">
        <v>25</v>
      </c>
      <c r="C132">
        <v>2025</v>
      </c>
      <c r="D132" t="s">
        <v>61</v>
      </c>
      <c r="E132" s="3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34</v>
      </c>
      <c r="N132">
        <v>7</v>
      </c>
      <c r="O132" t="s">
        <v>35</v>
      </c>
      <c r="P132">
        <v>45.9</v>
      </c>
      <c r="Q132">
        <v>2260</v>
      </c>
      <c r="R132">
        <v>5</v>
      </c>
      <c r="S132">
        <v>1</v>
      </c>
      <c r="T132" t="s">
        <v>29</v>
      </c>
      <c r="U132" t="s">
        <v>37</v>
      </c>
      <c r="V132" s="3">
        <v>215577</v>
      </c>
      <c r="W132">
        <v>3.2</v>
      </c>
      <c r="X132">
        <v>4</v>
      </c>
      <c r="Y132" s="1">
        <f>EV_Data4[[#This Row],[range_miles]]/EV_Data4[[#This Row],[battery_capacity_kwh]]</f>
        <v>3.694581280788177</v>
      </c>
      <c r="Z132" s="4">
        <f>EV_Data4[[#This Row],[price_usd]]/EV_Data4[[#This Row],[range_miles]]</f>
        <v>401.52806666666669</v>
      </c>
      <c r="AA132" s="2">
        <f>(EV_Data4[[#This Row],[customer_rating]]*EV_Data4[[#This Row],[safety_rating]]*1000)/EV_Data4[[#This Row],[price_usd]]</f>
        <v>0.26565183239162526</v>
      </c>
      <c r="AB132">
        <f>EV_Data4[[#This Row],[horsepower]]+EV_Data4[[#This Row],[torque_nm]]/EV_Data4[[#This Row],[acceleration_0_60_mph]]</f>
        <v>652.39185750636136</v>
      </c>
      <c r="AC132" t="str">
        <f>IF(EV_Data4[[#This Row],[price_usd]]&gt;=80000,"Luxury",IF(EV_Data4[[#This Row],[price_usd]]&gt;=40000,"Mid-Range","Budget"))</f>
        <v>Mid-Range</v>
      </c>
      <c r="AD132" t="str">
        <f>IF(EV_Data4[[#This Row],[range_miles]]&gt;=350,"Long-Range",IF(EV_Data4[[#This Row],[range_miles]]&gt;=250,"Medium-Range","Short-Range"))</f>
        <v>Short-Range</v>
      </c>
      <c r="AE132" t="str">
        <f>IF(EV_Data4[[#This Row],[charging_speed_kw]]&gt;=250,"Ultra-Fast",IF(EV_Data4[[#This Row],[charging_speed_kw]]&gt;=150,"Fast-Charging","Standard-Charging"))</f>
        <v>Standard-Charging</v>
      </c>
      <c r="AF132" t="str">
        <f>IF(EV_Data4[[#This Row],[acceleration_0_60_mph]]&lt;=3,"SportsPerformance",IF(EV_Data4[[#This Row],[acceleration_0_60_mph]]&lt;=5,"HighPerformance","Standard"))</f>
        <v>Standard</v>
      </c>
      <c r="AG132" t="str">
        <f>IF(EV_Data4[[#This Row],[customer_rating]]&gt;=4.5,"Excellent",IF(EV_Data4[[#This Row],[customer_rating]]&gt;=3.5,"Good","Average"))</f>
        <v>Average</v>
      </c>
      <c r="AH13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3" spans="1:34" x14ac:dyDescent="0.3">
      <c r="A133" t="s">
        <v>63</v>
      </c>
      <c r="B133" t="s">
        <v>82</v>
      </c>
      <c r="C133">
        <v>2025</v>
      </c>
      <c r="D133" t="s">
        <v>33</v>
      </c>
      <c r="E133" s="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27</v>
      </c>
      <c r="N133">
        <v>7</v>
      </c>
      <c r="O133" t="s">
        <v>35</v>
      </c>
      <c r="P133">
        <v>61.7</v>
      </c>
      <c r="Q133">
        <v>2237</v>
      </c>
      <c r="R133">
        <v>4</v>
      </c>
      <c r="S133">
        <v>1</v>
      </c>
      <c r="T133" t="s">
        <v>65</v>
      </c>
      <c r="U133" t="s">
        <v>37</v>
      </c>
      <c r="V133" s="3">
        <v>128802</v>
      </c>
      <c r="W133">
        <v>3.46</v>
      </c>
      <c r="X133">
        <v>3</v>
      </c>
      <c r="Y133" s="1">
        <f>EV_Data4[[#This Row],[range_miles]]/EV_Data4[[#This Row],[battery_capacity_kwh]]</f>
        <v>3.3816425120772946</v>
      </c>
      <c r="Z133" s="4">
        <f>EV_Data4[[#This Row],[price_usd]]/EV_Data4[[#This Row],[range_miles]]</f>
        <v>149.57749999999999</v>
      </c>
      <c r="AA133" s="2">
        <f>(EV_Data4[[#This Row],[customer_rating]]*EV_Data4[[#This Row],[safety_rating]]*1000)/EV_Data4[[#This Row],[price_usd]]</f>
        <v>0.33045458995217486</v>
      </c>
      <c r="AB133">
        <f>EV_Data4[[#This Row],[horsepower]]+EV_Data4[[#This Row],[torque_nm]]/EV_Data4[[#This Row],[acceleration_0_60_mph]]</f>
        <v>518.30555555555554</v>
      </c>
      <c r="AC133" t="str">
        <f>IF(EV_Data4[[#This Row],[price_usd]]&gt;=80000,"Luxury",IF(EV_Data4[[#This Row],[price_usd]]&gt;=40000,"Mid-Range","Budget"))</f>
        <v>Mid-Range</v>
      </c>
      <c r="AD133" t="str">
        <f>IF(EV_Data4[[#This Row],[range_miles]]&gt;=350,"Long-Range",IF(EV_Data4[[#This Row],[range_miles]]&gt;=250,"Medium-Range","Short-Range"))</f>
        <v>Medium-Range</v>
      </c>
      <c r="AE133" t="str">
        <f>IF(EV_Data4[[#This Row],[charging_speed_kw]]&gt;=250,"Ultra-Fast",IF(EV_Data4[[#This Row],[charging_speed_kw]]&gt;=150,"Fast-Charging","Standard-Charging"))</f>
        <v>Standard-Charging</v>
      </c>
      <c r="AF133" t="str">
        <f>IF(EV_Data4[[#This Row],[acceleration_0_60_mph]]&lt;=3,"SportsPerformance",IF(EV_Data4[[#This Row],[acceleration_0_60_mph]]&lt;=5,"HighPerformance","Standard"))</f>
        <v>Standard</v>
      </c>
      <c r="AG133" t="str">
        <f>IF(EV_Data4[[#This Row],[customer_rating]]&gt;=4.5,"Excellent",IF(EV_Data4[[#This Row],[customer_rating]]&gt;=3.5,"Good","Average"))</f>
        <v>Average</v>
      </c>
      <c r="AH13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4" spans="1:34" x14ac:dyDescent="0.3">
      <c r="A134" t="s">
        <v>46</v>
      </c>
      <c r="B134" t="s">
        <v>47</v>
      </c>
      <c r="C134">
        <v>2024</v>
      </c>
      <c r="D134" t="s">
        <v>44</v>
      </c>
      <c r="E134" s="3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34</v>
      </c>
      <c r="N134">
        <v>5</v>
      </c>
      <c r="O134" t="s">
        <v>58</v>
      </c>
      <c r="P134">
        <v>19.899999999999999</v>
      </c>
      <c r="Q134">
        <v>1500</v>
      </c>
      <c r="R134">
        <v>5</v>
      </c>
      <c r="S134">
        <v>2</v>
      </c>
      <c r="T134" t="s">
        <v>41</v>
      </c>
      <c r="U134" t="s">
        <v>30</v>
      </c>
      <c r="V134" s="3">
        <v>204411</v>
      </c>
      <c r="W134">
        <v>3.95</v>
      </c>
      <c r="X134">
        <v>5</v>
      </c>
      <c r="Y134" s="1">
        <f>EV_Data4[[#This Row],[range_miles]]/EV_Data4[[#This Row],[battery_capacity_kwh]]</f>
        <v>3.7826961770623742</v>
      </c>
      <c r="Z134" s="4">
        <f>EV_Data4[[#This Row],[price_usd]]/EV_Data4[[#This Row],[range_miles]]</f>
        <v>369.0451063829787</v>
      </c>
      <c r="AA134" s="2">
        <f>(EV_Data4[[#This Row],[customer_rating]]*EV_Data4[[#This Row],[safety_rating]]*1000)/EV_Data4[[#This Row],[price_usd]]</f>
        <v>0.14233109946774655</v>
      </c>
      <c r="AB134">
        <f>EV_Data4[[#This Row],[horsepower]]+EV_Data4[[#This Row],[torque_nm]]/EV_Data4[[#This Row],[acceleration_0_60_mph]]</f>
        <v>1177.0992366412213</v>
      </c>
      <c r="AC134" t="str">
        <f>IF(EV_Data4[[#This Row],[price_usd]]&gt;=80000,"Luxury",IF(EV_Data4[[#This Row],[price_usd]]&gt;=40000,"Mid-Range","Budget"))</f>
        <v>Luxury</v>
      </c>
      <c r="AD134" t="str">
        <f>IF(EV_Data4[[#This Row],[range_miles]]&gt;=350,"Long-Range",IF(EV_Data4[[#This Row],[range_miles]]&gt;=250,"Medium-Range","Short-Range"))</f>
        <v>Long-Range</v>
      </c>
      <c r="AE134" t="str">
        <f>IF(EV_Data4[[#This Row],[charging_speed_kw]]&gt;=250,"Ultra-Fast",IF(EV_Data4[[#This Row],[charging_speed_kw]]&gt;=150,"Fast-Charging","Standard-Charging"))</f>
        <v>Ultra-Fast</v>
      </c>
      <c r="AF134" t="str">
        <f>IF(EV_Data4[[#This Row],[acceleration_0_60_mph]]&lt;=3,"SportsPerformance",IF(EV_Data4[[#This Row],[acceleration_0_60_mph]]&lt;=5,"HighPerformance","Standard"))</f>
        <v>Standard</v>
      </c>
      <c r="AG134" t="str">
        <f>IF(EV_Data4[[#This Row],[customer_rating]]&gt;=4.5,"Excellent",IF(EV_Data4[[#This Row],[customer_rating]]&gt;=3.5,"Good","Average"))</f>
        <v>Good</v>
      </c>
      <c r="AH13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5" spans="1:34" x14ac:dyDescent="0.3">
      <c r="A135" t="s">
        <v>63</v>
      </c>
      <c r="B135" t="s">
        <v>67</v>
      </c>
      <c r="C135">
        <v>2025</v>
      </c>
      <c r="D135" t="s">
        <v>44</v>
      </c>
      <c r="E135" s="3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34</v>
      </c>
      <c r="N135">
        <v>5</v>
      </c>
      <c r="O135" t="s">
        <v>40</v>
      </c>
      <c r="P135">
        <v>64</v>
      </c>
      <c r="Q135">
        <v>1500</v>
      </c>
      <c r="R135">
        <v>5</v>
      </c>
      <c r="S135">
        <v>0</v>
      </c>
      <c r="T135" t="s">
        <v>65</v>
      </c>
      <c r="U135" t="s">
        <v>33</v>
      </c>
      <c r="V135" s="3">
        <v>227338</v>
      </c>
      <c r="W135">
        <v>3.64</v>
      </c>
      <c r="X135">
        <v>4</v>
      </c>
      <c r="Y135" s="1">
        <f>EV_Data4[[#This Row],[range_miles]]/EV_Data4[[#This Row],[battery_capacity_kwh]]</f>
        <v>3.7392373923739237</v>
      </c>
      <c r="Z135" s="4">
        <f>EV_Data4[[#This Row],[price_usd]]/EV_Data4[[#This Row],[range_miles]]</f>
        <v>298.20249999999999</v>
      </c>
      <c r="AA135" s="2">
        <f>(EV_Data4[[#This Row],[customer_rating]]*EV_Data4[[#This Row],[safety_rating]]*1000)/EV_Data4[[#This Row],[price_usd]]</f>
        <v>0.20076431637102835</v>
      </c>
      <c r="AB135">
        <f>EV_Data4[[#This Row],[horsepower]]+EV_Data4[[#This Row],[torque_nm]]/EV_Data4[[#This Row],[acceleration_0_60_mph]]</f>
        <v>1166.3568773234201</v>
      </c>
      <c r="AC135" t="str">
        <f>IF(EV_Data4[[#This Row],[price_usd]]&gt;=80000,"Luxury",IF(EV_Data4[[#This Row],[price_usd]]&gt;=40000,"Mid-Range","Budget"))</f>
        <v>Luxury</v>
      </c>
      <c r="AD135" t="str">
        <f>IF(EV_Data4[[#This Row],[range_miles]]&gt;=350,"Long-Range",IF(EV_Data4[[#This Row],[range_miles]]&gt;=250,"Medium-Range","Short-Range"))</f>
        <v>Medium-Range</v>
      </c>
      <c r="AE135" t="str">
        <f>IF(EV_Data4[[#This Row],[charging_speed_kw]]&gt;=250,"Ultra-Fast",IF(EV_Data4[[#This Row],[charging_speed_kw]]&gt;=150,"Fast-Charging","Standard-Charging"))</f>
        <v>Standard-Charging</v>
      </c>
      <c r="AF135" t="str">
        <f>IF(EV_Data4[[#This Row],[acceleration_0_60_mph]]&lt;=3,"SportsPerformance",IF(EV_Data4[[#This Row],[acceleration_0_60_mph]]&lt;=5,"HighPerformance","Standard"))</f>
        <v>Standard</v>
      </c>
      <c r="AG135" t="str">
        <f>IF(EV_Data4[[#This Row],[customer_rating]]&gt;=4.5,"Excellent",IF(EV_Data4[[#This Row],[customer_rating]]&gt;=3.5,"Good","Average"))</f>
        <v>Good</v>
      </c>
      <c r="AH13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6" spans="1:34" x14ac:dyDescent="0.3">
      <c r="A136" t="s">
        <v>92</v>
      </c>
      <c r="B136" t="s">
        <v>110</v>
      </c>
      <c r="C136">
        <v>2022</v>
      </c>
      <c r="D136" t="s">
        <v>56</v>
      </c>
      <c r="E136" s="3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27</v>
      </c>
      <c r="N136">
        <v>7</v>
      </c>
      <c r="O136" t="s">
        <v>35</v>
      </c>
      <c r="P136">
        <v>40.799999999999997</v>
      </c>
      <c r="Q136">
        <v>1956</v>
      </c>
      <c r="R136">
        <v>4</v>
      </c>
      <c r="S136">
        <v>1</v>
      </c>
      <c r="T136" t="s">
        <v>65</v>
      </c>
      <c r="U136" t="s">
        <v>37</v>
      </c>
      <c r="V136" s="3">
        <v>10495</v>
      </c>
      <c r="W136">
        <v>3.38</v>
      </c>
      <c r="X136">
        <v>5</v>
      </c>
      <c r="Y136" s="1">
        <f>EV_Data4[[#This Row],[range_miles]]/EV_Data4[[#This Row],[battery_capacity_kwh]]</f>
        <v>4.1333333333333337</v>
      </c>
      <c r="Z136" s="4">
        <f>EV_Data4[[#This Row],[price_usd]]/EV_Data4[[#This Row],[range_miles]]</f>
        <v>287.87193548387097</v>
      </c>
      <c r="AA136" s="2">
        <f>(EV_Data4[[#This Row],[customer_rating]]*EV_Data4[[#This Row],[safety_rating]]*1000)/EV_Data4[[#This Row],[price_usd]]</f>
        <v>0.25250176583150585</v>
      </c>
      <c r="AB136">
        <f>EV_Data4[[#This Row],[horsepower]]+EV_Data4[[#This Row],[torque_nm]]/EV_Data4[[#This Row],[acceleration_0_60_mph]]</f>
        <v>320.43356643356645</v>
      </c>
      <c r="AC136" t="str">
        <f>IF(EV_Data4[[#This Row],[price_usd]]&gt;=80000,"Luxury",IF(EV_Data4[[#This Row],[price_usd]]&gt;=40000,"Mid-Range","Budget"))</f>
        <v>Mid-Range</v>
      </c>
      <c r="AD136" t="str">
        <f>IF(EV_Data4[[#This Row],[range_miles]]&gt;=350,"Long-Range",IF(EV_Data4[[#This Row],[range_miles]]&gt;=250,"Medium-Range","Short-Range"))</f>
        <v>Short-Range</v>
      </c>
      <c r="AE136" t="str">
        <f>IF(EV_Data4[[#This Row],[charging_speed_kw]]&gt;=250,"Ultra-Fast",IF(EV_Data4[[#This Row],[charging_speed_kw]]&gt;=150,"Fast-Charging","Standard-Charging"))</f>
        <v>Standard-Charging</v>
      </c>
      <c r="AF136" t="str">
        <f>IF(EV_Data4[[#This Row],[acceleration_0_60_mph]]&lt;=3,"SportsPerformance",IF(EV_Data4[[#This Row],[acceleration_0_60_mph]]&lt;=5,"HighPerformance","Standard"))</f>
        <v>Standard</v>
      </c>
      <c r="AG136" t="str">
        <f>IF(EV_Data4[[#This Row],[customer_rating]]&gt;=4.5,"Excellent",IF(EV_Data4[[#This Row],[customer_rating]]&gt;=3.5,"Good","Average"))</f>
        <v>Average</v>
      </c>
      <c r="AH13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7" spans="1:34" x14ac:dyDescent="0.3">
      <c r="A137" t="s">
        <v>63</v>
      </c>
      <c r="B137" t="s">
        <v>96</v>
      </c>
      <c r="C137">
        <v>2025</v>
      </c>
      <c r="D137" t="s">
        <v>44</v>
      </c>
      <c r="E137" s="3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27</v>
      </c>
      <c r="N137">
        <v>7</v>
      </c>
      <c r="O137" t="s">
        <v>51</v>
      </c>
      <c r="P137">
        <v>19.8</v>
      </c>
      <c r="Q137">
        <v>1616</v>
      </c>
      <c r="R137">
        <v>4</v>
      </c>
      <c r="S137">
        <v>0</v>
      </c>
      <c r="T137" t="s">
        <v>65</v>
      </c>
      <c r="U137" t="s">
        <v>66</v>
      </c>
      <c r="V137" s="3">
        <v>146828</v>
      </c>
      <c r="W137">
        <v>3.67</v>
      </c>
      <c r="X137">
        <v>4</v>
      </c>
      <c r="Y137" s="1">
        <f>EV_Data4[[#This Row],[range_miles]]/EV_Data4[[#This Row],[battery_capacity_kwh]]</f>
        <v>3.2325581395348837</v>
      </c>
      <c r="Z137" s="4">
        <f>EV_Data4[[#This Row],[price_usd]]/EV_Data4[[#This Row],[range_miles]]</f>
        <v>98.525755395683447</v>
      </c>
      <c r="AA137" s="2">
        <f>(EV_Data4[[#This Row],[customer_rating]]*EV_Data4[[#This Row],[safety_rating]]*1000)/EV_Data4[[#This Row],[price_usd]]</f>
        <v>0.53595889910829286</v>
      </c>
      <c r="AB137">
        <f>EV_Data4[[#This Row],[horsepower]]+EV_Data4[[#This Row],[torque_nm]]/EV_Data4[[#This Row],[acceleration_0_60_mph]]</f>
        <v>389.34532374100718</v>
      </c>
      <c r="AC137" t="str">
        <f>IF(EV_Data4[[#This Row],[price_usd]]&gt;=80000,"Luxury",IF(EV_Data4[[#This Row],[price_usd]]&gt;=40000,"Mid-Range","Budget"))</f>
        <v>Budget</v>
      </c>
      <c r="AD137" t="str">
        <f>IF(EV_Data4[[#This Row],[range_miles]]&gt;=350,"Long-Range",IF(EV_Data4[[#This Row],[range_miles]]&gt;=250,"Medium-Range","Short-Range"))</f>
        <v>Medium-Range</v>
      </c>
      <c r="AE137" t="str">
        <f>IF(EV_Data4[[#This Row],[charging_speed_kw]]&gt;=250,"Ultra-Fast",IF(EV_Data4[[#This Row],[charging_speed_kw]]&gt;=150,"Fast-Charging","Standard-Charging"))</f>
        <v>Standard-Charging</v>
      </c>
      <c r="AF137" t="str">
        <f>IF(EV_Data4[[#This Row],[acceleration_0_60_mph]]&lt;=3,"SportsPerformance",IF(EV_Data4[[#This Row],[acceleration_0_60_mph]]&lt;=5,"HighPerformance","Standard"))</f>
        <v>HighPerformance</v>
      </c>
      <c r="AG137" t="str">
        <f>IF(EV_Data4[[#This Row],[customer_rating]]&gt;=4.5,"Excellent",IF(EV_Data4[[#This Row],[customer_rating]]&gt;=3.5,"Good","Average"))</f>
        <v>Good</v>
      </c>
      <c r="AH13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8" spans="1:34" x14ac:dyDescent="0.3">
      <c r="A138" t="s">
        <v>68</v>
      </c>
      <c r="B138" t="s">
        <v>106</v>
      </c>
      <c r="C138">
        <v>2025</v>
      </c>
      <c r="D138" t="s">
        <v>44</v>
      </c>
      <c r="E138" s="3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27</v>
      </c>
      <c r="N138">
        <v>5</v>
      </c>
      <c r="O138" t="s">
        <v>35</v>
      </c>
      <c r="P138">
        <v>55.4</v>
      </c>
      <c r="Q138">
        <v>2407</v>
      </c>
      <c r="R138">
        <v>4</v>
      </c>
      <c r="S138">
        <v>1</v>
      </c>
      <c r="T138" t="s">
        <v>45</v>
      </c>
      <c r="U138" t="s">
        <v>33</v>
      </c>
      <c r="V138" s="3">
        <v>71912</v>
      </c>
      <c r="W138">
        <v>3.59</v>
      </c>
      <c r="X138">
        <v>3</v>
      </c>
      <c r="Y138" s="1">
        <f>EV_Data4[[#This Row],[range_miles]]/EV_Data4[[#This Row],[battery_capacity_kwh]]</f>
        <v>3.2521908471275558</v>
      </c>
      <c r="Z138" s="4">
        <f>EV_Data4[[#This Row],[price_usd]]/EV_Data4[[#This Row],[range_miles]]</f>
        <v>281.52350299401201</v>
      </c>
      <c r="AA138" s="2">
        <f>(EV_Data4[[#This Row],[customer_rating]]*EV_Data4[[#This Row],[safety_rating]]*1000)/EV_Data4[[#This Row],[price_usd]]</f>
        <v>0.15271908568487225</v>
      </c>
      <c r="AB138">
        <f>EV_Data4[[#This Row],[horsepower]]+EV_Data4[[#This Row],[torque_nm]]/EV_Data4[[#This Row],[acceleration_0_60_mph]]</f>
        <v>1232.5980392156862</v>
      </c>
      <c r="AC138" t="str">
        <f>IF(EV_Data4[[#This Row],[price_usd]]&gt;=80000,"Luxury",IF(EV_Data4[[#This Row],[price_usd]]&gt;=40000,"Mid-Range","Budget"))</f>
        <v>Luxury</v>
      </c>
      <c r="AD138" t="str">
        <f>IF(EV_Data4[[#This Row],[range_miles]]&gt;=350,"Long-Range",IF(EV_Data4[[#This Row],[range_miles]]&gt;=250,"Medium-Range","Short-Range"))</f>
        <v>Medium-Range</v>
      </c>
      <c r="AE138" t="str">
        <f>IF(EV_Data4[[#This Row],[charging_speed_kw]]&gt;=250,"Ultra-Fast",IF(EV_Data4[[#This Row],[charging_speed_kw]]&gt;=150,"Fast-Charging","Standard-Charging"))</f>
        <v>Standard-Charging</v>
      </c>
      <c r="AF138" t="str">
        <f>IF(EV_Data4[[#This Row],[acceleration_0_60_mph]]&lt;=3,"SportsPerformance",IF(EV_Data4[[#This Row],[acceleration_0_60_mph]]&lt;=5,"HighPerformance","Standard"))</f>
        <v>HighPerformance</v>
      </c>
      <c r="AG138" t="str">
        <f>IF(EV_Data4[[#This Row],[customer_rating]]&gt;=4.5,"Excellent",IF(EV_Data4[[#This Row],[customer_rating]]&gt;=3.5,"Good","Average"))</f>
        <v>Good</v>
      </c>
      <c r="AH13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9" spans="1:34" x14ac:dyDescent="0.3">
      <c r="A139" t="s">
        <v>38</v>
      </c>
      <c r="B139" t="s">
        <v>39</v>
      </c>
      <c r="C139">
        <v>2025</v>
      </c>
      <c r="D139" t="s">
        <v>33</v>
      </c>
      <c r="E139" s="3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48</v>
      </c>
      <c r="N139">
        <v>7</v>
      </c>
      <c r="O139" t="s">
        <v>51</v>
      </c>
      <c r="P139">
        <v>20.100000000000001</v>
      </c>
      <c r="Q139">
        <v>1744</v>
      </c>
      <c r="R139">
        <v>5</v>
      </c>
      <c r="S139">
        <v>0</v>
      </c>
      <c r="T139" t="s">
        <v>41</v>
      </c>
      <c r="U139" t="s">
        <v>37</v>
      </c>
      <c r="V139" s="3">
        <v>21979</v>
      </c>
      <c r="W139">
        <v>3.27</v>
      </c>
      <c r="X139">
        <v>4</v>
      </c>
      <c r="Y139" s="1">
        <f>EV_Data4[[#This Row],[range_miles]]/EV_Data4[[#This Row],[battery_capacity_kwh]]</f>
        <v>3.348214285714286</v>
      </c>
      <c r="Z139" s="4">
        <f>EV_Data4[[#This Row],[price_usd]]/EV_Data4[[#This Row],[range_miles]]</f>
        <v>397.47326666666663</v>
      </c>
      <c r="AA139" s="2">
        <f>(EV_Data4[[#This Row],[customer_rating]]*EV_Data4[[#This Row],[safety_rating]]*1000)/EV_Data4[[#This Row],[price_usd]]</f>
        <v>0.27423227960488417</v>
      </c>
      <c r="AB139">
        <f>EV_Data4[[#This Row],[horsepower]]+EV_Data4[[#This Row],[torque_nm]]/EV_Data4[[#This Row],[acceleration_0_60_mph]]</f>
        <v>927.83018867924534</v>
      </c>
      <c r="AC139" t="str">
        <f>IF(EV_Data4[[#This Row],[price_usd]]&gt;=80000,"Luxury",IF(EV_Data4[[#This Row],[price_usd]]&gt;=40000,"Mid-Range","Budget"))</f>
        <v>Mid-Range</v>
      </c>
      <c r="AD139" t="str">
        <f>IF(EV_Data4[[#This Row],[range_miles]]&gt;=350,"Long-Range",IF(EV_Data4[[#This Row],[range_miles]]&gt;=250,"Medium-Range","Short-Range"))</f>
        <v>Short-Range</v>
      </c>
      <c r="AE139" t="str">
        <f>IF(EV_Data4[[#This Row],[charging_speed_kw]]&gt;=250,"Ultra-Fast",IF(EV_Data4[[#This Row],[charging_speed_kw]]&gt;=150,"Fast-Charging","Standard-Charging"))</f>
        <v>Standard-Charging</v>
      </c>
      <c r="AF139" t="str">
        <f>IF(EV_Data4[[#This Row],[acceleration_0_60_mph]]&lt;=3,"SportsPerformance",IF(EV_Data4[[#This Row],[acceleration_0_60_mph]]&lt;=5,"HighPerformance","Standard"))</f>
        <v>Standard</v>
      </c>
      <c r="AG139" t="str">
        <f>IF(EV_Data4[[#This Row],[customer_rating]]&gt;=4.5,"Excellent",IF(EV_Data4[[#This Row],[customer_rating]]&gt;=3.5,"Good","Average"))</f>
        <v>Average</v>
      </c>
      <c r="AH13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0" spans="1:34" x14ac:dyDescent="0.3">
      <c r="A140" t="s">
        <v>24</v>
      </c>
      <c r="B140" t="s">
        <v>25</v>
      </c>
      <c r="C140">
        <v>2025</v>
      </c>
      <c r="D140" t="s">
        <v>26</v>
      </c>
      <c r="E140" s="3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27</v>
      </c>
      <c r="N140">
        <v>5</v>
      </c>
      <c r="O140" t="s">
        <v>28</v>
      </c>
      <c r="P140">
        <v>60.2</v>
      </c>
      <c r="Q140">
        <v>2608</v>
      </c>
      <c r="R140">
        <v>4</v>
      </c>
      <c r="S140">
        <v>0</v>
      </c>
      <c r="T140" t="s">
        <v>29</v>
      </c>
      <c r="U140" t="s">
        <v>33</v>
      </c>
      <c r="V140" s="3">
        <v>216549</v>
      </c>
      <c r="W140">
        <v>3.66</v>
      </c>
      <c r="X140">
        <v>4</v>
      </c>
      <c r="Y140" s="1">
        <f>EV_Data4[[#This Row],[range_miles]]/EV_Data4[[#This Row],[battery_capacity_kwh]]</f>
        <v>3.5087719298245612</v>
      </c>
      <c r="Z140" s="4">
        <f>EV_Data4[[#This Row],[price_usd]]/EV_Data4[[#This Row],[range_miles]]</f>
        <v>262.37976666666663</v>
      </c>
      <c r="AA140" s="2">
        <f>(EV_Data4[[#This Row],[customer_rating]]*EV_Data4[[#This Row],[safety_rating]]*1000)/EV_Data4[[#This Row],[price_usd]]</f>
        <v>0.18598995120685755</v>
      </c>
      <c r="AB140">
        <f>EV_Data4[[#This Row],[horsepower]]+EV_Data4[[#This Row],[torque_nm]]/EV_Data4[[#This Row],[acceleration_0_60_mph]]</f>
        <v>1078.0839160839162</v>
      </c>
      <c r="AC140" t="str">
        <f>IF(EV_Data4[[#This Row],[price_usd]]&gt;=80000,"Luxury",IF(EV_Data4[[#This Row],[price_usd]]&gt;=40000,"Mid-Range","Budget"))</f>
        <v>Mid-Range</v>
      </c>
      <c r="AD140" t="str">
        <f>IF(EV_Data4[[#This Row],[range_miles]]&gt;=350,"Long-Range",IF(EV_Data4[[#This Row],[range_miles]]&gt;=250,"Medium-Range","Short-Range"))</f>
        <v>Medium-Range</v>
      </c>
      <c r="AE140" t="str">
        <f>IF(EV_Data4[[#This Row],[charging_speed_kw]]&gt;=250,"Ultra-Fast",IF(EV_Data4[[#This Row],[charging_speed_kw]]&gt;=150,"Fast-Charging","Standard-Charging"))</f>
        <v>Fast-Charging</v>
      </c>
      <c r="AF140" t="str">
        <f>IF(EV_Data4[[#This Row],[acceleration_0_60_mph]]&lt;=3,"SportsPerformance",IF(EV_Data4[[#This Row],[acceleration_0_60_mph]]&lt;=5,"HighPerformance","Standard"))</f>
        <v>SportsPerformance</v>
      </c>
      <c r="AG140" t="str">
        <f>IF(EV_Data4[[#This Row],[customer_rating]]&gt;=4.5,"Excellent",IF(EV_Data4[[#This Row],[customer_rating]]&gt;=3.5,"Good","Average"))</f>
        <v>Good</v>
      </c>
      <c r="AH14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1" spans="1:34" x14ac:dyDescent="0.3">
      <c r="A141" t="s">
        <v>59</v>
      </c>
      <c r="B141" t="s">
        <v>111</v>
      </c>
      <c r="C141">
        <v>2022</v>
      </c>
      <c r="D141" t="s">
        <v>44</v>
      </c>
      <c r="E141" s="3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48</v>
      </c>
      <c r="N141">
        <v>7</v>
      </c>
      <c r="O141" t="s">
        <v>50</v>
      </c>
      <c r="P141">
        <v>19.8</v>
      </c>
      <c r="Q141">
        <v>1611</v>
      </c>
      <c r="R141">
        <v>5</v>
      </c>
      <c r="S141">
        <v>0</v>
      </c>
      <c r="T141" t="s">
        <v>41</v>
      </c>
      <c r="U141" t="s">
        <v>37</v>
      </c>
      <c r="V141" s="3">
        <v>23860</v>
      </c>
      <c r="W141">
        <v>3.43</v>
      </c>
      <c r="X141">
        <v>5</v>
      </c>
      <c r="Y141" s="1">
        <f>EV_Data4[[#This Row],[range_miles]]/EV_Data4[[#This Row],[battery_capacity_kwh]]</f>
        <v>3.483009708737864</v>
      </c>
      <c r="Z141" s="4">
        <f>EV_Data4[[#This Row],[price_usd]]/EV_Data4[[#This Row],[range_miles]]</f>
        <v>207.26439024390243</v>
      </c>
      <c r="AA141" s="2">
        <f>(EV_Data4[[#This Row],[customer_rating]]*EV_Data4[[#This Row],[safety_rating]]*1000)/EV_Data4[[#This Row],[price_usd]]</f>
        <v>0.28830855841013725</v>
      </c>
      <c r="AB141">
        <f>EV_Data4[[#This Row],[horsepower]]+EV_Data4[[#This Row],[torque_nm]]/EV_Data4[[#This Row],[acceleration_0_60_mph]]</f>
        <v>460.15384615384619</v>
      </c>
      <c r="AC141" t="str">
        <f>IF(EV_Data4[[#This Row],[price_usd]]&gt;=80000,"Luxury",IF(EV_Data4[[#This Row],[price_usd]]&gt;=40000,"Mid-Range","Budget"))</f>
        <v>Mid-Range</v>
      </c>
      <c r="AD141" t="str">
        <f>IF(EV_Data4[[#This Row],[range_miles]]&gt;=350,"Long-Range",IF(EV_Data4[[#This Row],[range_miles]]&gt;=250,"Medium-Range","Short-Range"))</f>
        <v>Medium-Range</v>
      </c>
      <c r="AE141" t="str">
        <f>IF(EV_Data4[[#This Row],[charging_speed_kw]]&gt;=250,"Ultra-Fast",IF(EV_Data4[[#This Row],[charging_speed_kw]]&gt;=150,"Fast-Charging","Standard-Charging"))</f>
        <v>Standard-Charging</v>
      </c>
      <c r="AF141" t="str">
        <f>IF(EV_Data4[[#This Row],[acceleration_0_60_mph]]&lt;=3,"SportsPerformance",IF(EV_Data4[[#This Row],[acceleration_0_60_mph]]&lt;=5,"HighPerformance","Standard"))</f>
        <v>Standard</v>
      </c>
      <c r="AG141" t="str">
        <f>IF(EV_Data4[[#This Row],[customer_rating]]&gt;=4.5,"Excellent",IF(EV_Data4[[#This Row],[customer_rating]]&gt;=3.5,"Good","Average"))</f>
        <v>Average</v>
      </c>
      <c r="AH14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2" spans="1:34" x14ac:dyDescent="0.3">
      <c r="A142" t="s">
        <v>31</v>
      </c>
      <c r="B142" t="s">
        <v>112</v>
      </c>
      <c r="C142">
        <v>2025</v>
      </c>
      <c r="D142" t="s">
        <v>26</v>
      </c>
      <c r="E142" s="3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27</v>
      </c>
      <c r="N142">
        <v>5</v>
      </c>
      <c r="O142" t="s">
        <v>28</v>
      </c>
      <c r="P142">
        <v>68.7</v>
      </c>
      <c r="Q142">
        <v>2450</v>
      </c>
      <c r="R142">
        <v>5</v>
      </c>
      <c r="S142">
        <v>0</v>
      </c>
      <c r="T142" t="s">
        <v>36</v>
      </c>
      <c r="U142" t="s">
        <v>37</v>
      </c>
      <c r="V142" s="3">
        <v>15819</v>
      </c>
      <c r="W142">
        <v>4.18</v>
      </c>
      <c r="X142">
        <v>3</v>
      </c>
      <c r="Y142" s="1">
        <f>EV_Data4[[#This Row],[range_miles]]/EV_Data4[[#This Row],[battery_capacity_kwh]]</f>
        <v>3.5768500948766602</v>
      </c>
      <c r="Z142" s="4">
        <f>EV_Data4[[#This Row],[price_usd]]/EV_Data4[[#This Row],[range_miles]]</f>
        <v>165.37305039787799</v>
      </c>
      <c r="AA142" s="2">
        <f>(EV_Data4[[#This Row],[customer_rating]]*EV_Data4[[#This Row],[safety_rating]]*1000)/EV_Data4[[#This Row],[price_usd]]</f>
        <v>0.33522793253866667</v>
      </c>
      <c r="AB142">
        <f>EV_Data4[[#This Row],[horsepower]]+EV_Data4[[#This Row],[torque_nm]]/EV_Data4[[#This Row],[acceleration_0_60_mph]]</f>
        <v>932.72727272727275</v>
      </c>
      <c r="AC142" t="str">
        <f>IF(EV_Data4[[#This Row],[price_usd]]&gt;=80000,"Luxury",IF(EV_Data4[[#This Row],[price_usd]]&gt;=40000,"Mid-Range","Budget"))</f>
        <v>Mid-Range</v>
      </c>
      <c r="AD142" t="str">
        <f>IF(EV_Data4[[#This Row],[range_miles]]&gt;=350,"Long-Range",IF(EV_Data4[[#This Row],[range_miles]]&gt;=250,"Medium-Range","Short-Range"))</f>
        <v>Long-Range</v>
      </c>
      <c r="AE142" t="str">
        <f>IF(EV_Data4[[#This Row],[charging_speed_kw]]&gt;=250,"Ultra-Fast",IF(EV_Data4[[#This Row],[charging_speed_kw]]&gt;=150,"Fast-Charging","Standard-Charging"))</f>
        <v>Fast-Charging</v>
      </c>
      <c r="AF142" t="str">
        <f>IF(EV_Data4[[#This Row],[acceleration_0_60_mph]]&lt;=3,"SportsPerformance",IF(EV_Data4[[#This Row],[acceleration_0_60_mph]]&lt;=5,"HighPerformance","Standard"))</f>
        <v>SportsPerformance</v>
      </c>
      <c r="AG142" t="str">
        <f>IF(EV_Data4[[#This Row],[customer_rating]]&gt;=4.5,"Excellent",IF(EV_Data4[[#This Row],[customer_rating]]&gt;=3.5,"Good","Average"))</f>
        <v>Good</v>
      </c>
      <c r="AH14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3" spans="1:34" x14ac:dyDescent="0.3">
      <c r="A143" t="s">
        <v>63</v>
      </c>
      <c r="B143" t="s">
        <v>96</v>
      </c>
      <c r="C143">
        <v>2023</v>
      </c>
      <c r="D143" t="s">
        <v>26</v>
      </c>
      <c r="E143" s="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48</v>
      </c>
      <c r="N143">
        <v>5</v>
      </c>
      <c r="O143" t="s">
        <v>58</v>
      </c>
      <c r="P143">
        <v>33.1</v>
      </c>
      <c r="Q143">
        <v>1623</v>
      </c>
      <c r="R143">
        <v>4</v>
      </c>
      <c r="S143">
        <v>2</v>
      </c>
      <c r="T143" t="s">
        <v>65</v>
      </c>
      <c r="U143" t="s">
        <v>66</v>
      </c>
      <c r="V143" s="3">
        <v>106140</v>
      </c>
      <c r="W143">
        <v>3.65</v>
      </c>
      <c r="X143">
        <v>3</v>
      </c>
      <c r="Y143" s="1">
        <f>EV_Data4[[#This Row],[range_miles]]/EV_Data4[[#This Row],[battery_capacity_kwh]]</f>
        <v>3.376906318082789</v>
      </c>
      <c r="Z143" s="4">
        <f>EV_Data4[[#This Row],[price_usd]]/EV_Data4[[#This Row],[range_miles]]</f>
        <v>109.36874193548387</v>
      </c>
      <c r="AA143" s="2">
        <f>(EV_Data4[[#This Row],[customer_rating]]*EV_Data4[[#This Row],[safety_rating]]*1000)/EV_Data4[[#This Row],[price_usd]]</f>
        <v>0.43062371716162345</v>
      </c>
      <c r="AB143">
        <f>EV_Data4[[#This Row],[horsepower]]+EV_Data4[[#This Row],[torque_nm]]/EV_Data4[[#This Row],[acceleration_0_60_mph]]</f>
        <v>443.01657458563534</v>
      </c>
      <c r="AC143" t="str">
        <f>IF(EV_Data4[[#This Row],[price_usd]]&gt;=80000,"Luxury",IF(EV_Data4[[#This Row],[price_usd]]&gt;=40000,"Mid-Range","Budget"))</f>
        <v>Budget</v>
      </c>
      <c r="AD143" t="str">
        <f>IF(EV_Data4[[#This Row],[range_miles]]&gt;=350,"Long-Range",IF(EV_Data4[[#This Row],[range_miles]]&gt;=250,"Medium-Range","Short-Range"))</f>
        <v>Medium-Range</v>
      </c>
      <c r="AE143" t="str">
        <f>IF(EV_Data4[[#This Row],[charging_speed_kw]]&gt;=250,"Ultra-Fast",IF(EV_Data4[[#This Row],[charging_speed_kw]]&gt;=150,"Fast-Charging","Standard-Charging"))</f>
        <v>Fast-Charging</v>
      </c>
      <c r="AF143" t="str">
        <f>IF(EV_Data4[[#This Row],[acceleration_0_60_mph]]&lt;=3,"SportsPerformance",IF(EV_Data4[[#This Row],[acceleration_0_60_mph]]&lt;=5,"HighPerformance","Standard"))</f>
        <v>HighPerformance</v>
      </c>
      <c r="AG143" t="str">
        <f>IF(EV_Data4[[#This Row],[customer_rating]]&gt;=4.5,"Excellent",IF(EV_Data4[[#This Row],[customer_rating]]&gt;=3.5,"Good","Average"))</f>
        <v>Good</v>
      </c>
      <c r="AH14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4" spans="1:34" x14ac:dyDescent="0.3">
      <c r="A144" t="s">
        <v>68</v>
      </c>
      <c r="B144" t="s">
        <v>69</v>
      </c>
      <c r="C144">
        <v>2025</v>
      </c>
      <c r="D144" t="s">
        <v>44</v>
      </c>
      <c r="E144" s="3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27</v>
      </c>
      <c r="N144">
        <v>7</v>
      </c>
      <c r="O144" t="s">
        <v>35</v>
      </c>
      <c r="P144">
        <v>41.8</v>
      </c>
      <c r="Q144">
        <v>2284</v>
      </c>
      <c r="R144">
        <v>3</v>
      </c>
      <c r="S144">
        <v>1</v>
      </c>
      <c r="T144" t="s">
        <v>45</v>
      </c>
      <c r="U144" t="s">
        <v>37</v>
      </c>
      <c r="V144" s="3">
        <v>61921</v>
      </c>
      <c r="W144">
        <v>3.92</v>
      </c>
      <c r="X144">
        <v>3</v>
      </c>
      <c r="Y144" s="1">
        <f>EV_Data4[[#This Row],[range_miles]]/EV_Data4[[#This Row],[battery_capacity_kwh]]</f>
        <v>3.8256880733944953</v>
      </c>
      <c r="Z144" s="4">
        <f>EV_Data4[[#This Row],[price_usd]]/EV_Data4[[#This Row],[range_miles]]</f>
        <v>97.116642685851318</v>
      </c>
      <c r="AA144" s="2">
        <f>(EV_Data4[[#This Row],[customer_rating]]*EV_Data4[[#This Row],[safety_rating]]*1000)/EV_Data4[[#This Row],[price_usd]]</f>
        <v>0.29038729170391164</v>
      </c>
      <c r="AB144">
        <f>EV_Data4[[#This Row],[horsepower]]+EV_Data4[[#This Row],[torque_nm]]/EV_Data4[[#This Row],[acceleration_0_60_mph]]</f>
        <v>400.76458752515089</v>
      </c>
      <c r="AC144" t="str">
        <f>IF(EV_Data4[[#This Row],[price_usd]]&gt;=80000,"Luxury",IF(EV_Data4[[#This Row],[price_usd]]&gt;=40000,"Mid-Range","Budget"))</f>
        <v>Mid-Range</v>
      </c>
      <c r="AD144" t="str">
        <f>IF(EV_Data4[[#This Row],[range_miles]]&gt;=350,"Long-Range",IF(EV_Data4[[#This Row],[range_miles]]&gt;=250,"Medium-Range","Short-Range"))</f>
        <v>Long-Range</v>
      </c>
      <c r="AE144" t="str">
        <f>IF(EV_Data4[[#This Row],[charging_speed_kw]]&gt;=250,"Ultra-Fast",IF(EV_Data4[[#This Row],[charging_speed_kw]]&gt;=150,"Fast-Charging","Standard-Charging"))</f>
        <v>Standard-Charging</v>
      </c>
      <c r="AF144" t="str">
        <f>IF(EV_Data4[[#This Row],[acceleration_0_60_mph]]&lt;=3,"SportsPerformance",IF(EV_Data4[[#This Row],[acceleration_0_60_mph]]&lt;=5,"HighPerformance","Standard"))</f>
        <v>HighPerformance</v>
      </c>
      <c r="AG144" t="str">
        <f>IF(EV_Data4[[#This Row],[customer_rating]]&gt;=4.5,"Excellent",IF(EV_Data4[[#This Row],[customer_rating]]&gt;=3.5,"Good","Average"))</f>
        <v>Good</v>
      </c>
      <c r="AH14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5" spans="1:34" x14ac:dyDescent="0.3">
      <c r="A145" t="s">
        <v>63</v>
      </c>
      <c r="B145" t="s">
        <v>96</v>
      </c>
      <c r="C145">
        <v>2024</v>
      </c>
      <c r="D145" t="s">
        <v>33</v>
      </c>
      <c r="E145" s="3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27</v>
      </c>
      <c r="N145">
        <v>7</v>
      </c>
      <c r="O145" t="s">
        <v>40</v>
      </c>
      <c r="P145">
        <v>67.3</v>
      </c>
      <c r="Q145">
        <v>1633</v>
      </c>
      <c r="R145">
        <v>5</v>
      </c>
      <c r="S145">
        <v>2</v>
      </c>
      <c r="T145" t="s">
        <v>65</v>
      </c>
      <c r="U145" t="s">
        <v>33</v>
      </c>
      <c r="V145" s="3">
        <v>229760</v>
      </c>
      <c r="W145">
        <v>3.35</v>
      </c>
      <c r="X145">
        <v>4</v>
      </c>
      <c r="Y145" s="1">
        <f>EV_Data4[[#This Row],[range_miles]]/EV_Data4[[#This Row],[battery_capacity_kwh]]</f>
        <v>3.4520123839009291</v>
      </c>
      <c r="Z145" s="4">
        <f>EV_Data4[[#This Row],[price_usd]]/EV_Data4[[#This Row],[range_miles]]</f>
        <v>400.6295515695067</v>
      </c>
      <c r="AA145" s="2">
        <f>(EV_Data4[[#This Row],[customer_rating]]*EV_Data4[[#This Row],[safety_rating]]*1000)/EV_Data4[[#This Row],[price_usd]]</f>
        <v>0.18748519006912776</v>
      </c>
      <c r="AB145">
        <f>EV_Data4[[#This Row],[horsepower]]+EV_Data4[[#This Row],[torque_nm]]/EV_Data4[[#This Row],[acceleration_0_60_mph]]</f>
        <v>1113.5883905013193</v>
      </c>
      <c r="AC145" t="str">
        <f>IF(EV_Data4[[#This Row],[price_usd]]&gt;=80000,"Luxury",IF(EV_Data4[[#This Row],[price_usd]]&gt;=40000,"Mid-Range","Budget"))</f>
        <v>Luxury</v>
      </c>
      <c r="AD145" t="str">
        <f>IF(EV_Data4[[#This Row],[range_miles]]&gt;=350,"Long-Range",IF(EV_Data4[[#This Row],[range_miles]]&gt;=250,"Medium-Range","Short-Range"))</f>
        <v>Short-Range</v>
      </c>
      <c r="AE145" t="str">
        <f>IF(EV_Data4[[#This Row],[charging_speed_kw]]&gt;=250,"Ultra-Fast",IF(EV_Data4[[#This Row],[charging_speed_kw]]&gt;=150,"Fast-Charging","Standard-Charging"))</f>
        <v>Standard-Charging</v>
      </c>
      <c r="AF145" t="str">
        <f>IF(EV_Data4[[#This Row],[acceleration_0_60_mph]]&lt;=3,"SportsPerformance",IF(EV_Data4[[#This Row],[acceleration_0_60_mph]]&lt;=5,"HighPerformance","Standard"))</f>
        <v>Standard</v>
      </c>
      <c r="AG145" t="str">
        <f>IF(EV_Data4[[#This Row],[customer_rating]]&gt;=4.5,"Excellent",IF(EV_Data4[[#This Row],[customer_rating]]&gt;=3.5,"Good","Average"))</f>
        <v>Average</v>
      </c>
      <c r="AH14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6" spans="1:34" x14ac:dyDescent="0.3">
      <c r="A146" t="s">
        <v>63</v>
      </c>
      <c r="B146" t="s">
        <v>64</v>
      </c>
      <c r="C146">
        <v>2023</v>
      </c>
      <c r="D146" t="s">
        <v>44</v>
      </c>
      <c r="E146" s="3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27</v>
      </c>
      <c r="N146">
        <v>5</v>
      </c>
      <c r="O146" t="s">
        <v>35</v>
      </c>
      <c r="P146">
        <v>54.1</v>
      </c>
      <c r="Q146">
        <v>1861</v>
      </c>
      <c r="R146">
        <v>5</v>
      </c>
      <c r="S146">
        <v>1</v>
      </c>
      <c r="T146" t="s">
        <v>65</v>
      </c>
      <c r="U146" t="s">
        <v>33</v>
      </c>
      <c r="V146" s="3">
        <v>177211</v>
      </c>
      <c r="W146">
        <v>3.38</v>
      </c>
      <c r="X146">
        <v>3</v>
      </c>
      <c r="Y146" s="1">
        <f>EV_Data4[[#This Row],[range_miles]]/EV_Data4[[#This Row],[battery_capacity_kwh]]</f>
        <v>3.380281690140845</v>
      </c>
      <c r="Z146" s="4">
        <f>EV_Data4[[#This Row],[price_usd]]/EV_Data4[[#This Row],[range_miles]]</f>
        <v>270.4939583333333</v>
      </c>
      <c r="AA146" s="2">
        <f>(EV_Data4[[#This Row],[customer_rating]]*EV_Data4[[#This Row],[safety_rating]]*1000)/EV_Data4[[#This Row],[price_usd]]</f>
        <v>0.21693850730389594</v>
      </c>
      <c r="AB146">
        <f>EV_Data4[[#This Row],[horsepower]]+EV_Data4[[#This Row],[torque_nm]]/EV_Data4[[#This Row],[acceleration_0_60_mph]]</f>
        <v>1015.2816229116945</v>
      </c>
      <c r="AC146" t="str">
        <f>IF(EV_Data4[[#This Row],[price_usd]]&gt;=80000,"Luxury",IF(EV_Data4[[#This Row],[price_usd]]&gt;=40000,"Mid-Range","Budget"))</f>
        <v>Mid-Range</v>
      </c>
      <c r="AD146" t="str">
        <f>IF(EV_Data4[[#This Row],[range_miles]]&gt;=350,"Long-Range",IF(EV_Data4[[#This Row],[range_miles]]&gt;=250,"Medium-Range","Short-Range"))</f>
        <v>Medium-Range</v>
      </c>
      <c r="AE146" t="str">
        <f>IF(EV_Data4[[#This Row],[charging_speed_kw]]&gt;=250,"Ultra-Fast",IF(EV_Data4[[#This Row],[charging_speed_kw]]&gt;=150,"Fast-Charging","Standard-Charging"))</f>
        <v>Standard-Charging</v>
      </c>
      <c r="AF146" t="str">
        <f>IF(EV_Data4[[#This Row],[acceleration_0_60_mph]]&lt;=3,"SportsPerformance",IF(EV_Data4[[#This Row],[acceleration_0_60_mph]]&lt;=5,"HighPerformance","Standard"))</f>
        <v>HighPerformance</v>
      </c>
      <c r="AG146" t="str">
        <f>IF(EV_Data4[[#This Row],[customer_rating]]&gt;=4.5,"Excellent",IF(EV_Data4[[#This Row],[customer_rating]]&gt;=3.5,"Good","Average"))</f>
        <v>Average</v>
      </c>
      <c r="AH14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7" spans="1:34" x14ac:dyDescent="0.3">
      <c r="A147" t="s">
        <v>46</v>
      </c>
      <c r="B147" t="s">
        <v>57</v>
      </c>
      <c r="C147">
        <v>2025</v>
      </c>
      <c r="D147" t="s">
        <v>61</v>
      </c>
      <c r="E147" s="3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48</v>
      </c>
      <c r="N147">
        <v>5</v>
      </c>
      <c r="O147" t="s">
        <v>51</v>
      </c>
      <c r="P147">
        <v>28.4</v>
      </c>
      <c r="Q147">
        <v>1692</v>
      </c>
      <c r="R147">
        <v>4</v>
      </c>
      <c r="S147">
        <v>2</v>
      </c>
      <c r="T147" t="s">
        <v>41</v>
      </c>
      <c r="U147" t="s">
        <v>33</v>
      </c>
      <c r="V147" s="3">
        <v>226745</v>
      </c>
      <c r="W147">
        <v>3.61</v>
      </c>
      <c r="X147">
        <v>5</v>
      </c>
      <c r="Y147" s="1">
        <f>EV_Data4[[#This Row],[range_miles]]/EV_Data4[[#This Row],[battery_capacity_kwh]]</f>
        <v>3.5618479880774965</v>
      </c>
      <c r="Z147" s="4">
        <f>EV_Data4[[#This Row],[price_usd]]/EV_Data4[[#This Row],[range_miles]]</f>
        <v>282.3841422594142</v>
      </c>
      <c r="AA147" s="2">
        <f>(EV_Data4[[#This Row],[customer_rating]]*EV_Data4[[#This Row],[safety_rating]]*1000)/EV_Data4[[#This Row],[price_usd]]</f>
        <v>0.21395822569362694</v>
      </c>
      <c r="AB147">
        <f>EV_Data4[[#This Row],[horsepower]]+EV_Data4[[#This Row],[torque_nm]]/EV_Data4[[#This Row],[acceleration_0_60_mph]]</f>
        <v>539.73254086181282</v>
      </c>
      <c r="AC147" t="str">
        <f>IF(EV_Data4[[#This Row],[price_usd]]&gt;=80000,"Luxury",IF(EV_Data4[[#This Row],[price_usd]]&gt;=40000,"Mid-Range","Budget"))</f>
        <v>Mid-Range</v>
      </c>
      <c r="AD147" t="str">
        <f>IF(EV_Data4[[#This Row],[range_miles]]&gt;=350,"Long-Range",IF(EV_Data4[[#This Row],[range_miles]]&gt;=250,"Medium-Range","Short-Range"))</f>
        <v>Short-Range</v>
      </c>
      <c r="AE147" t="str">
        <f>IF(EV_Data4[[#This Row],[charging_speed_kw]]&gt;=250,"Ultra-Fast",IF(EV_Data4[[#This Row],[charging_speed_kw]]&gt;=150,"Fast-Charging","Standard-Charging"))</f>
        <v>Ultra-Fast</v>
      </c>
      <c r="AF147" t="str">
        <f>IF(EV_Data4[[#This Row],[acceleration_0_60_mph]]&lt;=3,"SportsPerformance",IF(EV_Data4[[#This Row],[acceleration_0_60_mph]]&lt;=5,"HighPerformance","Standard"))</f>
        <v>Standard</v>
      </c>
      <c r="AG147" t="str">
        <f>IF(EV_Data4[[#This Row],[customer_rating]]&gt;=4.5,"Excellent",IF(EV_Data4[[#This Row],[customer_rating]]&gt;=3.5,"Good","Average"))</f>
        <v>Good</v>
      </c>
      <c r="AH14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8" spans="1:34" x14ac:dyDescent="0.3">
      <c r="A148" t="s">
        <v>42</v>
      </c>
      <c r="B148" t="s">
        <v>43</v>
      </c>
      <c r="C148">
        <v>2025</v>
      </c>
      <c r="D148" t="s">
        <v>26</v>
      </c>
      <c r="E148" s="3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48</v>
      </c>
      <c r="N148">
        <v>5</v>
      </c>
      <c r="O148" t="s">
        <v>35</v>
      </c>
      <c r="P148">
        <v>39.6</v>
      </c>
      <c r="Q148">
        <v>2114</v>
      </c>
      <c r="R148">
        <v>4</v>
      </c>
      <c r="S148">
        <v>1</v>
      </c>
      <c r="T148" t="s">
        <v>45</v>
      </c>
      <c r="U148" t="s">
        <v>33</v>
      </c>
      <c r="V148" s="3">
        <v>52100</v>
      </c>
      <c r="W148">
        <v>3.59</v>
      </c>
      <c r="X148">
        <v>3</v>
      </c>
      <c r="Y148" s="1">
        <f>EV_Data4[[#This Row],[range_miles]]/EV_Data4[[#This Row],[battery_capacity_kwh]]</f>
        <v>3.5859124866595518</v>
      </c>
      <c r="Z148" s="4">
        <f>EV_Data4[[#This Row],[price_usd]]/EV_Data4[[#This Row],[range_miles]]</f>
        <v>297.5986607142857</v>
      </c>
      <c r="AA148" s="2">
        <f>(EV_Data4[[#This Row],[customer_rating]]*EV_Data4[[#This Row],[safety_rating]]*1000)/EV_Data4[[#This Row],[price_usd]]</f>
        <v>0.14360983727385326</v>
      </c>
      <c r="AB148">
        <f>EV_Data4[[#This Row],[horsepower]]+EV_Data4[[#This Row],[torque_nm]]/EV_Data4[[#This Row],[acceleration_0_60_mph]]</f>
        <v>1284.7619047619048</v>
      </c>
      <c r="AC148" t="str">
        <f>IF(EV_Data4[[#This Row],[price_usd]]&gt;=80000,"Luxury",IF(EV_Data4[[#This Row],[price_usd]]&gt;=40000,"Mid-Range","Budget"))</f>
        <v>Luxury</v>
      </c>
      <c r="AD148" t="str">
        <f>IF(EV_Data4[[#This Row],[range_miles]]&gt;=350,"Long-Range",IF(EV_Data4[[#This Row],[range_miles]]&gt;=250,"Medium-Range","Short-Range"))</f>
        <v>Medium-Range</v>
      </c>
      <c r="AE148" t="str">
        <f>IF(EV_Data4[[#This Row],[charging_speed_kw]]&gt;=250,"Ultra-Fast",IF(EV_Data4[[#This Row],[charging_speed_kw]]&gt;=150,"Fast-Charging","Standard-Charging"))</f>
        <v>Fast-Charging</v>
      </c>
      <c r="AF148" t="str">
        <f>IF(EV_Data4[[#This Row],[acceleration_0_60_mph]]&lt;=3,"SportsPerformance",IF(EV_Data4[[#This Row],[acceleration_0_60_mph]]&lt;=5,"HighPerformance","Standard"))</f>
        <v>HighPerformance</v>
      </c>
      <c r="AG148" t="str">
        <f>IF(EV_Data4[[#This Row],[customer_rating]]&gt;=4.5,"Excellent",IF(EV_Data4[[#This Row],[customer_rating]]&gt;=3.5,"Good","Average"))</f>
        <v>Good</v>
      </c>
      <c r="AH14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9" spans="1:34" x14ac:dyDescent="0.3">
      <c r="A149" t="s">
        <v>68</v>
      </c>
      <c r="B149" t="s">
        <v>90</v>
      </c>
      <c r="C149">
        <v>2024</v>
      </c>
      <c r="D149" t="s">
        <v>56</v>
      </c>
      <c r="E149" s="3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34</v>
      </c>
      <c r="N149">
        <v>7</v>
      </c>
      <c r="O149" t="s">
        <v>50</v>
      </c>
      <c r="P149">
        <v>30.7</v>
      </c>
      <c r="Q149">
        <v>1684</v>
      </c>
      <c r="R149">
        <v>5</v>
      </c>
      <c r="S149">
        <v>2</v>
      </c>
      <c r="T149" t="s">
        <v>45</v>
      </c>
      <c r="U149" t="s">
        <v>66</v>
      </c>
      <c r="V149" s="3">
        <v>53245</v>
      </c>
      <c r="W149">
        <v>3.2</v>
      </c>
      <c r="X149">
        <v>3</v>
      </c>
      <c r="Y149" s="1">
        <f>EV_Data4[[#This Row],[range_miles]]/EV_Data4[[#This Row],[battery_capacity_kwh]]</f>
        <v>3.4579439252336446</v>
      </c>
      <c r="Z149" s="4">
        <f>EV_Data4[[#This Row],[price_usd]]/EV_Data4[[#This Row],[range_miles]]</f>
        <v>132.63531531531532</v>
      </c>
      <c r="AA149" s="2">
        <f>(EV_Data4[[#This Row],[customer_rating]]*EV_Data4[[#This Row],[safety_rating]]*1000)/EV_Data4[[#This Row],[price_usd]]</f>
        <v>0.54338523567976138</v>
      </c>
      <c r="AB149">
        <f>EV_Data4[[#This Row],[horsepower]]+EV_Data4[[#This Row],[torque_nm]]/EV_Data4[[#This Row],[acceleration_0_60_mph]]</f>
        <v>217.03703703703704</v>
      </c>
      <c r="AC149" t="str">
        <f>IF(EV_Data4[[#This Row],[price_usd]]&gt;=80000,"Luxury",IF(EV_Data4[[#This Row],[price_usd]]&gt;=40000,"Mid-Range","Budget"))</f>
        <v>Budget</v>
      </c>
      <c r="AD149" t="str">
        <f>IF(EV_Data4[[#This Row],[range_miles]]&gt;=350,"Long-Range",IF(EV_Data4[[#This Row],[range_miles]]&gt;=250,"Medium-Range","Short-Range"))</f>
        <v>Short-Range</v>
      </c>
      <c r="AE149" t="str">
        <f>IF(EV_Data4[[#This Row],[charging_speed_kw]]&gt;=250,"Ultra-Fast",IF(EV_Data4[[#This Row],[charging_speed_kw]]&gt;=150,"Fast-Charging","Standard-Charging"))</f>
        <v>Standard-Charging</v>
      </c>
      <c r="AF149" t="str">
        <f>IF(EV_Data4[[#This Row],[acceleration_0_60_mph]]&lt;=3,"SportsPerformance",IF(EV_Data4[[#This Row],[acceleration_0_60_mph]]&lt;=5,"HighPerformance","Standard"))</f>
        <v>Standard</v>
      </c>
      <c r="AG149" t="str">
        <f>IF(EV_Data4[[#This Row],[customer_rating]]&gt;=4.5,"Excellent",IF(EV_Data4[[#This Row],[customer_rating]]&gt;=3.5,"Good","Average"))</f>
        <v>Average</v>
      </c>
      <c r="AH14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0" spans="1:34" x14ac:dyDescent="0.3">
      <c r="A150" t="s">
        <v>46</v>
      </c>
      <c r="B150" t="s">
        <v>72</v>
      </c>
      <c r="C150">
        <v>2024</v>
      </c>
      <c r="D150" t="s">
        <v>44</v>
      </c>
      <c r="E150" s="3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48</v>
      </c>
      <c r="N150">
        <v>5</v>
      </c>
      <c r="O150" t="s">
        <v>28</v>
      </c>
      <c r="P150">
        <v>69.599999999999994</v>
      </c>
      <c r="Q150">
        <v>2629</v>
      </c>
      <c r="R150">
        <v>4</v>
      </c>
      <c r="S150">
        <v>2</v>
      </c>
      <c r="T150" t="s">
        <v>41</v>
      </c>
      <c r="U150" t="s">
        <v>37</v>
      </c>
      <c r="V150" s="3">
        <v>136381</v>
      </c>
      <c r="W150">
        <v>3.84</v>
      </c>
      <c r="X150">
        <v>4</v>
      </c>
      <c r="Y150" s="1">
        <f>EV_Data4[[#This Row],[range_miles]]/EV_Data4[[#This Row],[battery_capacity_kwh]]</f>
        <v>3.3579335793357932</v>
      </c>
      <c r="Z150" s="4">
        <f>EV_Data4[[#This Row],[price_usd]]/EV_Data4[[#This Row],[range_miles]]</f>
        <v>158.20568681318682</v>
      </c>
      <c r="AA150" s="2">
        <f>(EV_Data4[[#This Row],[customer_rating]]*EV_Data4[[#This Row],[safety_rating]]*1000)/EV_Data4[[#This Row],[price_usd]]</f>
        <v>0.26672746756335253</v>
      </c>
      <c r="AB150">
        <f>EV_Data4[[#This Row],[horsepower]]+EV_Data4[[#This Row],[torque_nm]]/EV_Data4[[#This Row],[acceleration_0_60_mph]]</f>
        <v>503.47528517110266</v>
      </c>
      <c r="AC150" t="str">
        <f>IF(EV_Data4[[#This Row],[price_usd]]&gt;=80000,"Luxury",IF(EV_Data4[[#This Row],[price_usd]]&gt;=40000,"Mid-Range","Budget"))</f>
        <v>Mid-Range</v>
      </c>
      <c r="AD150" t="str">
        <f>IF(EV_Data4[[#This Row],[range_miles]]&gt;=350,"Long-Range",IF(EV_Data4[[#This Row],[range_miles]]&gt;=250,"Medium-Range","Short-Range"))</f>
        <v>Long-Range</v>
      </c>
      <c r="AE150" t="str">
        <f>IF(EV_Data4[[#This Row],[charging_speed_kw]]&gt;=250,"Ultra-Fast",IF(EV_Data4[[#This Row],[charging_speed_kw]]&gt;=150,"Fast-Charging","Standard-Charging"))</f>
        <v>Fast-Charging</v>
      </c>
      <c r="AF150" t="str">
        <f>IF(EV_Data4[[#This Row],[acceleration_0_60_mph]]&lt;=3,"SportsPerformance",IF(EV_Data4[[#This Row],[acceleration_0_60_mph]]&lt;=5,"HighPerformance","Standard"))</f>
        <v>Standard</v>
      </c>
      <c r="AG150" t="str">
        <f>IF(EV_Data4[[#This Row],[customer_rating]]&gt;=4.5,"Excellent",IF(EV_Data4[[#This Row],[customer_rating]]&gt;=3.5,"Good","Average"))</f>
        <v>Good</v>
      </c>
      <c r="AH15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1" spans="1:34" x14ac:dyDescent="0.3">
      <c r="A151" t="s">
        <v>63</v>
      </c>
      <c r="B151" t="s">
        <v>96</v>
      </c>
      <c r="C151">
        <v>2023</v>
      </c>
      <c r="D151" t="s">
        <v>61</v>
      </c>
      <c r="E151" s="3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34</v>
      </c>
      <c r="N151">
        <v>7</v>
      </c>
      <c r="O151" t="s">
        <v>58</v>
      </c>
      <c r="P151">
        <v>29.6</v>
      </c>
      <c r="Q151">
        <v>1618</v>
      </c>
      <c r="R151">
        <v>4</v>
      </c>
      <c r="S151">
        <v>1</v>
      </c>
      <c r="T151" t="s">
        <v>65</v>
      </c>
      <c r="U151" t="s">
        <v>37</v>
      </c>
      <c r="V151" s="3">
        <v>176192</v>
      </c>
      <c r="W151">
        <v>3.19</v>
      </c>
      <c r="X151">
        <v>4</v>
      </c>
      <c r="Y151" s="1">
        <f>EV_Data4[[#This Row],[range_miles]]/EV_Data4[[#This Row],[battery_capacity_kwh]]</f>
        <v>3.1512605042016806</v>
      </c>
      <c r="Z151" s="4">
        <f>EV_Data4[[#This Row],[price_usd]]/EV_Data4[[#This Row],[range_miles]]</f>
        <v>334.18086666666665</v>
      </c>
      <c r="AA151" s="2">
        <f>(EV_Data4[[#This Row],[customer_rating]]*EV_Data4[[#This Row],[safety_rating]]*1000)/EV_Data4[[#This Row],[price_usd]]</f>
        <v>0.25455277411653132</v>
      </c>
      <c r="AB151">
        <f>EV_Data4[[#This Row],[horsepower]]+EV_Data4[[#This Row],[torque_nm]]/EV_Data4[[#This Row],[acceleration_0_60_mph]]</f>
        <v>666.37037037037032</v>
      </c>
      <c r="AC151" t="str">
        <f>IF(EV_Data4[[#This Row],[price_usd]]&gt;=80000,"Luxury",IF(EV_Data4[[#This Row],[price_usd]]&gt;=40000,"Mid-Range","Budget"))</f>
        <v>Mid-Range</v>
      </c>
      <c r="AD151" t="str">
        <f>IF(EV_Data4[[#This Row],[range_miles]]&gt;=350,"Long-Range",IF(EV_Data4[[#This Row],[range_miles]]&gt;=250,"Medium-Range","Short-Range"))</f>
        <v>Short-Range</v>
      </c>
      <c r="AE151" t="str">
        <f>IF(EV_Data4[[#This Row],[charging_speed_kw]]&gt;=250,"Ultra-Fast",IF(EV_Data4[[#This Row],[charging_speed_kw]]&gt;=150,"Fast-Charging","Standard-Charging"))</f>
        <v>Standard-Charging</v>
      </c>
      <c r="AF151" t="str">
        <f>IF(EV_Data4[[#This Row],[acceleration_0_60_mph]]&lt;=3,"SportsPerformance",IF(EV_Data4[[#This Row],[acceleration_0_60_mph]]&lt;=5,"HighPerformance","Standard"))</f>
        <v>Standard</v>
      </c>
      <c r="AG151" t="str">
        <f>IF(EV_Data4[[#This Row],[customer_rating]]&gt;=4.5,"Excellent",IF(EV_Data4[[#This Row],[customer_rating]]&gt;=3.5,"Good","Average"))</f>
        <v>Average</v>
      </c>
      <c r="AH15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2" spans="1:34" x14ac:dyDescent="0.3">
      <c r="A152" t="s">
        <v>86</v>
      </c>
      <c r="B152" t="s">
        <v>105</v>
      </c>
      <c r="C152">
        <v>2024</v>
      </c>
      <c r="D152" t="s">
        <v>61</v>
      </c>
      <c r="E152" s="3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34</v>
      </c>
      <c r="N152">
        <v>7</v>
      </c>
      <c r="O152" t="s">
        <v>58</v>
      </c>
      <c r="P152">
        <v>17.100000000000001</v>
      </c>
      <c r="Q152">
        <v>1591</v>
      </c>
      <c r="R152">
        <v>3</v>
      </c>
      <c r="S152">
        <v>1</v>
      </c>
      <c r="T152" t="s">
        <v>29</v>
      </c>
      <c r="U152" t="s">
        <v>30</v>
      </c>
      <c r="V152" s="3">
        <v>45029</v>
      </c>
      <c r="W152">
        <v>3.56</v>
      </c>
      <c r="X152">
        <v>8</v>
      </c>
      <c r="Y152" s="1">
        <f>EV_Data4[[#This Row],[range_miles]]/EV_Data4[[#This Row],[battery_capacity_kwh]]</f>
        <v>3.639344262295082</v>
      </c>
      <c r="Z152" s="4">
        <f>EV_Data4[[#This Row],[price_usd]]/EV_Data4[[#This Row],[range_miles]]</f>
        <v>508.27887387387386</v>
      </c>
      <c r="AA152" s="2">
        <f>(EV_Data4[[#This Row],[customer_rating]]*EV_Data4[[#This Row],[safety_rating]]*1000)/EV_Data4[[#This Row],[price_usd]]</f>
        <v>9.464904126636163E-2</v>
      </c>
      <c r="AB152">
        <f>EV_Data4[[#This Row],[horsepower]]+EV_Data4[[#This Row],[torque_nm]]/EV_Data4[[#This Row],[acceleration_0_60_mph]]</f>
        <v>988.32859399684048</v>
      </c>
      <c r="AC152" t="str">
        <f>IF(EV_Data4[[#This Row],[price_usd]]&gt;=80000,"Luxury",IF(EV_Data4[[#This Row],[price_usd]]&gt;=40000,"Mid-Range","Budget"))</f>
        <v>Luxury</v>
      </c>
      <c r="AD152" t="str">
        <f>IF(EV_Data4[[#This Row],[range_miles]]&gt;=350,"Long-Range",IF(EV_Data4[[#This Row],[range_miles]]&gt;=250,"Medium-Range","Short-Range"))</f>
        <v>Short-Range</v>
      </c>
      <c r="AE152" t="str">
        <f>IF(EV_Data4[[#This Row],[charging_speed_kw]]&gt;=250,"Ultra-Fast",IF(EV_Data4[[#This Row],[charging_speed_kw]]&gt;=150,"Fast-Charging","Standard-Charging"))</f>
        <v>Standard-Charging</v>
      </c>
      <c r="AF152" t="str">
        <f>IF(EV_Data4[[#This Row],[acceleration_0_60_mph]]&lt;=3,"SportsPerformance",IF(EV_Data4[[#This Row],[acceleration_0_60_mph]]&lt;=5,"HighPerformance","Standard"))</f>
        <v>Standard</v>
      </c>
      <c r="AG152" t="str">
        <f>IF(EV_Data4[[#This Row],[customer_rating]]&gt;=4.5,"Excellent",IF(EV_Data4[[#This Row],[customer_rating]]&gt;=3.5,"Good","Average"))</f>
        <v>Good</v>
      </c>
      <c r="AH15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3" spans="1:34" x14ac:dyDescent="0.3">
      <c r="A153" t="s">
        <v>63</v>
      </c>
      <c r="B153" t="s">
        <v>88</v>
      </c>
      <c r="C153">
        <v>2023</v>
      </c>
      <c r="D153" t="s">
        <v>33</v>
      </c>
      <c r="E153" s="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27</v>
      </c>
      <c r="N153">
        <v>5</v>
      </c>
      <c r="O153" t="s">
        <v>50</v>
      </c>
      <c r="P153">
        <v>34.5</v>
      </c>
      <c r="Q153">
        <v>1500</v>
      </c>
      <c r="R153">
        <v>4</v>
      </c>
      <c r="S153">
        <v>0</v>
      </c>
      <c r="T153" t="s">
        <v>65</v>
      </c>
      <c r="U153" t="s">
        <v>66</v>
      </c>
      <c r="V153" s="3">
        <v>240988</v>
      </c>
      <c r="W153">
        <v>3.46</v>
      </c>
      <c r="X153">
        <v>4</v>
      </c>
      <c r="Y153" s="1">
        <f>EV_Data4[[#This Row],[range_miles]]/EV_Data4[[#This Row],[battery_capacity_kwh]]</f>
        <v>3.3376623376623376</v>
      </c>
      <c r="Z153" s="4">
        <f>EV_Data4[[#This Row],[price_usd]]/EV_Data4[[#This Row],[range_miles]]</f>
        <v>114.2889494163424</v>
      </c>
      <c r="AA153" s="2">
        <f>(EV_Data4[[#This Row],[customer_rating]]*EV_Data4[[#This Row],[safety_rating]]*1000)/EV_Data4[[#This Row],[price_usd]]</f>
        <v>0.4711928874386922</v>
      </c>
      <c r="AB153">
        <f>EV_Data4[[#This Row],[horsepower]]+EV_Data4[[#This Row],[torque_nm]]/EV_Data4[[#This Row],[acceleration_0_60_mph]]</f>
        <v>366.68085106382978</v>
      </c>
      <c r="AC153" t="str">
        <f>IF(EV_Data4[[#This Row],[price_usd]]&gt;=80000,"Luxury",IF(EV_Data4[[#This Row],[price_usd]]&gt;=40000,"Mid-Range","Budget"))</f>
        <v>Budget</v>
      </c>
      <c r="AD153" t="str">
        <f>IF(EV_Data4[[#This Row],[range_miles]]&gt;=350,"Long-Range",IF(EV_Data4[[#This Row],[range_miles]]&gt;=250,"Medium-Range","Short-Range"))</f>
        <v>Medium-Range</v>
      </c>
      <c r="AE153" t="str">
        <f>IF(EV_Data4[[#This Row],[charging_speed_kw]]&gt;=250,"Ultra-Fast",IF(EV_Data4[[#This Row],[charging_speed_kw]]&gt;=150,"Fast-Charging","Standard-Charging"))</f>
        <v>Standard-Charging</v>
      </c>
      <c r="AF153" t="str">
        <f>IF(EV_Data4[[#This Row],[acceleration_0_60_mph]]&lt;=3,"SportsPerformance",IF(EV_Data4[[#This Row],[acceleration_0_60_mph]]&lt;=5,"HighPerformance","Standard"))</f>
        <v>Standard</v>
      </c>
      <c r="AG153" t="str">
        <f>IF(EV_Data4[[#This Row],[customer_rating]]&gt;=4.5,"Excellent",IF(EV_Data4[[#This Row],[customer_rating]]&gt;=3.5,"Good","Average"))</f>
        <v>Average</v>
      </c>
      <c r="AH15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4" spans="1:34" x14ac:dyDescent="0.3">
      <c r="A154" t="s">
        <v>46</v>
      </c>
      <c r="B154" t="s">
        <v>49</v>
      </c>
      <c r="C154">
        <v>2024</v>
      </c>
      <c r="D154" t="s">
        <v>56</v>
      </c>
      <c r="E154" s="3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27</v>
      </c>
      <c r="N154">
        <v>5</v>
      </c>
      <c r="O154" t="s">
        <v>51</v>
      </c>
      <c r="P154">
        <v>17</v>
      </c>
      <c r="Q154">
        <v>1547</v>
      </c>
      <c r="R154">
        <v>5</v>
      </c>
      <c r="S154">
        <v>2</v>
      </c>
      <c r="T154" t="s">
        <v>41</v>
      </c>
      <c r="U154" t="s">
        <v>37</v>
      </c>
      <c r="V154" s="3">
        <v>429025</v>
      </c>
      <c r="W154">
        <v>3.73</v>
      </c>
      <c r="X154">
        <v>5</v>
      </c>
      <c r="Y154" s="1">
        <f>EV_Data4[[#This Row],[range_miles]]/EV_Data4[[#This Row],[battery_capacity_kwh]]</f>
        <v>3.8451935081148565</v>
      </c>
      <c r="Z154" s="4">
        <f>EV_Data4[[#This Row],[price_usd]]/EV_Data4[[#This Row],[range_miles]]</f>
        <v>130.58314935064936</v>
      </c>
      <c r="AA154" s="2">
        <f>(EV_Data4[[#This Row],[customer_rating]]*EV_Data4[[#This Row],[safety_rating]]*1000)/EV_Data4[[#This Row],[price_usd]]</f>
        <v>0.46370414829979706</v>
      </c>
      <c r="AB154">
        <f>EV_Data4[[#This Row],[horsepower]]+EV_Data4[[#This Row],[torque_nm]]/EV_Data4[[#This Row],[acceleration_0_60_mph]]</f>
        <v>319.04854368932035</v>
      </c>
      <c r="AC154" t="str">
        <f>IF(EV_Data4[[#This Row],[price_usd]]&gt;=80000,"Luxury",IF(EV_Data4[[#This Row],[price_usd]]&gt;=40000,"Mid-Range","Budget"))</f>
        <v>Mid-Range</v>
      </c>
      <c r="AD154" t="str">
        <f>IF(EV_Data4[[#This Row],[range_miles]]&gt;=350,"Long-Range",IF(EV_Data4[[#This Row],[range_miles]]&gt;=250,"Medium-Range","Short-Range"))</f>
        <v>Medium-Range</v>
      </c>
      <c r="AE154" t="str">
        <f>IF(EV_Data4[[#This Row],[charging_speed_kw]]&gt;=250,"Ultra-Fast",IF(EV_Data4[[#This Row],[charging_speed_kw]]&gt;=150,"Fast-Charging","Standard-Charging"))</f>
        <v>Ultra-Fast</v>
      </c>
      <c r="AF154" t="str">
        <f>IF(EV_Data4[[#This Row],[acceleration_0_60_mph]]&lt;=3,"SportsPerformance",IF(EV_Data4[[#This Row],[acceleration_0_60_mph]]&lt;=5,"HighPerformance","Standard"))</f>
        <v>Standard</v>
      </c>
      <c r="AG154" t="str">
        <f>IF(EV_Data4[[#This Row],[customer_rating]]&gt;=4.5,"Excellent",IF(EV_Data4[[#This Row],[customer_rating]]&gt;=3.5,"Good","Average"))</f>
        <v>Good</v>
      </c>
      <c r="AH15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5" spans="1:34" x14ac:dyDescent="0.3">
      <c r="A155" t="s">
        <v>68</v>
      </c>
      <c r="B155" t="s">
        <v>109</v>
      </c>
      <c r="C155">
        <v>2025</v>
      </c>
      <c r="D155" t="s">
        <v>56</v>
      </c>
      <c r="E155" s="3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27</v>
      </c>
      <c r="N155">
        <v>5</v>
      </c>
      <c r="O155" t="s">
        <v>40</v>
      </c>
      <c r="P155">
        <v>79</v>
      </c>
      <c r="Q155">
        <v>1683</v>
      </c>
      <c r="R155">
        <v>5</v>
      </c>
      <c r="S155">
        <v>1</v>
      </c>
      <c r="T155" t="s">
        <v>45</v>
      </c>
      <c r="U155" t="s">
        <v>37</v>
      </c>
      <c r="V155" s="3">
        <v>89226</v>
      </c>
      <c r="W155">
        <v>3.67</v>
      </c>
      <c r="X155">
        <v>4</v>
      </c>
      <c r="Y155" s="1">
        <f>EV_Data4[[#This Row],[range_miles]]/EV_Data4[[#This Row],[battery_capacity_kwh]]</f>
        <v>3.6772486772486777</v>
      </c>
      <c r="Z155" s="4">
        <f>EV_Data4[[#This Row],[price_usd]]/EV_Data4[[#This Row],[range_miles]]</f>
        <v>184.0278417266187</v>
      </c>
      <c r="AA155" s="2">
        <f>(EV_Data4[[#This Row],[customer_rating]]*EV_Data4[[#This Row],[safety_rating]]*1000)/EV_Data4[[#This Row],[price_usd]]</f>
        <v>0.35868047804777742</v>
      </c>
      <c r="AB155">
        <f>EV_Data4[[#This Row],[horsepower]]+EV_Data4[[#This Row],[torque_nm]]/EV_Data4[[#This Row],[acceleration_0_60_mph]]</f>
        <v>653.49535603715174</v>
      </c>
      <c r="AC155" t="str">
        <f>IF(EV_Data4[[#This Row],[price_usd]]&gt;=80000,"Luxury",IF(EV_Data4[[#This Row],[price_usd]]&gt;=40000,"Mid-Range","Budget"))</f>
        <v>Mid-Range</v>
      </c>
      <c r="AD155" t="str">
        <f>IF(EV_Data4[[#This Row],[range_miles]]&gt;=350,"Long-Range",IF(EV_Data4[[#This Row],[range_miles]]&gt;=250,"Medium-Range","Short-Range"))</f>
        <v>Medium-Range</v>
      </c>
      <c r="AE155" t="str">
        <f>IF(EV_Data4[[#This Row],[charging_speed_kw]]&gt;=250,"Ultra-Fast",IF(EV_Data4[[#This Row],[charging_speed_kw]]&gt;=150,"Fast-Charging","Standard-Charging"))</f>
        <v>Standard-Charging</v>
      </c>
      <c r="AF155" t="str">
        <f>IF(EV_Data4[[#This Row],[acceleration_0_60_mph]]&lt;=3,"SportsPerformance",IF(EV_Data4[[#This Row],[acceleration_0_60_mph]]&lt;=5,"HighPerformance","Standard"))</f>
        <v>Standard</v>
      </c>
      <c r="AG155" t="str">
        <f>IF(EV_Data4[[#This Row],[customer_rating]]&gt;=4.5,"Excellent",IF(EV_Data4[[#This Row],[customer_rating]]&gt;=3.5,"Good","Average"))</f>
        <v>Good</v>
      </c>
      <c r="AH15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6" spans="1:34" x14ac:dyDescent="0.3">
      <c r="A156" t="s">
        <v>99</v>
      </c>
      <c r="B156" t="s">
        <v>113</v>
      </c>
      <c r="C156">
        <v>2024</v>
      </c>
      <c r="D156" t="s">
        <v>33</v>
      </c>
      <c r="E156" s="3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48</v>
      </c>
      <c r="N156">
        <v>5</v>
      </c>
      <c r="O156" t="s">
        <v>35</v>
      </c>
      <c r="P156">
        <v>67.8</v>
      </c>
      <c r="Q156">
        <v>2128</v>
      </c>
      <c r="R156">
        <v>5</v>
      </c>
      <c r="S156">
        <v>2</v>
      </c>
      <c r="T156" t="s">
        <v>29</v>
      </c>
      <c r="U156" t="s">
        <v>30</v>
      </c>
      <c r="V156" s="3">
        <v>23751</v>
      </c>
      <c r="W156">
        <v>3.87</v>
      </c>
      <c r="X156">
        <v>5</v>
      </c>
      <c r="Y156" s="1">
        <f>EV_Data4[[#This Row],[range_miles]]/EV_Data4[[#This Row],[battery_capacity_kwh]]</f>
        <v>3.4317343173431731</v>
      </c>
      <c r="Z156" s="4">
        <f>EV_Data4[[#This Row],[price_usd]]/EV_Data4[[#This Row],[range_miles]]</f>
        <v>768.47838709677421</v>
      </c>
      <c r="AA156" s="2">
        <f>(EV_Data4[[#This Row],[customer_rating]]*EV_Data4[[#This Row],[safety_rating]]*1000)/EV_Data4[[#This Row],[price_usd]]</f>
        <v>0.13537434469372445</v>
      </c>
      <c r="AB156">
        <f>EV_Data4[[#This Row],[horsepower]]+EV_Data4[[#This Row],[torque_nm]]/EV_Data4[[#This Row],[acceleration_0_60_mph]]</f>
        <v>747.75351213282249</v>
      </c>
      <c r="AC156" t="str">
        <f>IF(EV_Data4[[#This Row],[price_usd]]&gt;=80000,"Luxury",IF(EV_Data4[[#This Row],[price_usd]]&gt;=40000,"Mid-Range","Budget"))</f>
        <v>Luxury</v>
      </c>
      <c r="AD156" t="str">
        <f>IF(EV_Data4[[#This Row],[range_miles]]&gt;=350,"Long-Range",IF(EV_Data4[[#This Row],[range_miles]]&gt;=250,"Medium-Range","Short-Range"))</f>
        <v>Short-Range</v>
      </c>
      <c r="AE156" t="str">
        <f>IF(EV_Data4[[#This Row],[charging_speed_kw]]&gt;=250,"Ultra-Fast",IF(EV_Data4[[#This Row],[charging_speed_kw]]&gt;=150,"Fast-Charging","Standard-Charging"))</f>
        <v>Ultra-Fast</v>
      </c>
      <c r="AF156" t="str">
        <f>IF(EV_Data4[[#This Row],[acceleration_0_60_mph]]&lt;=3,"SportsPerformance",IF(EV_Data4[[#This Row],[acceleration_0_60_mph]]&lt;=5,"HighPerformance","Standard"))</f>
        <v>Standard</v>
      </c>
      <c r="AG156" t="str">
        <f>IF(EV_Data4[[#This Row],[customer_rating]]&gt;=4.5,"Excellent",IF(EV_Data4[[#This Row],[customer_rating]]&gt;=3.5,"Good","Average"))</f>
        <v>Good</v>
      </c>
      <c r="AH15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7" spans="1:34" x14ac:dyDescent="0.3">
      <c r="A157" t="s">
        <v>63</v>
      </c>
      <c r="B157" t="s">
        <v>107</v>
      </c>
      <c r="C157">
        <v>2024</v>
      </c>
      <c r="D157" t="s">
        <v>26</v>
      </c>
      <c r="E157" s="3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27</v>
      </c>
      <c r="N157">
        <v>5</v>
      </c>
      <c r="O157" t="s">
        <v>28</v>
      </c>
      <c r="P157">
        <v>68.3</v>
      </c>
      <c r="Q157">
        <v>2757</v>
      </c>
      <c r="R157">
        <v>4</v>
      </c>
      <c r="S157">
        <v>0</v>
      </c>
      <c r="T157" t="s">
        <v>65</v>
      </c>
      <c r="U157" t="s">
        <v>33</v>
      </c>
      <c r="V157" s="3">
        <v>152043</v>
      </c>
      <c r="W157">
        <v>3.48</v>
      </c>
      <c r="X157">
        <v>4</v>
      </c>
      <c r="Y157" s="1">
        <f>EV_Data4[[#This Row],[range_miles]]/EV_Data4[[#This Row],[battery_capacity_kwh]]</f>
        <v>3.5811648079306071</v>
      </c>
      <c r="Z157" s="4">
        <f>EV_Data4[[#This Row],[price_usd]]/EV_Data4[[#This Row],[range_miles]]</f>
        <v>343.8801384083045</v>
      </c>
      <c r="AA157" s="2">
        <f>(EV_Data4[[#This Row],[customer_rating]]*EV_Data4[[#This Row],[safety_rating]]*1000)/EV_Data4[[#This Row],[price_usd]]</f>
        <v>0.14006650744163693</v>
      </c>
      <c r="AB157">
        <f>EV_Data4[[#This Row],[horsepower]]+EV_Data4[[#This Row],[torque_nm]]/EV_Data4[[#This Row],[acceleration_0_60_mph]]</f>
        <v>1341.3793103448277</v>
      </c>
      <c r="AC157" t="str">
        <f>IF(EV_Data4[[#This Row],[price_usd]]&gt;=80000,"Luxury",IF(EV_Data4[[#This Row],[price_usd]]&gt;=40000,"Mid-Range","Budget"))</f>
        <v>Luxury</v>
      </c>
      <c r="AD157" t="str">
        <f>IF(EV_Data4[[#This Row],[range_miles]]&gt;=350,"Long-Range",IF(EV_Data4[[#This Row],[range_miles]]&gt;=250,"Medium-Range","Short-Range"))</f>
        <v>Medium-Range</v>
      </c>
      <c r="AE157" t="str">
        <f>IF(EV_Data4[[#This Row],[charging_speed_kw]]&gt;=250,"Ultra-Fast",IF(EV_Data4[[#This Row],[charging_speed_kw]]&gt;=150,"Fast-Charging","Standard-Charging"))</f>
        <v>Fast-Charging</v>
      </c>
      <c r="AF157" t="str">
        <f>IF(EV_Data4[[#This Row],[acceleration_0_60_mph]]&lt;=3,"SportsPerformance",IF(EV_Data4[[#This Row],[acceleration_0_60_mph]]&lt;=5,"HighPerformance","Standard"))</f>
        <v>SportsPerformance</v>
      </c>
      <c r="AG157" t="str">
        <f>IF(EV_Data4[[#This Row],[customer_rating]]&gt;=4.5,"Excellent",IF(EV_Data4[[#This Row],[customer_rating]]&gt;=3.5,"Good","Average"))</f>
        <v>Average</v>
      </c>
      <c r="AH15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8" spans="1:34" x14ac:dyDescent="0.3">
      <c r="A158" t="s">
        <v>83</v>
      </c>
      <c r="B158" t="s">
        <v>89</v>
      </c>
      <c r="C158">
        <v>2024</v>
      </c>
      <c r="D158" t="s">
        <v>33</v>
      </c>
      <c r="E158" s="3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27</v>
      </c>
      <c r="N158">
        <v>5</v>
      </c>
      <c r="O158" t="s">
        <v>40</v>
      </c>
      <c r="P158">
        <v>68.900000000000006</v>
      </c>
      <c r="Q158">
        <v>1611</v>
      </c>
      <c r="R158">
        <v>5</v>
      </c>
      <c r="S158">
        <v>1</v>
      </c>
      <c r="T158" t="s">
        <v>29</v>
      </c>
      <c r="U158" t="s">
        <v>30</v>
      </c>
      <c r="V158" s="3">
        <v>54152</v>
      </c>
      <c r="W158">
        <v>3.63</v>
      </c>
      <c r="X158">
        <v>8</v>
      </c>
      <c r="Y158" s="1">
        <f>EV_Data4[[#This Row],[range_miles]]/EV_Data4[[#This Row],[battery_capacity_kwh]]</f>
        <v>3.7467018469656992</v>
      </c>
      <c r="Z158" s="4">
        <f>EV_Data4[[#This Row],[price_usd]]/EV_Data4[[#This Row],[range_miles]]</f>
        <v>384.23658450704227</v>
      </c>
      <c r="AA158" s="2">
        <f>(EV_Data4[[#This Row],[customer_rating]]*EV_Data4[[#This Row],[safety_rating]]*1000)/EV_Data4[[#This Row],[price_usd]]</f>
        <v>0.16632578281481691</v>
      </c>
      <c r="AB158">
        <f>EV_Data4[[#This Row],[horsepower]]+EV_Data4[[#This Row],[torque_nm]]/EV_Data4[[#This Row],[acceleration_0_60_mph]]</f>
        <v>1034.6896551724137</v>
      </c>
      <c r="AC158" t="str">
        <f>IF(EV_Data4[[#This Row],[price_usd]]&gt;=80000,"Luxury",IF(EV_Data4[[#This Row],[price_usd]]&gt;=40000,"Mid-Range","Budget"))</f>
        <v>Luxury</v>
      </c>
      <c r="AD158" t="str">
        <f>IF(EV_Data4[[#This Row],[range_miles]]&gt;=350,"Long-Range",IF(EV_Data4[[#This Row],[range_miles]]&gt;=250,"Medium-Range","Short-Range"))</f>
        <v>Medium-Range</v>
      </c>
      <c r="AE158" t="str">
        <f>IF(EV_Data4[[#This Row],[charging_speed_kw]]&gt;=250,"Ultra-Fast",IF(EV_Data4[[#This Row],[charging_speed_kw]]&gt;=150,"Fast-Charging","Standard-Charging"))</f>
        <v>Standard-Charging</v>
      </c>
      <c r="AF158" t="str">
        <f>IF(EV_Data4[[#This Row],[acceleration_0_60_mph]]&lt;=3,"SportsPerformance",IF(EV_Data4[[#This Row],[acceleration_0_60_mph]]&lt;=5,"HighPerformance","Standard"))</f>
        <v>Standard</v>
      </c>
      <c r="AG158" t="str">
        <f>IF(EV_Data4[[#This Row],[customer_rating]]&gt;=4.5,"Excellent",IF(EV_Data4[[#This Row],[customer_rating]]&gt;=3.5,"Good","Average"))</f>
        <v>Good</v>
      </c>
      <c r="AH15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9" spans="1:34" x14ac:dyDescent="0.3">
      <c r="A159" t="s">
        <v>76</v>
      </c>
      <c r="B159" t="s">
        <v>91</v>
      </c>
      <c r="C159">
        <v>2026</v>
      </c>
      <c r="D159" t="s">
        <v>61</v>
      </c>
      <c r="E159" s="3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48</v>
      </c>
      <c r="N159">
        <v>4</v>
      </c>
      <c r="O159" t="s">
        <v>28</v>
      </c>
      <c r="P159">
        <v>59.7</v>
      </c>
      <c r="Q159">
        <v>2391</v>
      </c>
      <c r="R159">
        <v>4</v>
      </c>
      <c r="S159">
        <v>0</v>
      </c>
      <c r="T159" t="s">
        <v>41</v>
      </c>
      <c r="U159" t="s">
        <v>37</v>
      </c>
      <c r="V159" s="3">
        <v>26384</v>
      </c>
      <c r="W159">
        <v>3.09</v>
      </c>
      <c r="X159">
        <v>5</v>
      </c>
      <c r="Y159" s="1">
        <f>EV_Data4[[#This Row],[range_miles]]/EV_Data4[[#This Row],[battery_capacity_kwh]]</f>
        <v>3.3936651583710407</v>
      </c>
      <c r="Z159" s="4">
        <f>EV_Data4[[#This Row],[price_usd]]/EV_Data4[[#This Row],[range_miles]]</f>
        <v>344.75146666666666</v>
      </c>
      <c r="AA159" s="2">
        <f>(EV_Data4[[#This Row],[customer_rating]]*EV_Data4[[#This Row],[safety_rating]]*1000)/EV_Data4[[#This Row],[price_usd]]</f>
        <v>0.23901276127034121</v>
      </c>
      <c r="AB159">
        <f>EV_Data4[[#This Row],[horsepower]]+EV_Data4[[#This Row],[torque_nm]]/EV_Data4[[#This Row],[acceleration_0_60_mph]]</f>
        <v>543.06282722513083</v>
      </c>
      <c r="AC159" t="str">
        <f>IF(EV_Data4[[#This Row],[price_usd]]&gt;=80000,"Luxury",IF(EV_Data4[[#This Row],[price_usd]]&gt;=40000,"Mid-Range","Budget"))</f>
        <v>Mid-Range</v>
      </c>
      <c r="AD159" t="str">
        <f>IF(EV_Data4[[#This Row],[range_miles]]&gt;=350,"Long-Range",IF(EV_Data4[[#This Row],[range_miles]]&gt;=250,"Medium-Range","Short-Range"))</f>
        <v>Short-Range</v>
      </c>
      <c r="AE159" t="str">
        <f>IF(EV_Data4[[#This Row],[charging_speed_kw]]&gt;=250,"Ultra-Fast",IF(EV_Data4[[#This Row],[charging_speed_kw]]&gt;=150,"Fast-Charging","Standard-Charging"))</f>
        <v>Standard-Charging</v>
      </c>
      <c r="AF159" t="str">
        <f>IF(EV_Data4[[#This Row],[acceleration_0_60_mph]]&lt;=3,"SportsPerformance",IF(EV_Data4[[#This Row],[acceleration_0_60_mph]]&lt;=5,"HighPerformance","Standard"))</f>
        <v>Standard</v>
      </c>
      <c r="AG159" t="str">
        <f>IF(EV_Data4[[#This Row],[customer_rating]]&gt;=4.5,"Excellent",IF(EV_Data4[[#This Row],[customer_rating]]&gt;=3.5,"Good","Average"))</f>
        <v>Average</v>
      </c>
      <c r="AH15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0" spans="1:34" x14ac:dyDescent="0.3">
      <c r="A160" t="s">
        <v>63</v>
      </c>
      <c r="B160" t="s">
        <v>64</v>
      </c>
      <c r="C160">
        <v>2024</v>
      </c>
      <c r="D160" t="s">
        <v>56</v>
      </c>
      <c r="E160" s="3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34</v>
      </c>
      <c r="N160">
        <v>5</v>
      </c>
      <c r="O160" t="s">
        <v>28</v>
      </c>
      <c r="P160">
        <v>68.2</v>
      </c>
      <c r="Q160">
        <v>2552</v>
      </c>
      <c r="R160">
        <v>3</v>
      </c>
      <c r="S160">
        <v>1</v>
      </c>
      <c r="T160" t="s">
        <v>65</v>
      </c>
      <c r="U160" t="s">
        <v>66</v>
      </c>
      <c r="V160" s="3">
        <v>210937</v>
      </c>
      <c r="W160">
        <v>3.48</v>
      </c>
      <c r="X160">
        <v>3</v>
      </c>
      <c r="Y160" s="1">
        <f>EV_Data4[[#This Row],[range_miles]]/EV_Data4[[#This Row],[battery_capacity_kwh]]</f>
        <v>3.5187424425634823</v>
      </c>
      <c r="Z160" s="4">
        <f>EV_Data4[[#This Row],[price_usd]]/EV_Data4[[#This Row],[range_miles]]</f>
        <v>66.910618556701039</v>
      </c>
      <c r="AA160" s="2">
        <f>(EV_Data4[[#This Row],[customer_rating]]*EV_Data4[[#This Row],[safety_rating]]*1000)/EV_Data4[[#This Row],[price_usd]]</f>
        <v>0.53618228965245218</v>
      </c>
      <c r="AB160">
        <f>EV_Data4[[#This Row],[horsepower]]+EV_Data4[[#This Row],[torque_nm]]/EV_Data4[[#This Row],[acceleration_0_60_mph]]</f>
        <v>234.59360730593608</v>
      </c>
      <c r="AC160" t="str">
        <f>IF(EV_Data4[[#This Row],[price_usd]]&gt;=80000,"Luxury",IF(EV_Data4[[#This Row],[price_usd]]&gt;=40000,"Mid-Range","Budget"))</f>
        <v>Budget</v>
      </c>
      <c r="AD160" t="str">
        <f>IF(EV_Data4[[#This Row],[range_miles]]&gt;=350,"Long-Range",IF(EV_Data4[[#This Row],[range_miles]]&gt;=250,"Medium-Range","Short-Range"))</f>
        <v>Medium-Range</v>
      </c>
      <c r="AE160" t="str">
        <f>IF(EV_Data4[[#This Row],[charging_speed_kw]]&gt;=250,"Ultra-Fast",IF(EV_Data4[[#This Row],[charging_speed_kw]]&gt;=150,"Fast-Charging","Standard-Charging"))</f>
        <v>Standard-Charging</v>
      </c>
      <c r="AF160" t="str">
        <f>IF(EV_Data4[[#This Row],[acceleration_0_60_mph]]&lt;=3,"SportsPerformance",IF(EV_Data4[[#This Row],[acceleration_0_60_mph]]&lt;=5,"HighPerformance","Standard"))</f>
        <v>Standard</v>
      </c>
      <c r="AG160" t="str">
        <f>IF(EV_Data4[[#This Row],[customer_rating]]&gt;=4.5,"Excellent",IF(EV_Data4[[#This Row],[customer_rating]]&gt;=3.5,"Good","Average"))</f>
        <v>Average</v>
      </c>
      <c r="AH16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1" spans="1:34" x14ac:dyDescent="0.3">
      <c r="A161" t="s">
        <v>38</v>
      </c>
      <c r="B161" t="s">
        <v>55</v>
      </c>
      <c r="C161">
        <v>2025</v>
      </c>
      <c r="D161" t="s">
        <v>61</v>
      </c>
      <c r="E161" s="3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27</v>
      </c>
      <c r="N161">
        <v>7</v>
      </c>
      <c r="O161" t="s">
        <v>35</v>
      </c>
      <c r="P161">
        <v>45.1</v>
      </c>
      <c r="Q161">
        <v>1866</v>
      </c>
      <c r="R161">
        <v>4</v>
      </c>
      <c r="S161">
        <v>1</v>
      </c>
      <c r="T161" t="s">
        <v>41</v>
      </c>
      <c r="U161" t="s">
        <v>37</v>
      </c>
      <c r="V161" s="3">
        <v>6914</v>
      </c>
      <c r="W161">
        <v>3.21</v>
      </c>
      <c r="X161">
        <v>4</v>
      </c>
      <c r="Y161" s="1">
        <f>EV_Data4[[#This Row],[range_miles]]/EV_Data4[[#This Row],[battery_capacity_kwh]]</f>
        <v>3.5435992578849724</v>
      </c>
      <c r="Z161" s="4">
        <f>EV_Data4[[#This Row],[price_usd]]/EV_Data4[[#This Row],[range_miles]]</f>
        <v>245.91879581151832</v>
      </c>
      <c r="AA161" s="2">
        <f>(EV_Data4[[#This Row],[customer_rating]]*EV_Data4[[#This Row],[safety_rating]]*1000)/EV_Data4[[#This Row],[price_usd]]</f>
        <v>0.27336312650772859</v>
      </c>
      <c r="AB161">
        <f>EV_Data4[[#This Row],[horsepower]]+EV_Data4[[#This Row],[torque_nm]]/EV_Data4[[#This Row],[acceleration_0_60_mph]]</f>
        <v>557.76583493282146</v>
      </c>
      <c r="AC161" t="str">
        <f>IF(EV_Data4[[#This Row],[price_usd]]&gt;=80000,"Luxury",IF(EV_Data4[[#This Row],[price_usd]]&gt;=40000,"Mid-Range","Budget"))</f>
        <v>Mid-Range</v>
      </c>
      <c r="AD161" t="str">
        <f>IF(EV_Data4[[#This Row],[range_miles]]&gt;=350,"Long-Range",IF(EV_Data4[[#This Row],[range_miles]]&gt;=250,"Medium-Range","Short-Range"))</f>
        <v>Short-Range</v>
      </c>
      <c r="AE161" t="str">
        <f>IF(EV_Data4[[#This Row],[charging_speed_kw]]&gt;=250,"Ultra-Fast",IF(EV_Data4[[#This Row],[charging_speed_kw]]&gt;=150,"Fast-Charging","Standard-Charging"))</f>
        <v>Standard-Charging</v>
      </c>
      <c r="AF161" t="str">
        <f>IF(EV_Data4[[#This Row],[acceleration_0_60_mph]]&lt;=3,"SportsPerformance",IF(EV_Data4[[#This Row],[acceleration_0_60_mph]]&lt;=5,"HighPerformance","Standard"))</f>
        <v>Standard</v>
      </c>
      <c r="AG161" t="str">
        <f>IF(EV_Data4[[#This Row],[customer_rating]]&gt;=4.5,"Excellent",IF(EV_Data4[[#This Row],[customer_rating]]&gt;=3.5,"Good","Average"))</f>
        <v>Average</v>
      </c>
      <c r="AH16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2" spans="1:34" x14ac:dyDescent="0.3">
      <c r="A162" t="s">
        <v>24</v>
      </c>
      <c r="B162" t="s">
        <v>25</v>
      </c>
      <c r="C162">
        <v>2025</v>
      </c>
      <c r="D162" t="s">
        <v>44</v>
      </c>
      <c r="E162" s="3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48</v>
      </c>
      <c r="N162">
        <v>5</v>
      </c>
      <c r="O162" t="s">
        <v>58</v>
      </c>
      <c r="P162">
        <v>19.600000000000001</v>
      </c>
      <c r="Q162">
        <v>1697</v>
      </c>
      <c r="R162">
        <v>5</v>
      </c>
      <c r="S162">
        <v>1</v>
      </c>
      <c r="T162" t="s">
        <v>29</v>
      </c>
      <c r="U162" t="s">
        <v>33</v>
      </c>
      <c r="V162" s="3">
        <v>222583</v>
      </c>
      <c r="W162">
        <v>3.38</v>
      </c>
      <c r="X162">
        <v>3</v>
      </c>
      <c r="Y162" s="1">
        <f>EV_Data4[[#This Row],[range_miles]]/EV_Data4[[#This Row],[battery_capacity_kwh]]</f>
        <v>3.4610778443113772</v>
      </c>
      <c r="Z162" s="4">
        <f>EV_Data4[[#This Row],[price_usd]]/EV_Data4[[#This Row],[range_miles]]</f>
        <v>323.94314878892737</v>
      </c>
      <c r="AA162" s="2">
        <f>(EV_Data4[[#This Row],[customer_rating]]*EV_Data4[[#This Row],[safety_rating]]*1000)/EV_Data4[[#This Row],[price_usd]]</f>
        <v>0.18051781267527717</v>
      </c>
      <c r="AB162">
        <f>EV_Data4[[#This Row],[horsepower]]+EV_Data4[[#This Row],[torque_nm]]/EV_Data4[[#This Row],[acceleration_0_60_mph]]</f>
        <v>1182.0359281437127</v>
      </c>
      <c r="AC162" t="str">
        <f>IF(EV_Data4[[#This Row],[price_usd]]&gt;=80000,"Luxury",IF(EV_Data4[[#This Row],[price_usd]]&gt;=40000,"Mid-Range","Budget"))</f>
        <v>Luxury</v>
      </c>
      <c r="AD162" t="str">
        <f>IF(EV_Data4[[#This Row],[range_miles]]&gt;=350,"Long-Range",IF(EV_Data4[[#This Row],[range_miles]]&gt;=250,"Medium-Range","Short-Range"))</f>
        <v>Medium-Range</v>
      </c>
      <c r="AE162" t="str">
        <f>IF(EV_Data4[[#This Row],[charging_speed_kw]]&gt;=250,"Ultra-Fast",IF(EV_Data4[[#This Row],[charging_speed_kw]]&gt;=150,"Fast-Charging","Standard-Charging"))</f>
        <v>Standard-Charging</v>
      </c>
      <c r="AF162" t="str">
        <f>IF(EV_Data4[[#This Row],[acceleration_0_60_mph]]&lt;=3,"SportsPerformance",IF(EV_Data4[[#This Row],[acceleration_0_60_mph]]&lt;=5,"HighPerformance","Standard"))</f>
        <v>Standard</v>
      </c>
      <c r="AG162" t="str">
        <f>IF(EV_Data4[[#This Row],[customer_rating]]&gt;=4.5,"Excellent",IF(EV_Data4[[#This Row],[customer_rating]]&gt;=3.5,"Good","Average"))</f>
        <v>Average</v>
      </c>
      <c r="AH16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3" spans="1:34" x14ac:dyDescent="0.3">
      <c r="A163" t="s">
        <v>83</v>
      </c>
      <c r="B163" t="s">
        <v>104</v>
      </c>
      <c r="C163">
        <v>2025</v>
      </c>
      <c r="D163" t="s">
        <v>44</v>
      </c>
      <c r="E163" s="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34</v>
      </c>
      <c r="N163">
        <v>7</v>
      </c>
      <c r="O163" t="s">
        <v>58</v>
      </c>
      <c r="P163">
        <v>24.9</v>
      </c>
      <c r="Q163">
        <v>1872</v>
      </c>
      <c r="R163">
        <v>3</v>
      </c>
      <c r="S163">
        <v>1</v>
      </c>
      <c r="T163" t="s">
        <v>29</v>
      </c>
      <c r="U163" t="s">
        <v>30</v>
      </c>
      <c r="V163" s="3">
        <v>51096</v>
      </c>
      <c r="W163">
        <v>3.39</v>
      </c>
      <c r="X163">
        <v>7</v>
      </c>
      <c r="Y163" s="1">
        <f>EV_Data4[[#This Row],[range_miles]]/EV_Data4[[#This Row],[battery_capacity_kwh]]</f>
        <v>3.7983587338804221</v>
      </c>
      <c r="Z163" s="4">
        <f>EV_Data4[[#This Row],[price_usd]]/EV_Data4[[#This Row],[range_miles]]</f>
        <v>385.3471913580247</v>
      </c>
      <c r="AA163" s="2">
        <f>(EV_Data4[[#This Row],[customer_rating]]*EV_Data4[[#This Row],[safety_rating]]*1000)/EV_Data4[[#This Row],[price_usd]]</f>
        <v>8.1456124743687533E-2</v>
      </c>
      <c r="AB163">
        <f>EV_Data4[[#This Row],[horsepower]]+EV_Data4[[#This Row],[torque_nm]]/EV_Data4[[#This Row],[acceleration_0_60_mph]]</f>
        <v>1144.8911222780571</v>
      </c>
      <c r="AC163" t="str">
        <f>IF(EV_Data4[[#This Row],[price_usd]]&gt;=80000,"Luxury",IF(EV_Data4[[#This Row],[price_usd]]&gt;=40000,"Mid-Range","Budget"))</f>
        <v>Luxury</v>
      </c>
      <c r="AD163" t="str">
        <f>IF(EV_Data4[[#This Row],[range_miles]]&gt;=350,"Long-Range",IF(EV_Data4[[#This Row],[range_miles]]&gt;=250,"Medium-Range","Short-Range"))</f>
        <v>Medium-Range</v>
      </c>
      <c r="AE163" t="str">
        <f>IF(EV_Data4[[#This Row],[charging_speed_kw]]&gt;=250,"Ultra-Fast",IF(EV_Data4[[#This Row],[charging_speed_kw]]&gt;=150,"Fast-Charging","Standard-Charging"))</f>
        <v>Standard-Charging</v>
      </c>
      <c r="AF163" t="str">
        <f>IF(EV_Data4[[#This Row],[acceleration_0_60_mph]]&lt;=3,"SportsPerformance",IF(EV_Data4[[#This Row],[acceleration_0_60_mph]]&lt;=5,"HighPerformance","Standard"))</f>
        <v>Standard</v>
      </c>
      <c r="AG163" t="str">
        <f>IF(EV_Data4[[#This Row],[customer_rating]]&gt;=4.5,"Excellent",IF(EV_Data4[[#This Row],[customer_rating]]&gt;=3.5,"Good","Average"))</f>
        <v>Average</v>
      </c>
      <c r="AH16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4" spans="1:34" x14ac:dyDescent="0.3">
      <c r="A164" t="s">
        <v>83</v>
      </c>
      <c r="B164" t="s">
        <v>114</v>
      </c>
      <c r="C164">
        <v>2025</v>
      </c>
      <c r="D164" t="s">
        <v>61</v>
      </c>
      <c r="E164" s="3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27</v>
      </c>
      <c r="N164">
        <v>5</v>
      </c>
      <c r="O164" t="s">
        <v>50</v>
      </c>
      <c r="P164">
        <v>18.3</v>
      </c>
      <c r="Q164">
        <v>1510</v>
      </c>
      <c r="R164">
        <v>5</v>
      </c>
      <c r="S164">
        <v>2</v>
      </c>
      <c r="T164" t="s">
        <v>29</v>
      </c>
      <c r="U164" t="s">
        <v>33</v>
      </c>
      <c r="V164" s="3">
        <v>66065</v>
      </c>
      <c r="W164">
        <v>3.41</v>
      </c>
      <c r="X164">
        <v>5</v>
      </c>
      <c r="Y164" s="1">
        <f>EV_Data4[[#This Row],[range_miles]]/EV_Data4[[#This Row],[battery_capacity_kwh]]</f>
        <v>3.4833333333333334</v>
      </c>
      <c r="Z164" s="4">
        <f>EV_Data4[[#This Row],[price_usd]]/EV_Data4[[#This Row],[range_miles]]</f>
        <v>464.33789473684209</v>
      </c>
      <c r="AA164" s="2">
        <f>(EV_Data4[[#This Row],[customer_rating]]*EV_Data4[[#This Row],[safety_rating]]*1000)/EV_Data4[[#This Row],[price_usd]]</f>
        <v>0.17568875659966313</v>
      </c>
      <c r="AB164">
        <f>EV_Data4[[#This Row],[horsepower]]+EV_Data4[[#This Row],[torque_nm]]/EV_Data4[[#This Row],[acceleration_0_60_mph]]</f>
        <v>875.67650834403082</v>
      </c>
      <c r="AC164" t="str">
        <f>IF(EV_Data4[[#This Row],[price_usd]]&gt;=80000,"Luxury",IF(EV_Data4[[#This Row],[price_usd]]&gt;=40000,"Mid-Range","Budget"))</f>
        <v>Luxury</v>
      </c>
      <c r="AD164" t="str">
        <f>IF(EV_Data4[[#This Row],[range_miles]]&gt;=350,"Long-Range",IF(EV_Data4[[#This Row],[range_miles]]&gt;=250,"Medium-Range","Short-Range"))</f>
        <v>Short-Range</v>
      </c>
      <c r="AE164" t="str">
        <f>IF(EV_Data4[[#This Row],[charging_speed_kw]]&gt;=250,"Ultra-Fast",IF(EV_Data4[[#This Row],[charging_speed_kw]]&gt;=150,"Fast-Charging","Standard-Charging"))</f>
        <v>Standard-Charging</v>
      </c>
      <c r="AF164" t="str">
        <f>IF(EV_Data4[[#This Row],[acceleration_0_60_mph]]&lt;=3,"SportsPerformance",IF(EV_Data4[[#This Row],[acceleration_0_60_mph]]&lt;=5,"HighPerformance","Standard"))</f>
        <v>Standard</v>
      </c>
      <c r="AG164" t="str">
        <f>IF(EV_Data4[[#This Row],[customer_rating]]&gt;=4.5,"Excellent",IF(EV_Data4[[#This Row],[customer_rating]]&gt;=3.5,"Good","Average"))</f>
        <v>Average</v>
      </c>
      <c r="AH16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5" spans="1:34" x14ac:dyDescent="0.3">
      <c r="A165" t="s">
        <v>68</v>
      </c>
      <c r="B165" t="s">
        <v>90</v>
      </c>
      <c r="C165">
        <v>2021</v>
      </c>
      <c r="D165" t="s">
        <v>33</v>
      </c>
      <c r="E165" s="3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27</v>
      </c>
      <c r="N165">
        <v>5</v>
      </c>
      <c r="O165" t="s">
        <v>28</v>
      </c>
      <c r="P165">
        <v>70.7</v>
      </c>
      <c r="Q165">
        <v>2400</v>
      </c>
      <c r="R165">
        <v>4</v>
      </c>
      <c r="S165">
        <v>0</v>
      </c>
      <c r="T165" t="s">
        <v>45</v>
      </c>
      <c r="U165" t="s">
        <v>33</v>
      </c>
      <c r="V165" s="3">
        <v>137712</v>
      </c>
      <c r="W165">
        <v>3.33</v>
      </c>
      <c r="X165">
        <v>4</v>
      </c>
      <c r="Y165" s="1">
        <f>EV_Data4[[#This Row],[range_miles]]/EV_Data4[[#This Row],[battery_capacity_kwh]]</f>
        <v>3.3269230769230771</v>
      </c>
      <c r="Z165" s="4">
        <f>EV_Data4[[#This Row],[price_usd]]/EV_Data4[[#This Row],[range_miles]]</f>
        <v>471.26716763005783</v>
      </c>
      <c r="AA165" s="2">
        <f>(EV_Data4[[#This Row],[customer_rating]]*EV_Data4[[#This Row],[safety_rating]]*1000)/EV_Data4[[#This Row],[price_usd]]</f>
        <v>0.16337700765443358</v>
      </c>
      <c r="AB165">
        <f>EV_Data4[[#This Row],[horsepower]]+EV_Data4[[#This Row],[torque_nm]]/EV_Data4[[#This Row],[acceleration_0_60_mph]]</f>
        <v>1177.3764258555134</v>
      </c>
      <c r="AC165" t="str">
        <f>IF(EV_Data4[[#This Row],[price_usd]]&gt;=80000,"Luxury",IF(EV_Data4[[#This Row],[price_usd]]&gt;=40000,"Mid-Range","Budget"))</f>
        <v>Luxury</v>
      </c>
      <c r="AD165" t="str">
        <f>IF(EV_Data4[[#This Row],[range_miles]]&gt;=350,"Long-Range",IF(EV_Data4[[#This Row],[range_miles]]&gt;=250,"Medium-Range","Short-Range"))</f>
        <v>Short-Range</v>
      </c>
      <c r="AE165" t="str">
        <f>IF(EV_Data4[[#This Row],[charging_speed_kw]]&gt;=250,"Ultra-Fast",IF(EV_Data4[[#This Row],[charging_speed_kw]]&gt;=150,"Fast-Charging","Standard-Charging"))</f>
        <v>Standard-Charging</v>
      </c>
      <c r="AF165" t="str">
        <f>IF(EV_Data4[[#This Row],[acceleration_0_60_mph]]&lt;=3,"SportsPerformance",IF(EV_Data4[[#This Row],[acceleration_0_60_mph]]&lt;=5,"HighPerformance","Standard"))</f>
        <v>Standard</v>
      </c>
      <c r="AG165" t="str">
        <f>IF(EV_Data4[[#This Row],[customer_rating]]&gt;=4.5,"Excellent",IF(EV_Data4[[#This Row],[customer_rating]]&gt;=3.5,"Good","Average"))</f>
        <v>Average</v>
      </c>
      <c r="AH16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6" spans="1:34" x14ac:dyDescent="0.3">
      <c r="A166" t="s">
        <v>46</v>
      </c>
      <c r="B166" t="s">
        <v>47</v>
      </c>
      <c r="C166">
        <v>2023</v>
      </c>
      <c r="D166" t="s">
        <v>33</v>
      </c>
      <c r="E166" s="3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27</v>
      </c>
      <c r="N166">
        <v>7</v>
      </c>
      <c r="O166" t="s">
        <v>35</v>
      </c>
      <c r="P166">
        <v>68.900000000000006</v>
      </c>
      <c r="Q166">
        <v>2083</v>
      </c>
      <c r="R166">
        <v>5</v>
      </c>
      <c r="S166">
        <v>3</v>
      </c>
      <c r="T166" t="s">
        <v>41</v>
      </c>
      <c r="U166" t="s">
        <v>30</v>
      </c>
      <c r="V166" s="3">
        <v>228731</v>
      </c>
      <c r="W166">
        <v>3.4</v>
      </c>
      <c r="X166">
        <v>4</v>
      </c>
      <c r="Y166" s="1">
        <f>EV_Data4[[#This Row],[range_miles]]/EV_Data4[[#This Row],[battery_capacity_kwh]]</f>
        <v>3.5777496839443743</v>
      </c>
      <c r="Z166" s="4">
        <f>EV_Data4[[#This Row],[price_usd]]/EV_Data4[[#This Row],[range_miles]]</f>
        <v>436.3762544169611</v>
      </c>
      <c r="AA166" s="2">
        <f>(EV_Data4[[#This Row],[customer_rating]]*EV_Data4[[#This Row],[safety_rating]]*1000)/EV_Data4[[#This Row],[price_usd]]</f>
        <v>0.13765797467222826</v>
      </c>
      <c r="AB166">
        <f>EV_Data4[[#This Row],[horsepower]]+EV_Data4[[#This Row],[torque_nm]]/EV_Data4[[#This Row],[acceleration_0_60_mph]]</f>
        <v>1034.2546816479401</v>
      </c>
      <c r="AC166" t="str">
        <f>IF(EV_Data4[[#This Row],[price_usd]]&gt;=80000,"Luxury",IF(EV_Data4[[#This Row],[price_usd]]&gt;=40000,"Mid-Range","Budget"))</f>
        <v>Luxury</v>
      </c>
      <c r="AD166" t="str">
        <f>IF(EV_Data4[[#This Row],[range_miles]]&gt;=350,"Long-Range",IF(EV_Data4[[#This Row],[range_miles]]&gt;=250,"Medium-Range","Short-Range"))</f>
        <v>Medium-Range</v>
      </c>
      <c r="AE166" t="str">
        <f>IF(EV_Data4[[#This Row],[charging_speed_kw]]&gt;=250,"Ultra-Fast",IF(EV_Data4[[#This Row],[charging_speed_kw]]&gt;=150,"Fast-Charging","Standard-Charging"))</f>
        <v>Fast-Charging</v>
      </c>
      <c r="AF166" t="str">
        <f>IF(EV_Data4[[#This Row],[acceleration_0_60_mph]]&lt;=3,"SportsPerformance",IF(EV_Data4[[#This Row],[acceleration_0_60_mph]]&lt;=5,"HighPerformance","Standard"))</f>
        <v>Standard</v>
      </c>
      <c r="AG166" t="str">
        <f>IF(EV_Data4[[#This Row],[customer_rating]]&gt;=4.5,"Excellent",IF(EV_Data4[[#This Row],[customer_rating]]&gt;=3.5,"Good","Average"))</f>
        <v>Average</v>
      </c>
      <c r="AH166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67" spans="1:34" x14ac:dyDescent="0.3">
      <c r="A167" t="s">
        <v>52</v>
      </c>
      <c r="B167" t="s">
        <v>103</v>
      </c>
      <c r="C167">
        <v>2024</v>
      </c>
      <c r="D167" t="s">
        <v>33</v>
      </c>
      <c r="E167" s="3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48</v>
      </c>
      <c r="N167">
        <v>5</v>
      </c>
      <c r="O167" t="s">
        <v>50</v>
      </c>
      <c r="P167">
        <v>39.6</v>
      </c>
      <c r="Q167">
        <v>1581</v>
      </c>
      <c r="R167">
        <v>3</v>
      </c>
      <c r="S167">
        <v>1</v>
      </c>
      <c r="T167" t="s">
        <v>29</v>
      </c>
      <c r="U167" t="s">
        <v>30</v>
      </c>
      <c r="V167" s="3">
        <v>69583</v>
      </c>
      <c r="W167">
        <v>3.65</v>
      </c>
      <c r="X167">
        <v>7</v>
      </c>
      <c r="Y167" s="1">
        <f>EV_Data4[[#This Row],[range_miles]]/EV_Data4[[#This Row],[battery_capacity_kwh]]</f>
        <v>3.8929440389294401</v>
      </c>
      <c r="Z167" s="4">
        <f>EV_Data4[[#This Row],[price_usd]]/EV_Data4[[#This Row],[range_miles]]</f>
        <v>1212.9792499999999</v>
      </c>
      <c r="AA167" s="2">
        <f>(EV_Data4[[#This Row],[customer_rating]]*EV_Data4[[#This Row],[safety_rating]]*1000)/EV_Data4[[#This Row],[price_usd]]</f>
        <v>5.6420998133315144E-2</v>
      </c>
      <c r="AB167">
        <f>EV_Data4[[#This Row],[horsepower]]+EV_Data4[[#This Row],[torque_nm]]/EV_Data4[[#This Row],[acceleration_0_60_mph]]</f>
        <v>1117.6767676767677</v>
      </c>
      <c r="AC167" t="str">
        <f>IF(EV_Data4[[#This Row],[price_usd]]&gt;=80000,"Luxury",IF(EV_Data4[[#This Row],[price_usd]]&gt;=40000,"Mid-Range","Budget"))</f>
        <v>Luxury</v>
      </c>
      <c r="AD167" t="str">
        <f>IF(EV_Data4[[#This Row],[range_miles]]&gt;=350,"Long-Range",IF(EV_Data4[[#This Row],[range_miles]]&gt;=250,"Medium-Range","Short-Range"))</f>
        <v>Short-Range</v>
      </c>
      <c r="AE167" t="str">
        <f>IF(EV_Data4[[#This Row],[charging_speed_kw]]&gt;=250,"Ultra-Fast",IF(EV_Data4[[#This Row],[charging_speed_kw]]&gt;=150,"Fast-Charging","Standard-Charging"))</f>
        <v>Standard-Charging</v>
      </c>
      <c r="AF167" t="str">
        <f>IF(EV_Data4[[#This Row],[acceleration_0_60_mph]]&lt;=3,"SportsPerformance",IF(EV_Data4[[#This Row],[acceleration_0_60_mph]]&lt;=5,"HighPerformance","Standard"))</f>
        <v>Standard</v>
      </c>
      <c r="AG167" t="str">
        <f>IF(EV_Data4[[#This Row],[customer_rating]]&gt;=4.5,"Excellent",IF(EV_Data4[[#This Row],[customer_rating]]&gt;=3.5,"Good","Average"))</f>
        <v>Good</v>
      </c>
      <c r="AH16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8" spans="1:34" x14ac:dyDescent="0.3">
      <c r="A168" t="s">
        <v>63</v>
      </c>
      <c r="B168" t="s">
        <v>107</v>
      </c>
      <c r="C168">
        <v>2021</v>
      </c>
      <c r="D168" t="s">
        <v>61</v>
      </c>
      <c r="E168" s="3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34</v>
      </c>
      <c r="N168">
        <v>5</v>
      </c>
      <c r="O168" t="s">
        <v>35</v>
      </c>
      <c r="P168">
        <v>46</v>
      </c>
      <c r="Q168">
        <v>2063</v>
      </c>
      <c r="R168">
        <v>3</v>
      </c>
      <c r="S168">
        <v>1</v>
      </c>
      <c r="T168" t="s">
        <v>65</v>
      </c>
      <c r="U168" t="s">
        <v>37</v>
      </c>
      <c r="V168" s="3">
        <v>230454</v>
      </c>
      <c r="W168">
        <v>3.4</v>
      </c>
      <c r="X168">
        <v>5</v>
      </c>
      <c r="Y168" s="1">
        <f>EV_Data4[[#This Row],[range_miles]]/EV_Data4[[#This Row],[battery_capacity_kwh]]</f>
        <v>3.6387782204515275</v>
      </c>
      <c r="Z168" s="4">
        <f>EV_Data4[[#This Row],[price_usd]]/EV_Data4[[#This Row],[range_miles]]</f>
        <v>173.51</v>
      </c>
      <c r="AA168" s="2">
        <f>(EV_Data4[[#This Row],[customer_rating]]*EV_Data4[[#This Row],[safety_rating]]*1000)/EV_Data4[[#This Row],[price_usd]]</f>
        <v>0.21454831060032722</v>
      </c>
      <c r="AB168">
        <f>EV_Data4[[#This Row],[horsepower]]+EV_Data4[[#This Row],[torque_nm]]/EV_Data4[[#This Row],[acceleration_0_60_mph]]</f>
        <v>583.30749354005172</v>
      </c>
      <c r="AC168" t="str">
        <f>IF(EV_Data4[[#This Row],[price_usd]]&gt;=80000,"Luxury",IF(EV_Data4[[#This Row],[price_usd]]&gt;=40000,"Mid-Range","Budget"))</f>
        <v>Mid-Range</v>
      </c>
      <c r="AD168" t="str">
        <f>IF(EV_Data4[[#This Row],[range_miles]]&gt;=350,"Long-Range",IF(EV_Data4[[#This Row],[range_miles]]&gt;=250,"Medium-Range","Short-Range"))</f>
        <v>Medium-Range</v>
      </c>
      <c r="AE168" t="str">
        <f>IF(EV_Data4[[#This Row],[charging_speed_kw]]&gt;=250,"Ultra-Fast",IF(EV_Data4[[#This Row],[charging_speed_kw]]&gt;=150,"Fast-Charging","Standard-Charging"))</f>
        <v>Standard-Charging</v>
      </c>
      <c r="AF168" t="str">
        <f>IF(EV_Data4[[#This Row],[acceleration_0_60_mph]]&lt;=3,"SportsPerformance",IF(EV_Data4[[#This Row],[acceleration_0_60_mph]]&lt;=5,"HighPerformance","Standard"))</f>
        <v>Standard</v>
      </c>
      <c r="AG168" t="str">
        <f>IF(EV_Data4[[#This Row],[customer_rating]]&gt;=4.5,"Excellent",IF(EV_Data4[[#This Row],[customer_rating]]&gt;=3.5,"Good","Average"))</f>
        <v>Average</v>
      </c>
      <c r="AH16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9" spans="1:34" x14ac:dyDescent="0.3">
      <c r="A169" t="s">
        <v>46</v>
      </c>
      <c r="B169" t="s">
        <v>57</v>
      </c>
      <c r="C169">
        <v>2022</v>
      </c>
      <c r="D169" t="s">
        <v>44</v>
      </c>
      <c r="E169" s="3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27</v>
      </c>
      <c r="N169">
        <v>7</v>
      </c>
      <c r="O169" t="s">
        <v>51</v>
      </c>
      <c r="P169">
        <v>34</v>
      </c>
      <c r="Q169">
        <v>1500</v>
      </c>
      <c r="R169">
        <v>5</v>
      </c>
      <c r="S169">
        <v>2</v>
      </c>
      <c r="T169" t="s">
        <v>41</v>
      </c>
      <c r="U169" t="s">
        <v>30</v>
      </c>
      <c r="V169" s="3">
        <v>213496</v>
      </c>
      <c r="W169">
        <v>3.81</v>
      </c>
      <c r="X169">
        <v>5</v>
      </c>
      <c r="Y169" s="1">
        <f>EV_Data4[[#This Row],[range_miles]]/EV_Data4[[#This Row],[battery_capacity_kwh]]</f>
        <v>3.7081339712918662</v>
      </c>
      <c r="Z169" s="4">
        <f>EV_Data4[[#This Row],[price_usd]]/EV_Data4[[#This Row],[range_miles]]</f>
        <v>429.1411612903226</v>
      </c>
      <c r="AA169" s="2">
        <f>(EV_Data4[[#This Row],[customer_rating]]*EV_Data4[[#This Row],[safety_rating]]*1000)/EV_Data4[[#This Row],[price_usd]]</f>
        <v>0.14319673442290137</v>
      </c>
      <c r="AB169">
        <f>EV_Data4[[#This Row],[horsepower]]+EV_Data4[[#This Row],[torque_nm]]/EV_Data4[[#This Row],[acceleration_0_60_mph]]</f>
        <v>1120.4187082405344</v>
      </c>
      <c r="AC169" t="str">
        <f>IF(EV_Data4[[#This Row],[price_usd]]&gt;=80000,"Luxury",IF(EV_Data4[[#This Row],[price_usd]]&gt;=40000,"Mid-Range","Budget"))</f>
        <v>Luxury</v>
      </c>
      <c r="AD169" t="str">
        <f>IF(EV_Data4[[#This Row],[range_miles]]&gt;=350,"Long-Range",IF(EV_Data4[[#This Row],[range_miles]]&gt;=250,"Medium-Range","Short-Range"))</f>
        <v>Medium-Range</v>
      </c>
      <c r="AE169" t="str">
        <f>IF(EV_Data4[[#This Row],[charging_speed_kw]]&gt;=250,"Ultra-Fast",IF(EV_Data4[[#This Row],[charging_speed_kw]]&gt;=150,"Fast-Charging","Standard-Charging"))</f>
        <v>Ultra-Fast</v>
      </c>
      <c r="AF169" t="str">
        <f>IF(EV_Data4[[#This Row],[acceleration_0_60_mph]]&lt;=3,"SportsPerformance",IF(EV_Data4[[#This Row],[acceleration_0_60_mph]]&lt;=5,"HighPerformance","Standard"))</f>
        <v>HighPerformance</v>
      </c>
      <c r="AG169" t="str">
        <f>IF(EV_Data4[[#This Row],[customer_rating]]&gt;=4.5,"Excellent",IF(EV_Data4[[#This Row],[customer_rating]]&gt;=3.5,"Good","Average"))</f>
        <v>Good</v>
      </c>
      <c r="AH16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0" spans="1:34" x14ac:dyDescent="0.3">
      <c r="A170" t="s">
        <v>46</v>
      </c>
      <c r="B170" t="s">
        <v>78</v>
      </c>
      <c r="C170">
        <v>2023</v>
      </c>
      <c r="D170" t="s">
        <v>33</v>
      </c>
      <c r="E170" s="3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27</v>
      </c>
      <c r="N170">
        <v>5</v>
      </c>
      <c r="O170" t="s">
        <v>28</v>
      </c>
      <c r="P170">
        <v>57.8</v>
      </c>
      <c r="Q170">
        <v>2601</v>
      </c>
      <c r="R170">
        <v>5</v>
      </c>
      <c r="S170">
        <v>3</v>
      </c>
      <c r="T170" t="s">
        <v>41</v>
      </c>
      <c r="U170" t="s">
        <v>37</v>
      </c>
      <c r="V170" s="3">
        <v>203412</v>
      </c>
      <c r="W170">
        <v>3.84</v>
      </c>
      <c r="X170">
        <v>4</v>
      </c>
      <c r="Y170" s="1">
        <f>EV_Data4[[#This Row],[range_miles]]/EV_Data4[[#This Row],[battery_capacity_kwh]]</f>
        <v>3.518796992481203</v>
      </c>
      <c r="Z170" s="4">
        <f>EV_Data4[[#This Row],[price_usd]]/EV_Data4[[#This Row],[range_miles]]</f>
        <v>175.45068376068375</v>
      </c>
      <c r="AA170" s="2">
        <f>(EV_Data4[[#This Row],[customer_rating]]*EV_Data4[[#This Row],[safety_rating]]*1000)/EV_Data4[[#This Row],[price_usd]]</f>
        <v>0.46766008711143414</v>
      </c>
      <c r="AB170">
        <f>EV_Data4[[#This Row],[horsepower]]+EV_Data4[[#This Row],[torque_nm]]/EV_Data4[[#This Row],[acceleration_0_60_mph]]</f>
        <v>342.29096989966553</v>
      </c>
      <c r="AC170" t="str">
        <f>IF(EV_Data4[[#This Row],[price_usd]]&gt;=80000,"Luxury",IF(EV_Data4[[#This Row],[price_usd]]&gt;=40000,"Mid-Range","Budget"))</f>
        <v>Mid-Range</v>
      </c>
      <c r="AD170" t="str">
        <f>IF(EV_Data4[[#This Row],[range_miles]]&gt;=350,"Long-Range",IF(EV_Data4[[#This Row],[range_miles]]&gt;=250,"Medium-Range","Short-Range"))</f>
        <v>Short-Range</v>
      </c>
      <c r="AE170" t="str">
        <f>IF(EV_Data4[[#This Row],[charging_speed_kw]]&gt;=250,"Ultra-Fast",IF(EV_Data4[[#This Row],[charging_speed_kw]]&gt;=150,"Fast-Charging","Standard-Charging"))</f>
        <v>Ultra-Fast</v>
      </c>
      <c r="AF170" t="str">
        <f>IF(EV_Data4[[#This Row],[acceleration_0_60_mph]]&lt;=3,"SportsPerformance",IF(EV_Data4[[#This Row],[acceleration_0_60_mph]]&lt;=5,"HighPerformance","Standard"))</f>
        <v>Standard</v>
      </c>
      <c r="AG170" t="str">
        <f>IF(EV_Data4[[#This Row],[customer_rating]]&gt;=4.5,"Excellent",IF(EV_Data4[[#This Row],[customer_rating]]&gt;=3.5,"Good","Average"))</f>
        <v>Good</v>
      </c>
      <c r="AH170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71" spans="1:34" x14ac:dyDescent="0.3">
      <c r="A171" t="s">
        <v>42</v>
      </c>
      <c r="B171" t="s">
        <v>115</v>
      </c>
      <c r="C171">
        <v>2022</v>
      </c>
      <c r="D171" t="s">
        <v>56</v>
      </c>
      <c r="E171" s="3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48</v>
      </c>
      <c r="N171">
        <v>5</v>
      </c>
      <c r="O171" t="s">
        <v>35</v>
      </c>
      <c r="P171">
        <v>64.2</v>
      </c>
      <c r="Q171">
        <v>1917</v>
      </c>
      <c r="R171">
        <v>5</v>
      </c>
      <c r="S171">
        <v>0</v>
      </c>
      <c r="T171" t="s">
        <v>45</v>
      </c>
      <c r="U171" t="s">
        <v>37</v>
      </c>
      <c r="V171" s="3">
        <v>145797</v>
      </c>
      <c r="W171">
        <v>3.55</v>
      </c>
      <c r="X171">
        <v>3</v>
      </c>
      <c r="Y171" s="1">
        <f>EV_Data4[[#This Row],[range_miles]]/EV_Data4[[#This Row],[battery_capacity_kwh]]</f>
        <v>3.5051546391752573</v>
      </c>
      <c r="Z171" s="4">
        <f>EV_Data4[[#This Row],[price_usd]]/EV_Data4[[#This Row],[range_miles]]</f>
        <v>250.64159663865544</v>
      </c>
      <c r="AA171" s="2">
        <f>(EV_Data4[[#This Row],[customer_rating]]*EV_Data4[[#This Row],[safety_rating]]*1000)/EV_Data4[[#This Row],[price_usd]]</f>
        <v>0.29755568482231315</v>
      </c>
      <c r="AB171">
        <f>EV_Data4[[#This Row],[horsepower]]+EV_Data4[[#This Row],[torque_nm]]/EV_Data4[[#This Row],[acceleration_0_60_mph]]</f>
        <v>680.98831385642734</v>
      </c>
      <c r="AC171" t="str">
        <f>IF(EV_Data4[[#This Row],[price_usd]]&gt;=80000,"Luxury",IF(EV_Data4[[#This Row],[price_usd]]&gt;=40000,"Mid-Range","Budget"))</f>
        <v>Mid-Range</v>
      </c>
      <c r="AD171" t="str">
        <f>IF(EV_Data4[[#This Row],[range_miles]]&gt;=350,"Long-Range",IF(EV_Data4[[#This Row],[range_miles]]&gt;=250,"Medium-Range","Short-Range"))</f>
        <v>Short-Range</v>
      </c>
      <c r="AE171" t="str">
        <f>IF(EV_Data4[[#This Row],[charging_speed_kw]]&gt;=250,"Ultra-Fast",IF(EV_Data4[[#This Row],[charging_speed_kw]]&gt;=150,"Fast-Charging","Standard-Charging"))</f>
        <v>Standard-Charging</v>
      </c>
      <c r="AF171" t="str">
        <f>IF(EV_Data4[[#This Row],[acceleration_0_60_mph]]&lt;=3,"SportsPerformance",IF(EV_Data4[[#This Row],[acceleration_0_60_mph]]&lt;=5,"HighPerformance","Standard"))</f>
        <v>Standard</v>
      </c>
      <c r="AG171" t="str">
        <f>IF(EV_Data4[[#This Row],[customer_rating]]&gt;=4.5,"Excellent",IF(EV_Data4[[#This Row],[customer_rating]]&gt;=3.5,"Good","Average"))</f>
        <v>Good</v>
      </c>
      <c r="AH17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2" spans="1:34" x14ac:dyDescent="0.3">
      <c r="A172" t="s">
        <v>83</v>
      </c>
      <c r="B172" t="s">
        <v>116</v>
      </c>
      <c r="C172">
        <v>2023</v>
      </c>
      <c r="D172" t="s">
        <v>44</v>
      </c>
      <c r="E172" s="3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27</v>
      </c>
      <c r="N172">
        <v>7</v>
      </c>
      <c r="O172" t="s">
        <v>58</v>
      </c>
      <c r="P172">
        <v>23.8</v>
      </c>
      <c r="Q172">
        <v>1596</v>
      </c>
      <c r="R172">
        <v>5</v>
      </c>
      <c r="S172">
        <v>2</v>
      </c>
      <c r="T172" t="s">
        <v>29</v>
      </c>
      <c r="U172" t="s">
        <v>33</v>
      </c>
      <c r="V172" s="3">
        <v>29925</v>
      </c>
      <c r="W172">
        <v>3.89</v>
      </c>
      <c r="X172">
        <v>5</v>
      </c>
      <c r="Y172" s="1">
        <f>EV_Data4[[#This Row],[range_miles]]/EV_Data4[[#This Row],[battery_capacity_kwh]]</f>
        <v>3.4953464322647361</v>
      </c>
      <c r="Z172" s="4">
        <f>EV_Data4[[#This Row],[price_usd]]/EV_Data4[[#This Row],[range_miles]]</f>
        <v>227.43991124260356</v>
      </c>
      <c r="AA172" s="2">
        <f>(EV_Data4[[#This Row],[customer_rating]]*EV_Data4[[#This Row],[safety_rating]]*1000)/EV_Data4[[#This Row],[price_usd]]</f>
        <v>0.25300915034584204</v>
      </c>
      <c r="AB172">
        <f>EV_Data4[[#This Row],[horsepower]]+EV_Data4[[#This Row],[torque_nm]]/EV_Data4[[#This Row],[acceleration_0_60_mph]]</f>
        <v>605.56849315068496</v>
      </c>
      <c r="AC172" t="str">
        <f>IF(EV_Data4[[#This Row],[price_usd]]&gt;=80000,"Luxury",IF(EV_Data4[[#This Row],[price_usd]]&gt;=40000,"Mid-Range","Budget"))</f>
        <v>Mid-Range</v>
      </c>
      <c r="AD172" t="str">
        <f>IF(EV_Data4[[#This Row],[range_miles]]&gt;=350,"Long-Range",IF(EV_Data4[[#This Row],[range_miles]]&gt;=250,"Medium-Range","Short-Range"))</f>
        <v>Medium-Range</v>
      </c>
      <c r="AE172" t="str">
        <f>IF(EV_Data4[[#This Row],[charging_speed_kw]]&gt;=250,"Ultra-Fast",IF(EV_Data4[[#This Row],[charging_speed_kw]]&gt;=150,"Fast-Charging","Standard-Charging"))</f>
        <v>Standard-Charging</v>
      </c>
      <c r="AF172" t="str">
        <f>IF(EV_Data4[[#This Row],[acceleration_0_60_mph]]&lt;=3,"SportsPerformance",IF(EV_Data4[[#This Row],[acceleration_0_60_mph]]&lt;=5,"HighPerformance","Standard"))</f>
        <v>Standard</v>
      </c>
      <c r="AG172" t="str">
        <f>IF(EV_Data4[[#This Row],[customer_rating]]&gt;=4.5,"Excellent",IF(EV_Data4[[#This Row],[customer_rating]]&gt;=3.5,"Good","Average"))</f>
        <v>Good</v>
      </c>
      <c r="AH17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3" spans="1:34" x14ac:dyDescent="0.3">
      <c r="A173" t="s">
        <v>46</v>
      </c>
      <c r="B173" t="s">
        <v>49</v>
      </c>
      <c r="C173">
        <v>2024</v>
      </c>
      <c r="D173" t="s">
        <v>61</v>
      </c>
      <c r="E173" s="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34</v>
      </c>
      <c r="N173">
        <v>7</v>
      </c>
      <c r="O173" t="s">
        <v>50</v>
      </c>
      <c r="P173">
        <v>28</v>
      </c>
      <c r="Q173">
        <v>1500</v>
      </c>
      <c r="R173">
        <v>5</v>
      </c>
      <c r="S173">
        <v>2</v>
      </c>
      <c r="T173" t="s">
        <v>41</v>
      </c>
      <c r="U173" t="s">
        <v>66</v>
      </c>
      <c r="V173" s="3">
        <v>457458</v>
      </c>
      <c r="W173">
        <v>3.75</v>
      </c>
      <c r="X173">
        <v>5</v>
      </c>
      <c r="Y173" s="1">
        <f>EV_Data4[[#This Row],[range_miles]]/EV_Data4[[#This Row],[battery_capacity_kwh]]</f>
        <v>3.1741935483870969</v>
      </c>
      <c r="Z173" s="4">
        <f>EV_Data4[[#This Row],[price_usd]]/EV_Data4[[#This Row],[range_miles]]</f>
        <v>128.54926829268291</v>
      </c>
      <c r="AA173" s="2">
        <f>(EV_Data4[[#This Row],[customer_rating]]*EV_Data4[[#This Row],[safety_rating]]*1000)/EV_Data4[[#This Row],[price_usd]]</f>
        <v>0.59292062263306089</v>
      </c>
      <c r="AB173">
        <f>EV_Data4[[#This Row],[horsepower]]+EV_Data4[[#This Row],[torque_nm]]/EV_Data4[[#This Row],[acceleration_0_60_mph]]</f>
        <v>196.77817531305902</v>
      </c>
      <c r="AC173" t="str">
        <f>IF(EV_Data4[[#This Row],[price_usd]]&gt;=80000,"Luxury",IF(EV_Data4[[#This Row],[price_usd]]&gt;=40000,"Mid-Range","Budget"))</f>
        <v>Budget</v>
      </c>
      <c r="AD173" t="str">
        <f>IF(EV_Data4[[#This Row],[range_miles]]&gt;=350,"Long-Range",IF(EV_Data4[[#This Row],[range_miles]]&gt;=250,"Medium-Range","Short-Range"))</f>
        <v>Short-Range</v>
      </c>
      <c r="AE173" t="str">
        <f>IF(EV_Data4[[#This Row],[charging_speed_kw]]&gt;=250,"Ultra-Fast",IF(EV_Data4[[#This Row],[charging_speed_kw]]&gt;=150,"Fast-Charging","Standard-Charging"))</f>
        <v>Ultra-Fast</v>
      </c>
      <c r="AF173" t="str">
        <f>IF(EV_Data4[[#This Row],[acceleration_0_60_mph]]&lt;=3,"SportsPerformance",IF(EV_Data4[[#This Row],[acceleration_0_60_mph]]&lt;=5,"HighPerformance","Standard"))</f>
        <v>Standard</v>
      </c>
      <c r="AG173" t="str">
        <f>IF(EV_Data4[[#This Row],[customer_rating]]&gt;=4.5,"Excellent",IF(EV_Data4[[#This Row],[customer_rating]]&gt;=3.5,"Good","Average"))</f>
        <v>Good</v>
      </c>
      <c r="AH17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4" spans="1:34" x14ac:dyDescent="0.3">
      <c r="A174" t="s">
        <v>68</v>
      </c>
      <c r="B174" t="s">
        <v>69</v>
      </c>
      <c r="C174">
        <v>2025</v>
      </c>
      <c r="D174" t="s">
        <v>44</v>
      </c>
      <c r="E174" s="3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34</v>
      </c>
      <c r="N174">
        <v>5</v>
      </c>
      <c r="O174" t="s">
        <v>40</v>
      </c>
      <c r="P174">
        <v>63.4</v>
      </c>
      <c r="Q174">
        <v>1663</v>
      </c>
      <c r="R174">
        <v>4</v>
      </c>
      <c r="S174">
        <v>0</v>
      </c>
      <c r="T174" t="s">
        <v>45</v>
      </c>
      <c r="U174" t="s">
        <v>37</v>
      </c>
      <c r="V174" s="3">
        <v>84174</v>
      </c>
      <c r="W174">
        <v>3.27</v>
      </c>
      <c r="X174">
        <v>3</v>
      </c>
      <c r="Y174" s="1">
        <f>EV_Data4[[#This Row],[range_miles]]/EV_Data4[[#This Row],[battery_capacity_kwh]]</f>
        <v>3.4256410256410255</v>
      </c>
      <c r="Z174" s="4">
        <f>EV_Data4[[#This Row],[price_usd]]/EV_Data4[[#This Row],[range_miles]]</f>
        <v>129.24610778443113</v>
      </c>
      <c r="AA174" s="2">
        <f>(EV_Data4[[#This Row],[customer_rating]]*EV_Data4[[#This Row],[safety_rating]]*1000)/EV_Data4[[#This Row],[price_usd]]</f>
        <v>0.30300082004809098</v>
      </c>
      <c r="AB174">
        <f>EV_Data4[[#This Row],[horsepower]]+EV_Data4[[#This Row],[torque_nm]]/EV_Data4[[#This Row],[acceleration_0_60_mph]]</f>
        <v>529.60157790927019</v>
      </c>
      <c r="AC174" t="str">
        <f>IF(EV_Data4[[#This Row],[price_usd]]&gt;=80000,"Luxury",IF(EV_Data4[[#This Row],[price_usd]]&gt;=40000,"Mid-Range","Budget"))</f>
        <v>Mid-Range</v>
      </c>
      <c r="AD174" t="str">
        <f>IF(EV_Data4[[#This Row],[range_miles]]&gt;=350,"Long-Range",IF(EV_Data4[[#This Row],[range_miles]]&gt;=250,"Medium-Range","Short-Range"))</f>
        <v>Medium-Range</v>
      </c>
      <c r="AE174" t="str">
        <f>IF(EV_Data4[[#This Row],[charging_speed_kw]]&gt;=250,"Ultra-Fast",IF(EV_Data4[[#This Row],[charging_speed_kw]]&gt;=150,"Fast-Charging","Standard-Charging"))</f>
        <v>Standard-Charging</v>
      </c>
      <c r="AF174" t="str">
        <f>IF(EV_Data4[[#This Row],[acceleration_0_60_mph]]&lt;=3,"SportsPerformance",IF(EV_Data4[[#This Row],[acceleration_0_60_mph]]&lt;=5,"HighPerformance","Standard"))</f>
        <v>Standard</v>
      </c>
      <c r="AG174" t="str">
        <f>IF(EV_Data4[[#This Row],[customer_rating]]&gt;=4.5,"Excellent",IF(EV_Data4[[#This Row],[customer_rating]]&gt;=3.5,"Good","Average"))</f>
        <v>Average</v>
      </c>
      <c r="AH17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5" spans="1:34" x14ac:dyDescent="0.3">
      <c r="A175" t="s">
        <v>63</v>
      </c>
      <c r="B175" t="s">
        <v>82</v>
      </c>
      <c r="C175">
        <v>2024</v>
      </c>
      <c r="D175" t="s">
        <v>56</v>
      </c>
      <c r="E175" s="3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34</v>
      </c>
      <c r="N175">
        <v>5</v>
      </c>
      <c r="O175" t="s">
        <v>50</v>
      </c>
      <c r="P175">
        <v>22.8</v>
      </c>
      <c r="Q175">
        <v>1656</v>
      </c>
      <c r="R175">
        <v>4</v>
      </c>
      <c r="S175">
        <v>0</v>
      </c>
      <c r="T175" t="s">
        <v>65</v>
      </c>
      <c r="U175" t="s">
        <v>33</v>
      </c>
      <c r="V175" s="3">
        <v>140199</v>
      </c>
      <c r="W175">
        <v>3.58</v>
      </c>
      <c r="X175">
        <v>5</v>
      </c>
      <c r="Y175" s="1">
        <f>EV_Data4[[#This Row],[range_miles]]/EV_Data4[[#This Row],[battery_capacity_kwh]]</f>
        <v>3.6530324400564171</v>
      </c>
      <c r="Z175" s="4">
        <f>EV_Data4[[#This Row],[price_usd]]/EV_Data4[[#This Row],[range_miles]]</f>
        <v>297.8546718146718</v>
      </c>
      <c r="AA175" s="2">
        <f>(EV_Data4[[#This Row],[customer_rating]]*EV_Data4[[#This Row],[safety_rating]]*1000)/EV_Data4[[#This Row],[price_usd]]</f>
        <v>0.18562601335988788</v>
      </c>
      <c r="AB175">
        <f>EV_Data4[[#This Row],[horsepower]]+EV_Data4[[#This Row],[torque_nm]]/EV_Data4[[#This Row],[acceleration_0_60_mph]]</f>
        <v>957.35694822888286</v>
      </c>
      <c r="AC175" t="str">
        <f>IF(EV_Data4[[#This Row],[price_usd]]&gt;=80000,"Luxury",IF(EV_Data4[[#This Row],[price_usd]]&gt;=40000,"Mid-Range","Budget"))</f>
        <v>Mid-Range</v>
      </c>
      <c r="AD175" t="str">
        <f>IF(EV_Data4[[#This Row],[range_miles]]&gt;=350,"Long-Range",IF(EV_Data4[[#This Row],[range_miles]]&gt;=250,"Medium-Range","Short-Range"))</f>
        <v>Medium-Range</v>
      </c>
      <c r="AE175" t="str">
        <f>IF(EV_Data4[[#This Row],[charging_speed_kw]]&gt;=250,"Ultra-Fast",IF(EV_Data4[[#This Row],[charging_speed_kw]]&gt;=150,"Fast-Charging","Standard-Charging"))</f>
        <v>Standard-Charging</v>
      </c>
      <c r="AF175" t="str">
        <f>IF(EV_Data4[[#This Row],[acceleration_0_60_mph]]&lt;=3,"SportsPerformance",IF(EV_Data4[[#This Row],[acceleration_0_60_mph]]&lt;=5,"HighPerformance","Standard"))</f>
        <v>Standard</v>
      </c>
      <c r="AG175" t="str">
        <f>IF(EV_Data4[[#This Row],[customer_rating]]&gt;=4.5,"Excellent",IF(EV_Data4[[#This Row],[customer_rating]]&gt;=3.5,"Good","Average"))</f>
        <v>Good</v>
      </c>
      <c r="AH17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6" spans="1:34" x14ac:dyDescent="0.3">
      <c r="A176" t="s">
        <v>83</v>
      </c>
      <c r="B176" t="s">
        <v>114</v>
      </c>
      <c r="C176">
        <v>2023</v>
      </c>
      <c r="D176" t="s">
        <v>56</v>
      </c>
      <c r="E176" s="3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34</v>
      </c>
      <c r="N176">
        <v>5</v>
      </c>
      <c r="O176" t="s">
        <v>40</v>
      </c>
      <c r="P176">
        <v>63.5</v>
      </c>
      <c r="Q176">
        <v>1615</v>
      </c>
      <c r="R176">
        <v>5</v>
      </c>
      <c r="S176">
        <v>1</v>
      </c>
      <c r="T176" t="s">
        <v>29</v>
      </c>
      <c r="U176" t="s">
        <v>37</v>
      </c>
      <c r="V176" s="3">
        <v>20422</v>
      </c>
      <c r="W176">
        <v>3.39</v>
      </c>
      <c r="X176">
        <v>8</v>
      </c>
      <c r="Y176" s="1">
        <f>EV_Data4[[#This Row],[range_miles]]/EV_Data4[[#This Row],[battery_capacity_kwh]]</f>
        <v>3.4806629834254141</v>
      </c>
      <c r="Z176" s="4">
        <f>EV_Data4[[#This Row],[price_usd]]/EV_Data4[[#This Row],[range_miles]]</f>
        <v>233.93515873015875</v>
      </c>
      <c r="AA176" s="2">
        <f>(EV_Data4[[#This Row],[customer_rating]]*EV_Data4[[#This Row],[safety_rating]]*1000)/EV_Data4[[#This Row],[price_usd]]</f>
        <v>0.28752371010417688</v>
      </c>
      <c r="AB176">
        <f>EV_Data4[[#This Row],[horsepower]]+EV_Data4[[#This Row],[torque_nm]]/EV_Data4[[#This Row],[acceleration_0_60_mph]]</f>
        <v>298.58823529411762</v>
      </c>
      <c r="AC176" t="str">
        <f>IF(EV_Data4[[#This Row],[price_usd]]&gt;=80000,"Luxury",IF(EV_Data4[[#This Row],[price_usd]]&gt;=40000,"Mid-Range","Budget"))</f>
        <v>Mid-Range</v>
      </c>
      <c r="AD176" t="str">
        <f>IF(EV_Data4[[#This Row],[range_miles]]&gt;=350,"Long-Range",IF(EV_Data4[[#This Row],[range_miles]]&gt;=250,"Medium-Range","Short-Range"))</f>
        <v>Medium-Range</v>
      </c>
      <c r="AE176" t="str">
        <f>IF(EV_Data4[[#This Row],[charging_speed_kw]]&gt;=250,"Ultra-Fast",IF(EV_Data4[[#This Row],[charging_speed_kw]]&gt;=150,"Fast-Charging","Standard-Charging"))</f>
        <v>Standard-Charging</v>
      </c>
      <c r="AF176" t="str">
        <f>IF(EV_Data4[[#This Row],[acceleration_0_60_mph]]&lt;=3,"SportsPerformance",IF(EV_Data4[[#This Row],[acceleration_0_60_mph]]&lt;=5,"HighPerformance","Standard"))</f>
        <v>Standard</v>
      </c>
      <c r="AG176" t="str">
        <f>IF(EV_Data4[[#This Row],[customer_rating]]&gt;=4.5,"Excellent",IF(EV_Data4[[#This Row],[customer_rating]]&gt;=3.5,"Good","Average"))</f>
        <v>Average</v>
      </c>
      <c r="AH17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7" spans="1:34" x14ac:dyDescent="0.3">
      <c r="A177" t="s">
        <v>46</v>
      </c>
      <c r="B177" t="s">
        <v>72</v>
      </c>
      <c r="C177">
        <v>2023</v>
      </c>
      <c r="D177" t="s">
        <v>56</v>
      </c>
      <c r="E177" s="3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27</v>
      </c>
      <c r="N177">
        <v>7</v>
      </c>
      <c r="O177" t="s">
        <v>28</v>
      </c>
      <c r="P177">
        <v>61.3</v>
      </c>
      <c r="Q177">
        <v>2449</v>
      </c>
      <c r="R177">
        <v>5</v>
      </c>
      <c r="S177">
        <v>2</v>
      </c>
      <c r="T177" t="s">
        <v>41</v>
      </c>
      <c r="U177" t="s">
        <v>30</v>
      </c>
      <c r="V177" s="3">
        <v>162424</v>
      </c>
      <c r="W177">
        <v>3.82</v>
      </c>
      <c r="X177">
        <v>4</v>
      </c>
      <c r="Y177" s="1">
        <f>EV_Data4[[#This Row],[range_miles]]/EV_Data4[[#This Row],[battery_capacity_kwh]]</f>
        <v>3.7684729064039408</v>
      </c>
      <c r="Z177" s="4">
        <f>EV_Data4[[#This Row],[price_usd]]/EV_Data4[[#This Row],[range_miles]]</f>
        <v>372.09565359477125</v>
      </c>
      <c r="AA177" s="2">
        <f>(EV_Data4[[#This Row],[customer_rating]]*EV_Data4[[#This Row],[safety_rating]]*1000)/EV_Data4[[#This Row],[price_usd]]</f>
        <v>0.16774799718991362</v>
      </c>
      <c r="AB177">
        <f>EV_Data4[[#This Row],[horsepower]]+EV_Data4[[#This Row],[torque_nm]]/EV_Data4[[#This Row],[acceleration_0_60_mph]]</f>
        <v>899.66834804539724</v>
      </c>
      <c r="AC177" t="str">
        <f>IF(EV_Data4[[#This Row],[price_usd]]&gt;=80000,"Luxury",IF(EV_Data4[[#This Row],[price_usd]]&gt;=40000,"Mid-Range","Budget"))</f>
        <v>Luxury</v>
      </c>
      <c r="AD177" t="str">
        <f>IF(EV_Data4[[#This Row],[range_miles]]&gt;=350,"Long-Range",IF(EV_Data4[[#This Row],[range_miles]]&gt;=250,"Medium-Range","Short-Range"))</f>
        <v>Medium-Range</v>
      </c>
      <c r="AE177" t="str">
        <f>IF(EV_Data4[[#This Row],[charging_speed_kw]]&gt;=250,"Ultra-Fast",IF(EV_Data4[[#This Row],[charging_speed_kw]]&gt;=150,"Fast-Charging","Standard-Charging"))</f>
        <v>Fast-Charging</v>
      </c>
      <c r="AF177" t="str">
        <f>IF(EV_Data4[[#This Row],[acceleration_0_60_mph]]&lt;=3,"SportsPerformance",IF(EV_Data4[[#This Row],[acceleration_0_60_mph]]&lt;=5,"HighPerformance","Standard"))</f>
        <v>Standard</v>
      </c>
      <c r="AG177" t="str">
        <f>IF(EV_Data4[[#This Row],[customer_rating]]&gt;=4.5,"Excellent",IF(EV_Data4[[#This Row],[customer_rating]]&gt;=3.5,"Good","Average"))</f>
        <v>Good</v>
      </c>
      <c r="AH17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8" spans="1:34" x14ac:dyDescent="0.3">
      <c r="A178" t="s">
        <v>38</v>
      </c>
      <c r="B178" t="s">
        <v>55</v>
      </c>
      <c r="C178">
        <v>2022</v>
      </c>
      <c r="D178" t="s">
        <v>56</v>
      </c>
      <c r="E178" s="3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27</v>
      </c>
      <c r="N178">
        <v>7</v>
      </c>
      <c r="O178" t="s">
        <v>28</v>
      </c>
      <c r="P178">
        <v>60.8</v>
      </c>
      <c r="Q178">
        <v>2500</v>
      </c>
      <c r="R178">
        <v>4</v>
      </c>
      <c r="S178">
        <v>1</v>
      </c>
      <c r="T178" t="s">
        <v>41</v>
      </c>
      <c r="U178" t="s">
        <v>66</v>
      </c>
      <c r="V178" s="3">
        <v>9346</v>
      </c>
      <c r="W178">
        <v>3.53</v>
      </c>
      <c r="X178">
        <v>3</v>
      </c>
      <c r="Y178" s="1">
        <f>EV_Data4[[#This Row],[range_miles]]/EV_Data4[[#This Row],[battery_capacity_kwh]]</f>
        <v>3.913978494623656</v>
      </c>
      <c r="Z178" s="4">
        <f>EV_Data4[[#This Row],[price_usd]]/EV_Data4[[#This Row],[range_miles]]</f>
        <v>135.01324175824175</v>
      </c>
      <c r="AA178" s="2">
        <f>(EV_Data4[[#This Row],[customer_rating]]*EV_Data4[[#This Row],[safety_rating]]*1000)/EV_Data4[[#This Row],[price_usd]]</f>
        <v>0.57462821107087181</v>
      </c>
      <c r="AB178">
        <f>EV_Data4[[#This Row],[horsepower]]+EV_Data4[[#This Row],[torque_nm]]/EV_Data4[[#This Row],[acceleration_0_60_mph]]</f>
        <v>184.90401396160559</v>
      </c>
      <c r="AC178" t="str">
        <f>IF(EV_Data4[[#This Row],[price_usd]]&gt;=80000,"Luxury",IF(EV_Data4[[#This Row],[price_usd]]&gt;=40000,"Mid-Range","Budget"))</f>
        <v>Budget</v>
      </c>
      <c r="AD178" t="str">
        <f>IF(EV_Data4[[#This Row],[range_miles]]&gt;=350,"Long-Range",IF(EV_Data4[[#This Row],[range_miles]]&gt;=250,"Medium-Range","Short-Range"))</f>
        <v>Short-Range</v>
      </c>
      <c r="AE178" t="str">
        <f>IF(EV_Data4[[#This Row],[charging_speed_kw]]&gt;=250,"Ultra-Fast",IF(EV_Data4[[#This Row],[charging_speed_kw]]&gt;=150,"Fast-Charging","Standard-Charging"))</f>
        <v>Standard-Charging</v>
      </c>
      <c r="AF178" t="str">
        <f>IF(EV_Data4[[#This Row],[acceleration_0_60_mph]]&lt;=3,"SportsPerformance",IF(EV_Data4[[#This Row],[acceleration_0_60_mph]]&lt;=5,"HighPerformance","Standard"))</f>
        <v>Standard</v>
      </c>
      <c r="AG178" t="str">
        <f>IF(EV_Data4[[#This Row],[customer_rating]]&gt;=4.5,"Excellent",IF(EV_Data4[[#This Row],[customer_rating]]&gt;=3.5,"Good","Average"))</f>
        <v>Good</v>
      </c>
      <c r="AH17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9" spans="1:34" x14ac:dyDescent="0.3">
      <c r="A179" t="s">
        <v>24</v>
      </c>
      <c r="B179" t="s">
        <v>70</v>
      </c>
      <c r="C179">
        <v>2025</v>
      </c>
      <c r="D179" t="s">
        <v>33</v>
      </c>
      <c r="E179" s="3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48</v>
      </c>
      <c r="N179">
        <v>5</v>
      </c>
      <c r="O179" t="s">
        <v>40</v>
      </c>
      <c r="P179">
        <v>64.2</v>
      </c>
      <c r="Q179">
        <v>1500</v>
      </c>
      <c r="R179">
        <v>5</v>
      </c>
      <c r="S179">
        <v>0</v>
      </c>
      <c r="T179" t="s">
        <v>29</v>
      </c>
      <c r="U179" t="s">
        <v>33</v>
      </c>
      <c r="V179" s="3">
        <v>295974</v>
      </c>
      <c r="W179">
        <v>3.47</v>
      </c>
      <c r="X179">
        <v>5</v>
      </c>
      <c r="Y179" s="1">
        <f>EV_Data4[[#This Row],[range_miles]]/EV_Data4[[#This Row],[battery_capacity_kwh]]</f>
        <v>3.2465277777777777</v>
      </c>
      <c r="Z179" s="4">
        <f>EV_Data4[[#This Row],[price_usd]]/EV_Data4[[#This Row],[range_miles]]</f>
        <v>360.01716577540111</v>
      </c>
      <c r="AA179" s="2">
        <f>(EV_Data4[[#This Row],[customer_rating]]*EV_Data4[[#This Row],[safety_rating]]*1000)/EV_Data4[[#This Row],[price_usd]]</f>
        <v>0.25771201343489114</v>
      </c>
      <c r="AB179">
        <f>EV_Data4[[#This Row],[horsepower]]+EV_Data4[[#This Row],[torque_nm]]/EV_Data4[[#This Row],[acceleration_0_60_mph]]</f>
        <v>797.1868131868132</v>
      </c>
      <c r="AC179" t="str">
        <f>IF(EV_Data4[[#This Row],[price_usd]]&gt;=80000,"Luxury",IF(EV_Data4[[#This Row],[price_usd]]&gt;=40000,"Mid-Range","Budget"))</f>
        <v>Mid-Range</v>
      </c>
      <c r="AD179" t="str">
        <f>IF(EV_Data4[[#This Row],[range_miles]]&gt;=350,"Long-Range",IF(EV_Data4[[#This Row],[range_miles]]&gt;=250,"Medium-Range","Short-Range"))</f>
        <v>Short-Range</v>
      </c>
      <c r="AE179" t="str">
        <f>IF(EV_Data4[[#This Row],[charging_speed_kw]]&gt;=250,"Ultra-Fast",IF(EV_Data4[[#This Row],[charging_speed_kw]]&gt;=150,"Fast-Charging","Standard-Charging"))</f>
        <v>Standard-Charging</v>
      </c>
      <c r="AF179" t="str">
        <f>IF(EV_Data4[[#This Row],[acceleration_0_60_mph]]&lt;=3,"SportsPerformance",IF(EV_Data4[[#This Row],[acceleration_0_60_mph]]&lt;=5,"HighPerformance","Standard"))</f>
        <v>Standard</v>
      </c>
      <c r="AG179" t="str">
        <f>IF(EV_Data4[[#This Row],[customer_rating]]&gt;=4.5,"Excellent",IF(EV_Data4[[#This Row],[customer_rating]]&gt;=3.5,"Good","Average"))</f>
        <v>Average</v>
      </c>
      <c r="AH17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0" spans="1:34" x14ac:dyDescent="0.3">
      <c r="A180" t="s">
        <v>92</v>
      </c>
      <c r="B180" t="s">
        <v>93</v>
      </c>
      <c r="C180">
        <v>2025</v>
      </c>
      <c r="D180" t="s">
        <v>44</v>
      </c>
      <c r="E180" s="3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34</v>
      </c>
      <c r="N180">
        <v>7</v>
      </c>
      <c r="O180" t="s">
        <v>35</v>
      </c>
      <c r="P180">
        <v>41.2</v>
      </c>
      <c r="Q180">
        <v>1856</v>
      </c>
      <c r="R180">
        <v>3</v>
      </c>
      <c r="S180">
        <v>1</v>
      </c>
      <c r="T180" t="s">
        <v>65</v>
      </c>
      <c r="U180" t="s">
        <v>30</v>
      </c>
      <c r="V180" s="3">
        <v>18130</v>
      </c>
      <c r="W180">
        <v>3.2</v>
      </c>
      <c r="X180">
        <v>4</v>
      </c>
      <c r="Y180" s="1">
        <f>EV_Data4[[#This Row],[range_miles]]/EV_Data4[[#This Row],[battery_capacity_kwh]]</f>
        <v>3.2875000000000001</v>
      </c>
      <c r="Z180" s="4">
        <f>EV_Data4[[#This Row],[price_usd]]/EV_Data4[[#This Row],[range_miles]]</f>
        <v>412.40768060836501</v>
      </c>
      <c r="AA180" s="2">
        <f>(EV_Data4[[#This Row],[customer_rating]]*EV_Data4[[#This Row],[safety_rating]]*1000)/EV_Data4[[#This Row],[price_usd]]</f>
        <v>8.8509266090385313E-2</v>
      </c>
      <c r="AB180">
        <f>EV_Data4[[#This Row],[horsepower]]+EV_Data4[[#This Row],[torque_nm]]/EV_Data4[[#This Row],[acceleration_0_60_mph]]</f>
        <v>1219.9501246882794</v>
      </c>
      <c r="AC180" t="str">
        <f>IF(EV_Data4[[#This Row],[price_usd]]&gt;=80000,"Luxury",IF(EV_Data4[[#This Row],[price_usd]]&gt;=40000,"Mid-Range","Budget"))</f>
        <v>Luxury</v>
      </c>
      <c r="AD180" t="str">
        <f>IF(EV_Data4[[#This Row],[range_miles]]&gt;=350,"Long-Range",IF(EV_Data4[[#This Row],[range_miles]]&gt;=250,"Medium-Range","Short-Range"))</f>
        <v>Medium-Range</v>
      </c>
      <c r="AE180" t="str">
        <f>IF(EV_Data4[[#This Row],[charging_speed_kw]]&gt;=250,"Ultra-Fast",IF(EV_Data4[[#This Row],[charging_speed_kw]]&gt;=150,"Fast-Charging","Standard-Charging"))</f>
        <v>Standard-Charging</v>
      </c>
      <c r="AF180" t="str">
        <f>IF(EV_Data4[[#This Row],[acceleration_0_60_mph]]&lt;=3,"SportsPerformance",IF(EV_Data4[[#This Row],[acceleration_0_60_mph]]&lt;=5,"HighPerformance","Standard"))</f>
        <v>HighPerformance</v>
      </c>
      <c r="AG180" t="str">
        <f>IF(EV_Data4[[#This Row],[customer_rating]]&gt;=4.5,"Excellent",IF(EV_Data4[[#This Row],[customer_rating]]&gt;=3.5,"Good","Average"))</f>
        <v>Average</v>
      </c>
      <c r="AH18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1" spans="1:34" x14ac:dyDescent="0.3">
      <c r="A181" t="s">
        <v>46</v>
      </c>
      <c r="B181" t="s">
        <v>78</v>
      </c>
      <c r="C181">
        <v>2025</v>
      </c>
      <c r="D181" t="s">
        <v>56</v>
      </c>
      <c r="E181" s="3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48</v>
      </c>
      <c r="N181">
        <v>7</v>
      </c>
      <c r="O181" t="s">
        <v>40</v>
      </c>
      <c r="P181">
        <v>60</v>
      </c>
      <c r="Q181">
        <v>1837</v>
      </c>
      <c r="R181">
        <v>5</v>
      </c>
      <c r="S181">
        <v>2</v>
      </c>
      <c r="T181" t="s">
        <v>41</v>
      </c>
      <c r="U181" t="s">
        <v>33</v>
      </c>
      <c r="V181" s="3">
        <v>132658</v>
      </c>
      <c r="W181">
        <v>3.6</v>
      </c>
      <c r="X181">
        <v>4</v>
      </c>
      <c r="Y181" s="1">
        <f>EV_Data4[[#This Row],[range_miles]]/EV_Data4[[#This Row],[battery_capacity_kwh]]</f>
        <v>3.0487804878048781</v>
      </c>
      <c r="Z181" s="4">
        <f>EV_Data4[[#This Row],[price_usd]]/EV_Data4[[#This Row],[range_miles]]</f>
        <v>475.16400000000004</v>
      </c>
      <c r="AA181" s="2">
        <f>(EV_Data4[[#This Row],[customer_rating]]*EV_Data4[[#This Row],[safety_rating]]*1000)/EV_Data4[[#This Row],[price_usd]]</f>
        <v>0.25254438467560669</v>
      </c>
      <c r="AB181">
        <f>EV_Data4[[#This Row],[horsepower]]+EV_Data4[[#This Row],[torque_nm]]/EV_Data4[[#This Row],[acceleration_0_60_mph]]</f>
        <v>665.03726708074532</v>
      </c>
      <c r="AC181" t="str">
        <f>IF(EV_Data4[[#This Row],[price_usd]]&gt;=80000,"Luxury",IF(EV_Data4[[#This Row],[price_usd]]&gt;=40000,"Mid-Range","Budget"))</f>
        <v>Mid-Range</v>
      </c>
      <c r="AD181" t="str">
        <f>IF(EV_Data4[[#This Row],[range_miles]]&gt;=350,"Long-Range",IF(EV_Data4[[#This Row],[range_miles]]&gt;=250,"Medium-Range","Short-Range"))</f>
        <v>Short-Range</v>
      </c>
      <c r="AE181" t="str">
        <f>IF(EV_Data4[[#This Row],[charging_speed_kw]]&gt;=250,"Ultra-Fast",IF(EV_Data4[[#This Row],[charging_speed_kw]]&gt;=150,"Fast-Charging","Standard-Charging"))</f>
        <v>Ultra-Fast</v>
      </c>
      <c r="AF181" t="str">
        <f>IF(EV_Data4[[#This Row],[acceleration_0_60_mph]]&lt;=3,"SportsPerformance",IF(EV_Data4[[#This Row],[acceleration_0_60_mph]]&lt;=5,"HighPerformance","Standard"))</f>
        <v>Standard</v>
      </c>
      <c r="AG181" t="str">
        <f>IF(EV_Data4[[#This Row],[customer_rating]]&gt;=4.5,"Excellent",IF(EV_Data4[[#This Row],[customer_rating]]&gt;=3.5,"Good","Average"))</f>
        <v>Good</v>
      </c>
      <c r="AH18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2" spans="1:34" x14ac:dyDescent="0.3">
      <c r="A182" t="s">
        <v>63</v>
      </c>
      <c r="B182" t="s">
        <v>82</v>
      </c>
      <c r="C182">
        <v>2024</v>
      </c>
      <c r="D182" t="s">
        <v>61</v>
      </c>
      <c r="E182" s="3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48</v>
      </c>
      <c r="N182">
        <v>5</v>
      </c>
      <c r="O182" t="s">
        <v>50</v>
      </c>
      <c r="P182">
        <v>25.2</v>
      </c>
      <c r="Q182">
        <v>1630</v>
      </c>
      <c r="R182">
        <v>4</v>
      </c>
      <c r="S182">
        <v>1</v>
      </c>
      <c r="T182" t="s">
        <v>65</v>
      </c>
      <c r="U182" t="s">
        <v>37</v>
      </c>
      <c r="V182" s="3">
        <v>112631</v>
      </c>
      <c r="W182">
        <v>3.46</v>
      </c>
      <c r="X182">
        <v>5</v>
      </c>
      <c r="Y182" s="1">
        <f>EV_Data4[[#This Row],[range_miles]]/EV_Data4[[#This Row],[battery_capacity_kwh]]</f>
        <v>3.2602339181286548</v>
      </c>
      <c r="Z182" s="4">
        <f>EV_Data4[[#This Row],[price_usd]]/EV_Data4[[#This Row],[range_miles]]</f>
        <v>247.13582959641255</v>
      </c>
      <c r="AA182" s="2">
        <f>(EV_Data4[[#This Row],[customer_rating]]*EV_Data4[[#This Row],[safety_rating]]*1000)/EV_Data4[[#This Row],[price_usd]]</f>
        <v>0.25112821710397271</v>
      </c>
      <c r="AB182">
        <f>EV_Data4[[#This Row],[horsepower]]+EV_Data4[[#This Row],[torque_nm]]/EV_Data4[[#This Row],[acceleration_0_60_mph]]</f>
        <v>673.92452830188677</v>
      </c>
      <c r="AC182" t="str">
        <f>IF(EV_Data4[[#This Row],[price_usd]]&gt;=80000,"Luxury",IF(EV_Data4[[#This Row],[price_usd]]&gt;=40000,"Mid-Range","Budget"))</f>
        <v>Mid-Range</v>
      </c>
      <c r="AD182" t="str">
        <f>IF(EV_Data4[[#This Row],[range_miles]]&gt;=350,"Long-Range",IF(EV_Data4[[#This Row],[range_miles]]&gt;=250,"Medium-Range","Short-Range"))</f>
        <v>Short-Range</v>
      </c>
      <c r="AE182" t="str">
        <f>IF(EV_Data4[[#This Row],[charging_speed_kw]]&gt;=250,"Ultra-Fast",IF(EV_Data4[[#This Row],[charging_speed_kw]]&gt;=150,"Fast-Charging","Standard-Charging"))</f>
        <v>Standard-Charging</v>
      </c>
      <c r="AF182" t="str">
        <f>IF(EV_Data4[[#This Row],[acceleration_0_60_mph]]&lt;=3,"SportsPerformance",IF(EV_Data4[[#This Row],[acceleration_0_60_mph]]&lt;=5,"HighPerformance","Standard"))</f>
        <v>Standard</v>
      </c>
      <c r="AG182" t="str">
        <f>IF(EV_Data4[[#This Row],[customer_rating]]&gt;=4.5,"Excellent",IF(EV_Data4[[#This Row],[customer_rating]]&gt;=3.5,"Good","Average"))</f>
        <v>Average</v>
      </c>
      <c r="AH18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3" spans="1:34" x14ac:dyDescent="0.3">
      <c r="A183" t="s">
        <v>46</v>
      </c>
      <c r="B183" t="s">
        <v>47</v>
      </c>
      <c r="C183">
        <v>2025</v>
      </c>
      <c r="D183" t="s">
        <v>61</v>
      </c>
      <c r="E183" s="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48</v>
      </c>
      <c r="N183">
        <v>5</v>
      </c>
      <c r="O183" t="s">
        <v>35</v>
      </c>
      <c r="P183">
        <v>35.9</v>
      </c>
      <c r="Q183">
        <v>1751</v>
      </c>
      <c r="R183">
        <v>5</v>
      </c>
      <c r="S183">
        <v>3</v>
      </c>
      <c r="T183" t="s">
        <v>41</v>
      </c>
      <c r="U183" t="s">
        <v>30</v>
      </c>
      <c r="V183" s="3">
        <v>220080</v>
      </c>
      <c r="W183">
        <v>3.43</v>
      </c>
      <c r="X183">
        <v>6</v>
      </c>
      <c r="Y183" s="1">
        <f>EV_Data4[[#This Row],[range_miles]]/EV_Data4[[#This Row],[battery_capacity_kwh]]</f>
        <v>3.131524008350731</v>
      </c>
      <c r="Z183" s="4">
        <f>EV_Data4[[#This Row],[price_usd]]/EV_Data4[[#This Row],[range_miles]]</f>
        <v>880.67619999999999</v>
      </c>
      <c r="AA183" s="2">
        <f>(EV_Data4[[#This Row],[customer_rating]]*EV_Data4[[#This Row],[safety_rating]]*1000)/EV_Data4[[#This Row],[price_usd]]</f>
        <v>0.12982448411042943</v>
      </c>
      <c r="AB183">
        <f>EV_Data4[[#This Row],[horsepower]]+EV_Data4[[#This Row],[torque_nm]]/EV_Data4[[#This Row],[acceleration_0_60_mph]]</f>
        <v>1125.7858117326057</v>
      </c>
      <c r="AC183" t="str">
        <f>IF(EV_Data4[[#This Row],[price_usd]]&gt;=80000,"Luxury",IF(EV_Data4[[#This Row],[price_usd]]&gt;=40000,"Mid-Range","Budget"))</f>
        <v>Luxury</v>
      </c>
      <c r="AD183" t="str">
        <f>IF(EV_Data4[[#This Row],[range_miles]]&gt;=350,"Long-Range",IF(EV_Data4[[#This Row],[range_miles]]&gt;=250,"Medium-Range","Short-Range"))</f>
        <v>Short-Range</v>
      </c>
      <c r="AE183" t="str">
        <f>IF(EV_Data4[[#This Row],[charging_speed_kw]]&gt;=250,"Ultra-Fast",IF(EV_Data4[[#This Row],[charging_speed_kw]]&gt;=150,"Fast-Charging","Standard-Charging"))</f>
        <v>Ultra-Fast</v>
      </c>
      <c r="AF183" t="str">
        <f>IF(EV_Data4[[#This Row],[acceleration_0_60_mph]]&lt;=3,"SportsPerformance",IF(EV_Data4[[#This Row],[acceleration_0_60_mph]]&lt;=5,"HighPerformance","Standard"))</f>
        <v>Standard</v>
      </c>
      <c r="AG183" t="str">
        <f>IF(EV_Data4[[#This Row],[customer_rating]]&gt;=4.5,"Excellent",IF(EV_Data4[[#This Row],[customer_rating]]&gt;=3.5,"Good","Average"))</f>
        <v>Average</v>
      </c>
      <c r="AH183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84" spans="1:34" x14ac:dyDescent="0.3">
      <c r="A184" t="s">
        <v>94</v>
      </c>
      <c r="B184" t="s">
        <v>95</v>
      </c>
      <c r="C184">
        <v>2023</v>
      </c>
      <c r="D184" t="s">
        <v>26</v>
      </c>
      <c r="E184" s="3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48</v>
      </c>
      <c r="N184">
        <v>7</v>
      </c>
      <c r="O184" t="s">
        <v>58</v>
      </c>
      <c r="P184">
        <v>15.8</v>
      </c>
      <c r="Q184">
        <v>1647</v>
      </c>
      <c r="R184">
        <v>5</v>
      </c>
      <c r="S184">
        <v>1</v>
      </c>
      <c r="T184" t="s">
        <v>41</v>
      </c>
      <c r="U184" t="s">
        <v>30</v>
      </c>
      <c r="V184" s="3">
        <v>4453</v>
      </c>
      <c r="W184">
        <v>3.72</v>
      </c>
      <c r="X184">
        <v>4</v>
      </c>
      <c r="Y184" s="1">
        <f>EV_Data4[[#This Row],[range_miles]]/EV_Data4[[#This Row],[battery_capacity_kwh]]</f>
        <v>3.3963886500429923</v>
      </c>
      <c r="Z184" s="4">
        <f>EV_Data4[[#This Row],[price_usd]]/EV_Data4[[#This Row],[range_miles]]</f>
        <v>264.83268354430379</v>
      </c>
      <c r="AA184" s="2">
        <f>(EV_Data4[[#This Row],[customer_rating]]*EV_Data4[[#This Row],[safety_rating]]*1000)/EV_Data4[[#This Row],[price_usd]]</f>
        <v>0.17780512195376091</v>
      </c>
      <c r="AB184">
        <f>EV_Data4[[#This Row],[horsepower]]+EV_Data4[[#This Row],[torque_nm]]/EV_Data4[[#This Row],[acceleration_0_60_mph]]</f>
        <v>1300.6451612903224</v>
      </c>
      <c r="AC184" t="str">
        <f>IF(EV_Data4[[#This Row],[price_usd]]&gt;=80000,"Luxury",IF(EV_Data4[[#This Row],[price_usd]]&gt;=40000,"Mid-Range","Budget"))</f>
        <v>Luxury</v>
      </c>
      <c r="AD184" t="str">
        <f>IF(EV_Data4[[#This Row],[range_miles]]&gt;=350,"Long-Range",IF(EV_Data4[[#This Row],[range_miles]]&gt;=250,"Medium-Range","Short-Range"))</f>
        <v>Long-Range</v>
      </c>
      <c r="AE184" t="str">
        <f>IF(EV_Data4[[#This Row],[charging_speed_kw]]&gt;=250,"Ultra-Fast",IF(EV_Data4[[#This Row],[charging_speed_kw]]&gt;=150,"Fast-Charging","Standard-Charging"))</f>
        <v>Fast-Charging</v>
      </c>
      <c r="AF184" t="str">
        <f>IF(EV_Data4[[#This Row],[acceleration_0_60_mph]]&lt;=3,"SportsPerformance",IF(EV_Data4[[#This Row],[acceleration_0_60_mph]]&lt;=5,"HighPerformance","Standard"))</f>
        <v>HighPerformance</v>
      </c>
      <c r="AG184" t="str">
        <f>IF(EV_Data4[[#This Row],[customer_rating]]&gt;=4.5,"Excellent",IF(EV_Data4[[#This Row],[customer_rating]]&gt;=3.5,"Good","Average"))</f>
        <v>Good</v>
      </c>
      <c r="AH18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5" spans="1:34" x14ac:dyDescent="0.3">
      <c r="A185" t="s">
        <v>86</v>
      </c>
      <c r="B185" t="s">
        <v>87</v>
      </c>
      <c r="C185">
        <v>2026</v>
      </c>
      <c r="D185" t="s">
        <v>26</v>
      </c>
      <c r="E185" s="3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27</v>
      </c>
      <c r="N185">
        <v>5</v>
      </c>
      <c r="O185" t="s">
        <v>58</v>
      </c>
      <c r="P185">
        <v>21.8</v>
      </c>
      <c r="Q185">
        <v>1634</v>
      </c>
      <c r="R185">
        <v>5</v>
      </c>
      <c r="S185">
        <v>1</v>
      </c>
      <c r="T185" t="s">
        <v>29</v>
      </c>
      <c r="U185" t="s">
        <v>30</v>
      </c>
      <c r="V185" s="3">
        <v>35466</v>
      </c>
      <c r="W185">
        <v>3.84</v>
      </c>
      <c r="X185">
        <v>7</v>
      </c>
      <c r="Y185" s="1">
        <f>EV_Data4[[#This Row],[range_miles]]/EV_Data4[[#This Row],[battery_capacity_kwh]]</f>
        <v>3.4203655352480418</v>
      </c>
      <c r="Z185" s="4">
        <f>EV_Data4[[#This Row],[price_usd]]/EV_Data4[[#This Row],[range_miles]]</f>
        <v>322.68083969465653</v>
      </c>
      <c r="AA185" s="2">
        <f>(EV_Data4[[#This Row],[customer_rating]]*EV_Data4[[#This Row],[safety_rating]]*1000)/EV_Data4[[#This Row],[price_usd]]</f>
        <v>0.15140335533492197</v>
      </c>
      <c r="AB185">
        <f>EV_Data4[[#This Row],[horsepower]]+EV_Data4[[#This Row],[torque_nm]]/EV_Data4[[#This Row],[acceleration_0_60_mph]]</f>
        <v>1214.047619047619</v>
      </c>
      <c r="AC185" t="str">
        <f>IF(EV_Data4[[#This Row],[price_usd]]&gt;=80000,"Luxury",IF(EV_Data4[[#This Row],[price_usd]]&gt;=40000,"Mid-Range","Budget"))</f>
        <v>Luxury</v>
      </c>
      <c r="AD185" t="str">
        <f>IF(EV_Data4[[#This Row],[range_miles]]&gt;=350,"Long-Range",IF(EV_Data4[[#This Row],[range_miles]]&gt;=250,"Medium-Range","Short-Range"))</f>
        <v>Long-Range</v>
      </c>
      <c r="AE185" t="str">
        <f>IF(EV_Data4[[#This Row],[charging_speed_kw]]&gt;=250,"Ultra-Fast",IF(EV_Data4[[#This Row],[charging_speed_kw]]&gt;=150,"Fast-Charging","Standard-Charging"))</f>
        <v>Fast-Charging</v>
      </c>
      <c r="AF185" t="str">
        <f>IF(EV_Data4[[#This Row],[acceleration_0_60_mph]]&lt;=3,"SportsPerformance",IF(EV_Data4[[#This Row],[acceleration_0_60_mph]]&lt;=5,"HighPerformance","Standard"))</f>
        <v>HighPerformance</v>
      </c>
      <c r="AG185" t="str">
        <f>IF(EV_Data4[[#This Row],[customer_rating]]&gt;=4.5,"Excellent",IF(EV_Data4[[#This Row],[customer_rating]]&gt;=3.5,"Good","Average"))</f>
        <v>Good</v>
      </c>
      <c r="AH18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6" spans="1:34" x14ac:dyDescent="0.3">
      <c r="A186" t="s">
        <v>63</v>
      </c>
      <c r="B186" t="s">
        <v>67</v>
      </c>
      <c r="C186">
        <v>2026</v>
      </c>
      <c r="D186" t="s">
        <v>33</v>
      </c>
      <c r="E186" s="3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48</v>
      </c>
      <c r="N186">
        <v>5</v>
      </c>
      <c r="O186" t="s">
        <v>58</v>
      </c>
      <c r="P186">
        <v>35.5</v>
      </c>
      <c r="Q186">
        <v>1770</v>
      </c>
      <c r="R186">
        <v>4</v>
      </c>
      <c r="S186">
        <v>1</v>
      </c>
      <c r="T186" t="s">
        <v>65</v>
      </c>
      <c r="U186" t="s">
        <v>30</v>
      </c>
      <c r="V186" s="3">
        <v>112568</v>
      </c>
      <c r="W186">
        <v>3.22</v>
      </c>
      <c r="X186">
        <v>4</v>
      </c>
      <c r="Y186" s="1">
        <f>EV_Data4[[#This Row],[range_miles]]/EV_Data4[[#This Row],[battery_capacity_kwh]]</f>
        <v>3.694581280788177</v>
      </c>
      <c r="Z186" s="4">
        <f>EV_Data4[[#This Row],[price_usd]]/EV_Data4[[#This Row],[range_miles]]</f>
        <v>682.4351333333334</v>
      </c>
      <c r="AA186" s="2">
        <f>(EV_Data4[[#This Row],[customer_rating]]*EV_Data4[[#This Row],[safety_rating]]*1000)/EV_Data4[[#This Row],[price_usd]]</f>
        <v>0.12582392446188048</v>
      </c>
      <c r="AB186">
        <f>EV_Data4[[#This Row],[horsepower]]+EV_Data4[[#This Row],[torque_nm]]/EV_Data4[[#This Row],[acceleration_0_60_mph]]</f>
        <v>1183.9080459770116</v>
      </c>
      <c r="AC186" t="str">
        <f>IF(EV_Data4[[#This Row],[price_usd]]&gt;=80000,"Luxury",IF(EV_Data4[[#This Row],[price_usd]]&gt;=40000,"Mid-Range","Budget"))</f>
        <v>Luxury</v>
      </c>
      <c r="AD186" t="str">
        <f>IF(EV_Data4[[#This Row],[range_miles]]&gt;=350,"Long-Range",IF(EV_Data4[[#This Row],[range_miles]]&gt;=250,"Medium-Range","Short-Range"))</f>
        <v>Short-Range</v>
      </c>
      <c r="AE186" t="str">
        <f>IF(EV_Data4[[#This Row],[charging_speed_kw]]&gt;=250,"Ultra-Fast",IF(EV_Data4[[#This Row],[charging_speed_kw]]&gt;=150,"Fast-Charging","Standard-Charging"))</f>
        <v>Standard-Charging</v>
      </c>
      <c r="AF186" t="str">
        <f>IF(EV_Data4[[#This Row],[acceleration_0_60_mph]]&lt;=3,"SportsPerformance",IF(EV_Data4[[#This Row],[acceleration_0_60_mph]]&lt;=5,"HighPerformance","Standard"))</f>
        <v>Standard</v>
      </c>
      <c r="AG186" t="str">
        <f>IF(EV_Data4[[#This Row],[customer_rating]]&gt;=4.5,"Excellent",IF(EV_Data4[[#This Row],[customer_rating]]&gt;=3.5,"Good","Average"))</f>
        <v>Average</v>
      </c>
      <c r="AH18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7" spans="1:34" x14ac:dyDescent="0.3">
      <c r="A187" t="s">
        <v>83</v>
      </c>
      <c r="B187" t="s">
        <v>114</v>
      </c>
      <c r="C187">
        <v>2025</v>
      </c>
      <c r="D187" t="s">
        <v>33</v>
      </c>
      <c r="E187" s="3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48</v>
      </c>
      <c r="N187">
        <v>7</v>
      </c>
      <c r="O187" t="s">
        <v>50</v>
      </c>
      <c r="P187">
        <v>25.4</v>
      </c>
      <c r="Q187">
        <v>1688</v>
      </c>
      <c r="R187">
        <v>4</v>
      </c>
      <c r="S187">
        <v>2</v>
      </c>
      <c r="T187" t="s">
        <v>29</v>
      </c>
      <c r="U187" t="s">
        <v>33</v>
      </c>
      <c r="V187" s="3">
        <v>26069</v>
      </c>
      <c r="W187">
        <v>3.19</v>
      </c>
      <c r="X187">
        <v>7</v>
      </c>
      <c r="Y187" s="1">
        <f>EV_Data4[[#This Row],[range_miles]]/EV_Data4[[#This Row],[battery_capacity_kwh]]</f>
        <v>3.7004405286343616</v>
      </c>
      <c r="Z187" s="4">
        <f>EV_Data4[[#This Row],[price_usd]]/EV_Data4[[#This Row],[range_miles]]</f>
        <v>424.6176785714286</v>
      </c>
      <c r="AA187" s="2">
        <f>(EV_Data4[[#This Row],[customer_rating]]*EV_Data4[[#This Row],[safety_rating]]*1000)/EV_Data4[[#This Row],[price_usd]]</f>
        <v>0.17887239459250245</v>
      </c>
      <c r="AB187">
        <f>EV_Data4[[#This Row],[horsepower]]+EV_Data4[[#This Row],[torque_nm]]/EV_Data4[[#This Row],[acceleration_0_60_mph]]</f>
        <v>495.0846047156727</v>
      </c>
      <c r="AC187" t="str">
        <f>IF(EV_Data4[[#This Row],[price_usd]]&gt;=80000,"Luxury",IF(EV_Data4[[#This Row],[price_usd]]&gt;=40000,"Mid-Range","Budget"))</f>
        <v>Mid-Range</v>
      </c>
      <c r="AD187" t="str">
        <f>IF(EV_Data4[[#This Row],[range_miles]]&gt;=350,"Long-Range",IF(EV_Data4[[#This Row],[range_miles]]&gt;=250,"Medium-Range","Short-Range"))</f>
        <v>Short-Range</v>
      </c>
      <c r="AE187" t="str">
        <f>IF(EV_Data4[[#This Row],[charging_speed_kw]]&gt;=250,"Ultra-Fast",IF(EV_Data4[[#This Row],[charging_speed_kw]]&gt;=150,"Fast-Charging","Standard-Charging"))</f>
        <v>Standard-Charging</v>
      </c>
      <c r="AF187" t="str">
        <f>IF(EV_Data4[[#This Row],[acceleration_0_60_mph]]&lt;=3,"SportsPerformance",IF(EV_Data4[[#This Row],[acceleration_0_60_mph]]&lt;=5,"HighPerformance","Standard"))</f>
        <v>Standard</v>
      </c>
      <c r="AG187" t="str">
        <f>IF(EV_Data4[[#This Row],[customer_rating]]&gt;=4.5,"Excellent",IF(EV_Data4[[#This Row],[customer_rating]]&gt;=3.5,"Good","Average"))</f>
        <v>Average</v>
      </c>
      <c r="AH18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8" spans="1:34" x14ac:dyDescent="0.3">
      <c r="A188" t="s">
        <v>76</v>
      </c>
      <c r="B188" t="s">
        <v>81</v>
      </c>
      <c r="C188">
        <v>2026</v>
      </c>
      <c r="D188" t="s">
        <v>26</v>
      </c>
      <c r="E188" s="3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27</v>
      </c>
      <c r="N188">
        <v>5</v>
      </c>
      <c r="O188" t="s">
        <v>35</v>
      </c>
      <c r="P188">
        <v>59.5</v>
      </c>
      <c r="Q188">
        <v>1927</v>
      </c>
      <c r="R188">
        <v>5</v>
      </c>
      <c r="S188">
        <v>1</v>
      </c>
      <c r="T188" t="s">
        <v>41</v>
      </c>
      <c r="U188" t="s">
        <v>37</v>
      </c>
      <c r="V188" s="3">
        <v>76169</v>
      </c>
      <c r="W188">
        <v>3.67</v>
      </c>
      <c r="X188">
        <v>4</v>
      </c>
      <c r="Y188" s="1">
        <f>EV_Data4[[#This Row],[range_miles]]/EV_Data4[[#This Row],[battery_capacity_kwh]]</f>
        <v>3.7037037037037037</v>
      </c>
      <c r="Z188" s="4">
        <f>EV_Data4[[#This Row],[price_usd]]/EV_Data4[[#This Row],[range_miles]]</f>
        <v>169.89041935483871</v>
      </c>
      <c r="AA188" s="2">
        <f>(EV_Data4[[#This Row],[customer_rating]]*EV_Data4[[#This Row],[safety_rating]]*1000)/EV_Data4[[#This Row],[price_usd]]</f>
        <v>0.34842193345501837</v>
      </c>
      <c r="AB188">
        <f>EV_Data4[[#This Row],[horsepower]]+EV_Data4[[#This Row],[torque_nm]]/EV_Data4[[#This Row],[acceleration_0_60_mph]]</f>
        <v>631.77981651376149</v>
      </c>
      <c r="AC188" t="str">
        <f>IF(EV_Data4[[#This Row],[price_usd]]&gt;=80000,"Luxury",IF(EV_Data4[[#This Row],[price_usd]]&gt;=40000,"Mid-Range","Budget"))</f>
        <v>Mid-Range</v>
      </c>
      <c r="AD188" t="str">
        <f>IF(EV_Data4[[#This Row],[range_miles]]&gt;=350,"Long-Range",IF(EV_Data4[[#This Row],[range_miles]]&gt;=250,"Medium-Range","Short-Range"))</f>
        <v>Medium-Range</v>
      </c>
      <c r="AE188" t="str">
        <f>IF(EV_Data4[[#This Row],[charging_speed_kw]]&gt;=250,"Ultra-Fast",IF(EV_Data4[[#This Row],[charging_speed_kw]]&gt;=150,"Fast-Charging","Standard-Charging"))</f>
        <v>Fast-Charging</v>
      </c>
      <c r="AF188" t="str">
        <f>IF(EV_Data4[[#This Row],[acceleration_0_60_mph]]&lt;=3,"SportsPerformance",IF(EV_Data4[[#This Row],[acceleration_0_60_mph]]&lt;=5,"HighPerformance","Standard"))</f>
        <v>HighPerformance</v>
      </c>
      <c r="AG188" t="str">
        <f>IF(EV_Data4[[#This Row],[customer_rating]]&gt;=4.5,"Excellent",IF(EV_Data4[[#This Row],[customer_rating]]&gt;=3.5,"Good","Average"))</f>
        <v>Good</v>
      </c>
      <c r="AH18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9" spans="1:34" x14ac:dyDescent="0.3">
      <c r="A189" t="s">
        <v>42</v>
      </c>
      <c r="B189" t="s">
        <v>80</v>
      </c>
      <c r="C189">
        <v>2024</v>
      </c>
      <c r="D189" t="s">
        <v>33</v>
      </c>
      <c r="E189" s="3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27</v>
      </c>
      <c r="N189">
        <v>5</v>
      </c>
      <c r="O189" t="s">
        <v>35</v>
      </c>
      <c r="P189">
        <v>55</v>
      </c>
      <c r="Q189">
        <v>2132</v>
      </c>
      <c r="R189">
        <v>4</v>
      </c>
      <c r="S189">
        <v>0</v>
      </c>
      <c r="T189" t="s">
        <v>45</v>
      </c>
      <c r="U189" t="s">
        <v>33</v>
      </c>
      <c r="V189" s="3">
        <v>60682</v>
      </c>
      <c r="W189">
        <v>3.3</v>
      </c>
      <c r="X189">
        <v>3</v>
      </c>
      <c r="Y189" s="1">
        <f>EV_Data4[[#This Row],[range_miles]]/EV_Data4[[#This Row],[battery_capacity_kwh]]</f>
        <v>2.8644501278772379</v>
      </c>
      <c r="Z189" s="4">
        <f>EV_Data4[[#This Row],[price_usd]]/EV_Data4[[#This Row],[range_miles]]</f>
        <v>292.28647321428571</v>
      </c>
      <c r="AA189" s="2">
        <f>(EV_Data4[[#This Row],[customer_rating]]*EV_Data4[[#This Row],[safety_rating]]*1000)/EV_Data4[[#This Row],[price_usd]]</f>
        <v>0.20161237973325155</v>
      </c>
      <c r="AB189">
        <f>EV_Data4[[#This Row],[horsepower]]+EV_Data4[[#This Row],[torque_nm]]/EV_Data4[[#This Row],[acceleration_0_60_mph]]</f>
        <v>806.18567639257299</v>
      </c>
      <c r="AC189" t="str">
        <f>IF(EV_Data4[[#This Row],[price_usd]]&gt;=80000,"Luxury",IF(EV_Data4[[#This Row],[price_usd]]&gt;=40000,"Mid-Range","Budget"))</f>
        <v>Mid-Range</v>
      </c>
      <c r="AD189" t="str">
        <f>IF(EV_Data4[[#This Row],[range_miles]]&gt;=350,"Long-Range",IF(EV_Data4[[#This Row],[range_miles]]&gt;=250,"Medium-Range","Short-Range"))</f>
        <v>Short-Range</v>
      </c>
      <c r="AE189" t="str">
        <f>IF(EV_Data4[[#This Row],[charging_speed_kw]]&gt;=250,"Ultra-Fast",IF(EV_Data4[[#This Row],[charging_speed_kw]]&gt;=150,"Fast-Charging","Standard-Charging"))</f>
        <v>Standard-Charging</v>
      </c>
      <c r="AF189" t="str">
        <f>IF(EV_Data4[[#This Row],[acceleration_0_60_mph]]&lt;=3,"SportsPerformance",IF(EV_Data4[[#This Row],[acceleration_0_60_mph]]&lt;=5,"HighPerformance","Standard"))</f>
        <v>Standard</v>
      </c>
      <c r="AG189" t="str">
        <f>IF(EV_Data4[[#This Row],[customer_rating]]&gt;=4.5,"Excellent",IF(EV_Data4[[#This Row],[customer_rating]]&gt;=3.5,"Good","Average"))</f>
        <v>Average</v>
      </c>
      <c r="AH18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0" spans="1:34" x14ac:dyDescent="0.3">
      <c r="A190" t="s">
        <v>68</v>
      </c>
      <c r="B190" t="s">
        <v>109</v>
      </c>
      <c r="C190">
        <v>2022</v>
      </c>
      <c r="D190" t="s">
        <v>61</v>
      </c>
      <c r="E190" s="3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34</v>
      </c>
      <c r="N190">
        <v>5</v>
      </c>
      <c r="O190" t="s">
        <v>58</v>
      </c>
      <c r="P190">
        <v>19.600000000000001</v>
      </c>
      <c r="Q190">
        <v>1500</v>
      </c>
      <c r="R190">
        <v>5</v>
      </c>
      <c r="S190">
        <v>0</v>
      </c>
      <c r="T190" t="s">
        <v>45</v>
      </c>
      <c r="U190" t="s">
        <v>37</v>
      </c>
      <c r="V190" s="3">
        <v>116403</v>
      </c>
      <c r="W190">
        <v>3.38</v>
      </c>
      <c r="X190">
        <v>3</v>
      </c>
      <c r="Y190" s="1">
        <f>EV_Data4[[#This Row],[range_miles]]/EV_Data4[[#This Row],[battery_capacity_kwh]]</f>
        <v>3.6605657237936771</v>
      </c>
      <c r="Z190" s="4">
        <f>EV_Data4[[#This Row],[price_usd]]/EV_Data4[[#This Row],[range_miles]]</f>
        <v>161.74136363636362</v>
      </c>
      <c r="AA190" s="2">
        <f>(EV_Data4[[#This Row],[customer_rating]]*EV_Data4[[#This Row],[safety_rating]]*1000)/EV_Data4[[#This Row],[price_usd]]</f>
        <v>0.47494456638123156</v>
      </c>
      <c r="AB190">
        <f>EV_Data4[[#This Row],[horsepower]]+EV_Data4[[#This Row],[torque_nm]]/EV_Data4[[#This Row],[acceleration_0_60_mph]]</f>
        <v>311.1822827938671</v>
      </c>
      <c r="AC190" t="str">
        <f>IF(EV_Data4[[#This Row],[price_usd]]&gt;=80000,"Luxury",IF(EV_Data4[[#This Row],[price_usd]]&gt;=40000,"Mid-Range","Budget"))</f>
        <v>Budget</v>
      </c>
      <c r="AD190" t="str">
        <f>IF(EV_Data4[[#This Row],[range_miles]]&gt;=350,"Long-Range",IF(EV_Data4[[#This Row],[range_miles]]&gt;=250,"Medium-Range","Short-Range"))</f>
        <v>Short-Range</v>
      </c>
      <c r="AE190" t="str">
        <f>IF(EV_Data4[[#This Row],[charging_speed_kw]]&gt;=250,"Ultra-Fast",IF(EV_Data4[[#This Row],[charging_speed_kw]]&gt;=150,"Fast-Charging","Standard-Charging"))</f>
        <v>Standard-Charging</v>
      </c>
      <c r="AF190" t="str">
        <f>IF(EV_Data4[[#This Row],[acceleration_0_60_mph]]&lt;=3,"SportsPerformance",IF(EV_Data4[[#This Row],[acceleration_0_60_mph]]&lt;=5,"HighPerformance","Standard"))</f>
        <v>Standard</v>
      </c>
      <c r="AG190" t="str">
        <f>IF(EV_Data4[[#This Row],[customer_rating]]&gt;=4.5,"Excellent",IF(EV_Data4[[#This Row],[customer_rating]]&gt;=3.5,"Good","Average"))</f>
        <v>Average</v>
      </c>
      <c r="AH19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1" spans="1:34" x14ac:dyDescent="0.3">
      <c r="A191" t="s">
        <v>63</v>
      </c>
      <c r="B191" t="s">
        <v>96</v>
      </c>
      <c r="C191">
        <v>2025</v>
      </c>
      <c r="D191" t="s">
        <v>56</v>
      </c>
      <c r="E191" s="3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48</v>
      </c>
      <c r="N191">
        <v>5</v>
      </c>
      <c r="O191" t="s">
        <v>28</v>
      </c>
      <c r="P191">
        <v>77.2</v>
      </c>
      <c r="Q191">
        <v>2468</v>
      </c>
      <c r="R191">
        <v>4</v>
      </c>
      <c r="S191">
        <v>0</v>
      </c>
      <c r="T191" t="s">
        <v>65</v>
      </c>
      <c r="U191" t="s">
        <v>37</v>
      </c>
      <c r="V191" s="3">
        <v>129397</v>
      </c>
      <c r="W191">
        <v>3.55</v>
      </c>
      <c r="X191">
        <v>5</v>
      </c>
      <c r="Y191" s="1">
        <f>EV_Data4[[#This Row],[range_miles]]/EV_Data4[[#This Row],[battery_capacity_kwh]]</f>
        <v>3.5272727272727273</v>
      </c>
      <c r="Z191" s="4">
        <f>EV_Data4[[#This Row],[price_usd]]/EV_Data4[[#This Row],[range_miles]]</f>
        <v>213.42900343642611</v>
      </c>
      <c r="AA191" s="2">
        <f>(EV_Data4[[#This Row],[customer_rating]]*EV_Data4[[#This Row],[safety_rating]]*1000)/EV_Data4[[#This Row],[price_usd]]</f>
        <v>0.22863458139906331</v>
      </c>
      <c r="AB191">
        <f>EV_Data4[[#This Row],[horsepower]]+EV_Data4[[#This Row],[torque_nm]]/EV_Data4[[#This Row],[acceleration_0_60_mph]]</f>
        <v>728.53691275167785</v>
      </c>
      <c r="AC191" t="str">
        <f>IF(EV_Data4[[#This Row],[price_usd]]&gt;=80000,"Luxury",IF(EV_Data4[[#This Row],[price_usd]]&gt;=40000,"Mid-Range","Budget"))</f>
        <v>Mid-Range</v>
      </c>
      <c r="AD191" t="str">
        <f>IF(EV_Data4[[#This Row],[range_miles]]&gt;=350,"Long-Range",IF(EV_Data4[[#This Row],[range_miles]]&gt;=250,"Medium-Range","Short-Range"))</f>
        <v>Medium-Range</v>
      </c>
      <c r="AE191" t="str">
        <f>IF(EV_Data4[[#This Row],[charging_speed_kw]]&gt;=250,"Ultra-Fast",IF(EV_Data4[[#This Row],[charging_speed_kw]]&gt;=150,"Fast-Charging","Standard-Charging"))</f>
        <v>Standard-Charging</v>
      </c>
      <c r="AF191" t="str">
        <f>IF(EV_Data4[[#This Row],[acceleration_0_60_mph]]&lt;=3,"SportsPerformance",IF(EV_Data4[[#This Row],[acceleration_0_60_mph]]&lt;=5,"HighPerformance","Standard"))</f>
        <v>Standard</v>
      </c>
      <c r="AG191" t="str">
        <f>IF(EV_Data4[[#This Row],[customer_rating]]&gt;=4.5,"Excellent",IF(EV_Data4[[#This Row],[customer_rating]]&gt;=3.5,"Good","Average"))</f>
        <v>Good</v>
      </c>
      <c r="AH19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2" spans="1:34" x14ac:dyDescent="0.3">
      <c r="A192" t="s">
        <v>46</v>
      </c>
      <c r="B192" t="s">
        <v>57</v>
      </c>
      <c r="C192">
        <v>2024</v>
      </c>
      <c r="D192" t="s">
        <v>26</v>
      </c>
      <c r="E192" s="3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27</v>
      </c>
      <c r="N192">
        <v>5</v>
      </c>
      <c r="O192" t="s">
        <v>28</v>
      </c>
      <c r="P192">
        <v>74.099999999999994</v>
      </c>
      <c r="Q192">
        <v>2510</v>
      </c>
      <c r="R192">
        <v>4</v>
      </c>
      <c r="S192">
        <v>2</v>
      </c>
      <c r="T192" t="s">
        <v>41</v>
      </c>
      <c r="U192" t="s">
        <v>30</v>
      </c>
      <c r="V192" s="3">
        <v>142701</v>
      </c>
      <c r="W192">
        <v>4.1399999999999997</v>
      </c>
      <c r="X192">
        <v>5</v>
      </c>
      <c r="Y192" s="1">
        <f>EV_Data4[[#This Row],[range_miles]]/EV_Data4[[#This Row],[battery_capacity_kwh]]</f>
        <v>3.6766467065868262</v>
      </c>
      <c r="Z192" s="4">
        <f>EV_Data4[[#This Row],[price_usd]]/EV_Data4[[#This Row],[range_miles]]</f>
        <v>390.41436482084691</v>
      </c>
      <c r="AA192" s="2">
        <f>(EV_Data4[[#This Row],[customer_rating]]*EV_Data4[[#This Row],[safety_rating]]*1000)/EV_Data4[[#This Row],[price_usd]]</f>
        <v>0.13816440412721104</v>
      </c>
      <c r="AB192">
        <f>EV_Data4[[#This Row],[horsepower]]+EV_Data4[[#This Row],[torque_nm]]/EV_Data4[[#This Row],[acceleration_0_60_mph]]</f>
        <v>1118.4257425742576</v>
      </c>
      <c r="AC192" t="str">
        <f>IF(EV_Data4[[#This Row],[price_usd]]&gt;=80000,"Luxury",IF(EV_Data4[[#This Row],[price_usd]]&gt;=40000,"Mid-Range","Budget"))</f>
        <v>Luxury</v>
      </c>
      <c r="AD192" t="str">
        <f>IF(EV_Data4[[#This Row],[range_miles]]&gt;=350,"Long-Range",IF(EV_Data4[[#This Row],[range_miles]]&gt;=250,"Medium-Range","Short-Range"))</f>
        <v>Medium-Range</v>
      </c>
      <c r="AE192" t="str">
        <f>IF(EV_Data4[[#This Row],[charging_speed_kw]]&gt;=250,"Ultra-Fast",IF(EV_Data4[[#This Row],[charging_speed_kw]]&gt;=150,"Fast-Charging","Standard-Charging"))</f>
        <v>Ultra-Fast</v>
      </c>
      <c r="AF192" t="str">
        <f>IF(EV_Data4[[#This Row],[acceleration_0_60_mph]]&lt;=3,"SportsPerformance",IF(EV_Data4[[#This Row],[acceleration_0_60_mph]]&lt;=5,"HighPerformance","Standard"))</f>
        <v>HighPerformance</v>
      </c>
      <c r="AG192" t="str">
        <f>IF(EV_Data4[[#This Row],[customer_rating]]&gt;=4.5,"Excellent",IF(EV_Data4[[#This Row],[customer_rating]]&gt;=3.5,"Good","Average"))</f>
        <v>Good</v>
      </c>
      <c r="AH19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3" spans="1:34" x14ac:dyDescent="0.3">
      <c r="A193" t="s">
        <v>86</v>
      </c>
      <c r="B193" t="s">
        <v>87</v>
      </c>
      <c r="C193">
        <v>2025</v>
      </c>
      <c r="D193" t="s">
        <v>44</v>
      </c>
      <c r="E193" s="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34</v>
      </c>
      <c r="N193">
        <v>5</v>
      </c>
      <c r="O193" t="s">
        <v>51</v>
      </c>
      <c r="P193">
        <v>18</v>
      </c>
      <c r="Q193">
        <v>1548</v>
      </c>
      <c r="R193">
        <v>3</v>
      </c>
      <c r="S193">
        <v>1</v>
      </c>
      <c r="T193" t="s">
        <v>29</v>
      </c>
      <c r="U193" t="s">
        <v>33</v>
      </c>
      <c r="V193" s="3">
        <v>79614</v>
      </c>
      <c r="W193">
        <v>3.53</v>
      </c>
      <c r="X193">
        <v>5</v>
      </c>
      <c r="Y193" s="1">
        <f>EV_Data4[[#This Row],[range_miles]]/EV_Data4[[#This Row],[battery_capacity_kwh]]</f>
        <v>3.465608465608466</v>
      </c>
      <c r="Z193" s="4">
        <f>EV_Data4[[#This Row],[price_usd]]/EV_Data4[[#This Row],[range_miles]]</f>
        <v>267.59992366412212</v>
      </c>
      <c r="AA193" s="2">
        <f>(EV_Data4[[#This Row],[customer_rating]]*EV_Data4[[#This Row],[safety_rating]]*1000)/EV_Data4[[#This Row],[price_usd]]</f>
        <v>0.15104581038288045</v>
      </c>
      <c r="AB193">
        <f>EV_Data4[[#This Row],[horsepower]]+EV_Data4[[#This Row],[torque_nm]]/EV_Data4[[#This Row],[acceleration_0_60_mph]]</f>
        <v>447.10626185958256</v>
      </c>
      <c r="AC193" t="str">
        <f>IF(EV_Data4[[#This Row],[price_usd]]&gt;=80000,"Luxury",IF(EV_Data4[[#This Row],[price_usd]]&gt;=40000,"Mid-Range","Budget"))</f>
        <v>Mid-Range</v>
      </c>
      <c r="AD193" t="str">
        <f>IF(EV_Data4[[#This Row],[range_miles]]&gt;=350,"Long-Range",IF(EV_Data4[[#This Row],[range_miles]]&gt;=250,"Medium-Range","Short-Range"))</f>
        <v>Medium-Range</v>
      </c>
      <c r="AE193" t="str">
        <f>IF(EV_Data4[[#This Row],[charging_speed_kw]]&gt;=250,"Ultra-Fast",IF(EV_Data4[[#This Row],[charging_speed_kw]]&gt;=150,"Fast-Charging","Standard-Charging"))</f>
        <v>Standard-Charging</v>
      </c>
      <c r="AF193" t="str">
        <f>IF(EV_Data4[[#This Row],[acceleration_0_60_mph]]&lt;=3,"SportsPerformance",IF(EV_Data4[[#This Row],[acceleration_0_60_mph]]&lt;=5,"HighPerformance","Standard"))</f>
        <v>Standard</v>
      </c>
      <c r="AG193" t="str">
        <f>IF(EV_Data4[[#This Row],[customer_rating]]&gt;=4.5,"Excellent",IF(EV_Data4[[#This Row],[customer_rating]]&gt;=3.5,"Good","Average"))</f>
        <v>Good</v>
      </c>
      <c r="AH19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4" spans="1:34" x14ac:dyDescent="0.3">
      <c r="A194" t="s">
        <v>86</v>
      </c>
      <c r="B194" t="s">
        <v>105</v>
      </c>
      <c r="C194">
        <v>2025</v>
      </c>
      <c r="D194" t="s">
        <v>33</v>
      </c>
      <c r="E194" s="3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48</v>
      </c>
      <c r="N194">
        <v>5</v>
      </c>
      <c r="O194" t="s">
        <v>51</v>
      </c>
      <c r="P194">
        <v>37.200000000000003</v>
      </c>
      <c r="Q194">
        <v>1588</v>
      </c>
      <c r="R194">
        <v>4</v>
      </c>
      <c r="S194">
        <v>1</v>
      </c>
      <c r="T194" t="s">
        <v>29</v>
      </c>
      <c r="U194" t="s">
        <v>30</v>
      </c>
      <c r="V194" s="3">
        <v>58972</v>
      </c>
      <c r="W194">
        <v>3.24</v>
      </c>
      <c r="X194">
        <v>6</v>
      </c>
      <c r="Y194" s="1">
        <f>EV_Data4[[#This Row],[range_miles]]/EV_Data4[[#This Row],[battery_capacity_kwh]]</f>
        <v>3.2535885167464111</v>
      </c>
      <c r="Z194" s="4">
        <f>EV_Data4[[#This Row],[price_usd]]/EV_Data4[[#This Row],[range_miles]]</f>
        <v>678.97426470588232</v>
      </c>
      <c r="AA194" s="2">
        <f>(EV_Data4[[#This Row],[customer_rating]]*EV_Data4[[#This Row],[safety_rating]]*1000)/EV_Data4[[#This Row],[price_usd]]</f>
        <v>9.3566744819445422E-2</v>
      </c>
      <c r="AB194">
        <f>EV_Data4[[#This Row],[horsepower]]+EV_Data4[[#This Row],[torque_nm]]/EV_Data4[[#This Row],[acceleration_0_60_mph]]</f>
        <v>1120.5256570713391</v>
      </c>
      <c r="AC194" t="str">
        <f>IF(EV_Data4[[#This Row],[price_usd]]&gt;=80000,"Luxury",IF(EV_Data4[[#This Row],[price_usd]]&gt;=40000,"Mid-Range","Budget"))</f>
        <v>Luxury</v>
      </c>
      <c r="AD194" t="str">
        <f>IF(EV_Data4[[#This Row],[range_miles]]&gt;=350,"Long-Range",IF(EV_Data4[[#This Row],[range_miles]]&gt;=250,"Medium-Range","Short-Range"))</f>
        <v>Short-Range</v>
      </c>
      <c r="AE194" t="str">
        <f>IF(EV_Data4[[#This Row],[charging_speed_kw]]&gt;=250,"Ultra-Fast",IF(EV_Data4[[#This Row],[charging_speed_kw]]&gt;=150,"Fast-Charging","Standard-Charging"))</f>
        <v>Standard-Charging</v>
      </c>
      <c r="AF194" t="str">
        <f>IF(EV_Data4[[#This Row],[acceleration_0_60_mph]]&lt;=3,"SportsPerformance",IF(EV_Data4[[#This Row],[acceleration_0_60_mph]]&lt;=5,"HighPerformance","Standard"))</f>
        <v>Standard</v>
      </c>
      <c r="AG194" t="str">
        <f>IF(EV_Data4[[#This Row],[customer_rating]]&gt;=4.5,"Excellent",IF(EV_Data4[[#This Row],[customer_rating]]&gt;=3.5,"Good","Average"))</f>
        <v>Average</v>
      </c>
      <c r="AH19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5" spans="1:34" x14ac:dyDescent="0.3">
      <c r="A195" t="s">
        <v>83</v>
      </c>
      <c r="B195" t="s">
        <v>104</v>
      </c>
      <c r="C195">
        <v>2023</v>
      </c>
      <c r="D195" t="s">
        <v>56</v>
      </c>
      <c r="E195" s="3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27</v>
      </c>
      <c r="N195">
        <v>5</v>
      </c>
      <c r="O195" t="s">
        <v>50</v>
      </c>
      <c r="P195">
        <v>24.7</v>
      </c>
      <c r="Q195">
        <v>1500</v>
      </c>
      <c r="R195">
        <v>4</v>
      </c>
      <c r="S195">
        <v>1</v>
      </c>
      <c r="T195" t="s">
        <v>29</v>
      </c>
      <c r="U195" t="s">
        <v>33</v>
      </c>
      <c r="V195" s="3">
        <v>26056</v>
      </c>
      <c r="W195">
        <v>3.46</v>
      </c>
      <c r="X195">
        <v>5</v>
      </c>
      <c r="Y195" s="1">
        <f>EV_Data4[[#This Row],[range_miles]]/EV_Data4[[#This Row],[battery_capacity_kwh]]</f>
        <v>4.1269841269841274</v>
      </c>
      <c r="Z195" s="4">
        <f>EV_Data4[[#This Row],[price_usd]]/EV_Data4[[#This Row],[range_miles]]</f>
        <v>347.18434615384615</v>
      </c>
      <c r="AA195" s="2">
        <f>(EV_Data4[[#This Row],[customer_rating]]*EV_Data4[[#This Row],[safety_rating]]*1000)/EV_Data4[[#This Row],[price_usd]]</f>
        <v>0.15332134014815674</v>
      </c>
      <c r="AB195">
        <f>EV_Data4[[#This Row],[horsepower]]+EV_Data4[[#This Row],[torque_nm]]/EV_Data4[[#This Row],[acceleration_0_60_mph]]</f>
        <v>818.72450805008941</v>
      </c>
      <c r="AC195" t="str">
        <f>IF(EV_Data4[[#This Row],[price_usd]]&gt;=80000,"Luxury",IF(EV_Data4[[#This Row],[price_usd]]&gt;=40000,"Mid-Range","Budget"))</f>
        <v>Luxury</v>
      </c>
      <c r="AD195" t="str">
        <f>IF(EV_Data4[[#This Row],[range_miles]]&gt;=350,"Long-Range",IF(EV_Data4[[#This Row],[range_miles]]&gt;=250,"Medium-Range","Short-Range"))</f>
        <v>Medium-Range</v>
      </c>
      <c r="AE195" t="str">
        <f>IF(EV_Data4[[#This Row],[charging_speed_kw]]&gt;=250,"Ultra-Fast",IF(EV_Data4[[#This Row],[charging_speed_kw]]&gt;=150,"Fast-Charging","Standard-Charging"))</f>
        <v>Standard-Charging</v>
      </c>
      <c r="AF195" t="str">
        <f>IF(EV_Data4[[#This Row],[acceleration_0_60_mph]]&lt;=3,"SportsPerformance",IF(EV_Data4[[#This Row],[acceleration_0_60_mph]]&lt;=5,"HighPerformance","Standard"))</f>
        <v>Standard</v>
      </c>
      <c r="AG195" t="str">
        <f>IF(EV_Data4[[#This Row],[customer_rating]]&gt;=4.5,"Excellent",IF(EV_Data4[[#This Row],[customer_rating]]&gt;=3.5,"Good","Average"))</f>
        <v>Average</v>
      </c>
      <c r="AH19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6" spans="1:34" x14ac:dyDescent="0.3">
      <c r="A196" t="s">
        <v>63</v>
      </c>
      <c r="B196" t="s">
        <v>88</v>
      </c>
      <c r="C196">
        <v>2020</v>
      </c>
      <c r="D196" t="s">
        <v>56</v>
      </c>
      <c r="E196" s="3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48</v>
      </c>
      <c r="N196">
        <v>7</v>
      </c>
      <c r="O196" t="s">
        <v>28</v>
      </c>
      <c r="P196">
        <v>60.1</v>
      </c>
      <c r="Q196">
        <v>2386</v>
      </c>
      <c r="R196">
        <v>4</v>
      </c>
      <c r="S196">
        <v>0</v>
      </c>
      <c r="T196" t="s">
        <v>65</v>
      </c>
      <c r="U196" t="s">
        <v>33</v>
      </c>
      <c r="V196" s="3">
        <v>160145</v>
      </c>
      <c r="W196">
        <v>3.2</v>
      </c>
      <c r="X196">
        <v>4</v>
      </c>
      <c r="Y196" s="1">
        <f>EV_Data4[[#This Row],[range_miles]]/EV_Data4[[#This Row],[battery_capacity_kwh]]</f>
        <v>3.5520361990950224</v>
      </c>
      <c r="Z196" s="4">
        <f>EV_Data4[[#This Row],[price_usd]]/EV_Data4[[#This Row],[range_miles]]</f>
        <v>431.3998089171975</v>
      </c>
      <c r="AA196" s="2">
        <f>(EV_Data4[[#This Row],[customer_rating]]*EV_Data4[[#This Row],[safety_rating]]*1000)/EV_Data4[[#This Row],[price_usd]]</f>
        <v>0.18898632019568351</v>
      </c>
      <c r="AB196">
        <f>EV_Data4[[#This Row],[horsepower]]+EV_Data4[[#This Row],[torque_nm]]/EV_Data4[[#This Row],[acceleration_0_60_mph]]</f>
        <v>773.77083333333337</v>
      </c>
      <c r="AC196" t="str">
        <f>IF(EV_Data4[[#This Row],[price_usd]]&gt;=80000,"Luxury",IF(EV_Data4[[#This Row],[price_usd]]&gt;=40000,"Mid-Range","Budget"))</f>
        <v>Mid-Range</v>
      </c>
      <c r="AD196" t="str">
        <f>IF(EV_Data4[[#This Row],[range_miles]]&gt;=350,"Long-Range",IF(EV_Data4[[#This Row],[range_miles]]&gt;=250,"Medium-Range","Short-Range"))</f>
        <v>Short-Range</v>
      </c>
      <c r="AE196" t="str">
        <f>IF(EV_Data4[[#This Row],[charging_speed_kw]]&gt;=250,"Ultra-Fast",IF(EV_Data4[[#This Row],[charging_speed_kw]]&gt;=150,"Fast-Charging","Standard-Charging"))</f>
        <v>Standard-Charging</v>
      </c>
      <c r="AF196" t="str">
        <f>IF(EV_Data4[[#This Row],[acceleration_0_60_mph]]&lt;=3,"SportsPerformance",IF(EV_Data4[[#This Row],[acceleration_0_60_mph]]&lt;=5,"HighPerformance","Standard"))</f>
        <v>Standard</v>
      </c>
      <c r="AG196" t="str">
        <f>IF(EV_Data4[[#This Row],[customer_rating]]&gt;=4.5,"Excellent",IF(EV_Data4[[#This Row],[customer_rating]]&gt;=3.5,"Good","Average"))</f>
        <v>Average</v>
      </c>
      <c r="AH19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7" spans="1:34" x14ac:dyDescent="0.3">
      <c r="A197" t="s">
        <v>63</v>
      </c>
      <c r="B197" t="s">
        <v>73</v>
      </c>
      <c r="C197">
        <v>2022</v>
      </c>
      <c r="D197" t="s">
        <v>61</v>
      </c>
      <c r="E197" s="3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27</v>
      </c>
      <c r="N197">
        <v>7</v>
      </c>
      <c r="O197" t="s">
        <v>35</v>
      </c>
      <c r="P197">
        <v>68.5</v>
      </c>
      <c r="Q197">
        <v>1964</v>
      </c>
      <c r="R197">
        <v>5</v>
      </c>
      <c r="S197">
        <v>0</v>
      </c>
      <c r="T197" t="s">
        <v>65</v>
      </c>
      <c r="U197" t="s">
        <v>66</v>
      </c>
      <c r="V197" s="3">
        <v>100593</v>
      </c>
      <c r="W197">
        <v>3.2</v>
      </c>
      <c r="X197">
        <v>4</v>
      </c>
      <c r="Y197" s="1">
        <f>EV_Data4[[#This Row],[range_miles]]/EV_Data4[[#This Row],[battery_capacity_kwh]]</f>
        <v>3.2212389380530975</v>
      </c>
      <c r="Z197" s="4">
        <f>EV_Data4[[#This Row],[price_usd]]/EV_Data4[[#This Row],[range_miles]]</f>
        <v>153.51274725274726</v>
      </c>
      <c r="AA197" s="2">
        <f>(EV_Data4[[#This Row],[customer_rating]]*EV_Data4[[#This Row],[safety_rating]]*1000)/EV_Data4[[#This Row],[price_usd]]</f>
        <v>0.57266962832309454</v>
      </c>
      <c r="AB197">
        <f>EV_Data4[[#This Row],[horsepower]]+EV_Data4[[#This Row],[torque_nm]]/EV_Data4[[#This Row],[acceleration_0_60_mph]]</f>
        <v>282.08988764044943</v>
      </c>
      <c r="AC197" t="str">
        <f>IF(EV_Data4[[#This Row],[price_usd]]&gt;=80000,"Luxury",IF(EV_Data4[[#This Row],[price_usd]]&gt;=40000,"Mid-Range","Budget"))</f>
        <v>Budget</v>
      </c>
      <c r="AD197" t="str">
        <f>IF(EV_Data4[[#This Row],[range_miles]]&gt;=350,"Long-Range",IF(EV_Data4[[#This Row],[range_miles]]&gt;=250,"Medium-Range","Short-Range"))</f>
        <v>Short-Range</v>
      </c>
      <c r="AE197" t="str">
        <f>IF(EV_Data4[[#This Row],[charging_speed_kw]]&gt;=250,"Ultra-Fast",IF(EV_Data4[[#This Row],[charging_speed_kw]]&gt;=150,"Fast-Charging","Standard-Charging"))</f>
        <v>Standard-Charging</v>
      </c>
      <c r="AF197" t="str">
        <f>IF(EV_Data4[[#This Row],[acceleration_0_60_mph]]&lt;=3,"SportsPerformance",IF(EV_Data4[[#This Row],[acceleration_0_60_mph]]&lt;=5,"HighPerformance","Standard"))</f>
        <v>Standard</v>
      </c>
      <c r="AG197" t="str">
        <f>IF(EV_Data4[[#This Row],[customer_rating]]&gt;=4.5,"Excellent",IF(EV_Data4[[#This Row],[customer_rating]]&gt;=3.5,"Good","Average"))</f>
        <v>Average</v>
      </c>
      <c r="AH19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8" spans="1:34" x14ac:dyDescent="0.3">
      <c r="A198" t="s">
        <v>38</v>
      </c>
      <c r="B198" t="s">
        <v>101</v>
      </c>
      <c r="C198">
        <v>2026</v>
      </c>
      <c r="D198" t="s">
        <v>44</v>
      </c>
      <c r="E198" s="3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48</v>
      </c>
      <c r="N198">
        <v>5</v>
      </c>
      <c r="O198" t="s">
        <v>28</v>
      </c>
      <c r="P198">
        <v>76.8</v>
      </c>
      <c r="Q198">
        <v>2305</v>
      </c>
      <c r="R198">
        <v>4</v>
      </c>
      <c r="S198">
        <v>0</v>
      </c>
      <c r="T198" t="s">
        <v>41</v>
      </c>
      <c r="U198" t="s">
        <v>33</v>
      </c>
      <c r="V198" s="3">
        <v>1598</v>
      </c>
      <c r="W198">
        <v>3.6</v>
      </c>
      <c r="X198">
        <v>5</v>
      </c>
      <c r="Y198" s="1">
        <f>EV_Data4[[#This Row],[range_miles]]/EV_Data4[[#This Row],[battery_capacity_kwh]]</f>
        <v>3.7525562372188142</v>
      </c>
      <c r="Z198" s="4">
        <f>EV_Data4[[#This Row],[price_usd]]/EV_Data4[[#This Row],[range_miles]]</f>
        <v>191.97572207084468</v>
      </c>
      <c r="AA198" s="2">
        <f>(EV_Data4[[#This Row],[customer_rating]]*EV_Data4[[#This Row],[safety_rating]]*1000)/EV_Data4[[#This Row],[price_usd]]</f>
        <v>0.20438551707193903</v>
      </c>
      <c r="AB198">
        <f>EV_Data4[[#This Row],[horsepower]]+EV_Data4[[#This Row],[torque_nm]]/EV_Data4[[#This Row],[acceleration_0_60_mph]]</f>
        <v>1137.067178502879</v>
      </c>
      <c r="AC198" t="str">
        <f>IF(EV_Data4[[#This Row],[price_usd]]&gt;=80000,"Luxury",IF(EV_Data4[[#This Row],[price_usd]]&gt;=40000,"Mid-Range","Budget"))</f>
        <v>Mid-Range</v>
      </c>
      <c r="AD198" t="str">
        <f>IF(EV_Data4[[#This Row],[range_miles]]&gt;=350,"Long-Range",IF(EV_Data4[[#This Row],[range_miles]]&gt;=250,"Medium-Range","Short-Range"))</f>
        <v>Long-Range</v>
      </c>
      <c r="AE198" t="str">
        <f>IF(EV_Data4[[#This Row],[charging_speed_kw]]&gt;=250,"Ultra-Fast",IF(EV_Data4[[#This Row],[charging_speed_kw]]&gt;=150,"Fast-Charging","Standard-Charging"))</f>
        <v>Standard-Charging</v>
      </c>
      <c r="AF198" t="str">
        <f>IF(EV_Data4[[#This Row],[acceleration_0_60_mph]]&lt;=3,"SportsPerformance",IF(EV_Data4[[#This Row],[acceleration_0_60_mph]]&lt;=5,"HighPerformance","Standard"))</f>
        <v>Standard</v>
      </c>
      <c r="AG198" t="str">
        <f>IF(EV_Data4[[#This Row],[customer_rating]]&gt;=4.5,"Excellent",IF(EV_Data4[[#This Row],[customer_rating]]&gt;=3.5,"Good","Average"))</f>
        <v>Good</v>
      </c>
      <c r="AH19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9" spans="1:34" x14ac:dyDescent="0.3">
      <c r="A199" t="s">
        <v>86</v>
      </c>
      <c r="B199" t="s">
        <v>87</v>
      </c>
      <c r="C199">
        <v>2025</v>
      </c>
      <c r="D199" t="s">
        <v>56</v>
      </c>
      <c r="E199" s="3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48</v>
      </c>
      <c r="N199">
        <v>7</v>
      </c>
      <c r="O199" t="s">
        <v>35</v>
      </c>
      <c r="P199">
        <v>50.8</v>
      </c>
      <c r="Q199">
        <v>2104</v>
      </c>
      <c r="R199">
        <v>5</v>
      </c>
      <c r="S199">
        <v>2</v>
      </c>
      <c r="T199" t="s">
        <v>29</v>
      </c>
      <c r="U199" t="s">
        <v>30</v>
      </c>
      <c r="V199" s="3">
        <v>52472</v>
      </c>
      <c r="W199">
        <v>3.51</v>
      </c>
      <c r="X199">
        <v>8</v>
      </c>
      <c r="Y199" s="1">
        <f>EV_Data4[[#This Row],[range_miles]]/EV_Data4[[#This Row],[battery_capacity_kwh]]</f>
        <v>3.1647634584013051</v>
      </c>
      <c r="Z199" s="4">
        <f>EV_Data4[[#This Row],[price_usd]]/EV_Data4[[#This Row],[range_miles]]</f>
        <v>538.81845360824741</v>
      </c>
      <c r="AA199" s="2">
        <f>(EV_Data4[[#This Row],[customer_rating]]*EV_Data4[[#This Row],[safety_rating]]*1000)/EV_Data4[[#This Row],[price_usd]]</f>
        <v>0.16789313157330307</v>
      </c>
      <c r="AB199">
        <f>EV_Data4[[#This Row],[horsepower]]+EV_Data4[[#This Row],[torque_nm]]/EV_Data4[[#This Row],[acceleration_0_60_mph]]</f>
        <v>886.69909208819718</v>
      </c>
      <c r="AC199" t="str">
        <f>IF(EV_Data4[[#This Row],[price_usd]]&gt;=80000,"Luxury",IF(EV_Data4[[#This Row],[price_usd]]&gt;=40000,"Mid-Range","Budget"))</f>
        <v>Luxury</v>
      </c>
      <c r="AD199" t="str">
        <f>IF(EV_Data4[[#This Row],[range_miles]]&gt;=350,"Long-Range",IF(EV_Data4[[#This Row],[range_miles]]&gt;=250,"Medium-Range","Short-Range"))</f>
        <v>Short-Range</v>
      </c>
      <c r="AE199" t="str">
        <f>IF(EV_Data4[[#This Row],[charging_speed_kw]]&gt;=250,"Ultra-Fast",IF(EV_Data4[[#This Row],[charging_speed_kw]]&gt;=150,"Fast-Charging","Standard-Charging"))</f>
        <v>Standard-Charging</v>
      </c>
      <c r="AF199" t="str">
        <f>IF(EV_Data4[[#This Row],[acceleration_0_60_mph]]&lt;=3,"SportsPerformance",IF(EV_Data4[[#This Row],[acceleration_0_60_mph]]&lt;=5,"HighPerformance","Standard"))</f>
        <v>Standard</v>
      </c>
      <c r="AG199" t="str">
        <f>IF(EV_Data4[[#This Row],[customer_rating]]&gt;=4.5,"Excellent",IF(EV_Data4[[#This Row],[customer_rating]]&gt;=3.5,"Good","Average"))</f>
        <v>Good</v>
      </c>
      <c r="AH19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00" spans="1:34" x14ac:dyDescent="0.3">
      <c r="A200" t="s">
        <v>86</v>
      </c>
      <c r="B200" t="s">
        <v>105</v>
      </c>
      <c r="C200">
        <v>2025</v>
      </c>
      <c r="D200" t="s">
        <v>44</v>
      </c>
      <c r="E200" s="3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48</v>
      </c>
      <c r="N200">
        <v>5</v>
      </c>
      <c r="O200" t="s">
        <v>40</v>
      </c>
      <c r="P200">
        <v>75.7</v>
      </c>
      <c r="Q200">
        <v>1500</v>
      </c>
      <c r="R200">
        <v>5</v>
      </c>
      <c r="S200">
        <v>1</v>
      </c>
      <c r="T200" t="s">
        <v>29</v>
      </c>
      <c r="U200" t="s">
        <v>33</v>
      </c>
      <c r="V200" s="3">
        <v>46587</v>
      </c>
      <c r="W200">
        <v>3.19</v>
      </c>
      <c r="X200">
        <v>6</v>
      </c>
      <c r="Y200" s="1">
        <f>EV_Data4[[#This Row],[range_miles]]/EV_Data4[[#This Row],[battery_capacity_kwh]]</f>
        <v>3.3554083885209716</v>
      </c>
      <c r="Z200" s="4">
        <f>EV_Data4[[#This Row],[price_usd]]/EV_Data4[[#This Row],[range_miles]]</f>
        <v>319.89641447368422</v>
      </c>
      <c r="AA200" s="2">
        <f>(EV_Data4[[#This Row],[customer_rating]]*EV_Data4[[#This Row],[safety_rating]]*1000)/EV_Data4[[#This Row],[price_usd]]</f>
        <v>0.16401279567162522</v>
      </c>
      <c r="AB200">
        <f>EV_Data4[[#This Row],[horsepower]]+EV_Data4[[#This Row],[torque_nm]]/EV_Data4[[#This Row],[acceleration_0_60_mph]]</f>
        <v>831.47540983606552</v>
      </c>
      <c r="AC200" t="str">
        <f>IF(EV_Data4[[#This Row],[price_usd]]&gt;=80000,"Luxury",IF(EV_Data4[[#This Row],[price_usd]]&gt;=40000,"Mid-Range","Budget"))</f>
        <v>Luxury</v>
      </c>
      <c r="AD200" t="str">
        <f>IF(EV_Data4[[#This Row],[range_miles]]&gt;=350,"Long-Range",IF(EV_Data4[[#This Row],[range_miles]]&gt;=250,"Medium-Range","Short-Range"))</f>
        <v>Medium-Range</v>
      </c>
      <c r="AE200" t="str">
        <f>IF(EV_Data4[[#This Row],[charging_speed_kw]]&gt;=250,"Ultra-Fast",IF(EV_Data4[[#This Row],[charging_speed_kw]]&gt;=150,"Fast-Charging","Standard-Charging"))</f>
        <v>Standard-Charging</v>
      </c>
      <c r="AF200" t="str">
        <f>IF(EV_Data4[[#This Row],[acceleration_0_60_mph]]&lt;=3,"SportsPerformance",IF(EV_Data4[[#This Row],[acceleration_0_60_mph]]&lt;=5,"HighPerformance","Standard"))</f>
        <v>Standard</v>
      </c>
      <c r="AG200" t="str">
        <f>IF(EV_Data4[[#This Row],[customer_rating]]&gt;=4.5,"Excellent",IF(EV_Data4[[#This Row],[customer_rating]]&gt;=3.5,"Good","Average"))</f>
        <v>Average</v>
      </c>
      <c r="AH20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01" spans="1:34" x14ac:dyDescent="0.3">
      <c r="A201" t="s">
        <v>76</v>
      </c>
      <c r="B201" t="s">
        <v>98</v>
      </c>
      <c r="C201">
        <v>2024</v>
      </c>
      <c r="D201" t="s">
        <v>26</v>
      </c>
      <c r="E201" s="3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27</v>
      </c>
      <c r="N201">
        <v>5</v>
      </c>
      <c r="O201" t="s">
        <v>40</v>
      </c>
      <c r="P201">
        <v>72.400000000000006</v>
      </c>
      <c r="Q201">
        <v>2052</v>
      </c>
      <c r="R201">
        <v>4</v>
      </c>
      <c r="S201">
        <v>0</v>
      </c>
      <c r="T201" t="s">
        <v>41</v>
      </c>
      <c r="U201" t="s">
        <v>30</v>
      </c>
      <c r="V201" s="3">
        <v>31600</v>
      </c>
      <c r="W201">
        <v>4.03</v>
      </c>
      <c r="X201">
        <v>5</v>
      </c>
      <c r="Y201" s="1">
        <f>EV_Data4[[#This Row],[range_miles]]/EV_Data4[[#This Row],[battery_capacity_kwh]]</f>
        <v>3.7325174825174825</v>
      </c>
      <c r="Z201" s="4">
        <f>EV_Data4[[#This Row],[price_usd]]/EV_Data4[[#This Row],[range_miles]]</f>
        <v>247.31480093676814</v>
      </c>
      <c r="AA201" s="2">
        <f>(EV_Data4[[#This Row],[customer_rating]]*EV_Data4[[#This Row],[safety_rating]]*1000)/EV_Data4[[#This Row],[price_usd]]</f>
        <v>0.15264657148414323</v>
      </c>
      <c r="AB201">
        <f>EV_Data4[[#This Row],[horsepower]]+EV_Data4[[#This Row],[torque_nm]]/EV_Data4[[#This Row],[acceleration_0_60_mph]]</f>
        <v>1270.440251572327</v>
      </c>
      <c r="AC201" t="str">
        <f>IF(EV_Data4[[#This Row],[price_usd]]&gt;=80000,"Luxury",IF(EV_Data4[[#This Row],[price_usd]]&gt;=40000,"Mid-Range","Budget"))</f>
        <v>Luxury</v>
      </c>
      <c r="AD201" t="str">
        <f>IF(EV_Data4[[#This Row],[range_miles]]&gt;=350,"Long-Range",IF(EV_Data4[[#This Row],[range_miles]]&gt;=250,"Medium-Range","Short-Range"))</f>
        <v>Long-Range</v>
      </c>
      <c r="AE201" t="str">
        <f>IF(EV_Data4[[#This Row],[charging_speed_kw]]&gt;=250,"Ultra-Fast",IF(EV_Data4[[#This Row],[charging_speed_kw]]&gt;=150,"Fast-Charging","Standard-Charging"))</f>
        <v>Fast-Charging</v>
      </c>
      <c r="AF201" t="str">
        <f>IF(EV_Data4[[#This Row],[acceleration_0_60_mph]]&lt;=3,"SportsPerformance",IF(EV_Data4[[#This Row],[acceleration_0_60_mph]]&lt;=5,"HighPerformance","Standard"))</f>
        <v>HighPerformance</v>
      </c>
      <c r="AG201" t="str">
        <f>IF(EV_Data4[[#This Row],[customer_rating]]&gt;=4.5,"Excellent",IF(EV_Data4[[#This Row],[customer_rating]]&gt;=3.5,"Good","Average"))</f>
        <v>Good</v>
      </c>
      <c r="AH20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02" spans="1:34" x14ac:dyDescent="0.3">
      <c r="A202" t="s">
        <v>83</v>
      </c>
      <c r="B202" t="s">
        <v>104</v>
      </c>
      <c r="C202">
        <v>2025</v>
      </c>
      <c r="D202" t="s">
        <v>61</v>
      </c>
      <c r="E202" s="3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27</v>
      </c>
      <c r="N202">
        <v>5</v>
      </c>
      <c r="O202" t="s">
        <v>40</v>
      </c>
      <c r="P202">
        <v>73.3</v>
      </c>
      <c r="Q202">
        <v>1646</v>
      </c>
      <c r="R202">
        <v>5</v>
      </c>
      <c r="S202">
        <v>2</v>
      </c>
      <c r="T202" t="s">
        <v>29</v>
      </c>
      <c r="U202" t="s">
        <v>37</v>
      </c>
      <c r="V202" s="3">
        <v>69514</v>
      </c>
      <c r="W202">
        <v>3.1</v>
      </c>
      <c r="X202">
        <v>8</v>
      </c>
      <c r="Y202" s="1">
        <f>EV_Data4[[#This Row],[range_miles]]/EV_Data4[[#This Row],[battery_capacity_kwh]]</f>
        <v>3.6211031175059949</v>
      </c>
      <c r="Z202" s="4">
        <f>EV_Data4[[#This Row],[price_usd]]/EV_Data4[[#This Row],[range_miles]]</f>
        <v>367.91324503311262</v>
      </c>
      <c r="AA202" s="2">
        <f>(EV_Data4[[#This Row],[customer_rating]]*EV_Data4[[#This Row],[safety_rating]]*1000)/EV_Data4[[#This Row],[price_usd]]</f>
        <v>0.2790032922388484</v>
      </c>
      <c r="AB202">
        <f>EV_Data4[[#This Row],[horsepower]]+EV_Data4[[#This Row],[torque_nm]]/EV_Data4[[#This Row],[acceleration_0_60_mph]]</f>
        <v>237.90401396160559</v>
      </c>
      <c r="AC202" t="str">
        <f>IF(EV_Data4[[#This Row],[price_usd]]&gt;=80000,"Luxury",IF(EV_Data4[[#This Row],[price_usd]]&gt;=40000,"Mid-Range","Budget"))</f>
        <v>Mid-Range</v>
      </c>
      <c r="AD202" t="str">
        <f>IF(EV_Data4[[#This Row],[range_miles]]&gt;=350,"Long-Range",IF(EV_Data4[[#This Row],[range_miles]]&gt;=250,"Medium-Range","Short-Range"))</f>
        <v>Short-Range</v>
      </c>
      <c r="AE202" t="str">
        <f>IF(EV_Data4[[#This Row],[charging_speed_kw]]&gt;=250,"Ultra-Fast",IF(EV_Data4[[#This Row],[charging_speed_kw]]&gt;=150,"Fast-Charging","Standard-Charging"))</f>
        <v>Standard-Charging</v>
      </c>
      <c r="AF202" t="str">
        <f>IF(EV_Data4[[#This Row],[acceleration_0_60_mph]]&lt;=3,"SportsPerformance",IF(EV_Data4[[#This Row],[acceleration_0_60_mph]]&lt;=5,"HighPerformance","Standard"))</f>
        <v>Standard</v>
      </c>
      <c r="AG202" t="str">
        <f>IF(EV_Data4[[#This Row],[customer_rating]]&gt;=4.5,"Excellent",IF(EV_Data4[[#This Row],[customer_rating]]&gt;=3.5,"Good","Average"))</f>
        <v>Average</v>
      </c>
      <c r="AH20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03" spans="1:34" x14ac:dyDescent="0.3">
      <c r="A203" t="s">
        <v>46</v>
      </c>
      <c r="B203" t="s">
        <v>72</v>
      </c>
      <c r="C203">
        <v>2026</v>
      </c>
      <c r="D203" t="s">
        <v>56</v>
      </c>
      <c r="E203" s="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48</v>
      </c>
      <c r="N203">
        <v>7</v>
      </c>
      <c r="O203" t="s">
        <v>28</v>
      </c>
      <c r="P203">
        <v>66.2</v>
      </c>
      <c r="Q203">
        <v>2227</v>
      </c>
      <c r="R203">
        <v>5</v>
      </c>
      <c r="S203">
        <v>2</v>
      </c>
      <c r="T203" t="s">
        <v>41</v>
      </c>
      <c r="U203" t="s">
        <v>37</v>
      </c>
      <c r="V203" s="3">
        <v>175527</v>
      </c>
      <c r="W203">
        <v>4.0199999999999996</v>
      </c>
      <c r="X203">
        <v>4</v>
      </c>
      <c r="Y203" s="1">
        <f>EV_Data4[[#This Row],[range_miles]]/EV_Data4[[#This Row],[battery_capacity_kwh]]</f>
        <v>3.5764705882352943</v>
      </c>
      <c r="Z203" s="4">
        <f>EV_Data4[[#This Row],[price_usd]]/EV_Data4[[#This Row],[range_miles]]</f>
        <v>166.49444078947369</v>
      </c>
      <c r="AA203" s="2">
        <f>(EV_Data4[[#This Row],[customer_rating]]*EV_Data4[[#This Row],[safety_rating]]*1000)/EV_Data4[[#This Row],[price_usd]]</f>
        <v>0.39712089328097128</v>
      </c>
      <c r="AB203">
        <f>EV_Data4[[#This Row],[horsepower]]+EV_Data4[[#This Row],[torque_nm]]/EV_Data4[[#This Row],[acceleration_0_60_mph]]</f>
        <v>356.48264984227131</v>
      </c>
      <c r="AC203" t="str">
        <f>IF(EV_Data4[[#This Row],[price_usd]]&gt;=80000,"Luxury",IF(EV_Data4[[#This Row],[price_usd]]&gt;=40000,"Mid-Range","Budget"))</f>
        <v>Mid-Range</v>
      </c>
      <c r="AD203" t="str">
        <f>IF(EV_Data4[[#This Row],[range_miles]]&gt;=350,"Long-Range",IF(EV_Data4[[#This Row],[range_miles]]&gt;=250,"Medium-Range","Short-Range"))</f>
        <v>Medium-Range</v>
      </c>
      <c r="AE203" t="str">
        <f>IF(EV_Data4[[#This Row],[charging_speed_kw]]&gt;=250,"Ultra-Fast",IF(EV_Data4[[#This Row],[charging_speed_kw]]&gt;=150,"Fast-Charging","Standard-Charging"))</f>
        <v>Ultra-Fast</v>
      </c>
      <c r="AF203" t="str">
        <f>IF(EV_Data4[[#This Row],[acceleration_0_60_mph]]&lt;=3,"SportsPerformance",IF(EV_Data4[[#This Row],[acceleration_0_60_mph]]&lt;=5,"HighPerformance","Standard"))</f>
        <v>Standard</v>
      </c>
      <c r="AG203" t="str">
        <f>IF(EV_Data4[[#This Row],[customer_rating]]&gt;=4.5,"Excellent",IF(EV_Data4[[#This Row],[customer_rating]]&gt;=3.5,"Good","Average"))</f>
        <v>Good</v>
      </c>
      <c r="AH20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04" spans="1:34" x14ac:dyDescent="0.3">
      <c r="A204" t="s">
        <v>46</v>
      </c>
      <c r="B204" t="s">
        <v>49</v>
      </c>
      <c r="C204">
        <v>2025</v>
      </c>
      <c r="D204" t="s">
        <v>56</v>
      </c>
      <c r="E204" s="3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48</v>
      </c>
      <c r="N204">
        <v>7</v>
      </c>
      <c r="O204" t="s">
        <v>28</v>
      </c>
      <c r="P204">
        <v>79.8</v>
      </c>
      <c r="Q204">
        <v>2648</v>
      </c>
      <c r="R204">
        <v>4</v>
      </c>
      <c r="S204">
        <v>2</v>
      </c>
      <c r="T204" t="s">
        <v>41</v>
      </c>
      <c r="U204" t="s">
        <v>37</v>
      </c>
      <c r="V204" s="3">
        <v>472726</v>
      </c>
      <c r="W204">
        <v>3.66</v>
      </c>
      <c r="X204">
        <v>5</v>
      </c>
      <c r="Y204" s="1">
        <f>EV_Data4[[#This Row],[range_miles]]/EV_Data4[[#This Row],[battery_capacity_kwh]]</f>
        <v>3.5661218424962855</v>
      </c>
      <c r="Z204" s="4">
        <f>EV_Data4[[#This Row],[price_usd]]/EV_Data4[[#This Row],[range_miles]]</f>
        <v>176.21854166666665</v>
      </c>
      <c r="AA204" s="2">
        <f>(EV_Data4[[#This Row],[customer_rating]]*EV_Data4[[#This Row],[safety_rating]]*1000)/EV_Data4[[#This Row],[price_usd]]</f>
        <v>0.34616107603130114</v>
      </c>
      <c r="AB204">
        <f>EV_Data4[[#This Row],[horsepower]]+EV_Data4[[#This Row],[torque_nm]]/EV_Data4[[#This Row],[acceleration_0_60_mph]]</f>
        <v>360.92284866468844</v>
      </c>
      <c r="AC204" t="str">
        <f>IF(EV_Data4[[#This Row],[price_usd]]&gt;=80000,"Luxury",IF(EV_Data4[[#This Row],[price_usd]]&gt;=40000,"Mid-Range","Budget"))</f>
        <v>Mid-Range</v>
      </c>
      <c r="AD204" t="str">
        <f>IF(EV_Data4[[#This Row],[range_miles]]&gt;=350,"Long-Range",IF(EV_Data4[[#This Row],[range_miles]]&gt;=250,"Medium-Range","Short-Range"))</f>
        <v>Short-Range</v>
      </c>
      <c r="AE204" t="str">
        <f>IF(EV_Data4[[#This Row],[charging_speed_kw]]&gt;=250,"Ultra-Fast",IF(EV_Data4[[#This Row],[charging_speed_kw]]&gt;=150,"Fast-Charging","Standard-Charging"))</f>
        <v>Ultra-Fast</v>
      </c>
      <c r="AF204" t="str">
        <f>IF(EV_Data4[[#This Row],[acceleration_0_60_mph]]&lt;=3,"SportsPerformance",IF(EV_Data4[[#This Row],[acceleration_0_60_mph]]&lt;=5,"HighPerformance","Standard"))</f>
        <v>Standard</v>
      </c>
      <c r="AG204" t="str">
        <f>IF(EV_Data4[[#This Row],[customer_rating]]&gt;=4.5,"Excellent",IF(EV_Data4[[#This Row],[customer_rating]]&gt;=3.5,"Good","Average"))</f>
        <v>Good</v>
      </c>
      <c r="AH20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05" spans="1:34" x14ac:dyDescent="0.3">
      <c r="A205" t="s">
        <v>86</v>
      </c>
      <c r="B205" t="s">
        <v>117</v>
      </c>
      <c r="C205">
        <v>2026</v>
      </c>
      <c r="D205" t="s">
        <v>44</v>
      </c>
      <c r="E205" s="3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34</v>
      </c>
      <c r="N205">
        <v>5</v>
      </c>
      <c r="O205" t="s">
        <v>58</v>
      </c>
      <c r="P205">
        <v>33.700000000000003</v>
      </c>
      <c r="Q205">
        <v>1508</v>
      </c>
      <c r="R205">
        <v>4</v>
      </c>
      <c r="S205">
        <v>1</v>
      </c>
      <c r="T205" t="s">
        <v>29</v>
      </c>
      <c r="U205" t="s">
        <v>33</v>
      </c>
      <c r="V205" s="3">
        <v>38660</v>
      </c>
      <c r="W205">
        <v>3.57</v>
      </c>
      <c r="X205">
        <v>8</v>
      </c>
      <c r="Y205" s="1">
        <f>EV_Data4[[#This Row],[range_miles]]/EV_Data4[[#This Row],[battery_capacity_kwh]]</f>
        <v>3.5730088495575218</v>
      </c>
      <c r="Z205" s="4">
        <f>EV_Data4[[#This Row],[price_usd]]/EV_Data4[[#This Row],[range_miles]]</f>
        <v>291.36365325077401</v>
      </c>
      <c r="AA205" s="2">
        <f>(EV_Data4[[#This Row],[customer_rating]]*EV_Data4[[#This Row],[safety_rating]]*1000)/EV_Data4[[#This Row],[price_usd]]</f>
        <v>0.15173658698512363</v>
      </c>
      <c r="AB205">
        <f>EV_Data4[[#This Row],[horsepower]]+EV_Data4[[#This Row],[torque_nm]]/EV_Data4[[#This Row],[acceleration_0_60_mph]]</f>
        <v>780.50793650793651</v>
      </c>
      <c r="AC205" t="str">
        <f>IF(EV_Data4[[#This Row],[price_usd]]&gt;=80000,"Luxury",IF(EV_Data4[[#This Row],[price_usd]]&gt;=40000,"Mid-Range","Budget"))</f>
        <v>Luxury</v>
      </c>
      <c r="AD205" t="str">
        <f>IF(EV_Data4[[#This Row],[range_miles]]&gt;=350,"Long-Range",IF(EV_Data4[[#This Row],[range_miles]]&gt;=250,"Medium-Range","Short-Range"))</f>
        <v>Medium-Range</v>
      </c>
      <c r="AE205" t="str">
        <f>IF(EV_Data4[[#This Row],[charging_speed_kw]]&gt;=250,"Ultra-Fast",IF(EV_Data4[[#This Row],[charging_speed_kw]]&gt;=150,"Fast-Charging","Standard-Charging"))</f>
        <v>Standard-Charging</v>
      </c>
      <c r="AF205" t="str">
        <f>IF(EV_Data4[[#This Row],[acceleration_0_60_mph]]&lt;=3,"SportsPerformance",IF(EV_Data4[[#This Row],[acceleration_0_60_mph]]&lt;=5,"HighPerformance","Standard"))</f>
        <v>HighPerformance</v>
      </c>
      <c r="AG205" t="str">
        <f>IF(EV_Data4[[#This Row],[customer_rating]]&gt;=4.5,"Excellent",IF(EV_Data4[[#This Row],[customer_rating]]&gt;=3.5,"Good","Average"))</f>
        <v>Good</v>
      </c>
      <c r="AH20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06" spans="1:34" x14ac:dyDescent="0.3">
      <c r="A206" t="s">
        <v>42</v>
      </c>
      <c r="B206" t="s">
        <v>80</v>
      </c>
      <c r="C206">
        <v>2025</v>
      </c>
      <c r="D206" t="s">
        <v>61</v>
      </c>
      <c r="E206" s="3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34</v>
      </c>
      <c r="N206">
        <v>5</v>
      </c>
      <c r="O206" t="s">
        <v>35</v>
      </c>
      <c r="P206">
        <v>60.7</v>
      </c>
      <c r="Q206">
        <v>1989</v>
      </c>
      <c r="R206">
        <v>3</v>
      </c>
      <c r="S206">
        <v>1</v>
      </c>
      <c r="T206" t="s">
        <v>45</v>
      </c>
      <c r="U206" t="s">
        <v>33</v>
      </c>
      <c r="V206" s="3">
        <v>116585</v>
      </c>
      <c r="W206">
        <v>3.02</v>
      </c>
      <c r="X206">
        <v>4</v>
      </c>
      <c r="Y206" s="1">
        <f>EV_Data4[[#This Row],[range_miles]]/EV_Data4[[#This Row],[battery_capacity_kwh]]</f>
        <v>3.8095238095238093</v>
      </c>
      <c r="Z206" s="4">
        <f>EV_Data4[[#This Row],[price_usd]]/EV_Data4[[#This Row],[range_miles]]</f>
        <v>440.24761363636367</v>
      </c>
      <c r="AA206" s="2">
        <f>(EV_Data4[[#This Row],[customer_rating]]*EV_Data4[[#This Row],[safety_rating]]*1000)/EV_Data4[[#This Row],[price_usd]]</f>
        <v>0.11692799945485224</v>
      </c>
      <c r="AB206">
        <f>EV_Data4[[#This Row],[horsepower]]+EV_Data4[[#This Row],[torque_nm]]/EV_Data4[[#This Row],[acceleration_0_60_mph]]</f>
        <v>1066.8289290681503</v>
      </c>
      <c r="AC206" t="str">
        <f>IF(EV_Data4[[#This Row],[price_usd]]&gt;=80000,"Luxury",IF(EV_Data4[[#This Row],[price_usd]]&gt;=40000,"Mid-Range","Budget"))</f>
        <v>Mid-Range</v>
      </c>
      <c r="AD206" t="str">
        <f>IF(EV_Data4[[#This Row],[range_miles]]&gt;=350,"Long-Range",IF(EV_Data4[[#This Row],[range_miles]]&gt;=250,"Medium-Range","Short-Range"))</f>
        <v>Short-Range</v>
      </c>
      <c r="AE206" t="str">
        <f>IF(EV_Data4[[#This Row],[charging_speed_kw]]&gt;=250,"Ultra-Fast",IF(EV_Data4[[#This Row],[charging_speed_kw]]&gt;=150,"Fast-Charging","Standard-Charging"))</f>
        <v>Standard-Charging</v>
      </c>
      <c r="AF206" t="str">
        <f>IF(EV_Data4[[#This Row],[acceleration_0_60_mph]]&lt;=3,"SportsPerformance",IF(EV_Data4[[#This Row],[acceleration_0_60_mph]]&lt;=5,"HighPerformance","Standard"))</f>
        <v>Standard</v>
      </c>
      <c r="AG206" t="str">
        <f>IF(EV_Data4[[#This Row],[customer_rating]]&gt;=4.5,"Excellent",IF(EV_Data4[[#This Row],[customer_rating]]&gt;=3.5,"Good","Average"))</f>
        <v>Average</v>
      </c>
      <c r="AH20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07" spans="1:34" x14ac:dyDescent="0.3">
      <c r="A207" t="s">
        <v>46</v>
      </c>
      <c r="B207" t="s">
        <v>49</v>
      </c>
      <c r="C207">
        <v>2022</v>
      </c>
      <c r="D207" t="s">
        <v>44</v>
      </c>
      <c r="E207" s="3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34</v>
      </c>
      <c r="N207">
        <v>5</v>
      </c>
      <c r="O207" t="s">
        <v>51</v>
      </c>
      <c r="P207">
        <v>25.1</v>
      </c>
      <c r="Q207">
        <v>1583</v>
      </c>
      <c r="R207">
        <v>4</v>
      </c>
      <c r="S207">
        <v>2</v>
      </c>
      <c r="T207" t="s">
        <v>41</v>
      </c>
      <c r="U207" t="s">
        <v>30</v>
      </c>
      <c r="V207" s="3">
        <v>494879</v>
      </c>
      <c r="W207">
        <v>3.77</v>
      </c>
      <c r="X207">
        <v>4</v>
      </c>
      <c r="Y207" s="1">
        <f>EV_Data4[[#This Row],[range_miles]]/EV_Data4[[#This Row],[battery_capacity_kwh]]</f>
        <v>3.2967032967032965</v>
      </c>
      <c r="Z207" s="4">
        <f>EV_Data4[[#This Row],[price_usd]]/EV_Data4[[#This Row],[range_miles]]</f>
        <v>416.23281481481484</v>
      </c>
      <c r="AA207" s="2">
        <f>(EV_Data4[[#This Row],[customer_rating]]*EV_Data4[[#This Row],[safety_rating]]*1000)/EV_Data4[[#This Row],[price_usd]]</f>
        <v>0.13418416295865757</v>
      </c>
      <c r="AB207">
        <f>EV_Data4[[#This Row],[horsepower]]+EV_Data4[[#This Row],[torque_nm]]/EV_Data4[[#This Row],[acceleration_0_60_mph]]</f>
        <v>954.00383877159311</v>
      </c>
      <c r="AC207" t="str">
        <f>IF(EV_Data4[[#This Row],[price_usd]]&gt;=80000,"Luxury",IF(EV_Data4[[#This Row],[price_usd]]&gt;=40000,"Mid-Range","Budget"))</f>
        <v>Luxury</v>
      </c>
      <c r="AD207" t="str">
        <f>IF(EV_Data4[[#This Row],[range_miles]]&gt;=350,"Long-Range",IF(EV_Data4[[#This Row],[range_miles]]&gt;=250,"Medium-Range","Short-Range"))</f>
        <v>Medium-Range</v>
      </c>
      <c r="AE207" t="str">
        <f>IF(EV_Data4[[#This Row],[charging_speed_kw]]&gt;=250,"Ultra-Fast",IF(EV_Data4[[#This Row],[charging_speed_kw]]&gt;=150,"Fast-Charging","Standard-Charging"))</f>
        <v>Fast-Charging</v>
      </c>
      <c r="AF207" t="str">
        <f>IF(EV_Data4[[#This Row],[acceleration_0_60_mph]]&lt;=3,"SportsPerformance",IF(EV_Data4[[#This Row],[acceleration_0_60_mph]]&lt;=5,"HighPerformance","Standard"))</f>
        <v>Standard</v>
      </c>
      <c r="AG207" t="str">
        <f>IF(EV_Data4[[#This Row],[customer_rating]]&gt;=4.5,"Excellent",IF(EV_Data4[[#This Row],[customer_rating]]&gt;=3.5,"Good","Average"))</f>
        <v>Good</v>
      </c>
      <c r="AH20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08" spans="1:34" x14ac:dyDescent="0.3">
      <c r="A208" t="s">
        <v>46</v>
      </c>
      <c r="B208" t="s">
        <v>78</v>
      </c>
      <c r="C208">
        <v>2025</v>
      </c>
      <c r="D208" t="s">
        <v>33</v>
      </c>
      <c r="E208" s="3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34</v>
      </c>
      <c r="N208">
        <v>5</v>
      </c>
      <c r="O208" t="s">
        <v>40</v>
      </c>
      <c r="P208">
        <v>75</v>
      </c>
      <c r="Q208">
        <v>1720</v>
      </c>
      <c r="R208">
        <v>4</v>
      </c>
      <c r="S208">
        <v>2</v>
      </c>
      <c r="T208" t="s">
        <v>41</v>
      </c>
      <c r="U208" t="s">
        <v>30</v>
      </c>
      <c r="V208" s="3">
        <v>245565</v>
      </c>
      <c r="W208">
        <v>3.75</v>
      </c>
      <c r="X208">
        <v>4</v>
      </c>
      <c r="Y208" s="1">
        <f>EV_Data4[[#This Row],[range_miles]]/EV_Data4[[#This Row],[battery_capacity_kwh]]</f>
        <v>3.8657407407407405</v>
      </c>
      <c r="Z208" s="4">
        <f>EV_Data4[[#This Row],[price_usd]]/EV_Data4[[#This Row],[range_miles]]</f>
        <v>671.05520958083832</v>
      </c>
      <c r="AA208" s="2">
        <f>(EV_Data4[[#This Row],[customer_rating]]*EV_Data4[[#This Row],[safety_rating]]*1000)/EV_Data4[[#This Row],[price_usd]]</f>
        <v>0.13384943295133894</v>
      </c>
      <c r="AB208">
        <f>EV_Data4[[#This Row],[horsepower]]+EV_Data4[[#This Row],[torque_nm]]/EV_Data4[[#This Row],[acceleration_0_60_mph]]</f>
        <v>919.69026548672571</v>
      </c>
      <c r="AC208" t="str">
        <f>IF(EV_Data4[[#This Row],[price_usd]]&gt;=80000,"Luxury",IF(EV_Data4[[#This Row],[price_usd]]&gt;=40000,"Mid-Range","Budget"))</f>
        <v>Luxury</v>
      </c>
      <c r="AD208" t="str">
        <f>IF(EV_Data4[[#This Row],[range_miles]]&gt;=350,"Long-Range",IF(EV_Data4[[#This Row],[range_miles]]&gt;=250,"Medium-Range","Short-Range"))</f>
        <v>Short-Range</v>
      </c>
      <c r="AE208" t="str">
        <f>IF(EV_Data4[[#This Row],[charging_speed_kw]]&gt;=250,"Ultra-Fast",IF(EV_Data4[[#This Row],[charging_speed_kw]]&gt;=150,"Fast-Charging","Standard-Charging"))</f>
        <v>Ultra-Fast</v>
      </c>
      <c r="AF208" t="str">
        <f>IF(EV_Data4[[#This Row],[acceleration_0_60_mph]]&lt;=3,"SportsPerformance",IF(EV_Data4[[#This Row],[acceleration_0_60_mph]]&lt;=5,"HighPerformance","Standard"))</f>
        <v>Standard</v>
      </c>
      <c r="AG208" t="str">
        <f>IF(EV_Data4[[#This Row],[customer_rating]]&gt;=4.5,"Excellent",IF(EV_Data4[[#This Row],[customer_rating]]&gt;=3.5,"Good","Average"))</f>
        <v>Good</v>
      </c>
      <c r="AH20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09" spans="1:34" x14ac:dyDescent="0.3">
      <c r="A209" t="s">
        <v>83</v>
      </c>
      <c r="B209" t="s">
        <v>84</v>
      </c>
      <c r="C209">
        <v>2024</v>
      </c>
      <c r="D209" t="s">
        <v>44</v>
      </c>
      <c r="E209" s="3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27</v>
      </c>
      <c r="N209">
        <v>7</v>
      </c>
      <c r="O209" t="s">
        <v>40</v>
      </c>
      <c r="P209">
        <v>72.2</v>
      </c>
      <c r="Q209">
        <v>1614</v>
      </c>
      <c r="R209">
        <v>4</v>
      </c>
      <c r="S209">
        <v>1</v>
      </c>
      <c r="T209" t="s">
        <v>29</v>
      </c>
      <c r="U209" t="s">
        <v>33</v>
      </c>
      <c r="V209" s="3">
        <v>36760</v>
      </c>
      <c r="W209">
        <v>3.63</v>
      </c>
      <c r="X209">
        <v>6</v>
      </c>
      <c r="Y209" s="1">
        <f>EV_Data4[[#This Row],[range_miles]]/EV_Data4[[#This Row],[battery_capacity_kwh]]</f>
        <v>3.26</v>
      </c>
      <c r="Z209" s="4">
        <f>EV_Data4[[#This Row],[price_usd]]/EV_Data4[[#This Row],[range_miles]]</f>
        <v>287.49754601226994</v>
      </c>
      <c r="AA209" s="2">
        <f>(EV_Data4[[#This Row],[customer_rating]]*EV_Data4[[#This Row],[safety_rating]]*1000)/EV_Data4[[#This Row],[price_usd]]</f>
        <v>0.15492263470907194</v>
      </c>
      <c r="AB209">
        <f>EV_Data4[[#This Row],[horsepower]]+EV_Data4[[#This Row],[torque_nm]]/EV_Data4[[#This Row],[acceleration_0_60_mph]]</f>
        <v>871.62162162162167</v>
      </c>
      <c r="AC209" t="str">
        <f>IF(EV_Data4[[#This Row],[price_usd]]&gt;=80000,"Luxury",IF(EV_Data4[[#This Row],[price_usd]]&gt;=40000,"Mid-Range","Budget"))</f>
        <v>Luxury</v>
      </c>
      <c r="AD209" t="str">
        <f>IF(EV_Data4[[#This Row],[range_miles]]&gt;=350,"Long-Range",IF(EV_Data4[[#This Row],[range_miles]]&gt;=250,"Medium-Range","Short-Range"))</f>
        <v>Medium-Range</v>
      </c>
      <c r="AE209" t="str">
        <f>IF(EV_Data4[[#This Row],[charging_speed_kw]]&gt;=250,"Ultra-Fast",IF(EV_Data4[[#This Row],[charging_speed_kw]]&gt;=150,"Fast-Charging","Standard-Charging"))</f>
        <v>Standard-Charging</v>
      </c>
      <c r="AF209" t="str">
        <f>IF(EV_Data4[[#This Row],[acceleration_0_60_mph]]&lt;=3,"SportsPerformance",IF(EV_Data4[[#This Row],[acceleration_0_60_mph]]&lt;=5,"HighPerformance","Standard"))</f>
        <v>HighPerformance</v>
      </c>
      <c r="AG209" t="str">
        <f>IF(EV_Data4[[#This Row],[customer_rating]]&gt;=4.5,"Excellent",IF(EV_Data4[[#This Row],[customer_rating]]&gt;=3.5,"Good","Average"))</f>
        <v>Good</v>
      </c>
      <c r="AH20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10" spans="1:34" x14ac:dyDescent="0.3">
      <c r="A210" t="s">
        <v>46</v>
      </c>
      <c r="B210" t="s">
        <v>72</v>
      </c>
      <c r="C210">
        <v>2021</v>
      </c>
      <c r="D210" t="s">
        <v>56</v>
      </c>
      <c r="E210" s="3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48</v>
      </c>
      <c r="N210">
        <v>5</v>
      </c>
      <c r="O210" t="s">
        <v>28</v>
      </c>
      <c r="P210">
        <v>52</v>
      </c>
      <c r="Q210">
        <v>2415</v>
      </c>
      <c r="R210">
        <v>5</v>
      </c>
      <c r="S210">
        <v>2</v>
      </c>
      <c r="T210" t="s">
        <v>41</v>
      </c>
      <c r="U210" t="s">
        <v>33</v>
      </c>
      <c r="V210" s="3">
        <v>235244</v>
      </c>
      <c r="W210">
        <v>3.9</v>
      </c>
      <c r="X210">
        <v>6</v>
      </c>
      <c r="Y210" s="1">
        <f>EV_Data4[[#This Row],[range_miles]]/EV_Data4[[#This Row],[battery_capacity_kwh]]</f>
        <v>3.1842105263157894</v>
      </c>
      <c r="Z210" s="4">
        <f>EV_Data4[[#This Row],[price_usd]]/EV_Data4[[#This Row],[range_miles]]</f>
        <v>407.6284297520661</v>
      </c>
      <c r="AA210" s="2">
        <f>(EV_Data4[[#This Row],[customer_rating]]*EV_Data4[[#This Row],[safety_rating]]*1000)/EV_Data4[[#This Row],[price_usd]]</f>
        <v>0.19767638004470123</v>
      </c>
      <c r="AB210">
        <f>EV_Data4[[#This Row],[horsepower]]+EV_Data4[[#This Row],[torque_nm]]/EV_Data4[[#This Row],[acceleration_0_60_mph]]</f>
        <v>773.84401114206128</v>
      </c>
      <c r="AC210" t="str">
        <f>IF(EV_Data4[[#This Row],[price_usd]]&gt;=80000,"Luxury",IF(EV_Data4[[#This Row],[price_usd]]&gt;=40000,"Mid-Range","Budget"))</f>
        <v>Luxury</v>
      </c>
      <c r="AD210" t="str">
        <f>IF(EV_Data4[[#This Row],[range_miles]]&gt;=350,"Long-Range",IF(EV_Data4[[#This Row],[range_miles]]&gt;=250,"Medium-Range","Short-Range"))</f>
        <v>Short-Range</v>
      </c>
      <c r="AE210" t="str">
        <f>IF(EV_Data4[[#This Row],[charging_speed_kw]]&gt;=250,"Ultra-Fast",IF(EV_Data4[[#This Row],[charging_speed_kw]]&gt;=150,"Fast-Charging","Standard-Charging"))</f>
        <v>Ultra-Fast</v>
      </c>
      <c r="AF210" t="str">
        <f>IF(EV_Data4[[#This Row],[acceleration_0_60_mph]]&lt;=3,"SportsPerformance",IF(EV_Data4[[#This Row],[acceleration_0_60_mph]]&lt;=5,"HighPerformance","Standard"))</f>
        <v>Standard</v>
      </c>
      <c r="AG210" t="str">
        <f>IF(EV_Data4[[#This Row],[customer_rating]]&gt;=4.5,"Excellent",IF(EV_Data4[[#This Row],[customer_rating]]&gt;=3.5,"Good","Average"))</f>
        <v>Good</v>
      </c>
      <c r="AH21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11" spans="1:34" x14ac:dyDescent="0.3">
      <c r="A211" t="s">
        <v>46</v>
      </c>
      <c r="B211" t="s">
        <v>72</v>
      </c>
      <c r="C211">
        <v>2023</v>
      </c>
      <c r="D211" t="s">
        <v>56</v>
      </c>
      <c r="E211" s="3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27</v>
      </c>
      <c r="N211">
        <v>5</v>
      </c>
      <c r="O211" t="s">
        <v>28</v>
      </c>
      <c r="P211">
        <v>65.099999999999994</v>
      </c>
      <c r="Q211">
        <v>2463</v>
      </c>
      <c r="R211">
        <v>4</v>
      </c>
      <c r="S211">
        <v>2</v>
      </c>
      <c r="T211" t="s">
        <v>41</v>
      </c>
      <c r="U211" t="s">
        <v>37</v>
      </c>
      <c r="V211" s="3">
        <v>187848</v>
      </c>
      <c r="W211">
        <v>3.58</v>
      </c>
      <c r="X211">
        <v>4</v>
      </c>
      <c r="Y211" s="1">
        <f>EV_Data4[[#This Row],[range_miles]]/EV_Data4[[#This Row],[battery_capacity_kwh]]</f>
        <v>3.4807417974322399</v>
      </c>
      <c r="Z211" s="4">
        <f>EV_Data4[[#This Row],[price_usd]]/EV_Data4[[#This Row],[range_miles]]</f>
        <v>189.38602459016394</v>
      </c>
      <c r="AA211" s="2">
        <f>(EV_Data4[[#This Row],[customer_rating]]*EV_Data4[[#This Row],[safety_rating]]*1000)/EV_Data4[[#This Row],[price_usd]]</f>
        <v>0.30988836012143639</v>
      </c>
      <c r="AB211">
        <f>EV_Data4[[#This Row],[horsepower]]+EV_Data4[[#This Row],[torque_nm]]/EV_Data4[[#This Row],[acceleration_0_60_mph]]</f>
        <v>350.75403949730702</v>
      </c>
      <c r="AC211" t="str">
        <f>IF(EV_Data4[[#This Row],[price_usd]]&gt;=80000,"Luxury",IF(EV_Data4[[#This Row],[price_usd]]&gt;=40000,"Mid-Range","Budget"))</f>
        <v>Mid-Range</v>
      </c>
      <c r="AD211" t="str">
        <f>IF(EV_Data4[[#This Row],[range_miles]]&gt;=350,"Long-Range",IF(EV_Data4[[#This Row],[range_miles]]&gt;=250,"Medium-Range","Short-Range"))</f>
        <v>Short-Range</v>
      </c>
      <c r="AE211" t="str">
        <f>IF(EV_Data4[[#This Row],[charging_speed_kw]]&gt;=250,"Ultra-Fast",IF(EV_Data4[[#This Row],[charging_speed_kw]]&gt;=150,"Fast-Charging","Standard-Charging"))</f>
        <v>Ultra-Fast</v>
      </c>
      <c r="AF211" t="str">
        <f>IF(EV_Data4[[#This Row],[acceleration_0_60_mph]]&lt;=3,"SportsPerformance",IF(EV_Data4[[#This Row],[acceleration_0_60_mph]]&lt;=5,"HighPerformance","Standard"))</f>
        <v>Standard</v>
      </c>
      <c r="AG211" t="str">
        <f>IF(EV_Data4[[#This Row],[customer_rating]]&gt;=4.5,"Excellent",IF(EV_Data4[[#This Row],[customer_rating]]&gt;=3.5,"Good","Average"))</f>
        <v>Good</v>
      </c>
      <c r="AH21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12" spans="1:34" x14ac:dyDescent="0.3">
      <c r="A212" t="s">
        <v>42</v>
      </c>
      <c r="B212" t="s">
        <v>115</v>
      </c>
      <c r="C212">
        <v>2021</v>
      </c>
      <c r="D212" t="s">
        <v>44</v>
      </c>
      <c r="E212" s="3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27</v>
      </c>
      <c r="N212">
        <v>7</v>
      </c>
      <c r="O212" t="s">
        <v>51</v>
      </c>
      <c r="P212">
        <v>29</v>
      </c>
      <c r="Q212">
        <v>1500</v>
      </c>
      <c r="R212">
        <v>5</v>
      </c>
      <c r="S212">
        <v>0</v>
      </c>
      <c r="T212" t="s">
        <v>45</v>
      </c>
      <c r="U212" t="s">
        <v>33</v>
      </c>
      <c r="V212" s="3">
        <v>57850</v>
      </c>
      <c r="W212">
        <v>3.25</v>
      </c>
      <c r="X212">
        <v>5</v>
      </c>
      <c r="Y212" s="1">
        <f>EV_Data4[[#This Row],[range_miles]]/EV_Data4[[#This Row],[battery_capacity_kwh]]</f>
        <v>3.6218375499334226</v>
      </c>
      <c r="Z212" s="4">
        <f>EV_Data4[[#This Row],[price_usd]]/EV_Data4[[#This Row],[range_miles]]</f>
        <v>244.97775735294115</v>
      </c>
      <c r="AA212" s="2">
        <f>(EV_Data4[[#This Row],[customer_rating]]*EV_Data4[[#This Row],[safety_rating]]*1000)/EV_Data4[[#This Row],[price_usd]]</f>
        <v>0.24386967904499135</v>
      </c>
      <c r="AB212">
        <f>EV_Data4[[#This Row],[horsepower]]+EV_Data4[[#This Row],[torque_nm]]/EV_Data4[[#This Row],[acceleration_0_60_mph]]</f>
        <v>926.80076628352492</v>
      </c>
      <c r="AC212" t="str">
        <f>IF(EV_Data4[[#This Row],[price_usd]]&gt;=80000,"Luxury",IF(EV_Data4[[#This Row],[price_usd]]&gt;=40000,"Mid-Range","Budget"))</f>
        <v>Mid-Range</v>
      </c>
      <c r="AD212" t="str">
        <f>IF(EV_Data4[[#This Row],[range_miles]]&gt;=350,"Long-Range",IF(EV_Data4[[#This Row],[range_miles]]&gt;=250,"Medium-Range","Short-Range"))</f>
        <v>Medium-Range</v>
      </c>
      <c r="AE212" t="str">
        <f>IF(EV_Data4[[#This Row],[charging_speed_kw]]&gt;=250,"Ultra-Fast",IF(EV_Data4[[#This Row],[charging_speed_kw]]&gt;=150,"Fast-Charging","Standard-Charging"))</f>
        <v>Standard-Charging</v>
      </c>
      <c r="AF212" t="str">
        <f>IF(EV_Data4[[#This Row],[acceleration_0_60_mph]]&lt;=3,"SportsPerformance",IF(EV_Data4[[#This Row],[acceleration_0_60_mph]]&lt;=5,"HighPerformance","Standard"))</f>
        <v>Standard</v>
      </c>
      <c r="AG212" t="str">
        <f>IF(EV_Data4[[#This Row],[customer_rating]]&gt;=4.5,"Excellent",IF(EV_Data4[[#This Row],[customer_rating]]&gt;=3.5,"Good","Average"))</f>
        <v>Average</v>
      </c>
      <c r="AH21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13" spans="1:34" x14ac:dyDescent="0.3">
      <c r="A213" t="s">
        <v>38</v>
      </c>
      <c r="B213" t="s">
        <v>118</v>
      </c>
      <c r="C213">
        <v>2026</v>
      </c>
      <c r="D213" t="s">
        <v>26</v>
      </c>
      <c r="E213" s="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27</v>
      </c>
      <c r="N213">
        <v>7</v>
      </c>
      <c r="O213" t="s">
        <v>51</v>
      </c>
      <c r="P213">
        <v>19.8</v>
      </c>
      <c r="Q213">
        <v>1566</v>
      </c>
      <c r="R213">
        <v>4</v>
      </c>
      <c r="S213">
        <v>0</v>
      </c>
      <c r="T213" t="s">
        <v>41</v>
      </c>
      <c r="U213" t="s">
        <v>33</v>
      </c>
      <c r="V213" s="3">
        <v>25704</v>
      </c>
      <c r="W213">
        <v>4.1900000000000004</v>
      </c>
      <c r="X213">
        <v>4</v>
      </c>
      <c r="Y213" s="1">
        <f>EV_Data4[[#This Row],[range_miles]]/EV_Data4[[#This Row],[battery_capacity_kwh]]</f>
        <v>3.774720550300946</v>
      </c>
      <c r="Z213" s="4">
        <f>EV_Data4[[#This Row],[price_usd]]/EV_Data4[[#This Row],[range_miles]]</f>
        <v>148.71282460136675</v>
      </c>
      <c r="AA213" s="2">
        <f>(EV_Data4[[#This Row],[customer_rating]]*EV_Data4[[#This Row],[safety_rating]]*1000)/EV_Data4[[#This Row],[price_usd]]</f>
        <v>0.25672080830905386</v>
      </c>
      <c r="AB213">
        <f>EV_Data4[[#This Row],[horsepower]]+EV_Data4[[#This Row],[torque_nm]]/EV_Data4[[#This Row],[acceleration_0_60_mph]]</f>
        <v>940.94117647058829</v>
      </c>
      <c r="AC213" t="str">
        <f>IF(EV_Data4[[#This Row],[price_usd]]&gt;=80000,"Luxury",IF(EV_Data4[[#This Row],[price_usd]]&gt;=40000,"Mid-Range","Budget"))</f>
        <v>Mid-Range</v>
      </c>
      <c r="AD213" t="str">
        <f>IF(EV_Data4[[#This Row],[range_miles]]&gt;=350,"Long-Range",IF(EV_Data4[[#This Row],[range_miles]]&gt;=250,"Medium-Range","Short-Range"))</f>
        <v>Long-Range</v>
      </c>
      <c r="AE213" t="str">
        <f>IF(EV_Data4[[#This Row],[charging_speed_kw]]&gt;=250,"Ultra-Fast",IF(EV_Data4[[#This Row],[charging_speed_kw]]&gt;=150,"Fast-Charging","Standard-Charging"))</f>
        <v>Fast-Charging</v>
      </c>
      <c r="AF213" t="str">
        <f>IF(EV_Data4[[#This Row],[acceleration_0_60_mph]]&lt;=3,"SportsPerformance",IF(EV_Data4[[#This Row],[acceleration_0_60_mph]]&lt;=5,"HighPerformance","Standard"))</f>
        <v>HighPerformance</v>
      </c>
      <c r="AG213" t="str">
        <f>IF(EV_Data4[[#This Row],[customer_rating]]&gt;=4.5,"Excellent",IF(EV_Data4[[#This Row],[customer_rating]]&gt;=3.5,"Good","Average"))</f>
        <v>Good</v>
      </c>
      <c r="AH21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14" spans="1:34" x14ac:dyDescent="0.3">
      <c r="A214" t="s">
        <v>83</v>
      </c>
      <c r="B214" t="s">
        <v>89</v>
      </c>
      <c r="C214">
        <v>2023</v>
      </c>
      <c r="D214" t="s">
        <v>33</v>
      </c>
      <c r="E214" s="3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48</v>
      </c>
      <c r="N214">
        <v>7</v>
      </c>
      <c r="O214" t="s">
        <v>50</v>
      </c>
      <c r="P214">
        <v>22.7</v>
      </c>
      <c r="Q214">
        <v>1654</v>
      </c>
      <c r="R214">
        <v>4</v>
      </c>
      <c r="S214">
        <v>1</v>
      </c>
      <c r="T214" t="s">
        <v>29</v>
      </c>
      <c r="U214" t="s">
        <v>30</v>
      </c>
      <c r="V214" s="3">
        <v>26110</v>
      </c>
      <c r="W214">
        <v>3.46</v>
      </c>
      <c r="X214">
        <v>7</v>
      </c>
      <c r="Y214" s="1">
        <f>EV_Data4[[#This Row],[range_miles]]/EV_Data4[[#This Row],[battery_capacity_kwh]]</f>
        <v>3.6605657237936771</v>
      </c>
      <c r="Z214" s="4">
        <f>EV_Data4[[#This Row],[price_usd]]/EV_Data4[[#This Row],[range_miles]]</f>
        <v>627.05368181818176</v>
      </c>
      <c r="AA214" s="2">
        <f>(EV_Data4[[#This Row],[customer_rating]]*EV_Data4[[#This Row],[safety_rating]]*1000)/EV_Data4[[#This Row],[price_usd]]</f>
        <v>0.10032488881443455</v>
      </c>
      <c r="AB214">
        <f>EV_Data4[[#This Row],[horsepower]]+EV_Data4[[#This Row],[torque_nm]]/EV_Data4[[#This Row],[acceleration_0_60_mph]]</f>
        <v>1136.4329268292684</v>
      </c>
      <c r="AC214" t="str">
        <f>IF(EV_Data4[[#This Row],[price_usd]]&gt;=80000,"Luxury",IF(EV_Data4[[#This Row],[price_usd]]&gt;=40000,"Mid-Range","Budget"))</f>
        <v>Luxury</v>
      </c>
      <c r="AD214" t="str">
        <f>IF(EV_Data4[[#This Row],[range_miles]]&gt;=350,"Long-Range",IF(EV_Data4[[#This Row],[range_miles]]&gt;=250,"Medium-Range","Short-Range"))</f>
        <v>Short-Range</v>
      </c>
      <c r="AE214" t="str">
        <f>IF(EV_Data4[[#This Row],[charging_speed_kw]]&gt;=250,"Ultra-Fast",IF(EV_Data4[[#This Row],[charging_speed_kw]]&gt;=150,"Fast-Charging","Standard-Charging"))</f>
        <v>Standard-Charging</v>
      </c>
      <c r="AF214" t="str">
        <f>IF(EV_Data4[[#This Row],[acceleration_0_60_mph]]&lt;=3,"SportsPerformance",IF(EV_Data4[[#This Row],[acceleration_0_60_mph]]&lt;=5,"HighPerformance","Standard"))</f>
        <v>Standard</v>
      </c>
      <c r="AG214" t="str">
        <f>IF(EV_Data4[[#This Row],[customer_rating]]&gt;=4.5,"Excellent",IF(EV_Data4[[#This Row],[customer_rating]]&gt;=3.5,"Good","Average"))</f>
        <v>Average</v>
      </c>
      <c r="AH21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15" spans="1:34" x14ac:dyDescent="0.3">
      <c r="A215" t="s">
        <v>63</v>
      </c>
      <c r="B215" t="s">
        <v>64</v>
      </c>
      <c r="C215">
        <v>2024</v>
      </c>
      <c r="D215" t="s">
        <v>61</v>
      </c>
      <c r="E215" s="3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48</v>
      </c>
      <c r="N215">
        <v>5</v>
      </c>
      <c r="O215" t="s">
        <v>50</v>
      </c>
      <c r="P215">
        <v>18.5</v>
      </c>
      <c r="Q215">
        <v>1646</v>
      </c>
      <c r="R215">
        <v>5</v>
      </c>
      <c r="S215">
        <v>0</v>
      </c>
      <c r="T215" t="s">
        <v>65</v>
      </c>
      <c r="U215" t="s">
        <v>66</v>
      </c>
      <c r="V215" s="3">
        <v>236029</v>
      </c>
      <c r="W215">
        <v>3.7</v>
      </c>
      <c r="X215">
        <v>4</v>
      </c>
      <c r="Y215" s="1">
        <f>EV_Data4[[#This Row],[range_miles]]/EV_Data4[[#This Row],[battery_capacity_kwh]]</f>
        <v>4.0892193308550189</v>
      </c>
      <c r="Z215" s="4">
        <f>EV_Data4[[#This Row],[price_usd]]/EV_Data4[[#This Row],[range_miles]]</f>
        <v>146.71227272727273</v>
      </c>
      <c r="AA215" s="2">
        <f>(EV_Data4[[#This Row],[customer_rating]]*EV_Data4[[#This Row],[safety_rating]]*1000)/EV_Data4[[#This Row],[price_usd]]</f>
        <v>0.57316888033782887</v>
      </c>
      <c r="AB215">
        <f>EV_Data4[[#This Row],[horsepower]]+EV_Data4[[#This Row],[torque_nm]]/EV_Data4[[#This Row],[acceleration_0_60_mph]]</f>
        <v>350.43835616438355</v>
      </c>
      <c r="AC215" t="str">
        <f>IF(EV_Data4[[#This Row],[price_usd]]&gt;=80000,"Luxury",IF(EV_Data4[[#This Row],[price_usd]]&gt;=40000,"Mid-Range","Budget"))</f>
        <v>Budget</v>
      </c>
      <c r="AD215" t="str">
        <f>IF(EV_Data4[[#This Row],[range_miles]]&gt;=350,"Long-Range",IF(EV_Data4[[#This Row],[range_miles]]&gt;=250,"Medium-Range","Short-Range"))</f>
        <v>Short-Range</v>
      </c>
      <c r="AE215" t="str">
        <f>IF(EV_Data4[[#This Row],[charging_speed_kw]]&gt;=250,"Ultra-Fast",IF(EV_Data4[[#This Row],[charging_speed_kw]]&gt;=150,"Fast-Charging","Standard-Charging"))</f>
        <v>Standard-Charging</v>
      </c>
      <c r="AF215" t="str">
        <f>IF(EV_Data4[[#This Row],[acceleration_0_60_mph]]&lt;=3,"SportsPerformance",IF(EV_Data4[[#This Row],[acceleration_0_60_mph]]&lt;=5,"HighPerformance","Standard"))</f>
        <v>Standard</v>
      </c>
      <c r="AG215" t="str">
        <f>IF(EV_Data4[[#This Row],[customer_rating]]&gt;=4.5,"Excellent",IF(EV_Data4[[#This Row],[customer_rating]]&gt;=3.5,"Good","Average"))</f>
        <v>Good</v>
      </c>
      <c r="AH21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16" spans="1:34" x14ac:dyDescent="0.3">
      <c r="A216" t="s">
        <v>38</v>
      </c>
      <c r="B216" t="s">
        <v>39</v>
      </c>
      <c r="C216">
        <v>2024</v>
      </c>
      <c r="D216" t="s">
        <v>61</v>
      </c>
      <c r="E216" s="3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27</v>
      </c>
      <c r="N216">
        <v>7</v>
      </c>
      <c r="O216" t="s">
        <v>50</v>
      </c>
      <c r="P216">
        <v>25.2</v>
      </c>
      <c r="Q216">
        <v>1883</v>
      </c>
      <c r="R216">
        <v>5</v>
      </c>
      <c r="S216">
        <v>0</v>
      </c>
      <c r="T216" t="s">
        <v>41</v>
      </c>
      <c r="U216" t="s">
        <v>37</v>
      </c>
      <c r="V216" s="3">
        <v>2434</v>
      </c>
      <c r="W216">
        <v>3.31</v>
      </c>
      <c r="X216">
        <v>4</v>
      </c>
      <c r="Y216" s="1">
        <f>EV_Data4[[#This Row],[range_miles]]/EV_Data4[[#This Row],[battery_capacity_kwh]]</f>
        <v>3.698811096433289</v>
      </c>
      <c r="Z216" s="4">
        <f>EV_Data4[[#This Row],[price_usd]]/EV_Data4[[#This Row],[range_miles]]</f>
        <v>218.11042857142857</v>
      </c>
      <c r="AA216" s="2">
        <f>(EV_Data4[[#This Row],[customer_rating]]*EV_Data4[[#This Row],[safety_rating]]*1000)/EV_Data4[[#This Row],[price_usd]]</f>
        <v>0.2709964087654157</v>
      </c>
      <c r="AB216">
        <f>EV_Data4[[#This Row],[horsepower]]+EV_Data4[[#This Row],[torque_nm]]/EV_Data4[[#This Row],[acceleration_0_60_mph]]</f>
        <v>926.78009630818622</v>
      </c>
      <c r="AC216" t="str">
        <f>IF(EV_Data4[[#This Row],[price_usd]]&gt;=80000,"Luxury",IF(EV_Data4[[#This Row],[price_usd]]&gt;=40000,"Mid-Range","Budget"))</f>
        <v>Mid-Range</v>
      </c>
      <c r="AD216" t="str">
        <f>IF(EV_Data4[[#This Row],[range_miles]]&gt;=350,"Long-Range",IF(EV_Data4[[#This Row],[range_miles]]&gt;=250,"Medium-Range","Short-Range"))</f>
        <v>Medium-Range</v>
      </c>
      <c r="AE216" t="str">
        <f>IF(EV_Data4[[#This Row],[charging_speed_kw]]&gt;=250,"Ultra-Fast",IF(EV_Data4[[#This Row],[charging_speed_kw]]&gt;=150,"Fast-Charging","Standard-Charging"))</f>
        <v>Standard-Charging</v>
      </c>
      <c r="AF216" t="str">
        <f>IF(EV_Data4[[#This Row],[acceleration_0_60_mph]]&lt;=3,"SportsPerformance",IF(EV_Data4[[#This Row],[acceleration_0_60_mph]]&lt;=5,"HighPerformance","Standard"))</f>
        <v>Standard</v>
      </c>
      <c r="AG216" t="str">
        <f>IF(EV_Data4[[#This Row],[customer_rating]]&gt;=4.5,"Excellent",IF(EV_Data4[[#This Row],[customer_rating]]&gt;=3.5,"Good","Average"))</f>
        <v>Average</v>
      </c>
      <c r="AH21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17" spans="1:34" x14ac:dyDescent="0.3">
      <c r="A217" t="s">
        <v>63</v>
      </c>
      <c r="B217" t="s">
        <v>64</v>
      </c>
      <c r="C217">
        <v>2025</v>
      </c>
      <c r="D217" t="s">
        <v>56</v>
      </c>
      <c r="E217" s="3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27</v>
      </c>
      <c r="N217">
        <v>7</v>
      </c>
      <c r="O217" t="s">
        <v>50</v>
      </c>
      <c r="P217">
        <v>21.2</v>
      </c>
      <c r="Q217">
        <v>1654</v>
      </c>
      <c r="R217">
        <v>4</v>
      </c>
      <c r="S217">
        <v>1</v>
      </c>
      <c r="T217" t="s">
        <v>65</v>
      </c>
      <c r="U217" t="s">
        <v>33</v>
      </c>
      <c r="V217" s="3">
        <v>179136</v>
      </c>
      <c r="W217">
        <v>3.46</v>
      </c>
      <c r="X217">
        <v>4</v>
      </c>
      <c r="Y217" s="1">
        <f>EV_Data4[[#This Row],[range_miles]]/EV_Data4[[#This Row],[battery_capacity_kwh]]</f>
        <v>3.3217391304347825</v>
      </c>
      <c r="Z217" s="4">
        <f>EV_Data4[[#This Row],[price_usd]]/EV_Data4[[#This Row],[range_miles]]</f>
        <v>353.24387434554973</v>
      </c>
      <c r="AA217" s="2">
        <f>(EV_Data4[[#This Row],[customer_rating]]*EV_Data4[[#This Row],[safety_rating]]*1000)/EV_Data4[[#This Row],[price_usd]]</f>
        <v>0.2051294820569507</v>
      </c>
      <c r="AB217">
        <f>EV_Data4[[#This Row],[horsepower]]+EV_Data4[[#This Row],[torque_nm]]/EV_Data4[[#This Row],[acceleration_0_60_mph]]</f>
        <v>868.20512820512818</v>
      </c>
      <c r="AC217" t="str">
        <f>IF(EV_Data4[[#This Row],[price_usd]]&gt;=80000,"Luxury",IF(EV_Data4[[#This Row],[price_usd]]&gt;=40000,"Mid-Range","Budget"))</f>
        <v>Mid-Range</v>
      </c>
      <c r="AD217" t="str">
        <f>IF(EV_Data4[[#This Row],[range_miles]]&gt;=350,"Long-Range",IF(EV_Data4[[#This Row],[range_miles]]&gt;=250,"Medium-Range","Short-Range"))</f>
        <v>Short-Range</v>
      </c>
      <c r="AE217" t="str">
        <f>IF(EV_Data4[[#This Row],[charging_speed_kw]]&gt;=250,"Ultra-Fast",IF(EV_Data4[[#This Row],[charging_speed_kw]]&gt;=150,"Fast-Charging","Standard-Charging"))</f>
        <v>Standard-Charging</v>
      </c>
      <c r="AF217" t="str">
        <f>IF(EV_Data4[[#This Row],[acceleration_0_60_mph]]&lt;=3,"SportsPerformance",IF(EV_Data4[[#This Row],[acceleration_0_60_mph]]&lt;=5,"HighPerformance","Standard"))</f>
        <v>Standard</v>
      </c>
      <c r="AG217" t="str">
        <f>IF(EV_Data4[[#This Row],[customer_rating]]&gt;=4.5,"Excellent",IF(EV_Data4[[#This Row],[customer_rating]]&gt;=3.5,"Good","Average"))</f>
        <v>Average</v>
      </c>
      <c r="AH21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18" spans="1:34" x14ac:dyDescent="0.3">
      <c r="A218" t="s">
        <v>63</v>
      </c>
      <c r="B218" t="s">
        <v>64</v>
      </c>
      <c r="C218">
        <v>2025</v>
      </c>
      <c r="D218" t="s">
        <v>44</v>
      </c>
      <c r="E218" s="3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48</v>
      </c>
      <c r="N218">
        <v>5</v>
      </c>
      <c r="O218" t="s">
        <v>35</v>
      </c>
      <c r="P218">
        <v>58.2</v>
      </c>
      <c r="Q218">
        <v>2202</v>
      </c>
      <c r="R218">
        <v>4</v>
      </c>
      <c r="S218">
        <v>1</v>
      </c>
      <c r="T218" t="s">
        <v>65</v>
      </c>
      <c r="U218" t="s">
        <v>37</v>
      </c>
      <c r="V218" s="3">
        <v>211809</v>
      </c>
      <c r="W218">
        <v>3.67</v>
      </c>
      <c r="X218">
        <v>4</v>
      </c>
      <c r="Y218" s="1">
        <f>EV_Data4[[#This Row],[range_miles]]/EV_Data4[[#This Row],[battery_capacity_kwh]]</f>
        <v>3.595166163141994</v>
      </c>
      <c r="Z218" s="4">
        <f>EV_Data4[[#This Row],[price_usd]]/EV_Data4[[#This Row],[range_miles]]</f>
        <v>137.22837535014006</v>
      </c>
      <c r="AA218" s="2">
        <f>(EV_Data4[[#This Row],[customer_rating]]*EV_Data4[[#This Row],[safety_rating]]*1000)/EV_Data4[[#This Row],[price_usd]]</f>
        <v>0.29964974863509336</v>
      </c>
      <c r="AB218">
        <f>EV_Data4[[#This Row],[horsepower]]+EV_Data4[[#This Row],[torque_nm]]/EV_Data4[[#This Row],[acceleration_0_60_mph]]</f>
        <v>621.36200716845883</v>
      </c>
      <c r="AC218" t="str">
        <f>IF(EV_Data4[[#This Row],[price_usd]]&gt;=80000,"Luxury",IF(EV_Data4[[#This Row],[price_usd]]&gt;=40000,"Mid-Range","Budget"))</f>
        <v>Mid-Range</v>
      </c>
      <c r="AD218" t="str">
        <f>IF(EV_Data4[[#This Row],[range_miles]]&gt;=350,"Long-Range",IF(EV_Data4[[#This Row],[range_miles]]&gt;=250,"Medium-Range","Short-Range"))</f>
        <v>Long-Range</v>
      </c>
      <c r="AE218" t="str">
        <f>IF(EV_Data4[[#This Row],[charging_speed_kw]]&gt;=250,"Ultra-Fast",IF(EV_Data4[[#This Row],[charging_speed_kw]]&gt;=150,"Fast-Charging","Standard-Charging"))</f>
        <v>Standard-Charging</v>
      </c>
      <c r="AF218" t="str">
        <f>IF(EV_Data4[[#This Row],[acceleration_0_60_mph]]&lt;=3,"SportsPerformance",IF(EV_Data4[[#This Row],[acceleration_0_60_mph]]&lt;=5,"HighPerformance","Standard"))</f>
        <v>Standard</v>
      </c>
      <c r="AG218" t="str">
        <f>IF(EV_Data4[[#This Row],[customer_rating]]&gt;=4.5,"Excellent",IF(EV_Data4[[#This Row],[customer_rating]]&gt;=3.5,"Good","Average"))</f>
        <v>Good</v>
      </c>
      <c r="AH21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19" spans="1:34" x14ac:dyDescent="0.3">
      <c r="A219" t="s">
        <v>38</v>
      </c>
      <c r="B219" t="s">
        <v>39</v>
      </c>
      <c r="C219">
        <v>2024</v>
      </c>
      <c r="D219" t="s">
        <v>56</v>
      </c>
      <c r="E219" s="3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27</v>
      </c>
      <c r="N219">
        <v>5</v>
      </c>
      <c r="O219" t="s">
        <v>40</v>
      </c>
      <c r="P219">
        <v>61.8</v>
      </c>
      <c r="Q219">
        <v>1500</v>
      </c>
      <c r="R219">
        <v>4</v>
      </c>
      <c r="S219">
        <v>1</v>
      </c>
      <c r="T219" t="s">
        <v>41</v>
      </c>
      <c r="U219" t="s">
        <v>37</v>
      </c>
      <c r="V219" s="3">
        <v>2728</v>
      </c>
      <c r="W219">
        <v>3.2</v>
      </c>
      <c r="X219">
        <v>5</v>
      </c>
      <c r="Y219" s="1">
        <f>EV_Data4[[#This Row],[range_miles]]/EV_Data4[[#This Row],[battery_capacity_kwh]]</f>
        <v>3.2692307692307692</v>
      </c>
      <c r="Z219" s="4">
        <f>EV_Data4[[#This Row],[price_usd]]/EV_Data4[[#This Row],[range_miles]]</f>
        <v>331.20805882352943</v>
      </c>
      <c r="AA219" s="2">
        <f>(EV_Data4[[#This Row],[customer_rating]]*EV_Data4[[#This Row],[safety_rating]]*1000)/EV_Data4[[#This Row],[price_usd]]</f>
        <v>0.22733178025470749</v>
      </c>
      <c r="AB219">
        <f>EV_Data4[[#This Row],[horsepower]]+EV_Data4[[#This Row],[torque_nm]]/EV_Data4[[#This Row],[acceleration_0_60_mph]]</f>
        <v>740.90600924499233</v>
      </c>
      <c r="AC219" t="str">
        <f>IF(EV_Data4[[#This Row],[price_usd]]&gt;=80000,"Luxury",IF(EV_Data4[[#This Row],[price_usd]]&gt;=40000,"Mid-Range","Budget"))</f>
        <v>Mid-Range</v>
      </c>
      <c r="AD219" t="str">
        <f>IF(EV_Data4[[#This Row],[range_miles]]&gt;=350,"Long-Range",IF(EV_Data4[[#This Row],[range_miles]]&gt;=250,"Medium-Range","Short-Range"))</f>
        <v>Short-Range</v>
      </c>
      <c r="AE219" t="str">
        <f>IF(EV_Data4[[#This Row],[charging_speed_kw]]&gt;=250,"Ultra-Fast",IF(EV_Data4[[#This Row],[charging_speed_kw]]&gt;=150,"Fast-Charging","Standard-Charging"))</f>
        <v>Standard-Charging</v>
      </c>
      <c r="AF219" t="str">
        <f>IF(EV_Data4[[#This Row],[acceleration_0_60_mph]]&lt;=3,"SportsPerformance",IF(EV_Data4[[#This Row],[acceleration_0_60_mph]]&lt;=5,"HighPerformance","Standard"))</f>
        <v>Standard</v>
      </c>
      <c r="AG219" t="str">
        <f>IF(EV_Data4[[#This Row],[customer_rating]]&gt;=4.5,"Excellent",IF(EV_Data4[[#This Row],[customer_rating]]&gt;=3.5,"Good","Average"))</f>
        <v>Average</v>
      </c>
      <c r="AH21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20" spans="1:34" x14ac:dyDescent="0.3">
      <c r="A220" t="s">
        <v>83</v>
      </c>
      <c r="B220" t="s">
        <v>114</v>
      </c>
      <c r="C220">
        <v>2021</v>
      </c>
      <c r="D220" t="s">
        <v>61</v>
      </c>
      <c r="E220" s="3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27</v>
      </c>
      <c r="N220">
        <v>7</v>
      </c>
      <c r="O220" t="s">
        <v>51</v>
      </c>
      <c r="P220">
        <v>38.6</v>
      </c>
      <c r="Q220">
        <v>1626</v>
      </c>
      <c r="R220">
        <v>5</v>
      </c>
      <c r="S220">
        <v>1</v>
      </c>
      <c r="T220" t="s">
        <v>29</v>
      </c>
      <c r="U220" t="s">
        <v>33</v>
      </c>
      <c r="V220" s="3">
        <v>79673</v>
      </c>
      <c r="W220">
        <v>3.08</v>
      </c>
      <c r="X220">
        <v>7</v>
      </c>
      <c r="Y220" s="1">
        <f>EV_Data4[[#This Row],[range_miles]]/EV_Data4[[#This Row],[battery_capacity_kwh]]</f>
        <v>3.9215686274509807</v>
      </c>
      <c r="Z220" s="4">
        <f>EV_Data4[[#This Row],[price_usd]]/EV_Data4[[#This Row],[range_miles]]</f>
        <v>588.63724999999999</v>
      </c>
      <c r="AA220" s="2">
        <f>(EV_Data4[[#This Row],[customer_rating]]*EV_Data4[[#This Row],[safety_rating]]*1000)/EV_Data4[[#This Row],[price_usd]]</f>
        <v>0.16351326729662452</v>
      </c>
      <c r="AB220">
        <f>EV_Data4[[#This Row],[horsepower]]+EV_Data4[[#This Row],[torque_nm]]/EV_Data4[[#This Row],[acceleration_0_60_mph]]</f>
        <v>869.53692614770466</v>
      </c>
      <c r="AC220" t="str">
        <f>IF(EV_Data4[[#This Row],[price_usd]]&gt;=80000,"Luxury",IF(EV_Data4[[#This Row],[price_usd]]&gt;=40000,"Mid-Range","Budget"))</f>
        <v>Luxury</v>
      </c>
      <c r="AD220" t="str">
        <f>IF(EV_Data4[[#This Row],[range_miles]]&gt;=350,"Long-Range",IF(EV_Data4[[#This Row],[range_miles]]&gt;=250,"Medium-Range","Short-Range"))</f>
        <v>Short-Range</v>
      </c>
      <c r="AE220" t="str">
        <f>IF(EV_Data4[[#This Row],[charging_speed_kw]]&gt;=250,"Ultra-Fast",IF(EV_Data4[[#This Row],[charging_speed_kw]]&gt;=150,"Fast-Charging","Standard-Charging"))</f>
        <v>Standard-Charging</v>
      </c>
      <c r="AF220" t="str">
        <f>IF(EV_Data4[[#This Row],[acceleration_0_60_mph]]&lt;=3,"SportsPerformance",IF(EV_Data4[[#This Row],[acceleration_0_60_mph]]&lt;=5,"HighPerformance","Standard"))</f>
        <v>Standard</v>
      </c>
      <c r="AG220" t="str">
        <f>IF(EV_Data4[[#This Row],[customer_rating]]&gt;=4.5,"Excellent",IF(EV_Data4[[#This Row],[customer_rating]]&gt;=3.5,"Good","Average"))</f>
        <v>Average</v>
      </c>
      <c r="AH22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21" spans="1:34" x14ac:dyDescent="0.3">
      <c r="A221" t="s">
        <v>52</v>
      </c>
      <c r="B221" t="s">
        <v>103</v>
      </c>
      <c r="C221">
        <v>2025</v>
      </c>
      <c r="D221" t="s">
        <v>44</v>
      </c>
      <c r="E221" s="3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34</v>
      </c>
      <c r="N221">
        <v>7</v>
      </c>
      <c r="O221" t="s">
        <v>50</v>
      </c>
      <c r="P221">
        <v>16.600000000000001</v>
      </c>
      <c r="Q221">
        <v>1843</v>
      </c>
      <c r="R221">
        <v>3</v>
      </c>
      <c r="S221">
        <v>2</v>
      </c>
      <c r="T221" t="s">
        <v>29</v>
      </c>
      <c r="U221" t="s">
        <v>30</v>
      </c>
      <c r="V221" s="3">
        <v>52641</v>
      </c>
      <c r="W221">
        <v>4.0599999999999996</v>
      </c>
      <c r="X221">
        <v>7</v>
      </c>
      <c r="Y221" s="1">
        <f>EV_Data4[[#This Row],[range_miles]]/EV_Data4[[#This Row],[battery_capacity_kwh]]</f>
        <v>3.1727379553466513</v>
      </c>
      <c r="Z221" s="4">
        <f>EV_Data4[[#This Row],[price_usd]]/EV_Data4[[#This Row],[range_miles]]</f>
        <v>453.1065185185185</v>
      </c>
      <c r="AA221" s="2">
        <f>(EV_Data4[[#This Row],[customer_rating]]*EV_Data4[[#This Row],[safety_rating]]*1000)/EV_Data4[[#This Row],[price_usd]]</f>
        <v>9.9559616265523704E-2</v>
      </c>
      <c r="AB221">
        <f>EV_Data4[[#This Row],[horsepower]]+EV_Data4[[#This Row],[torque_nm]]/EV_Data4[[#This Row],[acceleration_0_60_mph]]</f>
        <v>906.25</v>
      </c>
      <c r="AC221" t="str">
        <f>IF(EV_Data4[[#This Row],[price_usd]]&gt;=80000,"Luxury",IF(EV_Data4[[#This Row],[price_usd]]&gt;=40000,"Mid-Range","Budget"))</f>
        <v>Luxury</v>
      </c>
      <c r="AD221" t="str">
        <f>IF(EV_Data4[[#This Row],[range_miles]]&gt;=350,"Long-Range",IF(EV_Data4[[#This Row],[range_miles]]&gt;=250,"Medium-Range","Short-Range"))</f>
        <v>Medium-Range</v>
      </c>
      <c r="AE221" t="str">
        <f>IF(EV_Data4[[#This Row],[charging_speed_kw]]&gt;=250,"Ultra-Fast",IF(EV_Data4[[#This Row],[charging_speed_kw]]&gt;=150,"Fast-Charging","Standard-Charging"))</f>
        <v>Standard-Charging</v>
      </c>
      <c r="AF221" t="str">
        <f>IF(EV_Data4[[#This Row],[acceleration_0_60_mph]]&lt;=3,"SportsPerformance",IF(EV_Data4[[#This Row],[acceleration_0_60_mph]]&lt;=5,"HighPerformance","Standard"))</f>
        <v>HighPerformance</v>
      </c>
      <c r="AG221" t="str">
        <f>IF(EV_Data4[[#This Row],[customer_rating]]&gt;=4.5,"Excellent",IF(EV_Data4[[#This Row],[customer_rating]]&gt;=3.5,"Good","Average"))</f>
        <v>Good</v>
      </c>
      <c r="AH22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22" spans="1:34" x14ac:dyDescent="0.3">
      <c r="A222" t="s">
        <v>83</v>
      </c>
      <c r="B222" t="s">
        <v>89</v>
      </c>
      <c r="C222">
        <v>2023</v>
      </c>
      <c r="D222" t="s">
        <v>61</v>
      </c>
      <c r="E222" s="3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27</v>
      </c>
      <c r="N222">
        <v>5</v>
      </c>
      <c r="O222" t="s">
        <v>51</v>
      </c>
      <c r="P222">
        <v>27.6</v>
      </c>
      <c r="Q222">
        <v>1770</v>
      </c>
      <c r="R222">
        <v>5</v>
      </c>
      <c r="S222">
        <v>2</v>
      </c>
      <c r="T222" t="s">
        <v>29</v>
      </c>
      <c r="U222" t="s">
        <v>33</v>
      </c>
      <c r="V222" s="3">
        <v>68305</v>
      </c>
      <c r="W222">
        <v>3.3</v>
      </c>
      <c r="X222">
        <v>8</v>
      </c>
      <c r="Y222" s="1">
        <f>EV_Data4[[#This Row],[range_miles]]/EV_Data4[[#This Row],[battery_capacity_kwh]]</f>
        <v>3.7936507936507935</v>
      </c>
      <c r="Z222" s="4">
        <f>EV_Data4[[#This Row],[price_usd]]/EV_Data4[[#This Row],[range_miles]]</f>
        <v>283.28502092050206</v>
      </c>
      <c r="AA222" s="2">
        <f>(EV_Data4[[#This Row],[customer_rating]]*EV_Data4[[#This Row],[safety_rating]]*1000)/EV_Data4[[#This Row],[price_usd]]</f>
        <v>0.24370387350321512</v>
      </c>
      <c r="AB222">
        <f>EV_Data4[[#This Row],[horsepower]]+EV_Data4[[#This Row],[torque_nm]]/EV_Data4[[#This Row],[acceleration_0_60_mph]]</f>
        <v>472.97029702970298</v>
      </c>
      <c r="AC222" t="str">
        <f>IF(EV_Data4[[#This Row],[price_usd]]&gt;=80000,"Luxury",IF(EV_Data4[[#This Row],[price_usd]]&gt;=40000,"Mid-Range","Budget"))</f>
        <v>Mid-Range</v>
      </c>
      <c r="AD222" t="str">
        <f>IF(EV_Data4[[#This Row],[range_miles]]&gt;=350,"Long-Range",IF(EV_Data4[[#This Row],[range_miles]]&gt;=250,"Medium-Range","Short-Range"))</f>
        <v>Short-Range</v>
      </c>
      <c r="AE222" t="str">
        <f>IF(EV_Data4[[#This Row],[charging_speed_kw]]&gt;=250,"Ultra-Fast",IF(EV_Data4[[#This Row],[charging_speed_kw]]&gt;=150,"Fast-Charging","Standard-Charging"))</f>
        <v>Standard-Charging</v>
      </c>
      <c r="AF222" t="str">
        <f>IF(EV_Data4[[#This Row],[acceleration_0_60_mph]]&lt;=3,"SportsPerformance",IF(EV_Data4[[#This Row],[acceleration_0_60_mph]]&lt;=5,"HighPerformance","Standard"))</f>
        <v>Standard</v>
      </c>
      <c r="AG222" t="str">
        <f>IF(EV_Data4[[#This Row],[customer_rating]]&gt;=4.5,"Excellent",IF(EV_Data4[[#This Row],[customer_rating]]&gt;=3.5,"Good","Average"))</f>
        <v>Average</v>
      </c>
      <c r="AH22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23" spans="1:34" x14ac:dyDescent="0.3">
      <c r="A223" t="s">
        <v>42</v>
      </c>
      <c r="B223" t="s">
        <v>115</v>
      </c>
      <c r="C223">
        <v>2024</v>
      </c>
      <c r="D223" t="s">
        <v>61</v>
      </c>
      <c r="E223" s="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34</v>
      </c>
      <c r="N223">
        <v>5</v>
      </c>
      <c r="O223" t="s">
        <v>28</v>
      </c>
      <c r="P223">
        <v>68.8</v>
      </c>
      <c r="Q223">
        <v>2615</v>
      </c>
      <c r="R223">
        <v>5</v>
      </c>
      <c r="S223">
        <v>1</v>
      </c>
      <c r="T223" t="s">
        <v>45</v>
      </c>
      <c r="U223" t="s">
        <v>37</v>
      </c>
      <c r="V223" s="3">
        <v>145791</v>
      </c>
      <c r="W223">
        <v>3</v>
      </c>
      <c r="X223">
        <v>5</v>
      </c>
      <c r="Y223" s="1">
        <f>EV_Data4[[#This Row],[range_miles]]/EV_Data4[[#This Row],[battery_capacity_kwh]]</f>
        <v>3.4196891191709846</v>
      </c>
      <c r="Z223" s="4">
        <f>EV_Data4[[#This Row],[price_usd]]/EV_Data4[[#This Row],[range_miles]]</f>
        <v>226.87141414141414</v>
      </c>
      <c r="AA223" s="2">
        <f>(EV_Data4[[#This Row],[customer_rating]]*EV_Data4[[#This Row],[safety_rating]]*1000)/EV_Data4[[#This Row],[price_usd]]</f>
        <v>0.33392296708810715</v>
      </c>
      <c r="AB223">
        <f>EV_Data4[[#This Row],[horsepower]]+EV_Data4[[#This Row],[torque_nm]]/EV_Data4[[#This Row],[acceleration_0_60_mph]]</f>
        <v>434.65482233502536</v>
      </c>
      <c r="AC223" t="str">
        <f>IF(EV_Data4[[#This Row],[price_usd]]&gt;=80000,"Luxury",IF(EV_Data4[[#This Row],[price_usd]]&gt;=40000,"Mid-Range","Budget"))</f>
        <v>Mid-Range</v>
      </c>
      <c r="AD223" t="str">
        <f>IF(EV_Data4[[#This Row],[range_miles]]&gt;=350,"Long-Range",IF(EV_Data4[[#This Row],[range_miles]]&gt;=250,"Medium-Range","Short-Range"))</f>
        <v>Short-Range</v>
      </c>
      <c r="AE223" t="str">
        <f>IF(EV_Data4[[#This Row],[charging_speed_kw]]&gt;=250,"Ultra-Fast",IF(EV_Data4[[#This Row],[charging_speed_kw]]&gt;=150,"Fast-Charging","Standard-Charging"))</f>
        <v>Standard-Charging</v>
      </c>
      <c r="AF223" t="str">
        <f>IF(EV_Data4[[#This Row],[acceleration_0_60_mph]]&lt;=3,"SportsPerformance",IF(EV_Data4[[#This Row],[acceleration_0_60_mph]]&lt;=5,"HighPerformance","Standard"))</f>
        <v>Standard</v>
      </c>
      <c r="AG223" t="str">
        <f>IF(EV_Data4[[#This Row],[customer_rating]]&gt;=4.5,"Excellent",IF(EV_Data4[[#This Row],[customer_rating]]&gt;=3.5,"Good","Average"))</f>
        <v>Average</v>
      </c>
      <c r="AH22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24" spans="1:34" x14ac:dyDescent="0.3">
      <c r="A224" t="s">
        <v>46</v>
      </c>
      <c r="B224" t="s">
        <v>72</v>
      </c>
      <c r="C224">
        <v>2024</v>
      </c>
      <c r="D224" t="s">
        <v>33</v>
      </c>
      <c r="E224" s="3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34</v>
      </c>
      <c r="N224">
        <v>7</v>
      </c>
      <c r="O224" t="s">
        <v>28</v>
      </c>
      <c r="P224">
        <v>74</v>
      </c>
      <c r="Q224">
        <v>2335</v>
      </c>
      <c r="R224">
        <v>3</v>
      </c>
      <c r="S224">
        <v>2</v>
      </c>
      <c r="T224" t="s">
        <v>41</v>
      </c>
      <c r="U224" t="s">
        <v>37</v>
      </c>
      <c r="V224" s="3">
        <v>118665</v>
      </c>
      <c r="W224">
        <v>3.65</v>
      </c>
      <c r="X224">
        <v>6</v>
      </c>
      <c r="Y224" s="1">
        <f>EV_Data4[[#This Row],[range_miles]]/EV_Data4[[#This Row],[battery_capacity_kwh]]</f>
        <v>3.8588235294117648</v>
      </c>
      <c r="Z224" s="4">
        <f>EV_Data4[[#This Row],[price_usd]]/EV_Data4[[#This Row],[range_miles]]</f>
        <v>292.02121951219516</v>
      </c>
      <c r="AA224" s="2">
        <f>(EV_Data4[[#This Row],[customer_rating]]*EV_Data4[[#This Row],[safety_rating]]*1000)/EV_Data4[[#This Row],[price_usd]]</f>
        <v>0.22864192127702046</v>
      </c>
      <c r="AB224">
        <f>EV_Data4[[#This Row],[horsepower]]+EV_Data4[[#This Row],[torque_nm]]/EV_Data4[[#This Row],[acceleration_0_60_mph]]</f>
        <v>406.65891472868219</v>
      </c>
      <c r="AC224" t="str">
        <f>IF(EV_Data4[[#This Row],[price_usd]]&gt;=80000,"Luxury",IF(EV_Data4[[#This Row],[price_usd]]&gt;=40000,"Mid-Range","Budget"))</f>
        <v>Mid-Range</v>
      </c>
      <c r="AD224" t="str">
        <f>IF(EV_Data4[[#This Row],[range_miles]]&gt;=350,"Long-Range",IF(EV_Data4[[#This Row],[range_miles]]&gt;=250,"Medium-Range","Short-Range"))</f>
        <v>Short-Range</v>
      </c>
      <c r="AE224" t="str">
        <f>IF(EV_Data4[[#This Row],[charging_speed_kw]]&gt;=250,"Ultra-Fast",IF(EV_Data4[[#This Row],[charging_speed_kw]]&gt;=150,"Fast-Charging","Standard-Charging"))</f>
        <v>Ultra-Fast</v>
      </c>
      <c r="AF224" t="str">
        <f>IF(EV_Data4[[#This Row],[acceleration_0_60_mph]]&lt;=3,"SportsPerformance",IF(EV_Data4[[#This Row],[acceleration_0_60_mph]]&lt;=5,"HighPerformance","Standard"))</f>
        <v>Standard</v>
      </c>
      <c r="AG224" t="str">
        <f>IF(EV_Data4[[#This Row],[customer_rating]]&gt;=4.5,"Excellent",IF(EV_Data4[[#This Row],[customer_rating]]&gt;=3.5,"Good","Average"))</f>
        <v>Good</v>
      </c>
      <c r="AH22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25" spans="1:34" x14ac:dyDescent="0.3">
      <c r="A225" t="s">
        <v>24</v>
      </c>
      <c r="B225" t="s">
        <v>74</v>
      </c>
      <c r="C225">
        <v>2022</v>
      </c>
      <c r="D225" t="s">
        <v>33</v>
      </c>
      <c r="E225" s="3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34</v>
      </c>
      <c r="N225">
        <v>7</v>
      </c>
      <c r="O225" t="s">
        <v>35</v>
      </c>
      <c r="P225">
        <v>38</v>
      </c>
      <c r="Q225">
        <v>1760</v>
      </c>
      <c r="R225">
        <v>5</v>
      </c>
      <c r="S225">
        <v>0</v>
      </c>
      <c r="T225" t="s">
        <v>29</v>
      </c>
      <c r="U225" t="s">
        <v>37</v>
      </c>
      <c r="V225" s="3">
        <v>222675</v>
      </c>
      <c r="W225">
        <v>3.19</v>
      </c>
      <c r="X225">
        <v>5</v>
      </c>
      <c r="Y225" s="1">
        <f>EV_Data4[[#This Row],[range_miles]]/EV_Data4[[#This Row],[battery_capacity_kwh]]</f>
        <v>3.2643118148599273</v>
      </c>
      <c r="Z225" s="4">
        <f>EV_Data4[[#This Row],[price_usd]]/EV_Data4[[#This Row],[range_miles]]</f>
        <v>231.74772388059702</v>
      </c>
      <c r="AA225" s="2">
        <f>(EV_Data4[[#This Row],[customer_rating]]*EV_Data4[[#This Row],[safety_rating]]*1000)/EV_Data4[[#This Row],[price_usd]]</f>
        <v>0.2568091042128125</v>
      </c>
      <c r="AB225">
        <f>EV_Data4[[#This Row],[horsepower]]+EV_Data4[[#This Row],[torque_nm]]/EV_Data4[[#This Row],[acceleration_0_60_mph]]</f>
        <v>711.75035663338087</v>
      </c>
      <c r="AC225" t="str">
        <f>IF(EV_Data4[[#This Row],[price_usd]]&gt;=80000,"Luxury",IF(EV_Data4[[#This Row],[price_usd]]&gt;=40000,"Mid-Range","Budget"))</f>
        <v>Mid-Range</v>
      </c>
      <c r="AD225" t="str">
        <f>IF(EV_Data4[[#This Row],[range_miles]]&gt;=350,"Long-Range",IF(EV_Data4[[#This Row],[range_miles]]&gt;=250,"Medium-Range","Short-Range"))</f>
        <v>Medium-Range</v>
      </c>
      <c r="AE225" t="str">
        <f>IF(EV_Data4[[#This Row],[charging_speed_kw]]&gt;=250,"Ultra-Fast",IF(EV_Data4[[#This Row],[charging_speed_kw]]&gt;=150,"Fast-Charging","Standard-Charging"))</f>
        <v>Standard-Charging</v>
      </c>
      <c r="AF225" t="str">
        <f>IF(EV_Data4[[#This Row],[acceleration_0_60_mph]]&lt;=3,"SportsPerformance",IF(EV_Data4[[#This Row],[acceleration_0_60_mph]]&lt;=5,"HighPerformance","Standard"))</f>
        <v>Standard</v>
      </c>
      <c r="AG225" t="str">
        <f>IF(EV_Data4[[#This Row],[customer_rating]]&gt;=4.5,"Excellent",IF(EV_Data4[[#This Row],[customer_rating]]&gt;=3.5,"Good","Average"))</f>
        <v>Average</v>
      </c>
      <c r="AH22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26" spans="1:34" x14ac:dyDescent="0.3">
      <c r="A226" t="s">
        <v>63</v>
      </c>
      <c r="B226" t="s">
        <v>64</v>
      </c>
      <c r="C226">
        <v>2025</v>
      </c>
      <c r="D226" t="s">
        <v>44</v>
      </c>
      <c r="E226" s="3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34</v>
      </c>
      <c r="N226">
        <v>5</v>
      </c>
      <c r="O226" t="s">
        <v>58</v>
      </c>
      <c r="P226">
        <v>38.9</v>
      </c>
      <c r="Q226">
        <v>1500</v>
      </c>
      <c r="R226">
        <v>5</v>
      </c>
      <c r="S226">
        <v>0</v>
      </c>
      <c r="T226" t="s">
        <v>65</v>
      </c>
      <c r="U226" t="s">
        <v>66</v>
      </c>
      <c r="V226" s="3">
        <v>228388</v>
      </c>
      <c r="W226">
        <v>3.55</v>
      </c>
      <c r="X226">
        <v>4</v>
      </c>
      <c r="Y226" s="1">
        <f>EV_Data4[[#This Row],[range_miles]]/EV_Data4[[#This Row],[battery_capacity_kwh]]</f>
        <v>3.2523148148148144</v>
      </c>
      <c r="Z226" s="4">
        <f>EV_Data4[[#This Row],[price_usd]]/EV_Data4[[#This Row],[range_miles]]</f>
        <v>86.883807829181492</v>
      </c>
      <c r="AA226" s="2">
        <f>(EV_Data4[[#This Row],[customer_rating]]*EV_Data4[[#This Row],[safety_rating]]*1000)/EV_Data4[[#This Row],[price_usd]]</f>
        <v>0.72703143847778051</v>
      </c>
      <c r="AB226">
        <f>EV_Data4[[#This Row],[horsepower]]+EV_Data4[[#This Row],[torque_nm]]/EV_Data4[[#This Row],[acceleration_0_60_mph]]</f>
        <v>207.95066413662238</v>
      </c>
      <c r="AC226" t="str">
        <f>IF(EV_Data4[[#This Row],[price_usd]]&gt;=80000,"Luxury",IF(EV_Data4[[#This Row],[price_usd]]&gt;=40000,"Mid-Range","Budget"))</f>
        <v>Budget</v>
      </c>
      <c r="AD226" t="str">
        <f>IF(EV_Data4[[#This Row],[range_miles]]&gt;=350,"Long-Range",IF(EV_Data4[[#This Row],[range_miles]]&gt;=250,"Medium-Range","Short-Range"))</f>
        <v>Medium-Range</v>
      </c>
      <c r="AE226" t="str">
        <f>IF(EV_Data4[[#This Row],[charging_speed_kw]]&gt;=250,"Ultra-Fast",IF(EV_Data4[[#This Row],[charging_speed_kw]]&gt;=150,"Fast-Charging","Standard-Charging"))</f>
        <v>Standard-Charging</v>
      </c>
      <c r="AF226" t="str">
        <f>IF(EV_Data4[[#This Row],[acceleration_0_60_mph]]&lt;=3,"SportsPerformance",IF(EV_Data4[[#This Row],[acceleration_0_60_mph]]&lt;=5,"HighPerformance","Standard"))</f>
        <v>Standard</v>
      </c>
      <c r="AG226" t="str">
        <f>IF(EV_Data4[[#This Row],[customer_rating]]&gt;=4.5,"Excellent",IF(EV_Data4[[#This Row],[customer_rating]]&gt;=3.5,"Good","Average"))</f>
        <v>Good</v>
      </c>
      <c r="AH22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27" spans="1:34" x14ac:dyDescent="0.3">
      <c r="A227" t="s">
        <v>63</v>
      </c>
      <c r="B227" t="s">
        <v>107</v>
      </c>
      <c r="C227">
        <v>2023</v>
      </c>
      <c r="D227" t="s">
        <v>61</v>
      </c>
      <c r="E227" s="3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34</v>
      </c>
      <c r="N227">
        <v>5</v>
      </c>
      <c r="O227" t="s">
        <v>28</v>
      </c>
      <c r="P227">
        <v>64.3</v>
      </c>
      <c r="Q227">
        <v>2600</v>
      </c>
      <c r="R227">
        <v>4</v>
      </c>
      <c r="S227">
        <v>0</v>
      </c>
      <c r="T227" t="s">
        <v>65</v>
      </c>
      <c r="U227" t="s">
        <v>37</v>
      </c>
      <c r="V227" s="3">
        <v>117310</v>
      </c>
      <c r="W227">
        <v>3.57</v>
      </c>
      <c r="X227">
        <v>5</v>
      </c>
      <c r="Y227" s="1">
        <f>EV_Data4[[#This Row],[range_miles]]/EV_Data4[[#This Row],[battery_capacity_kwh]]</f>
        <v>3.3691275167785233</v>
      </c>
      <c r="Z227" s="4">
        <f>EV_Data4[[#This Row],[price_usd]]/EV_Data4[[#This Row],[range_miles]]</f>
        <v>143.60529880478089</v>
      </c>
      <c r="AA227" s="2">
        <f>(EV_Data4[[#This Row],[customer_rating]]*EV_Data4[[#This Row],[safety_rating]]*1000)/EV_Data4[[#This Row],[price_usd]]</f>
        <v>0.39617222172438676</v>
      </c>
      <c r="AB227">
        <f>EV_Data4[[#This Row],[horsepower]]+EV_Data4[[#This Row],[torque_nm]]/EV_Data4[[#This Row],[acceleration_0_60_mph]]</f>
        <v>373.16475095785438</v>
      </c>
      <c r="AC227" t="str">
        <f>IF(EV_Data4[[#This Row],[price_usd]]&gt;=80000,"Luxury",IF(EV_Data4[[#This Row],[price_usd]]&gt;=40000,"Mid-Range","Budget"))</f>
        <v>Budget</v>
      </c>
      <c r="AD227" t="str">
        <f>IF(EV_Data4[[#This Row],[range_miles]]&gt;=350,"Long-Range",IF(EV_Data4[[#This Row],[range_miles]]&gt;=250,"Medium-Range","Short-Range"))</f>
        <v>Medium-Range</v>
      </c>
      <c r="AE227" t="str">
        <f>IF(EV_Data4[[#This Row],[charging_speed_kw]]&gt;=250,"Ultra-Fast",IF(EV_Data4[[#This Row],[charging_speed_kw]]&gt;=150,"Fast-Charging","Standard-Charging"))</f>
        <v>Standard-Charging</v>
      </c>
      <c r="AF227" t="str">
        <f>IF(EV_Data4[[#This Row],[acceleration_0_60_mph]]&lt;=3,"SportsPerformance",IF(EV_Data4[[#This Row],[acceleration_0_60_mph]]&lt;=5,"HighPerformance","Standard"))</f>
        <v>Standard</v>
      </c>
      <c r="AG227" t="str">
        <f>IF(EV_Data4[[#This Row],[customer_rating]]&gt;=4.5,"Excellent",IF(EV_Data4[[#This Row],[customer_rating]]&gt;=3.5,"Good","Average"))</f>
        <v>Good</v>
      </c>
      <c r="AH22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28" spans="1:34" x14ac:dyDescent="0.3">
      <c r="A228" t="s">
        <v>59</v>
      </c>
      <c r="B228" t="s">
        <v>60</v>
      </c>
      <c r="C228">
        <v>2024</v>
      </c>
      <c r="D228" t="s">
        <v>33</v>
      </c>
      <c r="E228" s="3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27</v>
      </c>
      <c r="N228">
        <v>5</v>
      </c>
      <c r="O228" t="s">
        <v>51</v>
      </c>
      <c r="P228">
        <v>16.5</v>
      </c>
      <c r="Q228">
        <v>1631</v>
      </c>
      <c r="R228">
        <v>4</v>
      </c>
      <c r="S228">
        <v>1</v>
      </c>
      <c r="T228" t="s">
        <v>41</v>
      </c>
      <c r="U228" t="s">
        <v>33</v>
      </c>
      <c r="V228" s="3">
        <v>20333</v>
      </c>
      <c r="W228">
        <v>3.29</v>
      </c>
      <c r="X228">
        <v>4</v>
      </c>
      <c r="Y228" s="1">
        <f>EV_Data4[[#This Row],[range_miles]]/EV_Data4[[#This Row],[battery_capacity_kwh]]</f>
        <v>3.5971223021582732</v>
      </c>
      <c r="Z228" s="4">
        <f>EV_Data4[[#This Row],[price_usd]]/EV_Data4[[#This Row],[range_miles]]</f>
        <v>449.71086666666667</v>
      </c>
      <c r="AA228" s="2">
        <f>(EV_Data4[[#This Row],[customer_rating]]*EV_Data4[[#This Row],[safety_rating]]*1000)/EV_Data4[[#This Row],[price_usd]]</f>
        <v>0.19508831081540834</v>
      </c>
      <c r="AB228">
        <f>EV_Data4[[#This Row],[horsepower]]+EV_Data4[[#This Row],[torque_nm]]/EV_Data4[[#This Row],[acceleration_0_60_mph]]</f>
        <v>591.42530755711778</v>
      </c>
      <c r="AC228" t="str">
        <f>IF(EV_Data4[[#This Row],[price_usd]]&gt;=80000,"Luxury",IF(EV_Data4[[#This Row],[price_usd]]&gt;=40000,"Mid-Range","Budget"))</f>
        <v>Mid-Range</v>
      </c>
      <c r="AD228" t="str">
        <f>IF(EV_Data4[[#This Row],[range_miles]]&gt;=350,"Long-Range",IF(EV_Data4[[#This Row],[range_miles]]&gt;=250,"Medium-Range","Short-Range"))</f>
        <v>Short-Range</v>
      </c>
      <c r="AE228" t="str">
        <f>IF(EV_Data4[[#This Row],[charging_speed_kw]]&gt;=250,"Ultra-Fast",IF(EV_Data4[[#This Row],[charging_speed_kw]]&gt;=150,"Fast-Charging","Standard-Charging"))</f>
        <v>Standard-Charging</v>
      </c>
      <c r="AF228" t="str">
        <f>IF(EV_Data4[[#This Row],[acceleration_0_60_mph]]&lt;=3,"SportsPerformance",IF(EV_Data4[[#This Row],[acceleration_0_60_mph]]&lt;=5,"HighPerformance","Standard"))</f>
        <v>Standard</v>
      </c>
      <c r="AG228" t="str">
        <f>IF(EV_Data4[[#This Row],[customer_rating]]&gt;=4.5,"Excellent",IF(EV_Data4[[#This Row],[customer_rating]]&gt;=3.5,"Good","Average"))</f>
        <v>Average</v>
      </c>
      <c r="AH22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29" spans="1:34" x14ac:dyDescent="0.3">
      <c r="A229" t="s">
        <v>24</v>
      </c>
      <c r="B229" t="s">
        <v>25</v>
      </c>
      <c r="C229">
        <v>2025</v>
      </c>
      <c r="D229" t="s">
        <v>44</v>
      </c>
      <c r="E229" s="3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34</v>
      </c>
      <c r="N229">
        <v>5</v>
      </c>
      <c r="O229" t="s">
        <v>50</v>
      </c>
      <c r="P229">
        <v>19</v>
      </c>
      <c r="Q229">
        <v>1588</v>
      </c>
      <c r="R229">
        <v>3</v>
      </c>
      <c r="S229">
        <v>1</v>
      </c>
      <c r="T229" t="s">
        <v>29</v>
      </c>
      <c r="U229" t="s">
        <v>37</v>
      </c>
      <c r="V229" s="3">
        <v>238272</v>
      </c>
      <c r="W229">
        <v>3.57</v>
      </c>
      <c r="X229">
        <v>4</v>
      </c>
      <c r="Y229" s="1">
        <f>EV_Data4[[#This Row],[range_miles]]/EV_Data4[[#This Row],[battery_capacity_kwh]]</f>
        <v>3.428270042194093</v>
      </c>
      <c r="Z229" s="4">
        <f>EV_Data4[[#This Row],[price_usd]]/EV_Data4[[#This Row],[range_miles]]</f>
        <v>161.78452307692308</v>
      </c>
      <c r="AA229" s="2">
        <f>(EV_Data4[[#This Row],[customer_rating]]*EV_Data4[[#This Row],[safety_rating]]*1000)/EV_Data4[[#This Row],[price_usd]]</f>
        <v>0.20368973204054697</v>
      </c>
      <c r="AB229">
        <f>EV_Data4[[#This Row],[horsepower]]+EV_Data4[[#This Row],[torque_nm]]/EV_Data4[[#This Row],[acceleration_0_60_mph]]</f>
        <v>602.15094339622647</v>
      </c>
      <c r="AC229" t="str">
        <f>IF(EV_Data4[[#This Row],[price_usd]]&gt;=80000,"Luxury",IF(EV_Data4[[#This Row],[price_usd]]&gt;=40000,"Mid-Range","Budget"))</f>
        <v>Mid-Range</v>
      </c>
      <c r="AD229" t="str">
        <f>IF(EV_Data4[[#This Row],[range_miles]]&gt;=350,"Long-Range",IF(EV_Data4[[#This Row],[range_miles]]&gt;=250,"Medium-Range","Short-Range"))</f>
        <v>Medium-Range</v>
      </c>
      <c r="AE229" t="str">
        <f>IF(EV_Data4[[#This Row],[charging_speed_kw]]&gt;=250,"Ultra-Fast",IF(EV_Data4[[#This Row],[charging_speed_kw]]&gt;=150,"Fast-Charging","Standard-Charging"))</f>
        <v>Standard-Charging</v>
      </c>
      <c r="AF229" t="str">
        <f>IF(EV_Data4[[#This Row],[acceleration_0_60_mph]]&lt;=3,"SportsPerformance",IF(EV_Data4[[#This Row],[acceleration_0_60_mph]]&lt;=5,"HighPerformance","Standard"))</f>
        <v>Standard</v>
      </c>
      <c r="AG229" t="str">
        <f>IF(EV_Data4[[#This Row],[customer_rating]]&gt;=4.5,"Excellent",IF(EV_Data4[[#This Row],[customer_rating]]&gt;=3.5,"Good","Average"))</f>
        <v>Good</v>
      </c>
      <c r="AH22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30" spans="1:34" x14ac:dyDescent="0.3">
      <c r="A230" t="s">
        <v>86</v>
      </c>
      <c r="B230" t="s">
        <v>117</v>
      </c>
      <c r="C230">
        <v>2025</v>
      </c>
      <c r="D230" t="s">
        <v>56</v>
      </c>
      <c r="E230" s="3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48</v>
      </c>
      <c r="N230">
        <v>5</v>
      </c>
      <c r="O230" t="s">
        <v>51</v>
      </c>
      <c r="P230">
        <v>35.5</v>
      </c>
      <c r="Q230">
        <v>1693</v>
      </c>
      <c r="R230">
        <v>5</v>
      </c>
      <c r="S230">
        <v>2</v>
      </c>
      <c r="T230" t="s">
        <v>29</v>
      </c>
      <c r="U230" t="s">
        <v>33</v>
      </c>
      <c r="V230" s="3">
        <v>77358</v>
      </c>
      <c r="W230">
        <v>3</v>
      </c>
      <c r="X230">
        <v>7</v>
      </c>
      <c r="Y230" s="1">
        <f>EV_Data4[[#This Row],[range_miles]]/EV_Data4[[#This Row],[battery_capacity_kwh]]</f>
        <v>3.7313432835820892</v>
      </c>
      <c r="Z230" s="4">
        <f>EV_Data4[[#This Row],[price_usd]]/EV_Data4[[#This Row],[range_miles]]</f>
        <v>546.27593333333334</v>
      </c>
      <c r="AA230" s="2">
        <f>(EV_Data4[[#This Row],[customer_rating]]*EV_Data4[[#This Row],[safety_rating]]*1000)/EV_Data4[[#This Row],[price_usd]]</f>
        <v>0.18305767085474142</v>
      </c>
      <c r="AB230">
        <f>EV_Data4[[#This Row],[horsepower]]+EV_Data4[[#This Row],[torque_nm]]/EV_Data4[[#This Row],[acceleration_0_60_mph]]</f>
        <v>581.02941176470586</v>
      </c>
      <c r="AC230" t="str">
        <f>IF(EV_Data4[[#This Row],[price_usd]]&gt;=80000,"Luxury",IF(EV_Data4[[#This Row],[price_usd]]&gt;=40000,"Mid-Range","Budget"))</f>
        <v>Luxury</v>
      </c>
      <c r="AD230" t="str">
        <f>IF(EV_Data4[[#This Row],[range_miles]]&gt;=350,"Long-Range",IF(EV_Data4[[#This Row],[range_miles]]&gt;=250,"Medium-Range","Short-Range"))</f>
        <v>Short-Range</v>
      </c>
      <c r="AE230" t="str">
        <f>IF(EV_Data4[[#This Row],[charging_speed_kw]]&gt;=250,"Ultra-Fast",IF(EV_Data4[[#This Row],[charging_speed_kw]]&gt;=150,"Fast-Charging","Standard-Charging"))</f>
        <v>Standard-Charging</v>
      </c>
      <c r="AF230" t="str">
        <f>IF(EV_Data4[[#This Row],[acceleration_0_60_mph]]&lt;=3,"SportsPerformance",IF(EV_Data4[[#This Row],[acceleration_0_60_mph]]&lt;=5,"HighPerformance","Standard"))</f>
        <v>Standard</v>
      </c>
      <c r="AG230" t="str">
        <f>IF(EV_Data4[[#This Row],[customer_rating]]&gt;=4.5,"Excellent",IF(EV_Data4[[#This Row],[customer_rating]]&gt;=3.5,"Good","Average"))</f>
        <v>Average</v>
      </c>
      <c r="AH23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31" spans="1:34" x14ac:dyDescent="0.3">
      <c r="A231" t="s">
        <v>83</v>
      </c>
      <c r="B231" t="s">
        <v>116</v>
      </c>
      <c r="C231">
        <v>2026</v>
      </c>
      <c r="D231" t="s">
        <v>26</v>
      </c>
      <c r="E231" s="3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27</v>
      </c>
      <c r="N231">
        <v>5</v>
      </c>
      <c r="O231" t="s">
        <v>28</v>
      </c>
      <c r="P231">
        <v>55</v>
      </c>
      <c r="Q231">
        <v>2197</v>
      </c>
      <c r="R231">
        <v>4</v>
      </c>
      <c r="S231">
        <v>2</v>
      </c>
      <c r="T231" t="s">
        <v>29</v>
      </c>
      <c r="U231" t="s">
        <v>30</v>
      </c>
      <c r="V231" s="3">
        <v>50521</v>
      </c>
      <c r="W231">
        <v>3.46</v>
      </c>
      <c r="X231">
        <v>7</v>
      </c>
      <c r="Y231" s="1">
        <f>EV_Data4[[#This Row],[range_miles]]/EV_Data4[[#This Row],[battery_capacity_kwh]]</f>
        <v>3.7455830388692579</v>
      </c>
      <c r="Z231" s="4">
        <f>EV_Data4[[#This Row],[price_usd]]/EV_Data4[[#This Row],[range_miles]]</f>
        <v>420.91899371069178</v>
      </c>
      <c r="AA231" s="2">
        <f>(EV_Data4[[#This Row],[customer_rating]]*EV_Data4[[#This Row],[safety_rating]]*1000)/EV_Data4[[#This Row],[price_usd]]</f>
        <v>0.10339759723109603</v>
      </c>
      <c r="AB231">
        <f>EV_Data4[[#This Row],[horsepower]]+EV_Data4[[#This Row],[torque_nm]]/EV_Data4[[#This Row],[acceleration_0_60_mph]]</f>
        <v>1311.7241379310344</v>
      </c>
      <c r="AC231" t="str">
        <f>IF(EV_Data4[[#This Row],[price_usd]]&gt;=80000,"Luxury",IF(EV_Data4[[#This Row],[price_usd]]&gt;=40000,"Mid-Range","Budget"))</f>
        <v>Luxury</v>
      </c>
      <c r="AD231" t="str">
        <f>IF(EV_Data4[[#This Row],[range_miles]]&gt;=350,"Long-Range",IF(EV_Data4[[#This Row],[range_miles]]&gt;=250,"Medium-Range","Short-Range"))</f>
        <v>Medium-Range</v>
      </c>
      <c r="AE231" t="str">
        <f>IF(EV_Data4[[#This Row],[charging_speed_kw]]&gt;=250,"Ultra-Fast",IF(EV_Data4[[#This Row],[charging_speed_kw]]&gt;=150,"Fast-Charging","Standard-Charging"))</f>
        <v>Fast-Charging</v>
      </c>
      <c r="AF231" t="str">
        <f>IF(EV_Data4[[#This Row],[acceleration_0_60_mph]]&lt;=3,"SportsPerformance",IF(EV_Data4[[#This Row],[acceleration_0_60_mph]]&lt;=5,"HighPerformance","Standard"))</f>
        <v>SportsPerformance</v>
      </c>
      <c r="AG231" t="str">
        <f>IF(EV_Data4[[#This Row],[customer_rating]]&gt;=4.5,"Excellent",IF(EV_Data4[[#This Row],[customer_rating]]&gt;=3.5,"Good","Average"))</f>
        <v>Average</v>
      </c>
      <c r="AH23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32" spans="1:34" x14ac:dyDescent="0.3">
      <c r="A232" t="s">
        <v>76</v>
      </c>
      <c r="B232" t="s">
        <v>77</v>
      </c>
      <c r="C232">
        <v>2025</v>
      </c>
      <c r="D232" t="s">
        <v>61</v>
      </c>
      <c r="E232" s="3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48</v>
      </c>
      <c r="N232">
        <v>5</v>
      </c>
      <c r="O232" t="s">
        <v>35</v>
      </c>
      <c r="P232">
        <v>66.900000000000006</v>
      </c>
      <c r="Q232">
        <v>2215</v>
      </c>
      <c r="R232">
        <v>3</v>
      </c>
      <c r="S232">
        <v>0</v>
      </c>
      <c r="T232" t="s">
        <v>41</v>
      </c>
      <c r="U232" t="s">
        <v>37</v>
      </c>
      <c r="V232" s="3">
        <v>69874</v>
      </c>
      <c r="W232">
        <v>3.35</v>
      </c>
      <c r="X232">
        <v>4</v>
      </c>
      <c r="Y232" s="1">
        <f>EV_Data4[[#This Row],[range_miles]]/EV_Data4[[#This Row],[battery_capacity_kwh]]</f>
        <v>3.6855345911949686</v>
      </c>
      <c r="Z232" s="4">
        <f>EV_Data4[[#This Row],[price_usd]]/EV_Data4[[#This Row],[range_miles]]</f>
        <v>191.26993174061431</v>
      </c>
      <c r="AA232" s="2">
        <f>(EV_Data4[[#This Row],[customer_rating]]*EV_Data4[[#This Row],[safety_rating]]*1000)/EV_Data4[[#This Row],[price_usd]]</f>
        <v>0.17932950038087445</v>
      </c>
      <c r="AB232">
        <f>EV_Data4[[#This Row],[horsepower]]+EV_Data4[[#This Row],[torque_nm]]/EV_Data4[[#This Row],[acceleration_0_60_mph]]</f>
        <v>623.80991735537191</v>
      </c>
      <c r="AC232" t="str">
        <f>IF(EV_Data4[[#This Row],[price_usd]]&gt;=80000,"Luxury",IF(EV_Data4[[#This Row],[price_usd]]&gt;=40000,"Mid-Range","Budget"))</f>
        <v>Mid-Range</v>
      </c>
      <c r="AD232" t="str">
        <f>IF(EV_Data4[[#This Row],[range_miles]]&gt;=350,"Long-Range",IF(EV_Data4[[#This Row],[range_miles]]&gt;=250,"Medium-Range","Short-Range"))</f>
        <v>Medium-Range</v>
      </c>
      <c r="AE232" t="str">
        <f>IF(EV_Data4[[#This Row],[charging_speed_kw]]&gt;=250,"Ultra-Fast",IF(EV_Data4[[#This Row],[charging_speed_kw]]&gt;=150,"Fast-Charging","Standard-Charging"))</f>
        <v>Standard-Charging</v>
      </c>
      <c r="AF232" t="str">
        <f>IF(EV_Data4[[#This Row],[acceleration_0_60_mph]]&lt;=3,"SportsPerformance",IF(EV_Data4[[#This Row],[acceleration_0_60_mph]]&lt;=5,"HighPerformance","Standard"))</f>
        <v>Standard</v>
      </c>
      <c r="AG232" t="str">
        <f>IF(EV_Data4[[#This Row],[customer_rating]]&gt;=4.5,"Excellent",IF(EV_Data4[[#This Row],[customer_rating]]&gt;=3.5,"Good","Average"))</f>
        <v>Average</v>
      </c>
      <c r="AH23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33" spans="1:34" x14ac:dyDescent="0.3">
      <c r="A233" t="s">
        <v>68</v>
      </c>
      <c r="B233" t="s">
        <v>106</v>
      </c>
      <c r="C233">
        <v>2024</v>
      </c>
      <c r="D233" t="s">
        <v>44</v>
      </c>
      <c r="E233" s="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27</v>
      </c>
      <c r="N233">
        <v>5</v>
      </c>
      <c r="O233" t="s">
        <v>51</v>
      </c>
      <c r="P233">
        <v>17</v>
      </c>
      <c r="Q233">
        <v>1794</v>
      </c>
      <c r="R233">
        <v>5</v>
      </c>
      <c r="S233">
        <v>1</v>
      </c>
      <c r="T233" t="s">
        <v>45</v>
      </c>
      <c r="U233" t="s">
        <v>33</v>
      </c>
      <c r="V233" s="3">
        <v>145959</v>
      </c>
      <c r="W233">
        <v>3.37</v>
      </c>
      <c r="X233">
        <v>4</v>
      </c>
      <c r="Y233" s="1">
        <f>EV_Data4[[#This Row],[range_miles]]/EV_Data4[[#This Row],[battery_capacity_kwh]]</f>
        <v>3.2866242038216562</v>
      </c>
      <c r="Z233" s="4">
        <f>EV_Data4[[#This Row],[price_usd]]/EV_Data4[[#This Row],[range_miles]]</f>
        <v>323.91531007751934</v>
      </c>
      <c r="AA233" s="2">
        <f>(EV_Data4[[#This Row],[customer_rating]]*EV_Data4[[#This Row],[safety_rating]]*1000)/EV_Data4[[#This Row],[price_usd]]</f>
        <v>0.20162701634495092</v>
      </c>
      <c r="AB233">
        <f>EV_Data4[[#This Row],[horsepower]]+EV_Data4[[#This Row],[torque_nm]]/EV_Data4[[#This Row],[acceleration_0_60_mph]]</f>
        <v>1213.3949191685913</v>
      </c>
      <c r="AC233" t="str">
        <f>IF(EV_Data4[[#This Row],[price_usd]]&gt;=80000,"Luxury",IF(EV_Data4[[#This Row],[price_usd]]&gt;=40000,"Mid-Range","Budget"))</f>
        <v>Luxury</v>
      </c>
      <c r="AD233" t="str">
        <f>IF(EV_Data4[[#This Row],[range_miles]]&gt;=350,"Long-Range",IF(EV_Data4[[#This Row],[range_miles]]&gt;=250,"Medium-Range","Short-Range"))</f>
        <v>Medium-Range</v>
      </c>
      <c r="AE233" t="str">
        <f>IF(EV_Data4[[#This Row],[charging_speed_kw]]&gt;=250,"Ultra-Fast",IF(EV_Data4[[#This Row],[charging_speed_kw]]&gt;=150,"Fast-Charging","Standard-Charging"))</f>
        <v>Standard-Charging</v>
      </c>
      <c r="AF233" t="str">
        <f>IF(EV_Data4[[#This Row],[acceleration_0_60_mph]]&lt;=3,"SportsPerformance",IF(EV_Data4[[#This Row],[acceleration_0_60_mph]]&lt;=5,"HighPerformance","Standard"))</f>
        <v>HighPerformance</v>
      </c>
      <c r="AG233" t="str">
        <f>IF(EV_Data4[[#This Row],[customer_rating]]&gt;=4.5,"Excellent",IF(EV_Data4[[#This Row],[customer_rating]]&gt;=3.5,"Good","Average"))</f>
        <v>Average</v>
      </c>
      <c r="AH23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34" spans="1:34" x14ac:dyDescent="0.3">
      <c r="A234" t="s">
        <v>42</v>
      </c>
      <c r="B234" t="s">
        <v>71</v>
      </c>
      <c r="C234">
        <v>2022</v>
      </c>
      <c r="D234" t="s">
        <v>26</v>
      </c>
      <c r="E234" s="3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48</v>
      </c>
      <c r="N234">
        <v>5</v>
      </c>
      <c r="O234" t="s">
        <v>50</v>
      </c>
      <c r="P234">
        <v>18.8</v>
      </c>
      <c r="Q234">
        <v>1538</v>
      </c>
      <c r="R234">
        <v>5</v>
      </c>
      <c r="S234">
        <v>1</v>
      </c>
      <c r="T234" t="s">
        <v>45</v>
      </c>
      <c r="U234" t="s">
        <v>30</v>
      </c>
      <c r="V234" s="3">
        <v>51798</v>
      </c>
      <c r="W234">
        <v>3.75</v>
      </c>
      <c r="X234">
        <v>5</v>
      </c>
      <c r="Y234" s="1">
        <f>EV_Data4[[#This Row],[range_miles]]/EV_Data4[[#This Row],[battery_capacity_kwh]]</f>
        <v>3.5762331838565022</v>
      </c>
      <c r="Z234" s="4">
        <f>EV_Data4[[#This Row],[price_usd]]/EV_Data4[[#This Row],[range_miles]]</f>
        <v>348.51216300940439</v>
      </c>
      <c r="AA234" s="2">
        <f>(EV_Data4[[#This Row],[customer_rating]]*EV_Data4[[#This Row],[safety_rating]]*1000)/EV_Data4[[#This Row],[price_usd]]</f>
        <v>0.16865244805099833</v>
      </c>
      <c r="AB234">
        <f>EV_Data4[[#This Row],[horsepower]]+EV_Data4[[#This Row],[torque_nm]]/EV_Data4[[#This Row],[acceleration_0_60_mph]]</f>
        <v>1262.6702997275204</v>
      </c>
      <c r="AC234" t="str">
        <f>IF(EV_Data4[[#This Row],[price_usd]]&gt;=80000,"Luxury",IF(EV_Data4[[#This Row],[price_usd]]&gt;=40000,"Mid-Range","Budget"))</f>
        <v>Luxury</v>
      </c>
      <c r="AD234" t="str">
        <f>IF(EV_Data4[[#This Row],[range_miles]]&gt;=350,"Long-Range",IF(EV_Data4[[#This Row],[range_miles]]&gt;=250,"Medium-Range","Short-Range"))</f>
        <v>Medium-Range</v>
      </c>
      <c r="AE234" t="str">
        <f>IF(EV_Data4[[#This Row],[charging_speed_kw]]&gt;=250,"Ultra-Fast",IF(EV_Data4[[#This Row],[charging_speed_kw]]&gt;=150,"Fast-Charging","Standard-Charging"))</f>
        <v>Fast-Charging</v>
      </c>
      <c r="AF234" t="str">
        <f>IF(EV_Data4[[#This Row],[acceleration_0_60_mph]]&lt;=3,"SportsPerformance",IF(EV_Data4[[#This Row],[acceleration_0_60_mph]]&lt;=5,"HighPerformance","Standard"))</f>
        <v>HighPerformance</v>
      </c>
      <c r="AG234" t="str">
        <f>IF(EV_Data4[[#This Row],[customer_rating]]&gt;=4.5,"Excellent",IF(EV_Data4[[#This Row],[customer_rating]]&gt;=3.5,"Good","Average"))</f>
        <v>Good</v>
      </c>
      <c r="AH23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35" spans="1:34" x14ac:dyDescent="0.3">
      <c r="A235" t="s">
        <v>68</v>
      </c>
      <c r="B235" t="s">
        <v>106</v>
      </c>
      <c r="C235">
        <v>2025</v>
      </c>
      <c r="D235" t="s">
        <v>56</v>
      </c>
      <c r="E235" s="3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48</v>
      </c>
      <c r="N235">
        <v>5</v>
      </c>
      <c r="O235" t="s">
        <v>40</v>
      </c>
      <c r="P235">
        <v>78</v>
      </c>
      <c r="Q235">
        <v>1903</v>
      </c>
      <c r="R235">
        <v>5</v>
      </c>
      <c r="S235">
        <v>0</v>
      </c>
      <c r="T235" t="s">
        <v>45</v>
      </c>
      <c r="U235" t="s">
        <v>37</v>
      </c>
      <c r="V235" s="3">
        <v>110095</v>
      </c>
      <c r="W235">
        <v>3.32</v>
      </c>
      <c r="X235">
        <v>3</v>
      </c>
      <c r="Y235" s="1">
        <f>EV_Data4[[#This Row],[range_miles]]/EV_Data4[[#This Row],[battery_capacity_kwh]]</f>
        <v>3.9045553145336225</v>
      </c>
      <c r="Z235" s="4">
        <f>EV_Data4[[#This Row],[price_usd]]/EV_Data4[[#This Row],[range_miles]]</f>
        <v>339.60511111111111</v>
      </c>
      <c r="AA235" s="2">
        <f>(EV_Data4[[#This Row],[customer_rating]]*EV_Data4[[#This Row],[safety_rating]]*1000)/EV_Data4[[#This Row],[price_usd]]</f>
        <v>0.27155722692303408</v>
      </c>
      <c r="AB235">
        <f>EV_Data4[[#This Row],[horsepower]]+EV_Data4[[#This Row],[torque_nm]]/EV_Data4[[#This Row],[acceleration_0_60_mph]]</f>
        <v>797.09375</v>
      </c>
      <c r="AC235" t="str">
        <f>IF(EV_Data4[[#This Row],[price_usd]]&gt;=80000,"Luxury",IF(EV_Data4[[#This Row],[price_usd]]&gt;=40000,"Mid-Range","Budget"))</f>
        <v>Mid-Range</v>
      </c>
      <c r="AD235" t="str">
        <f>IF(EV_Data4[[#This Row],[range_miles]]&gt;=350,"Long-Range",IF(EV_Data4[[#This Row],[range_miles]]&gt;=250,"Medium-Range","Short-Range"))</f>
        <v>Short-Range</v>
      </c>
      <c r="AE235" t="str">
        <f>IF(EV_Data4[[#This Row],[charging_speed_kw]]&gt;=250,"Ultra-Fast",IF(EV_Data4[[#This Row],[charging_speed_kw]]&gt;=150,"Fast-Charging","Standard-Charging"))</f>
        <v>Standard-Charging</v>
      </c>
      <c r="AF235" t="str">
        <f>IF(EV_Data4[[#This Row],[acceleration_0_60_mph]]&lt;=3,"SportsPerformance",IF(EV_Data4[[#This Row],[acceleration_0_60_mph]]&lt;=5,"HighPerformance","Standard"))</f>
        <v>Standard</v>
      </c>
      <c r="AG235" t="str">
        <f>IF(EV_Data4[[#This Row],[customer_rating]]&gt;=4.5,"Excellent",IF(EV_Data4[[#This Row],[customer_rating]]&gt;=3.5,"Good","Average"))</f>
        <v>Average</v>
      </c>
      <c r="AH23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36" spans="1:34" x14ac:dyDescent="0.3">
      <c r="A236" t="s">
        <v>46</v>
      </c>
      <c r="B236" t="s">
        <v>49</v>
      </c>
      <c r="C236">
        <v>2023</v>
      </c>
      <c r="D236" t="s">
        <v>61</v>
      </c>
      <c r="E236" s="3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34</v>
      </c>
      <c r="N236">
        <v>5</v>
      </c>
      <c r="O236" t="s">
        <v>58</v>
      </c>
      <c r="P236">
        <v>15.2</v>
      </c>
      <c r="Q236">
        <v>1513</v>
      </c>
      <c r="R236">
        <v>4</v>
      </c>
      <c r="S236">
        <v>2</v>
      </c>
      <c r="T236" t="s">
        <v>41</v>
      </c>
      <c r="U236" t="s">
        <v>37</v>
      </c>
      <c r="V236" s="3">
        <v>403294</v>
      </c>
      <c r="W236">
        <v>3.48</v>
      </c>
      <c r="X236">
        <v>5</v>
      </c>
      <c r="Y236" s="1">
        <f>EV_Data4[[#This Row],[range_miles]]/EV_Data4[[#This Row],[battery_capacity_kwh]]</f>
        <v>4.0248226950354615</v>
      </c>
      <c r="Z236" s="4">
        <f>EV_Data4[[#This Row],[price_usd]]/EV_Data4[[#This Row],[range_miles]]</f>
        <v>196.1073127753304</v>
      </c>
      <c r="AA236" s="2">
        <f>(EV_Data4[[#This Row],[customer_rating]]*EV_Data4[[#This Row],[safety_rating]]*1000)/EV_Data4[[#This Row],[price_usd]]</f>
        <v>0.31269402979039618</v>
      </c>
      <c r="AB236">
        <f>EV_Data4[[#This Row],[horsepower]]+EV_Data4[[#This Row],[torque_nm]]/EV_Data4[[#This Row],[acceleration_0_60_mph]]</f>
        <v>344.71274961597544</v>
      </c>
      <c r="AC236" t="str">
        <f>IF(EV_Data4[[#This Row],[price_usd]]&gt;=80000,"Luxury",IF(EV_Data4[[#This Row],[price_usd]]&gt;=40000,"Mid-Range","Budget"))</f>
        <v>Mid-Range</v>
      </c>
      <c r="AD236" t="str">
        <f>IF(EV_Data4[[#This Row],[range_miles]]&gt;=350,"Long-Range",IF(EV_Data4[[#This Row],[range_miles]]&gt;=250,"Medium-Range","Short-Range"))</f>
        <v>Short-Range</v>
      </c>
      <c r="AE236" t="str">
        <f>IF(EV_Data4[[#This Row],[charging_speed_kw]]&gt;=250,"Ultra-Fast",IF(EV_Data4[[#This Row],[charging_speed_kw]]&gt;=150,"Fast-Charging","Standard-Charging"))</f>
        <v>Fast-Charging</v>
      </c>
      <c r="AF236" t="str">
        <f>IF(EV_Data4[[#This Row],[acceleration_0_60_mph]]&lt;=3,"SportsPerformance",IF(EV_Data4[[#This Row],[acceleration_0_60_mph]]&lt;=5,"HighPerformance","Standard"))</f>
        <v>Standard</v>
      </c>
      <c r="AG236" t="str">
        <f>IF(EV_Data4[[#This Row],[customer_rating]]&gt;=4.5,"Excellent",IF(EV_Data4[[#This Row],[customer_rating]]&gt;=3.5,"Good","Average"))</f>
        <v>Average</v>
      </c>
      <c r="AH23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37" spans="1:34" x14ac:dyDescent="0.3">
      <c r="A237" t="s">
        <v>38</v>
      </c>
      <c r="B237" t="s">
        <v>102</v>
      </c>
      <c r="C237">
        <v>2025</v>
      </c>
      <c r="D237" t="s">
        <v>61</v>
      </c>
      <c r="E237" s="3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27</v>
      </c>
      <c r="N237">
        <v>5</v>
      </c>
      <c r="O237" t="s">
        <v>35</v>
      </c>
      <c r="P237">
        <v>66.099999999999994</v>
      </c>
      <c r="Q237">
        <v>2020</v>
      </c>
      <c r="R237">
        <v>4</v>
      </c>
      <c r="S237">
        <v>0</v>
      </c>
      <c r="T237" t="s">
        <v>41</v>
      </c>
      <c r="U237" t="s">
        <v>66</v>
      </c>
      <c r="V237" s="3">
        <v>1331</v>
      </c>
      <c r="W237">
        <v>3.29</v>
      </c>
      <c r="X237">
        <v>3</v>
      </c>
      <c r="Y237" s="1">
        <f>EV_Data4[[#This Row],[range_miles]]/EV_Data4[[#This Row],[battery_capacity_kwh]]</f>
        <v>3.5827664399092969</v>
      </c>
      <c r="Z237" s="4">
        <f>EV_Data4[[#This Row],[price_usd]]/EV_Data4[[#This Row],[range_miles]]</f>
        <v>202.97575949367086</v>
      </c>
      <c r="AA237" s="2">
        <f>(EV_Data4[[#This Row],[customer_rating]]*EV_Data4[[#This Row],[safety_rating]]*1000)/EV_Data4[[#This Row],[price_usd]]</f>
        <v>0.41035017899811571</v>
      </c>
      <c r="AB237">
        <f>EV_Data4[[#This Row],[horsepower]]+EV_Data4[[#This Row],[torque_nm]]/EV_Data4[[#This Row],[acceleration_0_60_mph]]</f>
        <v>321.99835255354202</v>
      </c>
      <c r="AC237" t="str">
        <f>IF(EV_Data4[[#This Row],[price_usd]]&gt;=80000,"Luxury",IF(EV_Data4[[#This Row],[price_usd]]&gt;=40000,"Mid-Range","Budget"))</f>
        <v>Budget</v>
      </c>
      <c r="AD237" t="str">
        <f>IF(EV_Data4[[#This Row],[range_miles]]&gt;=350,"Long-Range",IF(EV_Data4[[#This Row],[range_miles]]&gt;=250,"Medium-Range","Short-Range"))</f>
        <v>Short-Range</v>
      </c>
      <c r="AE237" t="str">
        <f>IF(EV_Data4[[#This Row],[charging_speed_kw]]&gt;=250,"Ultra-Fast",IF(EV_Data4[[#This Row],[charging_speed_kw]]&gt;=150,"Fast-Charging","Standard-Charging"))</f>
        <v>Standard-Charging</v>
      </c>
      <c r="AF237" t="str">
        <f>IF(EV_Data4[[#This Row],[acceleration_0_60_mph]]&lt;=3,"SportsPerformance",IF(EV_Data4[[#This Row],[acceleration_0_60_mph]]&lt;=5,"HighPerformance","Standard"))</f>
        <v>Standard</v>
      </c>
      <c r="AG237" t="str">
        <f>IF(EV_Data4[[#This Row],[customer_rating]]&gt;=4.5,"Excellent",IF(EV_Data4[[#This Row],[customer_rating]]&gt;=3.5,"Good","Average"))</f>
        <v>Average</v>
      </c>
      <c r="AH23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38" spans="1:34" x14ac:dyDescent="0.3">
      <c r="A238" t="s">
        <v>63</v>
      </c>
      <c r="B238" t="s">
        <v>73</v>
      </c>
      <c r="C238">
        <v>2024</v>
      </c>
      <c r="D238" t="s">
        <v>33</v>
      </c>
      <c r="E238" s="3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34</v>
      </c>
      <c r="N238">
        <v>7</v>
      </c>
      <c r="O238" t="s">
        <v>51</v>
      </c>
      <c r="P238">
        <v>27.3</v>
      </c>
      <c r="Q238">
        <v>1661</v>
      </c>
      <c r="R238">
        <v>3</v>
      </c>
      <c r="S238">
        <v>1</v>
      </c>
      <c r="T238" t="s">
        <v>65</v>
      </c>
      <c r="U238" t="s">
        <v>30</v>
      </c>
      <c r="V238" s="3">
        <v>110469</v>
      </c>
      <c r="W238">
        <v>3.56</v>
      </c>
      <c r="X238">
        <v>4</v>
      </c>
      <c r="Y238" s="1">
        <f>EV_Data4[[#This Row],[range_miles]]/EV_Data4[[#This Row],[battery_capacity_kwh]]</f>
        <v>3.5102739726027399</v>
      </c>
      <c r="Z238" s="4">
        <f>EV_Data4[[#This Row],[price_usd]]/EV_Data4[[#This Row],[range_miles]]</f>
        <v>523.70185365853661</v>
      </c>
      <c r="AA238" s="2">
        <f>(EV_Data4[[#This Row],[customer_rating]]*EV_Data4[[#This Row],[safety_rating]]*1000)/EV_Data4[[#This Row],[price_usd]]</f>
        <v>9.947942825036922E-2</v>
      </c>
      <c r="AB238">
        <f>EV_Data4[[#This Row],[horsepower]]+EV_Data4[[#This Row],[torque_nm]]/EV_Data4[[#This Row],[acceleration_0_60_mph]]</f>
        <v>1119.838056680162</v>
      </c>
      <c r="AC238" t="str">
        <f>IF(EV_Data4[[#This Row],[price_usd]]&gt;=80000,"Luxury",IF(EV_Data4[[#This Row],[price_usd]]&gt;=40000,"Mid-Range","Budget"))</f>
        <v>Luxury</v>
      </c>
      <c r="AD238" t="str">
        <f>IF(EV_Data4[[#This Row],[range_miles]]&gt;=350,"Long-Range",IF(EV_Data4[[#This Row],[range_miles]]&gt;=250,"Medium-Range","Short-Range"))</f>
        <v>Short-Range</v>
      </c>
      <c r="AE238" t="str">
        <f>IF(EV_Data4[[#This Row],[charging_speed_kw]]&gt;=250,"Ultra-Fast",IF(EV_Data4[[#This Row],[charging_speed_kw]]&gt;=150,"Fast-Charging","Standard-Charging"))</f>
        <v>Standard-Charging</v>
      </c>
      <c r="AF238" t="str">
        <f>IF(EV_Data4[[#This Row],[acceleration_0_60_mph]]&lt;=3,"SportsPerformance",IF(EV_Data4[[#This Row],[acceleration_0_60_mph]]&lt;=5,"HighPerformance","Standard"))</f>
        <v>Standard</v>
      </c>
      <c r="AG238" t="str">
        <f>IF(EV_Data4[[#This Row],[customer_rating]]&gt;=4.5,"Excellent",IF(EV_Data4[[#This Row],[customer_rating]]&gt;=3.5,"Good","Average"))</f>
        <v>Good</v>
      </c>
      <c r="AH23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39" spans="1:34" x14ac:dyDescent="0.3">
      <c r="A239" t="s">
        <v>46</v>
      </c>
      <c r="B239" t="s">
        <v>49</v>
      </c>
      <c r="C239">
        <v>2026</v>
      </c>
      <c r="D239" t="s">
        <v>61</v>
      </c>
      <c r="E239" s="3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27</v>
      </c>
      <c r="N239">
        <v>7</v>
      </c>
      <c r="O239" t="s">
        <v>58</v>
      </c>
      <c r="P239">
        <v>26.8</v>
      </c>
      <c r="Q239">
        <v>1514</v>
      </c>
      <c r="R239">
        <v>5</v>
      </c>
      <c r="S239">
        <v>2</v>
      </c>
      <c r="T239" t="s">
        <v>41</v>
      </c>
      <c r="U239" t="s">
        <v>33</v>
      </c>
      <c r="V239" s="3">
        <v>489120</v>
      </c>
      <c r="W239">
        <v>3.77</v>
      </c>
      <c r="X239">
        <v>5</v>
      </c>
      <c r="Y239" s="1">
        <f>EV_Data4[[#This Row],[range_miles]]/EV_Data4[[#This Row],[battery_capacity_kwh]]</f>
        <v>3.4900284900284899</v>
      </c>
      <c r="Z239" s="4">
        <f>EV_Data4[[#This Row],[price_usd]]/EV_Data4[[#This Row],[range_miles]]</f>
        <v>318.72759183673469</v>
      </c>
      <c r="AA239" s="2">
        <f>(EV_Data4[[#This Row],[customer_rating]]*EV_Data4[[#This Row],[safety_rating]]*1000)/EV_Data4[[#This Row],[price_usd]]</f>
        <v>0.24139352061372607</v>
      </c>
      <c r="AB239">
        <f>EV_Data4[[#This Row],[horsepower]]+EV_Data4[[#This Row],[torque_nm]]/EV_Data4[[#This Row],[acceleration_0_60_mph]]</f>
        <v>674.3947368421052</v>
      </c>
      <c r="AC239" t="str">
        <f>IF(EV_Data4[[#This Row],[price_usd]]&gt;=80000,"Luxury",IF(EV_Data4[[#This Row],[price_usd]]&gt;=40000,"Mid-Range","Budget"))</f>
        <v>Mid-Range</v>
      </c>
      <c r="AD239" t="str">
        <f>IF(EV_Data4[[#This Row],[range_miles]]&gt;=350,"Long-Range",IF(EV_Data4[[#This Row],[range_miles]]&gt;=250,"Medium-Range","Short-Range"))</f>
        <v>Short-Range</v>
      </c>
      <c r="AE239" t="str">
        <f>IF(EV_Data4[[#This Row],[charging_speed_kw]]&gt;=250,"Ultra-Fast",IF(EV_Data4[[#This Row],[charging_speed_kw]]&gt;=150,"Fast-Charging","Standard-Charging"))</f>
        <v>Ultra-Fast</v>
      </c>
      <c r="AF239" t="str">
        <f>IF(EV_Data4[[#This Row],[acceleration_0_60_mph]]&lt;=3,"SportsPerformance",IF(EV_Data4[[#This Row],[acceleration_0_60_mph]]&lt;=5,"HighPerformance","Standard"))</f>
        <v>Standard</v>
      </c>
      <c r="AG239" t="str">
        <f>IF(EV_Data4[[#This Row],[customer_rating]]&gt;=4.5,"Excellent",IF(EV_Data4[[#This Row],[customer_rating]]&gt;=3.5,"Good","Average"))</f>
        <v>Good</v>
      </c>
      <c r="AH23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40" spans="1:34" x14ac:dyDescent="0.3">
      <c r="A240" t="s">
        <v>83</v>
      </c>
      <c r="B240" t="s">
        <v>114</v>
      </c>
      <c r="C240">
        <v>2025</v>
      </c>
      <c r="D240" t="s">
        <v>26</v>
      </c>
      <c r="E240" s="3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27</v>
      </c>
      <c r="N240">
        <v>7</v>
      </c>
      <c r="O240" t="s">
        <v>40</v>
      </c>
      <c r="P240">
        <v>68.2</v>
      </c>
      <c r="Q240">
        <v>1817</v>
      </c>
      <c r="R240">
        <v>5</v>
      </c>
      <c r="S240">
        <v>1</v>
      </c>
      <c r="T240" t="s">
        <v>29</v>
      </c>
      <c r="U240" t="s">
        <v>30</v>
      </c>
      <c r="V240" s="3">
        <v>71584</v>
      </c>
      <c r="W240">
        <v>3.74</v>
      </c>
      <c r="X240">
        <v>6</v>
      </c>
      <c r="Y240" s="1">
        <f>EV_Data4[[#This Row],[range_miles]]/EV_Data4[[#This Row],[battery_capacity_kwh]]</f>
        <v>3.6463414634146343</v>
      </c>
      <c r="Z240" s="4">
        <f>EV_Data4[[#This Row],[price_usd]]/EV_Data4[[#This Row],[range_miles]]</f>
        <v>443.70093645484945</v>
      </c>
      <c r="AA240" s="2">
        <f>(EV_Data4[[#This Row],[customer_rating]]*EV_Data4[[#This Row],[safety_rating]]*1000)/EV_Data4[[#This Row],[price_usd]]</f>
        <v>0.14095486595041498</v>
      </c>
      <c r="AB240">
        <f>EV_Data4[[#This Row],[horsepower]]+EV_Data4[[#This Row],[torque_nm]]/EV_Data4[[#This Row],[acceleration_0_60_mph]]</f>
        <v>1248.0113636363635</v>
      </c>
      <c r="AC240" t="str">
        <f>IF(EV_Data4[[#This Row],[price_usd]]&gt;=80000,"Luxury",IF(EV_Data4[[#This Row],[price_usd]]&gt;=40000,"Mid-Range","Budget"))</f>
        <v>Luxury</v>
      </c>
      <c r="AD240" t="str">
        <f>IF(EV_Data4[[#This Row],[range_miles]]&gt;=350,"Long-Range",IF(EV_Data4[[#This Row],[range_miles]]&gt;=250,"Medium-Range","Short-Range"))</f>
        <v>Medium-Range</v>
      </c>
      <c r="AE240" t="str">
        <f>IF(EV_Data4[[#This Row],[charging_speed_kw]]&gt;=250,"Ultra-Fast",IF(EV_Data4[[#This Row],[charging_speed_kw]]&gt;=150,"Fast-Charging","Standard-Charging"))</f>
        <v>Fast-Charging</v>
      </c>
      <c r="AF240" t="str">
        <f>IF(EV_Data4[[#This Row],[acceleration_0_60_mph]]&lt;=3,"SportsPerformance",IF(EV_Data4[[#This Row],[acceleration_0_60_mph]]&lt;=5,"HighPerformance","Standard"))</f>
        <v>HighPerformance</v>
      </c>
      <c r="AG240" t="str">
        <f>IF(EV_Data4[[#This Row],[customer_rating]]&gt;=4.5,"Excellent",IF(EV_Data4[[#This Row],[customer_rating]]&gt;=3.5,"Good","Average"))</f>
        <v>Good</v>
      </c>
      <c r="AH24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41" spans="1:34" x14ac:dyDescent="0.3">
      <c r="A241" t="s">
        <v>46</v>
      </c>
      <c r="B241" t="s">
        <v>78</v>
      </c>
      <c r="C241">
        <v>2023</v>
      </c>
      <c r="D241" t="s">
        <v>33</v>
      </c>
      <c r="E241" s="3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27</v>
      </c>
      <c r="N241">
        <v>5</v>
      </c>
      <c r="O241" t="s">
        <v>51</v>
      </c>
      <c r="P241">
        <v>22.9</v>
      </c>
      <c r="Q241">
        <v>1500</v>
      </c>
      <c r="R241">
        <v>4</v>
      </c>
      <c r="S241">
        <v>2</v>
      </c>
      <c r="T241" t="s">
        <v>41</v>
      </c>
      <c r="U241" t="s">
        <v>30</v>
      </c>
      <c r="V241" s="3">
        <v>121739</v>
      </c>
      <c r="W241">
        <v>3.62</v>
      </c>
      <c r="X241">
        <v>4</v>
      </c>
      <c r="Y241" s="1">
        <f>EV_Data4[[#This Row],[range_miles]]/EV_Data4[[#This Row],[battery_capacity_kwh]]</f>
        <v>3.754693366708385</v>
      </c>
      <c r="Z241" s="4">
        <f>EV_Data4[[#This Row],[price_usd]]/EV_Data4[[#This Row],[range_miles]]</f>
        <v>334.41446666666667</v>
      </c>
      <c r="AA241" s="2">
        <f>(EV_Data4[[#This Row],[customer_rating]]*EV_Data4[[#This Row],[safety_rating]]*1000)/EV_Data4[[#This Row],[price_usd]]</f>
        <v>0.14433187399986883</v>
      </c>
      <c r="AB241">
        <f>EV_Data4[[#This Row],[horsepower]]+EV_Data4[[#This Row],[torque_nm]]/EV_Data4[[#This Row],[acceleration_0_60_mph]]</f>
        <v>818.40124416796266</v>
      </c>
      <c r="AC241" t="str">
        <f>IF(EV_Data4[[#This Row],[price_usd]]&gt;=80000,"Luxury",IF(EV_Data4[[#This Row],[price_usd]]&gt;=40000,"Mid-Range","Budget"))</f>
        <v>Luxury</v>
      </c>
      <c r="AD241" t="str">
        <f>IF(EV_Data4[[#This Row],[range_miles]]&gt;=350,"Long-Range",IF(EV_Data4[[#This Row],[range_miles]]&gt;=250,"Medium-Range","Short-Range"))</f>
        <v>Medium-Range</v>
      </c>
      <c r="AE241" t="str">
        <f>IF(EV_Data4[[#This Row],[charging_speed_kw]]&gt;=250,"Ultra-Fast",IF(EV_Data4[[#This Row],[charging_speed_kw]]&gt;=150,"Fast-Charging","Standard-Charging"))</f>
        <v>Fast-Charging</v>
      </c>
      <c r="AF241" t="str">
        <f>IF(EV_Data4[[#This Row],[acceleration_0_60_mph]]&lt;=3,"SportsPerformance",IF(EV_Data4[[#This Row],[acceleration_0_60_mph]]&lt;=5,"HighPerformance","Standard"))</f>
        <v>Standard</v>
      </c>
      <c r="AG241" t="str">
        <f>IF(EV_Data4[[#This Row],[customer_rating]]&gt;=4.5,"Excellent",IF(EV_Data4[[#This Row],[customer_rating]]&gt;=3.5,"Good","Average"))</f>
        <v>Good</v>
      </c>
      <c r="AH24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42" spans="1:34" x14ac:dyDescent="0.3">
      <c r="A242" t="s">
        <v>92</v>
      </c>
      <c r="B242" t="s">
        <v>119</v>
      </c>
      <c r="C242">
        <v>2022</v>
      </c>
      <c r="D242" t="s">
        <v>61</v>
      </c>
      <c r="E242" s="3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34</v>
      </c>
      <c r="N242">
        <v>5</v>
      </c>
      <c r="O242" t="s">
        <v>58</v>
      </c>
      <c r="P242">
        <v>22.3</v>
      </c>
      <c r="Q242">
        <v>1500</v>
      </c>
      <c r="R242">
        <v>5</v>
      </c>
      <c r="S242">
        <v>0</v>
      </c>
      <c r="T242" t="s">
        <v>65</v>
      </c>
      <c r="U242" t="s">
        <v>33</v>
      </c>
      <c r="V242" s="3">
        <v>28334</v>
      </c>
      <c r="W242">
        <v>3.19</v>
      </c>
      <c r="X242">
        <v>5</v>
      </c>
      <c r="Y242" s="1">
        <f>EV_Data4[[#This Row],[range_miles]]/EV_Data4[[#This Row],[battery_capacity_kwh]]</f>
        <v>3.5490605427974948</v>
      </c>
      <c r="Z242" s="4">
        <f>EV_Data4[[#This Row],[price_usd]]/EV_Data4[[#This Row],[range_miles]]</f>
        <v>408.54364705882352</v>
      </c>
      <c r="AA242" s="2">
        <f>(EV_Data4[[#This Row],[customer_rating]]*EV_Data4[[#This Row],[safety_rating]]*1000)/EV_Data4[[#This Row],[price_usd]]</f>
        <v>0.2296536247405058</v>
      </c>
      <c r="AB242">
        <f>EV_Data4[[#This Row],[horsepower]]+EV_Data4[[#This Row],[torque_nm]]/EV_Data4[[#This Row],[acceleration_0_60_mph]]</f>
        <v>575.91780821917814</v>
      </c>
      <c r="AC242" t="str">
        <f>IF(EV_Data4[[#This Row],[price_usd]]&gt;=80000,"Luxury",IF(EV_Data4[[#This Row],[price_usd]]&gt;=40000,"Mid-Range","Budget"))</f>
        <v>Mid-Range</v>
      </c>
      <c r="AD242" t="str">
        <f>IF(EV_Data4[[#This Row],[range_miles]]&gt;=350,"Long-Range",IF(EV_Data4[[#This Row],[range_miles]]&gt;=250,"Medium-Range","Short-Range"))</f>
        <v>Short-Range</v>
      </c>
      <c r="AE242" t="str">
        <f>IF(EV_Data4[[#This Row],[charging_speed_kw]]&gt;=250,"Ultra-Fast",IF(EV_Data4[[#This Row],[charging_speed_kw]]&gt;=150,"Fast-Charging","Standard-Charging"))</f>
        <v>Standard-Charging</v>
      </c>
      <c r="AF242" t="str">
        <f>IF(EV_Data4[[#This Row],[acceleration_0_60_mph]]&lt;=3,"SportsPerformance",IF(EV_Data4[[#This Row],[acceleration_0_60_mph]]&lt;=5,"HighPerformance","Standard"))</f>
        <v>Standard</v>
      </c>
      <c r="AG242" t="str">
        <f>IF(EV_Data4[[#This Row],[customer_rating]]&gt;=4.5,"Excellent",IF(EV_Data4[[#This Row],[customer_rating]]&gt;=3.5,"Good","Average"))</f>
        <v>Average</v>
      </c>
      <c r="AH24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43" spans="1:34" x14ac:dyDescent="0.3">
      <c r="A243" t="s">
        <v>31</v>
      </c>
      <c r="B243" t="s">
        <v>112</v>
      </c>
      <c r="C243">
        <v>2023</v>
      </c>
      <c r="D243" t="s">
        <v>56</v>
      </c>
      <c r="E243" s="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34</v>
      </c>
      <c r="N243">
        <v>7</v>
      </c>
      <c r="O243" t="s">
        <v>51</v>
      </c>
      <c r="P243">
        <v>36.5</v>
      </c>
      <c r="Q243">
        <v>1576</v>
      </c>
      <c r="R243">
        <v>4</v>
      </c>
      <c r="S243">
        <v>0</v>
      </c>
      <c r="T243" t="s">
        <v>36</v>
      </c>
      <c r="U243" t="s">
        <v>37</v>
      </c>
      <c r="V243" s="3">
        <v>16544</v>
      </c>
      <c r="W243">
        <v>3.42</v>
      </c>
      <c r="X243">
        <v>4</v>
      </c>
      <c r="Y243" s="1">
        <f>EV_Data4[[#This Row],[range_miles]]/EV_Data4[[#This Row],[battery_capacity_kwh]]</f>
        <v>3.5572519083969465</v>
      </c>
      <c r="Z243" s="4">
        <f>EV_Data4[[#This Row],[price_usd]]/EV_Data4[[#This Row],[range_miles]]</f>
        <v>229.95309012875538</v>
      </c>
      <c r="AA243" s="2">
        <f>(EV_Data4[[#This Row],[customer_rating]]*EV_Data4[[#This Row],[safety_rating]]*1000)/EV_Data4[[#This Row],[price_usd]]</f>
        <v>0.25532358064445687</v>
      </c>
      <c r="AB243">
        <f>EV_Data4[[#This Row],[horsepower]]+EV_Data4[[#This Row],[torque_nm]]/EV_Data4[[#This Row],[acceleration_0_60_mph]]</f>
        <v>561.50510204081638</v>
      </c>
      <c r="AC243" t="str">
        <f>IF(EV_Data4[[#This Row],[price_usd]]&gt;=80000,"Luxury",IF(EV_Data4[[#This Row],[price_usd]]&gt;=40000,"Mid-Range","Budget"))</f>
        <v>Mid-Range</v>
      </c>
      <c r="AD243" t="str">
        <f>IF(EV_Data4[[#This Row],[range_miles]]&gt;=350,"Long-Range",IF(EV_Data4[[#This Row],[range_miles]]&gt;=250,"Medium-Range","Short-Range"))</f>
        <v>Short-Range</v>
      </c>
      <c r="AE243" t="str">
        <f>IF(EV_Data4[[#This Row],[charging_speed_kw]]&gt;=250,"Ultra-Fast",IF(EV_Data4[[#This Row],[charging_speed_kw]]&gt;=150,"Fast-Charging","Standard-Charging"))</f>
        <v>Standard-Charging</v>
      </c>
      <c r="AF243" t="str">
        <f>IF(EV_Data4[[#This Row],[acceleration_0_60_mph]]&lt;=3,"SportsPerformance",IF(EV_Data4[[#This Row],[acceleration_0_60_mph]]&lt;=5,"HighPerformance","Standard"))</f>
        <v>Standard</v>
      </c>
      <c r="AG243" t="str">
        <f>IF(EV_Data4[[#This Row],[customer_rating]]&gt;=4.5,"Excellent",IF(EV_Data4[[#This Row],[customer_rating]]&gt;=3.5,"Good","Average"))</f>
        <v>Average</v>
      </c>
      <c r="AH24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44" spans="1:34" x14ac:dyDescent="0.3">
      <c r="A244" t="s">
        <v>94</v>
      </c>
      <c r="B244" t="s">
        <v>95</v>
      </c>
      <c r="C244">
        <v>2023</v>
      </c>
      <c r="D244" t="s">
        <v>61</v>
      </c>
      <c r="E244" s="3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27</v>
      </c>
      <c r="N244">
        <v>5</v>
      </c>
      <c r="O244" t="s">
        <v>58</v>
      </c>
      <c r="P244">
        <v>37.9</v>
      </c>
      <c r="Q244">
        <v>1668</v>
      </c>
      <c r="R244">
        <v>4</v>
      </c>
      <c r="S244">
        <v>1</v>
      </c>
      <c r="T244" t="s">
        <v>41</v>
      </c>
      <c r="U244" t="s">
        <v>33</v>
      </c>
      <c r="V244" s="3">
        <v>1989</v>
      </c>
      <c r="W244">
        <v>3.61</v>
      </c>
      <c r="X244">
        <v>4</v>
      </c>
      <c r="Y244" s="1">
        <f>EV_Data4[[#This Row],[range_miles]]/EV_Data4[[#This Row],[battery_capacity_kwh]]</f>
        <v>3.7918660287081343</v>
      </c>
      <c r="Z244" s="4">
        <f>EV_Data4[[#This Row],[price_usd]]/EV_Data4[[#This Row],[range_miles]]</f>
        <v>258.27867507886435</v>
      </c>
      <c r="AA244" s="2">
        <f>(EV_Data4[[#This Row],[customer_rating]]*EV_Data4[[#This Row],[safety_rating]]*1000)/EV_Data4[[#This Row],[price_usd]]</f>
        <v>0.17636783392696662</v>
      </c>
      <c r="AB244">
        <f>EV_Data4[[#This Row],[horsepower]]+EV_Data4[[#This Row],[torque_nm]]/EV_Data4[[#This Row],[acceleration_0_60_mph]]</f>
        <v>1007.7794970986461</v>
      </c>
      <c r="AC244" t="str">
        <f>IF(EV_Data4[[#This Row],[price_usd]]&gt;=80000,"Luxury",IF(EV_Data4[[#This Row],[price_usd]]&gt;=40000,"Mid-Range","Budget"))</f>
        <v>Luxury</v>
      </c>
      <c r="AD244" t="str">
        <f>IF(EV_Data4[[#This Row],[range_miles]]&gt;=350,"Long-Range",IF(EV_Data4[[#This Row],[range_miles]]&gt;=250,"Medium-Range","Short-Range"))</f>
        <v>Medium-Range</v>
      </c>
      <c r="AE244" t="str">
        <f>IF(EV_Data4[[#This Row],[charging_speed_kw]]&gt;=250,"Ultra-Fast",IF(EV_Data4[[#This Row],[charging_speed_kw]]&gt;=150,"Fast-Charging","Standard-Charging"))</f>
        <v>Standard-Charging</v>
      </c>
      <c r="AF244" t="str">
        <f>IF(EV_Data4[[#This Row],[acceleration_0_60_mph]]&lt;=3,"SportsPerformance",IF(EV_Data4[[#This Row],[acceleration_0_60_mph]]&lt;=5,"HighPerformance","Standard"))</f>
        <v>Standard</v>
      </c>
      <c r="AG244" t="str">
        <f>IF(EV_Data4[[#This Row],[customer_rating]]&gt;=4.5,"Excellent",IF(EV_Data4[[#This Row],[customer_rating]]&gt;=3.5,"Good","Average"))</f>
        <v>Good</v>
      </c>
      <c r="AH24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45" spans="1:34" x14ac:dyDescent="0.3">
      <c r="A245" t="s">
        <v>24</v>
      </c>
      <c r="B245" t="s">
        <v>75</v>
      </c>
      <c r="C245">
        <v>2024</v>
      </c>
      <c r="D245" t="s">
        <v>44</v>
      </c>
      <c r="E245" s="3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34</v>
      </c>
      <c r="N245">
        <v>7</v>
      </c>
      <c r="O245" t="s">
        <v>35</v>
      </c>
      <c r="P245">
        <v>68.7</v>
      </c>
      <c r="Q245">
        <v>1974</v>
      </c>
      <c r="R245">
        <v>4</v>
      </c>
      <c r="S245">
        <v>2</v>
      </c>
      <c r="T245" t="s">
        <v>29</v>
      </c>
      <c r="U245" t="s">
        <v>37</v>
      </c>
      <c r="V245" s="3">
        <v>230145</v>
      </c>
      <c r="W245">
        <v>3.7</v>
      </c>
      <c r="X245">
        <v>3</v>
      </c>
      <c r="Y245" s="1">
        <f>EV_Data4[[#This Row],[range_miles]]/EV_Data4[[#This Row],[battery_capacity_kwh]]</f>
        <v>3.2528957528957529</v>
      </c>
      <c r="Z245" s="4">
        <f>EV_Data4[[#This Row],[price_usd]]/EV_Data4[[#This Row],[range_miles]]</f>
        <v>176.59940652818992</v>
      </c>
      <c r="AA245" s="2">
        <f>(EV_Data4[[#This Row],[customer_rating]]*EV_Data4[[#This Row],[safety_rating]]*1000)/EV_Data4[[#This Row],[price_usd]]</f>
        <v>0.24868098262593674</v>
      </c>
      <c r="AB245">
        <f>EV_Data4[[#This Row],[horsepower]]+EV_Data4[[#This Row],[torque_nm]]/EV_Data4[[#This Row],[acceleration_0_60_mph]]</f>
        <v>697.43269230769226</v>
      </c>
      <c r="AC245" t="str">
        <f>IF(EV_Data4[[#This Row],[price_usd]]&gt;=80000,"Luxury",IF(EV_Data4[[#This Row],[price_usd]]&gt;=40000,"Mid-Range","Budget"))</f>
        <v>Mid-Range</v>
      </c>
      <c r="AD245" t="str">
        <f>IF(EV_Data4[[#This Row],[range_miles]]&gt;=350,"Long-Range",IF(EV_Data4[[#This Row],[range_miles]]&gt;=250,"Medium-Range","Short-Range"))</f>
        <v>Medium-Range</v>
      </c>
      <c r="AE245" t="str">
        <f>IF(EV_Data4[[#This Row],[charging_speed_kw]]&gt;=250,"Ultra-Fast",IF(EV_Data4[[#This Row],[charging_speed_kw]]&gt;=150,"Fast-Charging","Standard-Charging"))</f>
        <v>Standard-Charging</v>
      </c>
      <c r="AF245" t="str">
        <f>IF(EV_Data4[[#This Row],[acceleration_0_60_mph]]&lt;=3,"SportsPerformance",IF(EV_Data4[[#This Row],[acceleration_0_60_mph]]&lt;=5,"HighPerformance","Standard"))</f>
        <v>HighPerformance</v>
      </c>
      <c r="AG245" t="str">
        <f>IF(EV_Data4[[#This Row],[customer_rating]]&gt;=4.5,"Excellent",IF(EV_Data4[[#This Row],[customer_rating]]&gt;=3.5,"Good","Average"))</f>
        <v>Good</v>
      </c>
      <c r="AH24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46" spans="1:34" x14ac:dyDescent="0.3">
      <c r="A246" t="s">
        <v>46</v>
      </c>
      <c r="B246" t="s">
        <v>47</v>
      </c>
      <c r="C246">
        <v>2026</v>
      </c>
      <c r="D246" t="s">
        <v>56</v>
      </c>
      <c r="E246" s="3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48</v>
      </c>
      <c r="N246">
        <v>7</v>
      </c>
      <c r="O246" t="s">
        <v>51</v>
      </c>
      <c r="P246">
        <v>39</v>
      </c>
      <c r="Q246">
        <v>1500</v>
      </c>
      <c r="R246">
        <v>5</v>
      </c>
      <c r="S246">
        <v>2</v>
      </c>
      <c r="T246" t="s">
        <v>41</v>
      </c>
      <c r="U246" t="s">
        <v>33</v>
      </c>
      <c r="V246" s="3">
        <v>234368</v>
      </c>
      <c r="W246">
        <v>3.52</v>
      </c>
      <c r="X246">
        <v>5</v>
      </c>
      <c r="Y246" s="1">
        <f>EV_Data4[[#This Row],[range_miles]]/EV_Data4[[#This Row],[battery_capacity_kwh]]</f>
        <v>3.6320754716981134</v>
      </c>
      <c r="Z246" s="4">
        <f>EV_Data4[[#This Row],[price_usd]]/EV_Data4[[#This Row],[range_miles]]</f>
        <v>524.73012987012987</v>
      </c>
      <c r="AA246" s="2">
        <f>(EV_Data4[[#This Row],[customer_rating]]*EV_Data4[[#This Row],[safety_rating]]*1000)/EV_Data4[[#This Row],[price_usd]]</f>
        <v>0.21779903188330327</v>
      </c>
      <c r="AB246">
        <f>EV_Data4[[#This Row],[horsepower]]+EV_Data4[[#This Row],[torque_nm]]/EV_Data4[[#This Row],[acceleration_0_60_mph]]</f>
        <v>595.88632872503842</v>
      </c>
      <c r="AC246" t="str">
        <f>IF(EV_Data4[[#This Row],[price_usd]]&gt;=80000,"Luxury",IF(EV_Data4[[#This Row],[price_usd]]&gt;=40000,"Mid-Range","Budget"))</f>
        <v>Luxury</v>
      </c>
      <c r="AD246" t="str">
        <f>IF(EV_Data4[[#This Row],[range_miles]]&gt;=350,"Long-Range",IF(EV_Data4[[#This Row],[range_miles]]&gt;=250,"Medium-Range","Short-Range"))</f>
        <v>Short-Range</v>
      </c>
      <c r="AE246" t="str">
        <f>IF(EV_Data4[[#This Row],[charging_speed_kw]]&gt;=250,"Ultra-Fast",IF(EV_Data4[[#This Row],[charging_speed_kw]]&gt;=150,"Fast-Charging","Standard-Charging"))</f>
        <v>Fast-Charging</v>
      </c>
      <c r="AF246" t="str">
        <f>IF(EV_Data4[[#This Row],[acceleration_0_60_mph]]&lt;=3,"SportsPerformance",IF(EV_Data4[[#This Row],[acceleration_0_60_mph]]&lt;=5,"HighPerformance","Standard"))</f>
        <v>Standard</v>
      </c>
      <c r="AG246" t="str">
        <f>IF(EV_Data4[[#This Row],[customer_rating]]&gt;=4.5,"Excellent",IF(EV_Data4[[#This Row],[customer_rating]]&gt;=3.5,"Good","Average"))</f>
        <v>Good</v>
      </c>
      <c r="AH24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47" spans="1:34" x14ac:dyDescent="0.3">
      <c r="A247" t="s">
        <v>94</v>
      </c>
      <c r="B247" t="s">
        <v>120</v>
      </c>
      <c r="C247">
        <v>2024</v>
      </c>
      <c r="D247" t="s">
        <v>61</v>
      </c>
      <c r="E247" s="3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34</v>
      </c>
      <c r="N247">
        <v>5</v>
      </c>
      <c r="O247" t="s">
        <v>51</v>
      </c>
      <c r="P247">
        <v>39.200000000000003</v>
      </c>
      <c r="Q247">
        <v>1500</v>
      </c>
      <c r="R247">
        <v>4</v>
      </c>
      <c r="S247">
        <v>0</v>
      </c>
      <c r="T247" t="s">
        <v>41</v>
      </c>
      <c r="U247" t="s">
        <v>33</v>
      </c>
      <c r="V247" s="3">
        <v>29685</v>
      </c>
      <c r="W247">
        <v>3.44</v>
      </c>
      <c r="X247">
        <v>4</v>
      </c>
      <c r="Y247" s="1">
        <f>EV_Data4[[#This Row],[range_miles]]/EV_Data4[[#This Row],[battery_capacity_kwh]]</f>
        <v>3.3040935672514617</v>
      </c>
      <c r="Z247" s="4">
        <f>EV_Data4[[#This Row],[price_usd]]/EV_Data4[[#This Row],[range_miles]]</f>
        <v>372.37575221238939</v>
      </c>
      <c r="AA247" s="2">
        <f>(EV_Data4[[#This Row],[customer_rating]]*EV_Data4[[#This Row],[safety_rating]]*1000)/EV_Data4[[#This Row],[price_usd]]</f>
        <v>0.16350408261138835</v>
      </c>
      <c r="AB247">
        <f>EV_Data4[[#This Row],[horsepower]]+EV_Data4[[#This Row],[torque_nm]]/EV_Data4[[#This Row],[acceleration_0_60_mph]]</f>
        <v>1085.7892720306513</v>
      </c>
      <c r="AC247" t="str">
        <f>IF(EV_Data4[[#This Row],[price_usd]]&gt;=80000,"Luxury",IF(EV_Data4[[#This Row],[price_usd]]&gt;=40000,"Mid-Range","Budget"))</f>
        <v>Luxury</v>
      </c>
      <c r="AD247" t="str">
        <f>IF(EV_Data4[[#This Row],[range_miles]]&gt;=350,"Long-Range",IF(EV_Data4[[#This Row],[range_miles]]&gt;=250,"Medium-Range","Short-Range"))</f>
        <v>Short-Range</v>
      </c>
      <c r="AE247" t="str">
        <f>IF(EV_Data4[[#This Row],[charging_speed_kw]]&gt;=250,"Ultra-Fast",IF(EV_Data4[[#This Row],[charging_speed_kw]]&gt;=150,"Fast-Charging","Standard-Charging"))</f>
        <v>Standard-Charging</v>
      </c>
      <c r="AF247" t="str">
        <f>IF(EV_Data4[[#This Row],[acceleration_0_60_mph]]&lt;=3,"SportsPerformance",IF(EV_Data4[[#This Row],[acceleration_0_60_mph]]&lt;=5,"HighPerformance","Standard"))</f>
        <v>Standard</v>
      </c>
      <c r="AG247" t="str">
        <f>IF(EV_Data4[[#This Row],[customer_rating]]&gt;=4.5,"Excellent",IF(EV_Data4[[#This Row],[customer_rating]]&gt;=3.5,"Good","Average"))</f>
        <v>Average</v>
      </c>
      <c r="AH24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48" spans="1:34" x14ac:dyDescent="0.3">
      <c r="A248" t="s">
        <v>24</v>
      </c>
      <c r="B248" t="s">
        <v>74</v>
      </c>
      <c r="C248">
        <v>2024</v>
      </c>
      <c r="D248" t="s">
        <v>56</v>
      </c>
      <c r="E248" s="3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27</v>
      </c>
      <c r="N248">
        <v>5</v>
      </c>
      <c r="O248" t="s">
        <v>58</v>
      </c>
      <c r="P248">
        <v>19.7</v>
      </c>
      <c r="Q248">
        <v>1793</v>
      </c>
      <c r="R248">
        <v>4</v>
      </c>
      <c r="S248">
        <v>0</v>
      </c>
      <c r="T248" t="s">
        <v>29</v>
      </c>
      <c r="U248" t="s">
        <v>37</v>
      </c>
      <c r="V248" s="3">
        <v>212818</v>
      </c>
      <c r="W248">
        <v>3.48</v>
      </c>
      <c r="X248">
        <v>3</v>
      </c>
      <c r="Y248" s="1">
        <f>EV_Data4[[#This Row],[range_miles]]/EV_Data4[[#This Row],[battery_capacity_kwh]]</f>
        <v>3.943661971830986</v>
      </c>
      <c r="Z248" s="4">
        <f>EV_Data4[[#This Row],[price_usd]]/EV_Data4[[#This Row],[range_miles]]</f>
        <v>158.57353174603173</v>
      </c>
      <c r="AA248" s="2">
        <f>(EV_Data4[[#This Row],[customer_rating]]*EV_Data4[[#This Row],[safety_rating]]*1000)/EV_Data4[[#This Row],[price_usd]]</f>
        <v>0.34834372817377546</v>
      </c>
      <c r="AB248">
        <f>EV_Data4[[#This Row],[horsepower]]+EV_Data4[[#This Row],[torque_nm]]/EV_Data4[[#This Row],[acceleration_0_60_mph]]</f>
        <v>362.415770609319</v>
      </c>
      <c r="AC248" t="str">
        <f>IF(EV_Data4[[#This Row],[price_usd]]&gt;=80000,"Luxury",IF(EV_Data4[[#This Row],[price_usd]]&gt;=40000,"Mid-Range","Budget"))</f>
        <v>Budget</v>
      </c>
      <c r="AD248" t="str">
        <f>IF(EV_Data4[[#This Row],[range_miles]]&gt;=350,"Long-Range",IF(EV_Data4[[#This Row],[range_miles]]&gt;=250,"Medium-Range","Short-Range"))</f>
        <v>Medium-Range</v>
      </c>
      <c r="AE248" t="str">
        <f>IF(EV_Data4[[#This Row],[charging_speed_kw]]&gt;=250,"Ultra-Fast",IF(EV_Data4[[#This Row],[charging_speed_kw]]&gt;=150,"Fast-Charging","Standard-Charging"))</f>
        <v>Standard-Charging</v>
      </c>
      <c r="AF248" t="str">
        <f>IF(EV_Data4[[#This Row],[acceleration_0_60_mph]]&lt;=3,"SportsPerformance",IF(EV_Data4[[#This Row],[acceleration_0_60_mph]]&lt;=5,"HighPerformance","Standard"))</f>
        <v>Standard</v>
      </c>
      <c r="AG248" t="str">
        <f>IF(EV_Data4[[#This Row],[customer_rating]]&gt;=4.5,"Excellent",IF(EV_Data4[[#This Row],[customer_rating]]&gt;=3.5,"Good","Average"))</f>
        <v>Average</v>
      </c>
      <c r="AH24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49" spans="1:34" x14ac:dyDescent="0.3">
      <c r="A249" t="s">
        <v>59</v>
      </c>
      <c r="B249" t="s">
        <v>60</v>
      </c>
      <c r="C249">
        <v>2024</v>
      </c>
      <c r="D249" t="s">
        <v>44</v>
      </c>
      <c r="E249" s="3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27</v>
      </c>
      <c r="N249">
        <v>7</v>
      </c>
      <c r="O249" t="s">
        <v>28</v>
      </c>
      <c r="P249">
        <v>75.5</v>
      </c>
      <c r="Q249">
        <v>2039</v>
      </c>
      <c r="R249">
        <v>4</v>
      </c>
      <c r="S249">
        <v>1</v>
      </c>
      <c r="T249" t="s">
        <v>41</v>
      </c>
      <c r="U249" t="s">
        <v>30</v>
      </c>
      <c r="V249" s="3">
        <v>6077</v>
      </c>
      <c r="W249">
        <v>3.64</v>
      </c>
      <c r="X249">
        <v>5</v>
      </c>
      <c r="Y249" s="1">
        <f>EV_Data4[[#This Row],[range_miles]]/EV_Data4[[#This Row],[battery_capacity_kwh]]</f>
        <v>3.5343915343915344</v>
      </c>
      <c r="Z249" s="4">
        <f>EV_Data4[[#This Row],[price_usd]]/EV_Data4[[#This Row],[range_miles]]</f>
        <v>346.94167664670658</v>
      </c>
      <c r="AA249" s="2">
        <f>(EV_Data4[[#This Row],[customer_rating]]*EV_Data4[[#This Row],[safety_rating]]*1000)/EV_Data4[[#This Row],[price_usd]]</f>
        <v>0.12564882602918986</v>
      </c>
      <c r="AB249">
        <f>EV_Data4[[#This Row],[horsepower]]+EV_Data4[[#This Row],[torque_nm]]/EV_Data4[[#This Row],[acceleration_0_60_mph]]</f>
        <v>1150.219152854512</v>
      </c>
      <c r="AC249" t="str">
        <f>IF(EV_Data4[[#This Row],[price_usd]]&gt;=80000,"Luxury",IF(EV_Data4[[#This Row],[price_usd]]&gt;=40000,"Mid-Range","Budget"))</f>
        <v>Luxury</v>
      </c>
      <c r="AD249" t="str">
        <f>IF(EV_Data4[[#This Row],[range_miles]]&gt;=350,"Long-Range",IF(EV_Data4[[#This Row],[range_miles]]&gt;=250,"Medium-Range","Short-Range"))</f>
        <v>Medium-Range</v>
      </c>
      <c r="AE249" t="str">
        <f>IF(EV_Data4[[#This Row],[charging_speed_kw]]&gt;=250,"Ultra-Fast",IF(EV_Data4[[#This Row],[charging_speed_kw]]&gt;=150,"Fast-Charging","Standard-Charging"))</f>
        <v>Standard-Charging</v>
      </c>
      <c r="AF249" t="str">
        <f>IF(EV_Data4[[#This Row],[acceleration_0_60_mph]]&lt;=3,"SportsPerformance",IF(EV_Data4[[#This Row],[acceleration_0_60_mph]]&lt;=5,"HighPerformance","Standard"))</f>
        <v>Standard</v>
      </c>
      <c r="AG249" t="str">
        <f>IF(EV_Data4[[#This Row],[customer_rating]]&gt;=4.5,"Excellent",IF(EV_Data4[[#This Row],[customer_rating]]&gt;=3.5,"Good","Average"))</f>
        <v>Good</v>
      </c>
      <c r="AH24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50" spans="1:34" x14ac:dyDescent="0.3">
      <c r="A250" t="s">
        <v>31</v>
      </c>
      <c r="B250" t="s">
        <v>32</v>
      </c>
      <c r="C250">
        <v>2024</v>
      </c>
      <c r="D250" t="s">
        <v>44</v>
      </c>
      <c r="E250" s="3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34</v>
      </c>
      <c r="N250">
        <v>7</v>
      </c>
      <c r="O250" t="s">
        <v>35</v>
      </c>
      <c r="P250">
        <v>64.400000000000006</v>
      </c>
      <c r="Q250">
        <v>2334</v>
      </c>
      <c r="R250">
        <v>4</v>
      </c>
      <c r="S250">
        <v>2</v>
      </c>
      <c r="T250" t="s">
        <v>36</v>
      </c>
      <c r="U250" t="s">
        <v>37</v>
      </c>
      <c r="V250" s="3">
        <v>1214</v>
      </c>
      <c r="W250">
        <v>3.76</v>
      </c>
      <c r="X250">
        <v>4</v>
      </c>
      <c r="Y250" s="1">
        <f>EV_Data4[[#This Row],[range_miles]]/EV_Data4[[#This Row],[battery_capacity_kwh]]</f>
        <v>3.3723653395784541</v>
      </c>
      <c r="Z250" s="4">
        <f>EV_Data4[[#This Row],[price_usd]]/EV_Data4[[#This Row],[range_miles]]</f>
        <v>223.82555555555555</v>
      </c>
      <c r="AA250" s="2">
        <f>(EV_Data4[[#This Row],[customer_rating]]*EV_Data4[[#This Row],[safety_rating]]*1000)/EV_Data4[[#This Row],[price_usd]]</f>
        <v>0.23331662058249727</v>
      </c>
      <c r="AB250">
        <f>EV_Data4[[#This Row],[horsepower]]+EV_Data4[[#This Row],[torque_nm]]/EV_Data4[[#This Row],[acceleration_0_60_mph]]</f>
        <v>936.44444444444446</v>
      </c>
      <c r="AC250" t="str">
        <f>IF(EV_Data4[[#This Row],[price_usd]]&gt;=80000,"Luxury",IF(EV_Data4[[#This Row],[price_usd]]&gt;=40000,"Mid-Range","Budget"))</f>
        <v>Mid-Range</v>
      </c>
      <c r="AD250" t="str">
        <f>IF(EV_Data4[[#This Row],[range_miles]]&gt;=350,"Long-Range",IF(EV_Data4[[#This Row],[range_miles]]&gt;=250,"Medium-Range","Short-Range"))</f>
        <v>Medium-Range</v>
      </c>
      <c r="AE250" t="str">
        <f>IF(EV_Data4[[#This Row],[charging_speed_kw]]&gt;=250,"Ultra-Fast",IF(EV_Data4[[#This Row],[charging_speed_kw]]&gt;=150,"Fast-Charging","Standard-Charging"))</f>
        <v>Standard-Charging</v>
      </c>
      <c r="AF250" t="str">
        <f>IF(EV_Data4[[#This Row],[acceleration_0_60_mph]]&lt;=3,"SportsPerformance",IF(EV_Data4[[#This Row],[acceleration_0_60_mph]]&lt;=5,"HighPerformance","Standard"))</f>
        <v>HighPerformance</v>
      </c>
      <c r="AG250" t="str">
        <f>IF(EV_Data4[[#This Row],[customer_rating]]&gt;=4.5,"Excellent",IF(EV_Data4[[#This Row],[customer_rating]]&gt;=3.5,"Good","Average"))</f>
        <v>Good</v>
      </c>
      <c r="AH25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51" spans="1:34" x14ac:dyDescent="0.3">
      <c r="A251" t="s">
        <v>52</v>
      </c>
      <c r="B251" t="s">
        <v>62</v>
      </c>
      <c r="C251">
        <v>2023</v>
      </c>
      <c r="D251" t="s">
        <v>26</v>
      </c>
      <c r="E251" s="3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34</v>
      </c>
      <c r="N251">
        <v>5</v>
      </c>
      <c r="O251" t="s">
        <v>28</v>
      </c>
      <c r="P251">
        <v>79.099999999999994</v>
      </c>
      <c r="Q251">
        <v>2572</v>
      </c>
      <c r="R251">
        <v>4</v>
      </c>
      <c r="S251">
        <v>1</v>
      </c>
      <c r="T251" t="s">
        <v>29</v>
      </c>
      <c r="U251" t="s">
        <v>30</v>
      </c>
      <c r="V251" s="3">
        <v>35248</v>
      </c>
      <c r="W251">
        <v>3.91</v>
      </c>
      <c r="X251">
        <v>8</v>
      </c>
      <c r="Y251" s="1">
        <f>EV_Data4[[#This Row],[range_miles]]/EV_Data4[[#This Row],[battery_capacity_kwh]]</f>
        <v>3.3453887884267632</v>
      </c>
      <c r="Z251" s="4">
        <f>EV_Data4[[#This Row],[price_usd]]/EV_Data4[[#This Row],[range_miles]]</f>
        <v>489.26102702702701</v>
      </c>
      <c r="AA251" s="2">
        <f>(EV_Data4[[#This Row],[customer_rating]]*EV_Data4[[#This Row],[safety_rating]]*1000)/EV_Data4[[#This Row],[price_usd]]</f>
        <v>8.6396152432421811E-2</v>
      </c>
      <c r="AB251">
        <f>EV_Data4[[#This Row],[horsepower]]+EV_Data4[[#This Row],[torque_nm]]/EV_Data4[[#This Row],[acceleration_0_60_mph]]</f>
        <v>1286.0714285714287</v>
      </c>
      <c r="AC251" t="str">
        <f>IF(EV_Data4[[#This Row],[price_usd]]&gt;=80000,"Luxury",IF(EV_Data4[[#This Row],[price_usd]]&gt;=40000,"Mid-Range","Budget"))</f>
        <v>Luxury</v>
      </c>
      <c r="AD251" t="str">
        <f>IF(EV_Data4[[#This Row],[range_miles]]&gt;=350,"Long-Range",IF(EV_Data4[[#This Row],[range_miles]]&gt;=250,"Medium-Range","Short-Range"))</f>
        <v>Long-Range</v>
      </c>
      <c r="AE251" t="str">
        <f>IF(EV_Data4[[#This Row],[charging_speed_kw]]&gt;=250,"Ultra-Fast",IF(EV_Data4[[#This Row],[charging_speed_kw]]&gt;=150,"Fast-Charging","Standard-Charging"))</f>
        <v>Fast-Charging</v>
      </c>
      <c r="AF251" t="str">
        <f>IF(EV_Data4[[#This Row],[acceleration_0_60_mph]]&lt;=3,"SportsPerformance",IF(EV_Data4[[#This Row],[acceleration_0_60_mph]]&lt;=5,"HighPerformance","Standard"))</f>
        <v>SportsPerformance</v>
      </c>
      <c r="AG251" t="str">
        <f>IF(EV_Data4[[#This Row],[customer_rating]]&gt;=4.5,"Excellent",IF(EV_Data4[[#This Row],[customer_rating]]&gt;=3.5,"Good","Average"))</f>
        <v>Good</v>
      </c>
      <c r="AH25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52" spans="1:34" x14ac:dyDescent="0.3">
      <c r="A252" t="s">
        <v>63</v>
      </c>
      <c r="B252" t="s">
        <v>73</v>
      </c>
      <c r="C252">
        <v>2025</v>
      </c>
      <c r="D252" t="s">
        <v>44</v>
      </c>
      <c r="E252" s="3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34</v>
      </c>
      <c r="N252">
        <v>5</v>
      </c>
      <c r="O252" t="s">
        <v>58</v>
      </c>
      <c r="P252">
        <v>33.4</v>
      </c>
      <c r="Q252">
        <v>1500</v>
      </c>
      <c r="R252">
        <v>4</v>
      </c>
      <c r="S252">
        <v>0</v>
      </c>
      <c r="T252" t="s">
        <v>65</v>
      </c>
      <c r="U252" t="s">
        <v>37</v>
      </c>
      <c r="V252" s="3">
        <v>222634</v>
      </c>
      <c r="W252">
        <v>3.67</v>
      </c>
      <c r="X252">
        <v>5</v>
      </c>
      <c r="Y252" s="1">
        <f>EV_Data4[[#This Row],[range_miles]]/EV_Data4[[#This Row],[battery_capacity_kwh]]</f>
        <v>3.538083538083538</v>
      </c>
      <c r="Z252" s="4">
        <f>EV_Data4[[#This Row],[price_usd]]/EV_Data4[[#This Row],[range_miles]]</f>
        <v>168.75003472222224</v>
      </c>
      <c r="AA252" s="2">
        <f>(EV_Data4[[#This Row],[customer_rating]]*EV_Data4[[#This Row],[safety_rating]]*1000)/EV_Data4[[#This Row],[price_usd]]</f>
        <v>0.3020575510169648</v>
      </c>
      <c r="AB252">
        <f>EV_Data4[[#This Row],[horsepower]]+EV_Data4[[#This Row],[torque_nm]]/EV_Data4[[#This Row],[acceleration_0_60_mph]]</f>
        <v>543.33085501858739</v>
      </c>
      <c r="AC252" t="str">
        <f>IF(EV_Data4[[#This Row],[price_usd]]&gt;=80000,"Luxury",IF(EV_Data4[[#This Row],[price_usd]]&gt;=40000,"Mid-Range","Budget"))</f>
        <v>Mid-Range</v>
      </c>
      <c r="AD252" t="str">
        <f>IF(EV_Data4[[#This Row],[range_miles]]&gt;=350,"Long-Range",IF(EV_Data4[[#This Row],[range_miles]]&gt;=250,"Medium-Range","Short-Range"))</f>
        <v>Medium-Range</v>
      </c>
      <c r="AE252" t="str">
        <f>IF(EV_Data4[[#This Row],[charging_speed_kw]]&gt;=250,"Ultra-Fast",IF(EV_Data4[[#This Row],[charging_speed_kw]]&gt;=150,"Fast-Charging","Standard-Charging"))</f>
        <v>Standard-Charging</v>
      </c>
      <c r="AF252" t="str">
        <f>IF(EV_Data4[[#This Row],[acceleration_0_60_mph]]&lt;=3,"SportsPerformance",IF(EV_Data4[[#This Row],[acceleration_0_60_mph]]&lt;=5,"HighPerformance","Standard"))</f>
        <v>Standard</v>
      </c>
      <c r="AG252" t="str">
        <f>IF(EV_Data4[[#This Row],[customer_rating]]&gt;=4.5,"Excellent",IF(EV_Data4[[#This Row],[customer_rating]]&gt;=3.5,"Good","Average"))</f>
        <v>Good</v>
      </c>
      <c r="AH25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53" spans="1:34" x14ac:dyDescent="0.3">
      <c r="A253" t="s">
        <v>24</v>
      </c>
      <c r="B253" t="s">
        <v>85</v>
      </c>
      <c r="C253">
        <v>2023</v>
      </c>
      <c r="D253" t="s">
        <v>33</v>
      </c>
      <c r="E253" s="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27</v>
      </c>
      <c r="N253">
        <v>7</v>
      </c>
      <c r="O253" t="s">
        <v>51</v>
      </c>
      <c r="P253">
        <v>37.299999999999997</v>
      </c>
      <c r="Q253">
        <v>1894</v>
      </c>
      <c r="R253">
        <v>4</v>
      </c>
      <c r="S253">
        <v>0</v>
      </c>
      <c r="T253" t="s">
        <v>29</v>
      </c>
      <c r="U253" t="s">
        <v>37</v>
      </c>
      <c r="V253" s="3">
        <v>229072</v>
      </c>
      <c r="W253">
        <v>3.13</v>
      </c>
      <c r="X253">
        <v>5</v>
      </c>
      <c r="Y253" s="1">
        <f>EV_Data4[[#This Row],[range_miles]]/EV_Data4[[#This Row],[battery_capacity_kwh]]</f>
        <v>3.6057692307692308</v>
      </c>
      <c r="Z253" s="4">
        <f>EV_Data4[[#This Row],[price_usd]]/EV_Data4[[#This Row],[range_miles]]</f>
        <v>267.64473333333331</v>
      </c>
      <c r="AA253" s="2">
        <f>(EV_Data4[[#This Row],[customer_rating]]*EV_Data4[[#This Row],[safety_rating]]*1000)/EV_Data4[[#This Row],[price_usd]]</f>
        <v>0.31185618946110405</v>
      </c>
      <c r="AB253">
        <f>EV_Data4[[#This Row],[horsepower]]+EV_Data4[[#This Row],[torque_nm]]/EV_Data4[[#This Row],[acceleration_0_60_mph]]</f>
        <v>353.1845730027548</v>
      </c>
      <c r="AC253" t="str">
        <f>IF(EV_Data4[[#This Row],[price_usd]]&gt;=80000,"Luxury",IF(EV_Data4[[#This Row],[price_usd]]&gt;=40000,"Mid-Range","Budget"))</f>
        <v>Mid-Range</v>
      </c>
      <c r="AD253" t="str">
        <f>IF(EV_Data4[[#This Row],[range_miles]]&gt;=350,"Long-Range",IF(EV_Data4[[#This Row],[range_miles]]&gt;=250,"Medium-Range","Short-Range"))</f>
        <v>Short-Range</v>
      </c>
      <c r="AE253" t="str">
        <f>IF(EV_Data4[[#This Row],[charging_speed_kw]]&gt;=250,"Ultra-Fast",IF(EV_Data4[[#This Row],[charging_speed_kw]]&gt;=150,"Fast-Charging","Standard-Charging"))</f>
        <v>Standard-Charging</v>
      </c>
      <c r="AF253" t="str">
        <f>IF(EV_Data4[[#This Row],[acceleration_0_60_mph]]&lt;=3,"SportsPerformance",IF(EV_Data4[[#This Row],[acceleration_0_60_mph]]&lt;=5,"HighPerformance","Standard"))</f>
        <v>Standard</v>
      </c>
      <c r="AG253" t="str">
        <f>IF(EV_Data4[[#This Row],[customer_rating]]&gt;=4.5,"Excellent",IF(EV_Data4[[#This Row],[customer_rating]]&gt;=3.5,"Good","Average"))</f>
        <v>Average</v>
      </c>
      <c r="AH25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54" spans="1:34" x14ac:dyDescent="0.3">
      <c r="A254" t="s">
        <v>52</v>
      </c>
      <c r="B254" t="s">
        <v>103</v>
      </c>
      <c r="C254">
        <v>2023</v>
      </c>
      <c r="D254" t="s">
        <v>44</v>
      </c>
      <c r="E254" s="3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48</v>
      </c>
      <c r="N254">
        <v>7</v>
      </c>
      <c r="O254" t="s">
        <v>58</v>
      </c>
      <c r="P254">
        <v>35.4</v>
      </c>
      <c r="Q254">
        <v>1500</v>
      </c>
      <c r="R254">
        <v>4</v>
      </c>
      <c r="S254">
        <v>2</v>
      </c>
      <c r="T254" t="s">
        <v>29</v>
      </c>
      <c r="U254" t="s">
        <v>30</v>
      </c>
      <c r="V254" s="3">
        <v>20765</v>
      </c>
      <c r="W254">
        <v>4.0999999999999996</v>
      </c>
      <c r="X254">
        <v>8</v>
      </c>
      <c r="Y254" s="1">
        <f>EV_Data4[[#This Row],[range_miles]]/EV_Data4[[#This Row],[battery_capacity_kwh]]</f>
        <v>3.4321223709369026</v>
      </c>
      <c r="Z254" s="4">
        <f>EV_Data4[[#This Row],[price_usd]]/EV_Data4[[#This Row],[range_miles]]</f>
        <v>508.1997771587744</v>
      </c>
      <c r="AA254" s="2">
        <f>(EV_Data4[[#This Row],[customer_rating]]*EV_Data4[[#This Row],[safety_rating]]*1000)/EV_Data4[[#This Row],[price_usd]]</f>
        <v>8.989073452350127E-2</v>
      </c>
      <c r="AB254">
        <f>EV_Data4[[#This Row],[horsepower]]+EV_Data4[[#This Row],[torque_nm]]/EV_Data4[[#This Row],[acceleration_0_60_mph]]</f>
        <v>1176.7123287671234</v>
      </c>
      <c r="AC254" t="str">
        <f>IF(EV_Data4[[#This Row],[price_usd]]&gt;=80000,"Luxury",IF(EV_Data4[[#This Row],[price_usd]]&gt;=40000,"Mid-Range","Budget"))</f>
        <v>Luxury</v>
      </c>
      <c r="AD254" t="str">
        <f>IF(EV_Data4[[#This Row],[range_miles]]&gt;=350,"Long-Range",IF(EV_Data4[[#This Row],[range_miles]]&gt;=250,"Medium-Range","Short-Range"))</f>
        <v>Long-Range</v>
      </c>
      <c r="AE254" t="str">
        <f>IF(EV_Data4[[#This Row],[charging_speed_kw]]&gt;=250,"Ultra-Fast",IF(EV_Data4[[#This Row],[charging_speed_kw]]&gt;=150,"Fast-Charging","Standard-Charging"))</f>
        <v>Standard-Charging</v>
      </c>
      <c r="AF254" t="str">
        <f>IF(EV_Data4[[#This Row],[acceleration_0_60_mph]]&lt;=3,"SportsPerformance",IF(EV_Data4[[#This Row],[acceleration_0_60_mph]]&lt;=5,"HighPerformance","Standard"))</f>
        <v>Standard</v>
      </c>
      <c r="AG254" t="str">
        <f>IF(EV_Data4[[#This Row],[customer_rating]]&gt;=4.5,"Excellent",IF(EV_Data4[[#This Row],[customer_rating]]&gt;=3.5,"Good","Average"))</f>
        <v>Good</v>
      </c>
      <c r="AH25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55" spans="1:34" x14ac:dyDescent="0.3">
      <c r="A255" t="s">
        <v>63</v>
      </c>
      <c r="B255" t="s">
        <v>67</v>
      </c>
      <c r="C255">
        <v>2022</v>
      </c>
      <c r="D255" t="s">
        <v>26</v>
      </c>
      <c r="E255" s="3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48</v>
      </c>
      <c r="N255">
        <v>5</v>
      </c>
      <c r="O255" t="s">
        <v>40</v>
      </c>
      <c r="P255">
        <v>73.900000000000006</v>
      </c>
      <c r="Q255">
        <v>1520</v>
      </c>
      <c r="R255">
        <v>4</v>
      </c>
      <c r="S255">
        <v>1</v>
      </c>
      <c r="T255" t="s">
        <v>65</v>
      </c>
      <c r="U255" t="s">
        <v>37</v>
      </c>
      <c r="V255" s="3">
        <v>175542</v>
      </c>
      <c r="W255">
        <v>3.44</v>
      </c>
      <c r="X255">
        <v>5</v>
      </c>
      <c r="Y255" s="1">
        <f>EV_Data4[[#This Row],[range_miles]]/EV_Data4[[#This Row],[battery_capacity_kwh]]</f>
        <v>3.0760869565217392</v>
      </c>
      <c r="Z255" s="4">
        <f>EV_Data4[[#This Row],[price_usd]]/EV_Data4[[#This Row],[range_miles]]</f>
        <v>135.25257950530036</v>
      </c>
      <c r="AA255" s="2">
        <f>(EV_Data4[[#This Row],[customer_rating]]*EV_Data4[[#This Row],[safety_rating]]*1000)/EV_Data4[[#This Row],[price_usd]]</f>
        <v>0.35948969184209201</v>
      </c>
      <c r="AB255">
        <f>EV_Data4[[#This Row],[horsepower]]+EV_Data4[[#This Row],[torque_nm]]/EV_Data4[[#This Row],[acceleration_0_60_mph]]</f>
        <v>505.77844311377248</v>
      </c>
      <c r="AC255" t="str">
        <f>IF(EV_Data4[[#This Row],[price_usd]]&gt;=80000,"Luxury",IF(EV_Data4[[#This Row],[price_usd]]&gt;=40000,"Mid-Range","Budget"))</f>
        <v>Budget</v>
      </c>
      <c r="AD255" t="str">
        <f>IF(EV_Data4[[#This Row],[range_miles]]&gt;=350,"Long-Range",IF(EV_Data4[[#This Row],[range_miles]]&gt;=250,"Medium-Range","Short-Range"))</f>
        <v>Medium-Range</v>
      </c>
      <c r="AE255" t="str">
        <f>IF(EV_Data4[[#This Row],[charging_speed_kw]]&gt;=250,"Ultra-Fast",IF(EV_Data4[[#This Row],[charging_speed_kw]]&gt;=150,"Fast-Charging","Standard-Charging"))</f>
        <v>Fast-Charging</v>
      </c>
      <c r="AF255" t="str">
        <f>IF(EV_Data4[[#This Row],[acceleration_0_60_mph]]&lt;=3,"SportsPerformance",IF(EV_Data4[[#This Row],[acceleration_0_60_mph]]&lt;=5,"HighPerformance","Standard"))</f>
        <v>HighPerformance</v>
      </c>
      <c r="AG255" t="str">
        <f>IF(EV_Data4[[#This Row],[customer_rating]]&gt;=4.5,"Excellent",IF(EV_Data4[[#This Row],[customer_rating]]&gt;=3.5,"Good","Average"))</f>
        <v>Average</v>
      </c>
      <c r="AH25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56" spans="1:34" x14ac:dyDescent="0.3">
      <c r="A256" t="s">
        <v>46</v>
      </c>
      <c r="B256" t="s">
        <v>72</v>
      </c>
      <c r="C256">
        <v>2025</v>
      </c>
      <c r="D256" t="s">
        <v>26</v>
      </c>
      <c r="E256" s="3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34</v>
      </c>
      <c r="N256">
        <v>5</v>
      </c>
      <c r="O256" t="s">
        <v>28</v>
      </c>
      <c r="P256">
        <v>56.7</v>
      </c>
      <c r="Q256">
        <v>2613</v>
      </c>
      <c r="R256">
        <v>5</v>
      </c>
      <c r="S256">
        <v>2</v>
      </c>
      <c r="T256" t="s">
        <v>41</v>
      </c>
      <c r="U256" t="s">
        <v>30</v>
      </c>
      <c r="V256" s="3">
        <v>150657</v>
      </c>
      <c r="W256">
        <v>4.24</v>
      </c>
      <c r="X256">
        <v>5</v>
      </c>
      <c r="Y256" s="1">
        <f>EV_Data4[[#This Row],[range_miles]]/EV_Data4[[#This Row],[battery_capacity_kwh]]</f>
        <v>3.6087689713322093</v>
      </c>
      <c r="Z256" s="4">
        <f>EV_Data4[[#This Row],[price_usd]]/EV_Data4[[#This Row],[range_miles]]</f>
        <v>271.20960280373833</v>
      </c>
      <c r="AA256" s="2">
        <f>(EV_Data4[[#This Row],[customer_rating]]*EV_Data4[[#This Row],[safety_rating]]*1000)/EV_Data4[[#This Row],[price_usd]]</f>
        <v>0.18263627013317202</v>
      </c>
      <c r="AB256">
        <f>EV_Data4[[#This Row],[horsepower]]+EV_Data4[[#This Row],[torque_nm]]/EV_Data4[[#This Row],[acceleration_0_60_mph]]</f>
        <v>1056.6683937823834</v>
      </c>
      <c r="AC256" t="str">
        <f>IF(EV_Data4[[#This Row],[price_usd]]&gt;=80000,"Luxury",IF(EV_Data4[[#This Row],[price_usd]]&gt;=40000,"Mid-Range","Budget"))</f>
        <v>Luxury</v>
      </c>
      <c r="AD256" t="str">
        <f>IF(EV_Data4[[#This Row],[range_miles]]&gt;=350,"Long-Range",IF(EV_Data4[[#This Row],[range_miles]]&gt;=250,"Medium-Range","Short-Range"))</f>
        <v>Long-Range</v>
      </c>
      <c r="AE256" t="str">
        <f>IF(EV_Data4[[#This Row],[charging_speed_kw]]&gt;=250,"Ultra-Fast",IF(EV_Data4[[#This Row],[charging_speed_kw]]&gt;=150,"Fast-Charging","Standard-Charging"))</f>
        <v>Fast-Charging</v>
      </c>
      <c r="AF256" t="str">
        <f>IF(EV_Data4[[#This Row],[acceleration_0_60_mph]]&lt;=3,"SportsPerformance",IF(EV_Data4[[#This Row],[acceleration_0_60_mph]]&lt;=5,"HighPerformance","Standard"))</f>
        <v>HighPerformance</v>
      </c>
      <c r="AG256" t="str">
        <f>IF(EV_Data4[[#This Row],[customer_rating]]&gt;=4.5,"Excellent",IF(EV_Data4[[#This Row],[customer_rating]]&gt;=3.5,"Good","Average"))</f>
        <v>Good</v>
      </c>
      <c r="AH25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57" spans="1:34" x14ac:dyDescent="0.3">
      <c r="A257" t="s">
        <v>42</v>
      </c>
      <c r="B257" t="s">
        <v>80</v>
      </c>
      <c r="C257">
        <v>2025</v>
      </c>
      <c r="D257" t="s">
        <v>44</v>
      </c>
      <c r="E257" s="3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48</v>
      </c>
      <c r="N257">
        <v>5</v>
      </c>
      <c r="O257" t="s">
        <v>35</v>
      </c>
      <c r="P257">
        <v>44.5</v>
      </c>
      <c r="Q257">
        <v>2199</v>
      </c>
      <c r="R257">
        <v>4</v>
      </c>
      <c r="S257">
        <v>0</v>
      </c>
      <c r="T257" t="s">
        <v>45</v>
      </c>
      <c r="U257" t="s">
        <v>37</v>
      </c>
      <c r="V257" s="3">
        <v>99235</v>
      </c>
      <c r="W257">
        <v>3.69</v>
      </c>
      <c r="X257">
        <v>3</v>
      </c>
      <c r="Y257" s="1">
        <f>EV_Data4[[#This Row],[range_miles]]/EV_Data4[[#This Row],[battery_capacity_kwh]]</f>
        <v>3.552894211576846</v>
      </c>
      <c r="Z257" s="4">
        <f>EV_Data4[[#This Row],[price_usd]]/EV_Data4[[#This Row],[range_miles]]</f>
        <v>159.47407303370787</v>
      </c>
      <c r="AA257" s="2">
        <f>(EV_Data4[[#This Row],[customer_rating]]*EV_Data4[[#This Row],[safety_rating]]*1000)/EV_Data4[[#This Row],[price_usd]]</f>
        <v>0.25998379152540912</v>
      </c>
      <c r="AB257">
        <f>EV_Data4[[#This Row],[horsepower]]+EV_Data4[[#This Row],[torque_nm]]/EV_Data4[[#This Row],[acceleration_0_60_mph]]</f>
        <v>660.05734767025092</v>
      </c>
      <c r="AC257" t="str">
        <f>IF(EV_Data4[[#This Row],[price_usd]]&gt;=80000,"Luxury",IF(EV_Data4[[#This Row],[price_usd]]&gt;=40000,"Mid-Range","Budget"))</f>
        <v>Mid-Range</v>
      </c>
      <c r="AD257" t="str">
        <f>IF(EV_Data4[[#This Row],[range_miles]]&gt;=350,"Long-Range",IF(EV_Data4[[#This Row],[range_miles]]&gt;=250,"Medium-Range","Short-Range"))</f>
        <v>Long-Range</v>
      </c>
      <c r="AE257" t="str">
        <f>IF(EV_Data4[[#This Row],[charging_speed_kw]]&gt;=250,"Ultra-Fast",IF(EV_Data4[[#This Row],[charging_speed_kw]]&gt;=150,"Fast-Charging","Standard-Charging"))</f>
        <v>Standard-Charging</v>
      </c>
      <c r="AF257" t="str">
        <f>IF(EV_Data4[[#This Row],[acceleration_0_60_mph]]&lt;=3,"SportsPerformance",IF(EV_Data4[[#This Row],[acceleration_0_60_mph]]&lt;=5,"HighPerformance","Standard"))</f>
        <v>Standard</v>
      </c>
      <c r="AG257" t="str">
        <f>IF(EV_Data4[[#This Row],[customer_rating]]&gt;=4.5,"Excellent",IF(EV_Data4[[#This Row],[customer_rating]]&gt;=3.5,"Good","Average"))</f>
        <v>Good</v>
      </c>
      <c r="AH25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58" spans="1:34" x14ac:dyDescent="0.3">
      <c r="A258" t="s">
        <v>92</v>
      </c>
      <c r="B258" t="s">
        <v>110</v>
      </c>
      <c r="C258">
        <v>2025</v>
      </c>
      <c r="D258" t="s">
        <v>33</v>
      </c>
      <c r="E258" s="3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48</v>
      </c>
      <c r="N258">
        <v>7</v>
      </c>
      <c r="O258" t="s">
        <v>35</v>
      </c>
      <c r="P258">
        <v>52.5</v>
      </c>
      <c r="Q258">
        <v>2018</v>
      </c>
      <c r="R258">
        <v>4</v>
      </c>
      <c r="S258">
        <v>1</v>
      </c>
      <c r="T258" t="s">
        <v>65</v>
      </c>
      <c r="U258" t="s">
        <v>33</v>
      </c>
      <c r="V258" s="3">
        <v>16505</v>
      </c>
      <c r="W258">
        <v>3.43</v>
      </c>
      <c r="X258">
        <v>3</v>
      </c>
      <c r="Y258" s="1">
        <f>EV_Data4[[#This Row],[range_miles]]/EV_Data4[[#This Row],[battery_capacity_kwh]]</f>
        <v>3.5390946502057612</v>
      </c>
      <c r="Z258" s="4">
        <f>EV_Data4[[#This Row],[price_usd]]/EV_Data4[[#This Row],[range_miles]]</f>
        <v>508.5974418604651</v>
      </c>
      <c r="AA258" s="2">
        <f>(EV_Data4[[#This Row],[customer_rating]]*EV_Data4[[#This Row],[safety_rating]]*1000)/EV_Data4[[#This Row],[price_usd]]</f>
        <v>0.15683807132154137</v>
      </c>
      <c r="AB258">
        <f>EV_Data4[[#This Row],[horsepower]]+EV_Data4[[#This Row],[torque_nm]]/EV_Data4[[#This Row],[acceleration_0_60_mph]]</f>
        <v>932.72727272727275</v>
      </c>
      <c r="AC258" t="str">
        <f>IF(EV_Data4[[#This Row],[price_usd]]&gt;=80000,"Luxury",IF(EV_Data4[[#This Row],[price_usd]]&gt;=40000,"Mid-Range","Budget"))</f>
        <v>Luxury</v>
      </c>
      <c r="AD258" t="str">
        <f>IF(EV_Data4[[#This Row],[range_miles]]&gt;=350,"Long-Range",IF(EV_Data4[[#This Row],[range_miles]]&gt;=250,"Medium-Range","Short-Range"))</f>
        <v>Short-Range</v>
      </c>
      <c r="AE258" t="str">
        <f>IF(EV_Data4[[#This Row],[charging_speed_kw]]&gt;=250,"Ultra-Fast",IF(EV_Data4[[#This Row],[charging_speed_kw]]&gt;=150,"Fast-Charging","Standard-Charging"))</f>
        <v>Standard-Charging</v>
      </c>
      <c r="AF258" t="str">
        <f>IF(EV_Data4[[#This Row],[acceleration_0_60_mph]]&lt;=3,"SportsPerformance",IF(EV_Data4[[#This Row],[acceleration_0_60_mph]]&lt;=5,"HighPerformance","Standard"))</f>
        <v>Standard</v>
      </c>
      <c r="AG258" t="str">
        <f>IF(EV_Data4[[#This Row],[customer_rating]]&gt;=4.5,"Excellent",IF(EV_Data4[[#This Row],[customer_rating]]&gt;=3.5,"Good","Average"))</f>
        <v>Average</v>
      </c>
      <c r="AH25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59" spans="1:34" x14ac:dyDescent="0.3">
      <c r="A259" t="s">
        <v>38</v>
      </c>
      <c r="B259" t="s">
        <v>101</v>
      </c>
      <c r="C259">
        <v>2025</v>
      </c>
      <c r="D259" t="s">
        <v>44</v>
      </c>
      <c r="E259" s="3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27</v>
      </c>
      <c r="N259">
        <v>7</v>
      </c>
      <c r="O259" t="s">
        <v>40</v>
      </c>
      <c r="P259">
        <v>74.099999999999994</v>
      </c>
      <c r="Q259">
        <v>1500</v>
      </c>
      <c r="R259">
        <v>4</v>
      </c>
      <c r="S259">
        <v>2</v>
      </c>
      <c r="T259" t="s">
        <v>41</v>
      </c>
      <c r="U259" t="s">
        <v>33</v>
      </c>
      <c r="V259" s="3">
        <v>14899</v>
      </c>
      <c r="W259">
        <v>3.33</v>
      </c>
      <c r="X259">
        <v>4</v>
      </c>
      <c r="Y259" s="1">
        <f>EV_Data4[[#This Row],[range_miles]]/EV_Data4[[#This Row],[battery_capacity_kwh]]</f>
        <v>3.3600917431192658</v>
      </c>
      <c r="Z259" s="4">
        <f>EV_Data4[[#This Row],[price_usd]]/EV_Data4[[#This Row],[range_miles]]</f>
        <v>233.68648464163823</v>
      </c>
      <c r="AA259" s="2">
        <f>(EV_Data4[[#This Row],[customer_rating]]*EV_Data4[[#This Row],[safety_rating]]*1000)/EV_Data4[[#This Row],[price_usd]]</f>
        <v>0.19453735599196964</v>
      </c>
      <c r="AB259">
        <f>EV_Data4[[#This Row],[horsepower]]+EV_Data4[[#This Row],[torque_nm]]/EV_Data4[[#This Row],[acceleration_0_60_mph]]</f>
        <v>1096.2897526501768</v>
      </c>
      <c r="AC259" t="str">
        <f>IF(EV_Data4[[#This Row],[price_usd]]&gt;=80000,"Luxury",IF(EV_Data4[[#This Row],[price_usd]]&gt;=40000,"Mid-Range","Budget"))</f>
        <v>Mid-Range</v>
      </c>
      <c r="AD259" t="str">
        <f>IF(EV_Data4[[#This Row],[range_miles]]&gt;=350,"Long-Range",IF(EV_Data4[[#This Row],[range_miles]]&gt;=250,"Medium-Range","Short-Range"))</f>
        <v>Medium-Range</v>
      </c>
      <c r="AE259" t="str">
        <f>IF(EV_Data4[[#This Row],[charging_speed_kw]]&gt;=250,"Ultra-Fast",IF(EV_Data4[[#This Row],[charging_speed_kw]]&gt;=150,"Fast-Charging","Standard-Charging"))</f>
        <v>Standard-Charging</v>
      </c>
      <c r="AF259" t="str">
        <f>IF(EV_Data4[[#This Row],[acceleration_0_60_mph]]&lt;=3,"SportsPerformance",IF(EV_Data4[[#This Row],[acceleration_0_60_mph]]&lt;=5,"HighPerformance","Standard"))</f>
        <v>Standard</v>
      </c>
      <c r="AG259" t="str">
        <f>IF(EV_Data4[[#This Row],[customer_rating]]&gt;=4.5,"Excellent",IF(EV_Data4[[#This Row],[customer_rating]]&gt;=3.5,"Good","Average"))</f>
        <v>Average</v>
      </c>
      <c r="AH25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60" spans="1:34" x14ac:dyDescent="0.3">
      <c r="A260" t="s">
        <v>42</v>
      </c>
      <c r="B260" t="s">
        <v>80</v>
      </c>
      <c r="C260">
        <v>2025</v>
      </c>
      <c r="D260" t="s">
        <v>33</v>
      </c>
      <c r="E260" s="3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27</v>
      </c>
      <c r="N260">
        <v>7</v>
      </c>
      <c r="O260" t="s">
        <v>35</v>
      </c>
      <c r="P260">
        <v>36.700000000000003</v>
      </c>
      <c r="Q260">
        <v>2020</v>
      </c>
      <c r="R260">
        <v>4</v>
      </c>
      <c r="S260">
        <v>0</v>
      </c>
      <c r="T260" t="s">
        <v>45</v>
      </c>
      <c r="U260" t="s">
        <v>33</v>
      </c>
      <c r="V260" s="3">
        <v>123485</v>
      </c>
      <c r="W260">
        <v>3.47</v>
      </c>
      <c r="X260">
        <v>4</v>
      </c>
      <c r="Y260" s="1">
        <f>EV_Data4[[#This Row],[range_miles]]/EV_Data4[[#This Row],[battery_capacity_kwh]]</f>
        <v>3.4801136363636362</v>
      </c>
      <c r="Z260" s="4">
        <f>EV_Data4[[#This Row],[price_usd]]/EV_Data4[[#This Row],[range_miles]]</f>
        <v>367.29497959183675</v>
      </c>
      <c r="AA260" s="2">
        <f>(EV_Data4[[#This Row],[customer_rating]]*EV_Data4[[#This Row],[safety_rating]]*1000)/EV_Data4[[#This Row],[price_usd]]</f>
        <v>0.15424403918465354</v>
      </c>
      <c r="AB260">
        <f>EV_Data4[[#This Row],[horsepower]]+EV_Data4[[#This Row],[torque_nm]]/EV_Data4[[#This Row],[acceleration_0_60_mph]]</f>
        <v>1164.9029982363315</v>
      </c>
      <c r="AC260" t="str">
        <f>IF(EV_Data4[[#This Row],[price_usd]]&gt;=80000,"Luxury",IF(EV_Data4[[#This Row],[price_usd]]&gt;=40000,"Mid-Range","Budget"))</f>
        <v>Luxury</v>
      </c>
      <c r="AD260" t="str">
        <f>IF(EV_Data4[[#This Row],[range_miles]]&gt;=350,"Long-Range",IF(EV_Data4[[#This Row],[range_miles]]&gt;=250,"Medium-Range","Short-Range"))</f>
        <v>Short-Range</v>
      </c>
      <c r="AE260" t="str">
        <f>IF(EV_Data4[[#This Row],[charging_speed_kw]]&gt;=250,"Ultra-Fast",IF(EV_Data4[[#This Row],[charging_speed_kw]]&gt;=150,"Fast-Charging","Standard-Charging"))</f>
        <v>Standard-Charging</v>
      </c>
      <c r="AF260" t="str">
        <f>IF(EV_Data4[[#This Row],[acceleration_0_60_mph]]&lt;=3,"SportsPerformance",IF(EV_Data4[[#This Row],[acceleration_0_60_mph]]&lt;=5,"HighPerformance","Standard"))</f>
        <v>Standard</v>
      </c>
      <c r="AG260" t="str">
        <f>IF(EV_Data4[[#This Row],[customer_rating]]&gt;=4.5,"Excellent",IF(EV_Data4[[#This Row],[customer_rating]]&gt;=3.5,"Good","Average"))</f>
        <v>Average</v>
      </c>
      <c r="AH26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61" spans="1:34" x14ac:dyDescent="0.3">
      <c r="A261" t="s">
        <v>46</v>
      </c>
      <c r="B261" t="s">
        <v>57</v>
      </c>
      <c r="C261">
        <v>2023</v>
      </c>
      <c r="D261" t="s">
        <v>33</v>
      </c>
      <c r="E261" s="3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27</v>
      </c>
      <c r="N261">
        <v>7</v>
      </c>
      <c r="O261" t="s">
        <v>40</v>
      </c>
      <c r="P261">
        <v>69.5</v>
      </c>
      <c r="Q261">
        <v>1617</v>
      </c>
      <c r="R261">
        <v>3</v>
      </c>
      <c r="S261">
        <v>3</v>
      </c>
      <c r="T261" t="s">
        <v>41</v>
      </c>
      <c r="U261" t="s">
        <v>33</v>
      </c>
      <c r="V261" s="3">
        <v>244244</v>
      </c>
      <c r="W261">
        <v>3.81</v>
      </c>
      <c r="X261">
        <v>4</v>
      </c>
      <c r="Y261" s="1">
        <f>EV_Data4[[#This Row],[range_miles]]/EV_Data4[[#This Row],[battery_capacity_kwh]]</f>
        <v>3.5511713933415541</v>
      </c>
      <c r="Z261" s="4">
        <f>EV_Data4[[#This Row],[price_usd]]/EV_Data4[[#This Row],[range_miles]]</f>
        <v>265.99874999999997</v>
      </c>
      <c r="AA261" s="2">
        <f>(EV_Data4[[#This Row],[customer_rating]]*EV_Data4[[#This Row],[safety_rating]]*1000)/EV_Data4[[#This Row],[price_usd]]</f>
        <v>0.14920182895596315</v>
      </c>
      <c r="AB261">
        <f>EV_Data4[[#This Row],[horsepower]]+EV_Data4[[#This Row],[torque_nm]]/EV_Data4[[#This Row],[acceleration_0_60_mph]]</f>
        <v>626.41884816753929</v>
      </c>
      <c r="AC261" t="str">
        <f>IF(EV_Data4[[#This Row],[price_usd]]&gt;=80000,"Luxury",IF(EV_Data4[[#This Row],[price_usd]]&gt;=40000,"Mid-Range","Budget"))</f>
        <v>Mid-Range</v>
      </c>
      <c r="AD261" t="str">
        <f>IF(EV_Data4[[#This Row],[range_miles]]&gt;=350,"Long-Range",IF(EV_Data4[[#This Row],[range_miles]]&gt;=250,"Medium-Range","Short-Range"))</f>
        <v>Medium-Range</v>
      </c>
      <c r="AE261" t="str">
        <f>IF(EV_Data4[[#This Row],[charging_speed_kw]]&gt;=250,"Ultra-Fast",IF(EV_Data4[[#This Row],[charging_speed_kw]]&gt;=150,"Fast-Charging","Standard-Charging"))</f>
        <v>Ultra-Fast</v>
      </c>
      <c r="AF261" t="str">
        <f>IF(EV_Data4[[#This Row],[acceleration_0_60_mph]]&lt;=3,"SportsPerformance",IF(EV_Data4[[#This Row],[acceleration_0_60_mph]]&lt;=5,"HighPerformance","Standard"))</f>
        <v>Standard</v>
      </c>
      <c r="AG261" t="str">
        <f>IF(EV_Data4[[#This Row],[customer_rating]]&gt;=4.5,"Excellent",IF(EV_Data4[[#This Row],[customer_rating]]&gt;=3.5,"Good","Average"))</f>
        <v>Good</v>
      </c>
      <c r="AH261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262" spans="1:34" x14ac:dyDescent="0.3">
      <c r="A262" t="s">
        <v>42</v>
      </c>
      <c r="B262" t="s">
        <v>71</v>
      </c>
      <c r="C262">
        <v>2022</v>
      </c>
      <c r="D262" t="s">
        <v>44</v>
      </c>
      <c r="E262" s="3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34</v>
      </c>
      <c r="N262">
        <v>5</v>
      </c>
      <c r="O262" t="s">
        <v>28</v>
      </c>
      <c r="P262">
        <v>75.099999999999994</v>
      </c>
      <c r="Q262">
        <v>2689</v>
      </c>
      <c r="R262">
        <v>5</v>
      </c>
      <c r="S262">
        <v>0</v>
      </c>
      <c r="T262" t="s">
        <v>45</v>
      </c>
      <c r="U262" t="s">
        <v>33</v>
      </c>
      <c r="V262" s="3">
        <v>85577</v>
      </c>
      <c r="W262">
        <v>3.72</v>
      </c>
      <c r="X262">
        <v>3</v>
      </c>
      <c r="Y262" s="1">
        <f>EV_Data4[[#This Row],[range_miles]]/EV_Data4[[#This Row],[battery_capacity_kwh]]</f>
        <v>3.6236559139784945</v>
      </c>
      <c r="Z262" s="4">
        <f>EV_Data4[[#This Row],[price_usd]]/EV_Data4[[#This Row],[range_miles]]</f>
        <v>226.8225816023739</v>
      </c>
      <c r="AA262" s="2">
        <f>(EV_Data4[[#This Row],[customer_rating]]*EV_Data4[[#This Row],[safety_rating]]*1000)/EV_Data4[[#This Row],[price_usd]]</f>
        <v>0.24333061526931007</v>
      </c>
      <c r="AB262">
        <f>EV_Data4[[#This Row],[horsepower]]+EV_Data4[[#This Row],[torque_nm]]/EV_Data4[[#This Row],[acceleration_0_60_mph]]</f>
        <v>1040.0689655172414</v>
      </c>
      <c r="AC262" t="str">
        <f>IF(EV_Data4[[#This Row],[price_usd]]&gt;=80000,"Luxury",IF(EV_Data4[[#This Row],[price_usd]]&gt;=40000,"Mid-Range","Budget"))</f>
        <v>Mid-Range</v>
      </c>
      <c r="AD262" t="str">
        <f>IF(EV_Data4[[#This Row],[range_miles]]&gt;=350,"Long-Range",IF(EV_Data4[[#This Row],[range_miles]]&gt;=250,"Medium-Range","Short-Range"))</f>
        <v>Medium-Range</v>
      </c>
      <c r="AE262" t="str">
        <f>IF(EV_Data4[[#This Row],[charging_speed_kw]]&gt;=250,"Ultra-Fast",IF(EV_Data4[[#This Row],[charging_speed_kw]]&gt;=150,"Fast-Charging","Standard-Charging"))</f>
        <v>Standard-Charging</v>
      </c>
      <c r="AF262" t="str">
        <f>IF(EV_Data4[[#This Row],[acceleration_0_60_mph]]&lt;=3,"SportsPerformance",IF(EV_Data4[[#This Row],[acceleration_0_60_mph]]&lt;=5,"HighPerformance","Standard"))</f>
        <v>Standard</v>
      </c>
      <c r="AG262" t="str">
        <f>IF(EV_Data4[[#This Row],[customer_rating]]&gt;=4.5,"Excellent",IF(EV_Data4[[#This Row],[customer_rating]]&gt;=3.5,"Good","Average"))</f>
        <v>Good</v>
      </c>
      <c r="AH26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63" spans="1:34" x14ac:dyDescent="0.3">
      <c r="A263" t="s">
        <v>121</v>
      </c>
      <c r="B263" t="s">
        <v>122</v>
      </c>
      <c r="C263">
        <v>2025</v>
      </c>
      <c r="D263" t="s">
        <v>26</v>
      </c>
      <c r="E263" s="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48</v>
      </c>
      <c r="N263">
        <v>5</v>
      </c>
      <c r="O263" t="s">
        <v>40</v>
      </c>
      <c r="P263">
        <v>60.8</v>
      </c>
      <c r="Q263">
        <v>1794</v>
      </c>
      <c r="R263">
        <v>5</v>
      </c>
      <c r="S263">
        <v>0</v>
      </c>
      <c r="T263" t="s">
        <v>123</v>
      </c>
      <c r="U263" t="s">
        <v>30</v>
      </c>
      <c r="V263" s="3">
        <v>8684</v>
      </c>
      <c r="W263">
        <v>3.86</v>
      </c>
      <c r="X263">
        <v>4</v>
      </c>
      <c r="Y263" s="1">
        <f>EV_Data4[[#This Row],[range_miles]]/EV_Data4[[#This Row],[battery_capacity_kwh]]</f>
        <v>3.5186960690316398</v>
      </c>
      <c r="Z263" s="4">
        <f>EV_Data4[[#This Row],[price_usd]]/EV_Data4[[#This Row],[range_miles]]</f>
        <v>289.69117166212533</v>
      </c>
      <c r="AA263" s="2">
        <f>(EV_Data4[[#This Row],[customer_rating]]*EV_Data4[[#This Row],[safety_rating]]*1000)/EV_Data4[[#This Row],[price_usd]]</f>
        <v>0.18153316705020642</v>
      </c>
      <c r="AB263">
        <f>EV_Data4[[#This Row],[horsepower]]+EV_Data4[[#This Row],[torque_nm]]/EV_Data4[[#This Row],[acceleration_0_60_mph]]</f>
        <v>1217.9611650485438</v>
      </c>
      <c r="AC263" t="str">
        <f>IF(EV_Data4[[#This Row],[price_usd]]&gt;=80000,"Luxury",IF(EV_Data4[[#This Row],[price_usd]]&gt;=40000,"Mid-Range","Budget"))</f>
        <v>Luxury</v>
      </c>
      <c r="AD263" t="str">
        <f>IF(EV_Data4[[#This Row],[range_miles]]&gt;=350,"Long-Range",IF(EV_Data4[[#This Row],[range_miles]]&gt;=250,"Medium-Range","Short-Range"))</f>
        <v>Long-Range</v>
      </c>
      <c r="AE263" t="str">
        <f>IF(EV_Data4[[#This Row],[charging_speed_kw]]&gt;=250,"Ultra-Fast",IF(EV_Data4[[#This Row],[charging_speed_kw]]&gt;=150,"Fast-Charging","Standard-Charging"))</f>
        <v>Fast-Charging</v>
      </c>
      <c r="AF263" t="str">
        <f>IF(EV_Data4[[#This Row],[acceleration_0_60_mph]]&lt;=3,"SportsPerformance",IF(EV_Data4[[#This Row],[acceleration_0_60_mph]]&lt;=5,"HighPerformance","Standard"))</f>
        <v>HighPerformance</v>
      </c>
      <c r="AG263" t="str">
        <f>IF(EV_Data4[[#This Row],[customer_rating]]&gt;=4.5,"Excellent",IF(EV_Data4[[#This Row],[customer_rating]]&gt;=3.5,"Good","Average"))</f>
        <v>Good</v>
      </c>
      <c r="AH26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64" spans="1:34" x14ac:dyDescent="0.3">
      <c r="A264" t="s">
        <v>46</v>
      </c>
      <c r="B264" t="s">
        <v>49</v>
      </c>
      <c r="C264">
        <v>2025</v>
      </c>
      <c r="D264" t="s">
        <v>33</v>
      </c>
      <c r="E264" s="3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48</v>
      </c>
      <c r="N264">
        <v>5</v>
      </c>
      <c r="O264" t="s">
        <v>28</v>
      </c>
      <c r="P264">
        <v>55.2</v>
      </c>
      <c r="Q264">
        <v>2793</v>
      </c>
      <c r="R264">
        <v>5</v>
      </c>
      <c r="S264">
        <v>2</v>
      </c>
      <c r="T264" t="s">
        <v>41</v>
      </c>
      <c r="U264" t="s">
        <v>33</v>
      </c>
      <c r="V264" s="3">
        <v>427228</v>
      </c>
      <c r="W264">
        <v>4.1500000000000004</v>
      </c>
      <c r="X264">
        <v>4</v>
      </c>
      <c r="Y264" s="1">
        <f>EV_Data4[[#This Row],[range_miles]]/EV_Data4[[#This Row],[battery_capacity_kwh]]</f>
        <v>3.6997319034852549</v>
      </c>
      <c r="Z264" s="4">
        <f>EV_Data4[[#This Row],[price_usd]]/EV_Data4[[#This Row],[range_miles]]</f>
        <v>303.62130434782608</v>
      </c>
      <c r="AA264" s="2">
        <f>(EV_Data4[[#This Row],[customer_rating]]*EV_Data4[[#This Row],[safety_rating]]*1000)/EV_Data4[[#This Row],[price_usd]]</f>
        <v>0.2476149016676476</v>
      </c>
      <c r="AB264">
        <f>EV_Data4[[#This Row],[horsepower]]+EV_Data4[[#This Row],[torque_nm]]/EV_Data4[[#This Row],[acceleration_0_60_mph]]</f>
        <v>734.6870229007634</v>
      </c>
      <c r="AC264" t="str">
        <f>IF(EV_Data4[[#This Row],[price_usd]]&gt;=80000,"Luxury",IF(EV_Data4[[#This Row],[price_usd]]&gt;=40000,"Mid-Range","Budget"))</f>
        <v>Luxury</v>
      </c>
      <c r="AD264" t="str">
        <f>IF(EV_Data4[[#This Row],[range_miles]]&gt;=350,"Long-Range",IF(EV_Data4[[#This Row],[range_miles]]&gt;=250,"Medium-Range","Short-Range"))</f>
        <v>Medium-Range</v>
      </c>
      <c r="AE264" t="str">
        <f>IF(EV_Data4[[#This Row],[charging_speed_kw]]&gt;=250,"Ultra-Fast",IF(EV_Data4[[#This Row],[charging_speed_kw]]&gt;=150,"Fast-Charging","Standard-Charging"))</f>
        <v>Ultra-Fast</v>
      </c>
      <c r="AF264" t="str">
        <f>IF(EV_Data4[[#This Row],[acceleration_0_60_mph]]&lt;=3,"SportsPerformance",IF(EV_Data4[[#This Row],[acceleration_0_60_mph]]&lt;=5,"HighPerformance","Standard"))</f>
        <v>Standard</v>
      </c>
      <c r="AG264" t="str">
        <f>IF(EV_Data4[[#This Row],[customer_rating]]&gt;=4.5,"Excellent",IF(EV_Data4[[#This Row],[customer_rating]]&gt;=3.5,"Good","Average"))</f>
        <v>Good</v>
      </c>
      <c r="AH26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65" spans="1:34" x14ac:dyDescent="0.3">
      <c r="A265" t="s">
        <v>68</v>
      </c>
      <c r="B265" t="s">
        <v>90</v>
      </c>
      <c r="C265">
        <v>2024</v>
      </c>
      <c r="D265" t="s">
        <v>56</v>
      </c>
      <c r="E265" s="3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48</v>
      </c>
      <c r="N265">
        <v>5</v>
      </c>
      <c r="O265" t="s">
        <v>40</v>
      </c>
      <c r="P265">
        <v>72.900000000000006</v>
      </c>
      <c r="Q265">
        <v>1533</v>
      </c>
      <c r="R265">
        <v>3</v>
      </c>
      <c r="S265">
        <v>1</v>
      </c>
      <c r="T265" t="s">
        <v>45</v>
      </c>
      <c r="U265" t="s">
        <v>37</v>
      </c>
      <c r="V265" s="3">
        <v>126203</v>
      </c>
      <c r="W265">
        <v>3.42</v>
      </c>
      <c r="X265">
        <v>4</v>
      </c>
      <c r="Y265" s="1">
        <f>EV_Data4[[#This Row],[range_miles]]/EV_Data4[[#This Row],[battery_capacity_kwh]]</f>
        <v>3.2923497267759561</v>
      </c>
      <c r="Z265" s="4">
        <f>EV_Data4[[#This Row],[price_usd]]/EV_Data4[[#This Row],[range_miles]]</f>
        <v>208.61647302904564</v>
      </c>
      <c r="AA265" s="2">
        <f>(EV_Data4[[#This Row],[customer_rating]]*EV_Data4[[#This Row],[safety_rating]]*1000)/EV_Data4[[#This Row],[price_usd]]</f>
        <v>0.20407120056121569</v>
      </c>
      <c r="AB265">
        <f>EV_Data4[[#This Row],[horsepower]]+EV_Data4[[#This Row],[torque_nm]]/EV_Data4[[#This Row],[acceleration_0_60_mph]]</f>
        <v>585.14342629482076</v>
      </c>
      <c r="AC265" t="str">
        <f>IF(EV_Data4[[#This Row],[price_usd]]&gt;=80000,"Luxury",IF(EV_Data4[[#This Row],[price_usd]]&gt;=40000,"Mid-Range","Budget"))</f>
        <v>Mid-Range</v>
      </c>
      <c r="AD265" t="str">
        <f>IF(EV_Data4[[#This Row],[range_miles]]&gt;=350,"Long-Range",IF(EV_Data4[[#This Row],[range_miles]]&gt;=250,"Medium-Range","Short-Range"))</f>
        <v>Short-Range</v>
      </c>
      <c r="AE265" t="str">
        <f>IF(EV_Data4[[#This Row],[charging_speed_kw]]&gt;=250,"Ultra-Fast",IF(EV_Data4[[#This Row],[charging_speed_kw]]&gt;=150,"Fast-Charging","Standard-Charging"))</f>
        <v>Standard-Charging</v>
      </c>
      <c r="AF265" t="str">
        <f>IF(EV_Data4[[#This Row],[acceleration_0_60_mph]]&lt;=3,"SportsPerformance",IF(EV_Data4[[#This Row],[acceleration_0_60_mph]]&lt;=5,"HighPerformance","Standard"))</f>
        <v>Standard</v>
      </c>
      <c r="AG265" t="str">
        <f>IF(EV_Data4[[#This Row],[customer_rating]]&gt;=4.5,"Excellent",IF(EV_Data4[[#This Row],[customer_rating]]&gt;=3.5,"Good","Average"))</f>
        <v>Average</v>
      </c>
      <c r="AH26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66" spans="1:34" x14ac:dyDescent="0.3">
      <c r="A266" t="s">
        <v>86</v>
      </c>
      <c r="B266" t="s">
        <v>87</v>
      </c>
      <c r="C266">
        <v>2022</v>
      </c>
      <c r="D266" t="s">
        <v>33</v>
      </c>
      <c r="E266" s="3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48</v>
      </c>
      <c r="N266">
        <v>5</v>
      </c>
      <c r="O266" t="s">
        <v>28</v>
      </c>
      <c r="P266">
        <v>55.3</v>
      </c>
      <c r="Q266">
        <v>2533</v>
      </c>
      <c r="R266">
        <v>5</v>
      </c>
      <c r="S266">
        <v>1</v>
      </c>
      <c r="T266" t="s">
        <v>29</v>
      </c>
      <c r="U266" t="s">
        <v>33</v>
      </c>
      <c r="V266" s="3">
        <v>45293</v>
      </c>
      <c r="W266">
        <v>3.1</v>
      </c>
      <c r="X266">
        <v>7</v>
      </c>
      <c r="Y266" s="1">
        <f>EV_Data4[[#This Row],[range_miles]]/EV_Data4[[#This Row],[battery_capacity_kwh]]</f>
        <v>3.2741617357001971</v>
      </c>
      <c r="Z266" s="4">
        <f>EV_Data4[[#This Row],[price_usd]]/EV_Data4[[#This Row],[range_miles]]</f>
        <v>592.61710843373498</v>
      </c>
      <c r="AA266" s="2">
        <f>(EV_Data4[[#This Row],[customer_rating]]*EV_Data4[[#This Row],[safety_rating]]*1000)/EV_Data4[[#This Row],[price_usd]]</f>
        <v>0.15756125269938004</v>
      </c>
      <c r="AB266">
        <f>EV_Data4[[#This Row],[horsepower]]+EV_Data4[[#This Row],[torque_nm]]/EV_Data4[[#This Row],[acceleration_0_60_mph]]</f>
        <v>813.9911816578483</v>
      </c>
      <c r="AC266" t="str">
        <f>IF(EV_Data4[[#This Row],[price_usd]]&gt;=80000,"Luxury",IF(EV_Data4[[#This Row],[price_usd]]&gt;=40000,"Mid-Range","Budget"))</f>
        <v>Luxury</v>
      </c>
      <c r="AD266" t="str">
        <f>IF(EV_Data4[[#This Row],[range_miles]]&gt;=350,"Long-Range",IF(EV_Data4[[#This Row],[range_miles]]&gt;=250,"Medium-Range","Short-Range"))</f>
        <v>Short-Range</v>
      </c>
      <c r="AE266" t="str">
        <f>IF(EV_Data4[[#This Row],[charging_speed_kw]]&gt;=250,"Ultra-Fast",IF(EV_Data4[[#This Row],[charging_speed_kw]]&gt;=150,"Fast-Charging","Standard-Charging"))</f>
        <v>Standard-Charging</v>
      </c>
      <c r="AF266" t="str">
        <f>IF(EV_Data4[[#This Row],[acceleration_0_60_mph]]&lt;=3,"SportsPerformance",IF(EV_Data4[[#This Row],[acceleration_0_60_mph]]&lt;=5,"HighPerformance","Standard"))</f>
        <v>Standard</v>
      </c>
      <c r="AG266" t="str">
        <f>IF(EV_Data4[[#This Row],[customer_rating]]&gt;=4.5,"Excellent",IF(EV_Data4[[#This Row],[customer_rating]]&gt;=3.5,"Good","Average"))</f>
        <v>Average</v>
      </c>
      <c r="AH26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67" spans="1:34" x14ac:dyDescent="0.3">
      <c r="A267" t="s">
        <v>38</v>
      </c>
      <c r="B267" t="s">
        <v>102</v>
      </c>
      <c r="C267">
        <v>2025</v>
      </c>
      <c r="D267" t="s">
        <v>26</v>
      </c>
      <c r="E267" s="3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27</v>
      </c>
      <c r="N267">
        <v>7</v>
      </c>
      <c r="O267" t="s">
        <v>35</v>
      </c>
      <c r="P267">
        <v>39.700000000000003</v>
      </c>
      <c r="Q267">
        <v>1831</v>
      </c>
      <c r="R267">
        <v>3</v>
      </c>
      <c r="S267">
        <v>0</v>
      </c>
      <c r="T267" t="s">
        <v>41</v>
      </c>
      <c r="U267" t="s">
        <v>30</v>
      </c>
      <c r="V267" s="3">
        <v>27681</v>
      </c>
      <c r="W267">
        <v>3.35</v>
      </c>
      <c r="X267">
        <v>3</v>
      </c>
      <c r="Y267" s="1">
        <f>EV_Data4[[#This Row],[range_miles]]/EV_Data4[[#This Row],[battery_capacity_kwh]]</f>
        <v>3.6394176931690931</v>
      </c>
      <c r="Z267" s="4">
        <f>EV_Data4[[#This Row],[price_usd]]/EV_Data4[[#This Row],[range_miles]]</f>
        <v>311.90735384615385</v>
      </c>
      <c r="AA267" s="2">
        <f>(EV_Data4[[#This Row],[customer_rating]]*EV_Data4[[#This Row],[safety_rating]]*1000)/EV_Data4[[#This Row],[price_usd]]</f>
        <v>9.9141865498719589E-2</v>
      </c>
      <c r="AB267">
        <f>EV_Data4[[#This Row],[horsepower]]+EV_Data4[[#This Row],[torque_nm]]/EV_Data4[[#This Row],[acceleration_0_60_mph]]</f>
        <v>1268.5552407932012</v>
      </c>
      <c r="AC267" t="str">
        <f>IF(EV_Data4[[#This Row],[price_usd]]&gt;=80000,"Luxury",IF(EV_Data4[[#This Row],[price_usd]]&gt;=40000,"Mid-Range","Budget"))</f>
        <v>Luxury</v>
      </c>
      <c r="AD267" t="str">
        <f>IF(EV_Data4[[#This Row],[range_miles]]&gt;=350,"Long-Range",IF(EV_Data4[[#This Row],[range_miles]]&gt;=250,"Medium-Range","Short-Range"))</f>
        <v>Medium-Range</v>
      </c>
      <c r="AE267" t="str">
        <f>IF(EV_Data4[[#This Row],[charging_speed_kw]]&gt;=250,"Ultra-Fast",IF(EV_Data4[[#This Row],[charging_speed_kw]]&gt;=150,"Fast-Charging","Standard-Charging"))</f>
        <v>Fast-Charging</v>
      </c>
      <c r="AF267" t="str">
        <f>IF(EV_Data4[[#This Row],[acceleration_0_60_mph]]&lt;=3,"SportsPerformance",IF(EV_Data4[[#This Row],[acceleration_0_60_mph]]&lt;=5,"HighPerformance","Standard"))</f>
        <v>HighPerformance</v>
      </c>
      <c r="AG267" t="str">
        <f>IF(EV_Data4[[#This Row],[customer_rating]]&gt;=4.5,"Excellent",IF(EV_Data4[[#This Row],[customer_rating]]&gt;=3.5,"Good","Average"))</f>
        <v>Average</v>
      </c>
      <c r="AH26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68" spans="1:34" x14ac:dyDescent="0.3">
      <c r="A268" t="s">
        <v>38</v>
      </c>
      <c r="B268" t="s">
        <v>55</v>
      </c>
      <c r="C268">
        <v>2025</v>
      </c>
      <c r="D268" t="s">
        <v>56</v>
      </c>
      <c r="E268" s="3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27</v>
      </c>
      <c r="N268">
        <v>5</v>
      </c>
      <c r="O268" t="s">
        <v>28</v>
      </c>
      <c r="P268">
        <v>71.400000000000006</v>
      </c>
      <c r="Q268">
        <v>2734</v>
      </c>
      <c r="R268">
        <v>4</v>
      </c>
      <c r="S268">
        <v>0</v>
      </c>
      <c r="T268" t="s">
        <v>41</v>
      </c>
      <c r="U268" t="s">
        <v>37</v>
      </c>
      <c r="V268" s="3">
        <v>3536</v>
      </c>
      <c r="W268">
        <v>3.69</v>
      </c>
      <c r="X268">
        <v>4</v>
      </c>
      <c r="Y268" s="1">
        <f>EV_Data4[[#This Row],[range_miles]]/EV_Data4[[#This Row],[battery_capacity_kwh]]</f>
        <v>3.9432176656151419</v>
      </c>
      <c r="Z268" s="4">
        <f>EV_Data4[[#This Row],[price_usd]]/EV_Data4[[#This Row],[range_miles]]</f>
        <v>244.00023999999999</v>
      </c>
      <c r="AA268" s="2">
        <f>(EV_Data4[[#This Row],[customer_rating]]*EV_Data4[[#This Row],[safety_rating]]*1000)/EV_Data4[[#This Row],[price_usd]]</f>
        <v>0.24196697511445073</v>
      </c>
      <c r="AB268">
        <f>EV_Data4[[#This Row],[horsepower]]+EV_Data4[[#This Row],[torque_nm]]/EV_Data4[[#This Row],[acceleration_0_60_mph]]</f>
        <v>876.34948604992655</v>
      </c>
      <c r="AC268" t="str">
        <f>IF(EV_Data4[[#This Row],[price_usd]]&gt;=80000,"Luxury",IF(EV_Data4[[#This Row],[price_usd]]&gt;=40000,"Mid-Range","Budget"))</f>
        <v>Mid-Range</v>
      </c>
      <c r="AD268" t="str">
        <f>IF(EV_Data4[[#This Row],[range_miles]]&gt;=350,"Long-Range",IF(EV_Data4[[#This Row],[range_miles]]&gt;=250,"Medium-Range","Short-Range"))</f>
        <v>Medium-Range</v>
      </c>
      <c r="AE268" t="str">
        <f>IF(EV_Data4[[#This Row],[charging_speed_kw]]&gt;=250,"Ultra-Fast",IF(EV_Data4[[#This Row],[charging_speed_kw]]&gt;=150,"Fast-Charging","Standard-Charging"))</f>
        <v>Standard-Charging</v>
      </c>
      <c r="AF268" t="str">
        <f>IF(EV_Data4[[#This Row],[acceleration_0_60_mph]]&lt;=3,"SportsPerformance",IF(EV_Data4[[#This Row],[acceleration_0_60_mph]]&lt;=5,"HighPerformance","Standard"))</f>
        <v>Standard</v>
      </c>
      <c r="AG268" t="str">
        <f>IF(EV_Data4[[#This Row],[customer_rating]]&gt;=4.5,"Excellent",IF(EV_Data4[[#This Row],[customer_rating]]&gt;=3.5,"Good","Average"))</f>
        <v>Good</v>
      </c>
      <c r="AH26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69" spans="1:34" x14ac:dyDescent="0.3">
      <c r="A269" t="s">
        <v>38</v>
      </c>
      <c r="B269" t="s">
        <v>118</v>
      </c>
      <c r="C269">
        <v>2025</v>
      </c>
      <c r="D269" t="s">
        <v>33</v>
      </c>
      <c r="E269" s="3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48</v>
      </c>
      <c r="N269">
        <v>5</v>
      </c>
      <c r="O269" t="s">
        <v>58</v>
      </c>
      <c r="P269">
        <v>24.8</v>
      </c>
      <c r="Q269">
        <v>1699</v>
      </c>
      <c r="R269">
        <v>4</v>
      </c>
      <c r="S269">
        <v>0</v>
      </c>
      <c r="T269" t="s">
        <v>41</v>
      </c>
      <c r="U269" t="s">
        <v>37</v>
      </c>
      <c r="V269" s="3">
        <v>25746</v>
      </c>
      <c r="W269">
        <v>3.34</v>
      </c>
      <c r="X269">
        <v>4</v>
      </c>
      <c r="Y269" s="1">
        <f>EV_Data4[[#This Row],[range_miles]]/EV_Data4[[#This Row],[battery_capacity_kwh]]</f>
        <v>3.5090909090909093</v>
      </c>
      <c r="Z269" s="4">
        <f>EV_Data4[[#This Row],[price_usd]]/EV_Data4[[#This Row],[range_miles]]</f>
        <v>291.74823834196894</v>
      </c>
      <c r="AA269" s="2">
        <f>(EV_Data4[[#This Row],[customer_rating]]*EV_Data4[[#This Row],[safety_rating]]*1000)/EV_Data4[[#This Row],[price_usd]]</f>
        <v>0.23726894914896635</v>
      </c>
      <c r="AB269">
        <f>EV_Data4[[#This Row],[horsepower]]+EV_Data4[[#This Row],[torque_nm]]/EV_Data4[[#This Row],[acceleration_0_60_mph]]</f>
        <v>719.54003139717429</v>
      </c>
      <c r="AC269" t="str">
        <f>IF(EV_Data4[[#This Row],[price_usd]]&gt;=80000,"Luxury",IF(EV_Data4[[#This Row],[price_usd]]&gt;=40000,"Mid-Range","Budget"))</f>
        <v>Mid-Range</v>
      </c>
      <c r="AD269" t="str">
        <f>IF(EV_Data4[[#This Row],[range_miles]]&gt;=350,"Long-Range",IF(EV_Data4[[#This Row],[range_miles]]&gt;=250,"Medium-Range","Short-Range"))</f>
        <v>Short-Range</v>
      </c>
      <c r="AE269" t="str">
        <f>IF(EV_Data4[[#This Row],[charging_speed_kw]]&gt;=250,"Ultra-Fast",IF(EV_Data4[[#This Row],[charging_speed_kw]]&gt;=150,"Fast-Charging","Standard-Charging"))</f>
        <v>Standard-Charging</v>
      </c>
      <c r="AF269" t="str">
        <f>IF(EV_Data4[[#This Row],[acceleration_0_60_mph]]&lt;=3,"SportsPerformance",IF(EV_Data4[[#This Row],[acceleration_0_60_mph]]&lt;=5,"HighPerformance","Standard"))</f>
        <v>Standard</v>
      </c>
      <c r="AG269" t="str">
        <f>IF(EV_Data4[[#This Row],[customer_rating]]&gt;=4.5,"Excellent",IF(EV_Data4[[#This Row],[customer_rating]]&gt;=3.5,"Good","Average"))</f>
        <v>Average</v>
      </c>
      <c r="AH26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70" spans="1:34" x14ac:dyDescent="0.3">
      <c r="A270" t="s">
        <v>24</v>
      </c>
      <c r="B270" t="s">
        <v>70</v>
      </c>
      <c r="C270">
        <v>2021</v>
      </c>
      <c r="D270" t="s">
        <v>33</v>
      </c>
      <c r="E270" s="3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27</v>
      </c>
      <c r="N270">
        <v>5</v>
      </c>
      <c r="O270" t="s">
        <v>50</v>
      </c>
      <c r="P270">
        <v>30.6</v>
      </c>
      <c r="Q270">
        <v>1514</v>
      </c>
      <c r="R270">
        <v>5</v>
      </c>
      <c r="S270">
        <v>2</v>
      </c>
      <c r="T270" t="s">
        <v>29</v>
      </c>
      <c r="U270" t="s">
        <v>30</v>
      </c>
      <c r="V270" s="3">
        <v>254098</v>
      </c>
      <c r="W270">
        <v>3.37</v>
      </c>
      <c r="X270">
        <v>4</v>
      </c>
      <c r="Y270" s="1">
        <f>EV_Data4[[#This Row],[range_miles]]/EV_Data4[[#This Row],[battery_capacity_kwh]]</f>
        <v>3.7084870848708484</v>
      </c>
      <c r="Z270" s="4">
        <f>EV_Data4[[#This Row],[price_usd]]/EV_Data4[[#This Row],[range_miles]]</f>
        <v>534.41686567164174</v>
      </c>
      <c r="AA270" s="2">
        <f>(EV_Data4[[#This Row],[customer_rating]]*EV_Data4[[#This Row],[safety_rating]]*1000)/EV_Data4[[#This Row],[price_usd]]</f>
        <v>0.15686414699092208</v>
      </c>
      <c r="AB270">
        <f>EV_Data4[[#This Row],[horsepower]]+EV_Data4[[#This Row],[torque_nm]]/EV_Data4[[#This Row],[acceleration_0_60_mph]]</f>
        <v>1172.3320158102767</v>
      </c>
      <c r="AC270" t="str">
        <f>IF(EV_Data4[[#This Row],[price_usd]]&gt;=80000,"Luxury",IF(EV_Data4[[#This Row],[price_usd]]&gt;=40000,"Mid-Range","Budget"))</f>
        <v>Luxury</v>
      </c>
      <c r="AD270" t="str">
        <f>IF(EV_Data4[[#This Row],[range_miles]]&gt;=350,"Long-Range",IF(EV_Data4[[#This Row],[range_miles]]&gt;=250,"Medium-Range","Short-Range"))</f>
        <v>Short-Range</v>
      </c>
      <c r="AE270" t="str">
        <f>IF(EV_Data4[[#This Row],[charging_speed_kw]]&gt;=250,"Ultra-Fast",IF(EV_Data4[[#This Row],[charging_speed_kw]]&gt;=150,"Fast-Charging","Standard-Charging"))</f>
        <v>Standard-Charging</v>
      </c>
      <c r="AF270" t="str">
        <f>IF(EV_Data4[[#This Row],[acceleration_0_60_mph]]&lt;=3,"SportsPerformance",IF(EV_Data4[[#This Row],[acceleration_0_60_mph]]&lt;=5,"HighPerformance","Standard"))</f>
        <v>Standard</v>
      </c>
      <c r="AG270" t="str">
        <f>IF(EV_Data4[[#This Row],[customer_rating]]&gt;=4.5,"Excellent",IF(EV_Data4[[#This Row],[customer_rating]]&gt;=3.5,"Good","Average"))</f>
        <v>Average</v>
      </c>
      <c r="AH27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71" spans="1:34" x14ac:dyDescent="0.3">
      <c r="A271" t="s">
        <v>63</v>
      </c>
      <c r="B271" t="s">
        <v>82</v>
      </c>
      <c r="C271">
        <v>2024</v>
      </c>
      <c r="D271" t="s">
        <v>26</v>
      </c>
      <c r="E271" s="3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27</v>
      </c>
      <c r="N271">
        <v>5</v>
      </c>
      <c r="O271" t="s">
        <v>51</v>
      </c>
      <c r="P271">
        <v>37.6</v>
      </c>
      <c r="Q271">
        <v>1584</v>
      </c>
      <c r="R271">
        <v>4</v>
      </c>
      <c r="S271">
        <v>0</v>
      </c>
      <c r="T271" t="s">
        <v>65</v>
      </c>
      <c r="U271" t="s">
        <v>30</v>
      </c>
      <c r="V271" s="3">
        <v>209498</v>
      </c>
      <c r="W271">
        <v>3.76</v>
      </c>
      <c r="X271">
        <v>3</v>
      </c>
      <c r="Y271" s="1">
        <f>EV_Data4[[#This Row],[range_miles]]/EV_Data4[[#This Row],[battery_capacity_kwh]]</f>
        <v>3.3525345622119818</v>
      </c>
      <c r="Z271" s="4">
        <f>EV_Data4[[#This Row],[price_usd]]/EV_Data4[[#This Row],[range_miles]]</f>
        <v>407.10941580756014</v>
      </c>
      <c r="AA271" s="2">
        <f>(EV_Data4[[#This Row],[customer_rating]]*EV_Data4[[#This Row],[safety_rating]]*1000)/EV_Data4[[#This Row],[price_usd]]</f>
        <v>0.12695321402657442</v>
      </c>
      <c r="AB271">
        <f>EV_Data4[[#This Row],[horsepower]]+EV_Data4[[#This Row],[torque_nm]]/EV_Data4[[#This Row],[acceleration_0_60_mph]]</f>
        <v>1267.867867867868</v>
      </c>
      <c r="AC271" t="str">
        <f>IF(EV_Data4[[#This Row],[price_usd]]&gt;=80000,"Luxury",IF(EV_Data4[[#This Row],[price_usd]]&gt;=40000,"Mid-Range","Budget"))</f>
        <v>Luxury</v>
      </c>
      <c r="AD271" t="str">
        <f>IF(EV_Data4[[#This Row],[range_miles]]&gt;=350,"Long-Range",IF(EV_Data4[[#This Row],[range_miles]]&gt;=250,"Medium-Range","Short-Range"))</f>
        <v>Medium-Range</v>
      </c>
      <c r="AE271" t="str">
        <f>IF(EV_Data4[[#This Row],[charging_speed_kw]]&gt;=250,"Ultra-Fast",IF(EV_Data4[[#This Row],[charging_speed_kw]]&gt;=150,"Fast-Charging","Standard-Charging"))</f>
        <v>Fast-Charging</v>
      </c>
      <c r="AF271" t="str">
        <f>IF(EV_Data4[[#This Row],[acceleration_0_60_mph]]&lt;=3,"SportsPerformance",IF(EV_Data4[[#This Row],[acceleration_0_60_mph]]&lt;=5,"HighPerformance","Standard"))</f>
        <v>HighPerformance</v>
      </c>
      <c r="AG271" t="str">
        <f>IF(EV_Data4[[#This Row],[customer_rating]]&gt;=4.5,"Excellent",IF(EV_Data4[[#This Row],[customer_rating]]&gt;=3.5,"Good","Average"))</f>
        <v>Good</v>
      </c>
      <c r="AH27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72" spans="1:34" x14ac:dyDescent="0.3">
      <c r="A272" t="s">
        <v>76</v>
      </c>
      <c r="B272" t="s">
        <v>98</v>
      </c>
      <c r="C272">
        <v>2025</v>
      </c>
      <c r="D272" t="s">
        <v>44</v>
      </c>
      <c r="E272" s="3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34</v>
      </c>
      <c r="N272">
        <v>7</v>
      </c>
      <c r="O272" t="s">
        <v>28</v>
      </c>
      <c r="P272">
        <v>55.9</v>
      </c>
      <c r="Q272">
        <v>2390</v>
      </c>
      <c r="R272">
        <v>4</v>
      </c>
      <c r="S272">
        <v>0</v>
      </c>
      <c r="T272" t="s">
        <v>41</v>
      </c>
      <c r="U272" t="s">
        <v>33</v>
      </c>
      <c r="V272" s="3">
        <v>70352</v>
      </c>
      <c r="W272">
        <v>3.3</v>
      </c>
      <c r="X272">
        <v>3</v>
      </c>
      <c r="Y272" s="1">
        <f>EV_Data4[[#This Row],[range_miles]]/EV_Data4[[#This Row],[battery_capacity_kwh]]</f>
        <v>3.2414698162729656</v>
      </c>
      <c r="Z272" s="4">
        <f>EV_Data4[[#This Row],[price_usd]]/EV_Data4[[#This Row],[range_miles]]</f>
        <v>375.5122672064777</v>
      </c>
      <c r="AA272" s="2">
        <f>(EV_Data4[[#This Row],[customer_rating]]*EV_Data4[[#This Row],[safety_rating]]*1000)/EV_Data4[[#This Row],[price_usd]]</f>
        <v>0.14231571166534934</v>
      </c>
      <c r="AB272">
        <f>EV_Data4[[#This Row],[horsepower]]+EV_Data4[[#This Row],[torque_nm]]/EV_Data4[[#This Row],[acceleration_0_60_mph]]</f>
        <v>1172.9083665338646</v>
      </c>
      <c r="AC272" t="str">
        <f>IF(EV_Data4[[#This Row],[price_usd]]&gt;=80000,"Luxury",IF(EV_Data4[[#This Row],[price_usd]]&gt;=40000,"Mid-Range","Budget"))</f>
        <v>Luxury</v>
      </c>
      <c r="AD272" t="str">
        <f>IF(EV_Data4[[#This Row],[range_miles]]&gt;=350,"Long-Range",IF(EV_Data4[[#This Row],[range_miles]]&gt;=250,"Medium-Range","Short-Range"))</f>
        <v>Short-Range</v>
      </c>
      <c r="AE272" t="str">
        <f>IF(EV_Data4[[#This Row],[charging_speed_kw]]&gt;=250,"Ultra-Fast",IF(EV_Data4[[#This Row],[charging_speed_kw]]&gt;=150,"Fast-Charging","Standard-Charging"))</f>
        <v>Standard-Charging</v>
      </c>
      <c r="AF272" t="str">
        <f>IF(EV_Data4[[#This Row],[acceleration_0_60_mph]]&lt;=3,"SportsPerformance",IF(EV_Data4[[#This Row],[acceleration_0_60_mph]]&lt;=5,"HighPerformance","Standard"))</f>
        <v>Standard</v>
      </c>
      <c r="AG272" t="str">
        <f>IF(EV_Data4[[#This Row],[customer_rating]]&gt;=4.5,"Excellent",IF(EV_Data4[[#This Row],[customer_rating]]&gt;=3.5,"Good","Average"))</f>
        <v>Average</v>
      </c>
      <c r="AH27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73" spans="1:34" x14ac:dyDescent="0.3">
      <c r="A273" t="s">
        <v>76</v>
      </c>
      <c r="B273" t="s">
        <v>77</v>
      </c>
      <c r="C273">
        <v>2024</v>
      </c>
      <c r="D273" t="s">
        <v>56</v>
      </c>
      <c r="E273" s="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34</v>
      </c>
      <c r="N273">
        <v>7</v>
      </c>
      <c r="O273" t="s">
        <v>51</v>
      </c>
      <c r="P273">
        <v>35.6</v>
      </c>
      <c r="Q273">
        <v>1529</v>
      </c>
      <c r="R273">
        <v>4</v>
      </c>
      <c r="S273">
        <v>0</v>
      </c>
      <c r="T273" t="s">
        <v>41</v>
      </c>
      <c r="U273" t="s">
        <v>37</v>
      </c>
      <c r="V273" s="3">
        <v>29029</v>
      </c>
      <c r="W273">
        <v>3.16</v>
      </c>
      <c r="X273">
        <v>4</v>
      </c>
      <c r="Y273" s="1">
        <f>EV_Data4[[#This Row],[range_miles]]/EV_Data4[[#This Row],[battery_capacity_kwh]]</f>
        <v>3.2248062015503876</v>
      </c>
      <c r="Z273" s="4">
        <f>EV_Data4[[#This Row],[price_usd]]/EV_Data4[[#This Row],[range_miles]]</f>
        <v>250.57913461538462</v>
      </c>
      <c r="AA273" s="2">
        <f>(EV_Data4[[#This Row],[customer_rating]]*EV_Data4[[#This Row],[safety_rating]]*1000)/EV_Data4[[#This Row],[price_usd]]</f>
        <v>0.24251512745666481</v>
      </c>
      <c r="AB273">
        <f>EV_Data4[[#This Row],[horsepower]]+EV_Data4[[#This Row],[torque_nm]]/EV_Data4[[#This Row],[acceleration_0_60_mph]]</f>
        <v>586.21052631578948</v>
      </c>
      <c r="AC273" t="str">
        <f>IF(EV_Data4[[#This Row],[price_usd]]&gt;=80000,"Luxury",IF(EV_Data4[[#This Row],[price_usd]]&gt;=40000,"Mid-Range","Budget"))</f>
        <v>Mid-Range</v>
      </c>
      <c r="AD273" t="str">
        <f>IF(EV_Data4[[#This Row],[range_miles]]&gt;=350,"Long-Range",IF(EV_Data4[[#This Row],[range_miles]]&gt;=250,"Medium-Range","Short-Range"))</f>
        <v>Short-Range</v>
      </c>
      <c r="AE273" t="str">
        <f>IF(EV_Data4[[#This Row],[charging_speed_kw]]&gt;=250,"Ultra-Fast",IF(EV_Data4[[#This Row],[charging_speed_kw]]&gt;=150,"Fast-Charging","Standard-Charging"))</f>
        <v>Standard-Charging</v>
      </c>
      <c r="AF273" t="str">
        <f>IF(EV_Data4[[#This Row],[acceleration_0_60_mph]]&lt;=3,"SportsPerformance",IF(EV_Data4[[#This Row],[acceleration_0_60_mph]]&lt;=5,"HighPerformance","Standard"))</f>
        <v>Standard</v>
      </c>
      <c r="AG273" t="str">
        <f>IF(EV_Data4[[#This Row],[customer_rating]]&gt;=4.5,"Excellent",IF(EV_Data4[[#This Row],[customer_rating]]&gt;=3.5,"Good","Average"))</f>
        <v>Average</v>
      </c>
      <c r="AH27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74" spans="1:34" x14ac:dyDescent="0.3">
      <c r="A274" t="s">
        <v>52</v>
      </c>
      <c r="B274" t="s">
        <v>97</v>
      </c>
      <c r="C274">
        <v>2024</v>
      </c>
      <c r="D274" t="s">
        <v>44</v>
      </c>
      <c r="E274" s="3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48</v>
      </c>
      <c r="N274">
        <v>5</v>
      </c>
      <c r="O274" t="s">
        <v>28</v>
      </c>
      <c r="P274">
        <v>59.3</v>
      </c>
      <c r="Q274">
        <v>2679</v>
      </c>
      <c r="R274">
        <v>3</v>
      </c>
      <c r="S274">
        <v>2</v>
      </c>
      <c r="T274" t="s">
        <v>29</v>
      </c>
      <c r="U274" t="s">
        <v>30</v>
      </c>
      <c r="V274" s="3">
        <v>60151</v>
      </c>
      <c r="W274">
        <v>3.87</v>
      </c>
      <c r="X274">
        <v>7</v>
      </c>
      <c r="Y274" s="1">
        <f>EV_Data4[[#This Row],[range_miles]]/EV_Data4[[#This Row],[battery_capacity_kwh]]</f>
        <v>3.2397191574724173</v>
      </c>
      <c r="Z274" s="4">
        <f>EV_Data4[[#This Row],[price_usd]]/EV_Data4[[#This Row],[range_miles]]</f>
        <v>524.44346749226008</v>
      </c>
      <c r="AA274" s="2">
        <f>(EV_Data4[[#This Row],[customer_rating]]*EV_Data4[[#This Row],[safety_rating]]*1000)/EV_Data4[[#This Row],[price_usd]]</f>
        <v>6.8537935304439496E-2</v>
      </c>
      <c r="AB274">
        <f>EV_Data4[[#This Row],[horsepower]]+EV_Data4[[#This Row],[torque_nm]]/EV_Data4[[#This Row],[acceleration_0_60_mph]]</f>
        <v>1169.7087378640776</v>
      </c>
      <c r="AC274" t="str">
        <f>IF(EV_Data4[[#This Row],[price_usd]]&gt;=80000,"Luxury",IF(EV_Data4[[#This Row],[price_usd]]&gt;=40000,"Mid-Range","Budget"))</f>
        <v>Luxury</v>
      </c>
      <c r="AD274" t="str">
        <f>IF(EV_Data4[[#This Row],[range_miles]]&gt;=350,"Long-Range",IF(EV_Data4[[#This Row],[range_miles]]&gt;=250,"Medium-Range","Short-Range"))</f>
        <v>Medium-Range</v>
      </c>
      <c r="AE274" t="str">
        <f>IF(EV_Data4[[#This Row],[charging_speed_kw]]&gt;=250,"Ultra-Fast",IF(EV_Data4[[#This Row],[charging_speed_kw]]&gt;=150,"Fast-Charging","Standard-Charging"))</f>
        <v>Standard-Charging</v>
      </c>
      <c r="AF274" t="str">
        <f>IF(EV_Data4[[#This Row],[acceleration_0_60_mph]]&lt;=3,"SportsPerformance",IF(EV_Data4[[#This Row],[acceleration_0_60_mph]]&lt;=5,"HighPerformance","Standard"))</f>
        <v>Standard</v>
      </c>
      <c r="AG274" t="str">
        <f>IF(EV_Data4[[#This Row],[customer_rating]]&gt;=4.5,"Excellent",IF(EV_Data4[[#This Row],[customer_rating]]&gt;=3.5,"Good","Average"))</f>
        <v>Good</v>
      </c>
      <c r="AH27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75" spans="1:34" x14ac:dyDescent="0.3">
      <c r="A275" t="s">
        <v>86</v>
      </c>
      <c r="B275" t="s">
        <v>87</v>
      </c>
      <c r="C275">
        <v>2021</v>
      </c>
      <c r="D275" t="s">
        <v>56</v>
      </c>
      <c r="E275" s="3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27</v>
      </c>
      <c r="N275">
        <v>5</v>
      </c>
      <c r="O275" t="s">
        <v>58</v>
      </c>
      <c r="P275">
        <v>21.5</v>
      </c>
      <c r="Q275">
        <v>1509</v>
      </c>
      <c r="R275">
        <v>5</v>
      </c>
      <c r="S275">
        <v>2</v>
      </c>
      <c r="T275" t="s">
        <v>29</v>
      </c>
      <c r="U275" t="s">
        <v>33</v>
      </c>
      <c r="V275" s="3">
        <v>55803</v>
      </c>
      <c r="W275">
        <v>3.52</v>
      </c>
      <c r="X275">
        <v>6</v>
      </c>
      <c r="Y275" s="1">
        <f>EV_Data4[[#This Row],[range_miles]]/EV_Data4[[#This Row],[battery_capacity_kwh]]</f>
        <v>3.2305630026809653</v>
      </c>
      <c r="Z275" s="4">
        <f>EV_Data4[[#This Row],[price_usd]]/EV_Data4[[#This Row],[range_miles]]</f>
        <v>333.24468879668052</v>
      </c>
      <c r="AA275" s="2">
        <f>(EV_Data4[[#This Row],[customer_rating]]*EV_Data4[[#This Row],[safety_rating]]*1000)/EV_Data4[[#This Row],[price_usd]]</f>
        <v>0.21914541506079355</v>
      </c>
      <c r="AB275">
        <f>EV_Data4[[#This Row],[horsepower]]+EV_Data4[[#This Row],[torque_nm]]/EV_Data4[[#This Row],[acceleration_0_60_mph]]</f>
        <v>595.9022556390978</v>
      </c>
      <c r="AC275" t="str">
        <f>IF(EV_Data4[[#This Row],[price_usd]]&gt;=80000,"Luxury",IF(EV_Data4[[#This Row],[price_usd]]&gt;=40000,"Mid-Range","Budget"))</f>
        <v>Luxury</v>
      </c>
      <c r="AD275" t="str">
        <f>IF(EV_Data4[[#This Row],[range_miles]]&gt;=350,"Long-Range",IF(EV_Data4[[#This Row],[range_miles]]&gt;=250,"Medium-Range","Short-Range"))</f>
        <v>Short-Range</v>
      </c>
      <c r="AE275" t="str">
        <f>IF(EV_Data4[[#This Row],[charging_speed_kw]]&gt;=250,"Ultra-Fast",IF(EV_Data4[[#This Row],[charging_speed_kw]]&gt;=150,"Fast-Charging","Standard-Charging"))</f>
        <v>Standard-Charging</v>
      </c>
      <c r="AF275" t="str">
        <f>IF(EV_Data4[[#This Row],[acceleration_0_60_mph]]&lt;=3,"SportsPerformance",IF(EV_Data4[[#This Row],[acceleration_0_60_mph]]&lt;=5,"HighPerformance","Standard"))</f>
        <v>Standard</v>
      </c>
      <c r="AG275" t="str">
        <f>IF(EV_Data4[[#This Row],[customer_rating]]&gt;=4.5,"Excellent",IF(EV_Data4[[#This Row],[customer_rating]]&gt;=3.5,"Good","Average"))</f>
        <v>Good</v>
      </c>
      <c r="AH27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76" spans="1:34" x14ac:dyDescent="0.3">
      <c r="A276" t="s">
        <v>68</v>
      </c>
      <c r="B276" t="s">
        <v>106</v>
      </c>
      <c r="C276">
        <v>2022</v>
      </c>
      <c r="D276" t="s">
        <v>33</v>
      </c>
      <c r="E276" s="3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27</v>
      </c>
      <c r="N276">
        <v>7</v>
      </c>
      <c r="O276" t="s">
        <v>40</v>
      </c>
      <c r="P276">
        <v>75.8</v>
      </c>
      <c r="Q276">
        <v>1500</v>
      </c>
      <c r="R276">
        <v>4</v>
      </c>
      <c r="S276">
        <v>0</v>
      </c>
      <c r="T276" t="s">
        <v>45</v>
      </c>
      <c r="U276" t="s">
        <v>33</v>
      </c>
      <c r="V276" s="3">
        <v>119329</v>
      </c>
      <c r="W276">
        <v>3.43</v>
      </c>
      <c r="X276">
        <v>4</v>
      </c>
      <c r="Y276" s="1">
        <f>EV_Data4[[#This Row],[range_miles]]/EV_Data4[[#This Row],[battery_capacity_kwh]]</f>
        <v>2.9003558718861209</v>
      </c>
      <c r="Z276" s="4">
        <f>EV_Data4[[#This Row],[price_usd]]/EV_Data4[[#This Row],[range_miles]]</f>
        <v>442.69595092024542</v>
      </c>
      <c r="AA276" s="2">
        <f>(EV_Data4[[#This Row],[customer_rating]]*EV_Data4[[#This Row],[safety_rating]]*1000)/EV_Data4[[#This Row],[price_usd]]</f>
        <v>0.19013451323901626</v>
      </c>
      <c r="AB276">
        <f>EV_Data4[[#This Row],[horsepower]]+EV_Data4[[#This Row],[torque_nm]]/EV_Data4[[#This Row],[acceleration_0_60_mph]]</f>
        <v>989.74025974025972</v>
      </c>
      <c r="AC276" t="str">
        <f>IF(EV_Data4[[#This Row],[price_usd]]&gt;=80000,"Luxury",IF(EV_Data4[[#This Row],[price_usd]]&gt;=40000,"Mid-Range","Budget"))</f>
        <v>Mid-Range</v>
      </c>
      <c r="AD276" t="str">
        <f>IF(EV_Data4[[#This Row],[range_miles]]&gt;=350,"Long-Range",IF(EV_Data4[[#This Row],[range_miles]]&gt;=250,"Medium-Range","Short-Range"))</f>
        <v>Short-Range</v>
      </c>
      <c r="AE276" t="str">
        <f>IF(EV_Data4[[#This Row],[charging_speed_kw]]&gt;=250,"Ultra-Fast",IF(EV_Data4[[#This Row],[charging_speed_kw]]&gt;=150,"Fast-Charging","Standard-Charging"))</f>
        <v>Standard-Charging</v>
      </c>
      <c r="AF276" t="str">
        <f>IF(EV_Data4[[#This Row],[acceleration_0_60_mph]]&lt;=3,"SportsPerformance",IF(EV_Data4[[#This Row],[acceleration_0_60_mph]]&lt;=5,"HighPerformance","Standard"))</f>
        <v>Standard</v>
      </c>
      <c r="AG276" t="str">
        <f>IF(EV_Data4[[#This Row],[customer_rating]]&gt;=4.5,"Excellent",IF(EV_Data4[[#This Row],[customer_rating]]&gt;=3.5,"Good","Average"))</f>
        <v>Average</v>
      </c>
      <c r="AH27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77" spans="1:34" x14ac:dyDescent="0.3">
      <c r="A277" t="s">
        <v>68</v>
      </c>
      <c r="B277" t="s">
        <v>79</v>
      </c>
      <c r="C277">
        <v>2025</v>
      </c>
      <c r="D277" t="s">
        <v>44</v>
      </c>
      <c r="E277" s="3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48</v>
      </c>
      <c r="N277">
        <v>7</v>
      </c>
      <c r="O277" t="s">
        <v>28</v>
      </c>
      <c r="P277">
        <v>57.8</v>
      </c>
      <c r="Q277">
        <v>2452</v>
      </c>
      <c r="R277">
        <v>4</v>
      </c>
      <c r="S277">
        <v>0</v>
      </c>
      <c r="T277" t="s">
        <v>45</v>
      </c>
      <c r="U277" t="s">
        <v>37</v>
      </c>
      <c r="V277" s="3">
        <v>77052</v>
      </c>
      <c r="W277">
        <v>3.86</v>
      </c>
      <c r="X277">
        <v>5</v>
      </c>
      <c r="Y277" s="1">
        <f>EV_Data4[[#This Row],[range_miles]]/EV_Data4[[#This Row],[battery_capacity_kwh]]</f>
        <v>3.3931947069943291</v>
      </c>
      <c r="Z277" s="4">
        <f>EV_Data4[[#This Row],[price_usd]]/EV_Data4[[#This Row],[range_miles]]</f>
        <v>105.0542061281337</v>
      </c>
      <c r="AA277" s="2">
        <f>(EV_Data4[[#This Row],[customer_rating]]*EV_Data4[[#This Row],[safety_rating]]*1000)/EV_Data4[[#This Row],[price_usd]]</f>
        <v>0.40939204750644714</v>
      </c>
      <c r="AB277">
        <f>EV_Data4[[#This Row],[horsepower]]+EV_Data4[[#This Row],[torque_nm]]/EV_Data4[[#This Row],[acceleration_0_60_mph]]</f>
        <v>364.53846153846155</v>
      </c>
      <c r="AC277" t="str">
        <f>IF(EV_Data4[[#This Row],[price_usd]]&gt;=80000,"Luxury",IF(EV_Data4[[#This Row],[price_usd]]&gt;=40000,"Mid-Range","Budget"))</f>
        <v>Budget</v>
      </c>
      <c r="AD277" t="str">
        <f>IF(EV_Data4[[#This Row],[range_miles]]&gt;=350,"Long-Range",IF(EV_Data4[[#This Row],[range_miles]]&gt;=250,"Medium-Range","Short-Range"))</f>
        <v>Long-Range</v>
      </c>
      <c r="AE277" t="str">
        <f>IF(EV_Data4[[#This Row],[charging_speed_kw]]&gt;=250,"Ultra-Fast",IF(EV_Data4[[#This Row],[charging_speed_kw]]&gt;=150,"Fast-Charging","Standard-Charging"))</f>
        <v>Standard-Charging</v>
      </c>
      <c r="AF277" t="str">
        <f>IF(EV_Data4[[#This Row],[acceleration_0_60_mph]]&lt;=3,"SportsPerformance",IF(EV_Data4[[#This Row],[acceleration_0_60_mph]]&lt;=5,"HighPerformance","Standard"))</f>
        <v>Standard</v>
      </c>
      <c r="AG277" t="str">
        <f>IF(EV_Data4[[#This Row],[customer_rating]]&gt;=4.5,"Excellent",IF(EV_Data4[[#This Row],[customer_rating]]&gt;=3.5,"Good","Average"))</f>
        <v>Good</v>
      </c>
      <c r="AH27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78" spans="1:34" x14ac:dyDescent="0.3">
      <c r="A278" t="s">
        <v>76</v>
      </c>
      <c r="B278" t="s">
        <v>77</v>
      </c>
      <c r="C278">
        <v>2023</v>
      </c>
      <c r="D278" t="s">
        <v>44</v>
      </c>
      <c r="E278" s="3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34</v>
      </c>
      <c r="N278">
        <v>7</v>
      </c>
      <c r="O278" t="s">
        <v>28</v>
      </c>
      <c r="P278">
        <v>59.4</v>
      </c>
      <c r="Q278">
        <v>2431</v>
      </c>
      <c r="R278">
        <v>4</v>
      </c>
      <c r="S278">
        <v>0</v>
      </c>
      <c r="T278" t="s">
        <v>41</v>
      </c>
      <c r="U278" t="s">
        <v>37</v>
      </c>
      <c r="V278" s="3">
        <v>74506</v>
      </c>
      <c r="W278">
        <v>3.43</v>
      </c>
      <c r="X278">
        <v>3</v>
      </c>
      <c r="Y278" s="1">
        <f>EV_Data4[[#This Row],[range_miles]]/EV_Data4[[#This Row],[battery_capacity_kwh]]</f>
        <v>3.1468531468531471</v>
      </c>
      <c r="Z278" s="4">
        <f>EV_Data4[[#This Row],[price_usd]]/EV_Data4[[#This Row],[range_miles]]</f>
        <v>236.39881481481481</v>
      </c>
      <c r="AA278" s="2">
        <f>(EV_Data4[[#This Row],[customer_rating]]*EV_Data4[[#This Row],[safety_rating]]*1000)/EV_Data4[[#This Row],[price_usd]]</f>
        <v>0.21495376300689606</v>
      </c>
      <c r="AB278">
        <f>EV_Data4[[#This Row],[horsepower]]+EV_Data4[[#This Row],[torque_nm]]/EV_Data4[[#This Row],[acceleration_0_60_mph]]</f>
        <v>797.60869565217399</v>
      </c>
      <c r="AC278" t="str">
        <f>IF(EV_Data4[[#This Row],[price_usd]]&gt;=80000,"Luxury",IF(EV_Data4[[#This Row],[price_usd]]&gt;=40000,"Mid-Range","Budget"))</f>
        <v>Mid-Range</v>
      </c>
      <c r="AD278" t="str">
        <f>IF(EV_Data4[[#This Row],[range_miles]]&gt;=350,"Long-Range",IF(EV_Data4[[#This Row],[range_miles]]&gt;=250,"Medium-Range","Short-Range"))</f>
        <v>Medium-Range</v>
      </c>
      <c r="AE278" t="str">
        <f>IF(EV_Data4[[#This Row],[charging_speed_kw]]&gt;=250,"Ultra-Fast",IF(EV_Data4[[#This Row],[charging_speed_kw]]&gt;=150,"Fast-Charging","Standard-Charging"))</f>
        <v>Standard-Charging</v>
      </c>
      <c r="AF278" t="str">
        <f>IF(EV_Data4[[#This Row],[acceleration_0_60_mph]]&lt;=3,"SportsPerformance",IF(EV_Data4[[#This Row],[acceleration_0_60_mph]]&lt;=5,"HighPerformance","Standard"))</f>
        <v>HighPerformance</v>
      </c>
      <c r="AG278" t="str">
        <f>IF(EV_Data4[[#This Row],[customer_rating]]&gt;=4.5,"Excellent",IF(EV_Data4[[#This Row],[customer_rating]]&gt;=3.5,"Good","Average"))</f>
        <v>Average</v>
      </c>
      <c r="AH27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79" spans="1:34" x14ac:dyDescent="0.3">
      <c r="A279" t="s">
        <v>83</v>
      </c>
      <c r="B279" t="s">
        <v>84</v>
      </c>
      <c r="C279">
        <v>2025</v>
      </c>
      <c r="D279" t="s">
        <v>33</v>
      </c>
      <c r="E279" s="3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48</v>
      </c>
      <c r="N279">
        <v>7</v>
      </c>
      <c r="O279" t="s">
        <v>50</v>
      </c>
      <c r="P279">
        <v>20.5</v>
      </c>
      <c r="Q279">
        <v>1765</v>
      </c>
      <c r="R279">
        <v>4</v>
      </c>
      <c r="S279">
        <v>2</v>
      </c>
      <c r="T279" t="s">
        <v>29</v>
      </c>
      <c r="U279" t="s">
        <v>30</v>
      </c>
      <c r="V279" s="3">
        <v>47379</v>
      </c>
      <c r="W279">
        <v>3.31</v>
      </c>
      <c r="X279">
        <v>8</v>
      </c>
      <c r="Y279" s="1">
        <f>EV_Data4[[#This Row],[range_miles]]/EV_Data4[[#This Row],[battery_capacity_kwh]]</f>
        <v>3.3632286995515694</v>
      </c>
      <c r="Z279" s="4">
        <f>EV_Data4[[#This Row],[price_usd]]/EV_Data4[[#This Row],[range_miles]]</f>
        <v>1003.4144</v>
      </c>
      <c r="AA279" s="2">
        <f>(EV_Data4[[#This Row],[customer_rating]]*EV_Data4[[#This Row],[safety_rating]]*1000)/EV_Data4[[#This Row],[price_usd]]</f>
        <v>8.7966314482497629E-2</v>
      </c>
      <c r="AB279">
        <f>EV_Data4[[#This Row],[horsepower]]+EV_Data4[[#This Row],[torque_nm]]/EV_Data4[[#This Row],[acceleration_0_60_mph]]</f>
        <v>1171.4015151515152</v>
      </c>
      <c r="AC279" t="str">
        <f>IF(EV_Data4[[#This Row],[price_usd]]&gt;=80000,"Luxury",IF(EV_Data4[[#This Row],[price_usd]]&gt;=40000,"Mid-Range","Budget"))</f>
        <v>Luxury</v>
      </c>
      <c r="AD279" t="str">
        <f>IF(EV_Data4[[#This Row],[range_miles]]&gt;=350,"Long-Range",IF(EV_Data4[[#This Row],[range_miles]]&gt;=250,"Medium-Range","Short-Range"))</f>
        <v>Short-Range</v>
      </c>
      <c r="AE279" t="str">
        <f>IF(EV_Data4[[#This Row],[charging_speed_kw]]&gt;=250,"Ultra-Fast",IF(EV_Data4[[#This Row],[charging_speed_kw]]&gt;=150,"Fast-Charging","Standard-Charging"))</f>
        <v>Standard-Charging</v>
      </c>
      <c r="AF279" t="str">
        <f>IF(EV_Data4[[#This Row],[acceleration_0_60_mph]]&lt;=3,"SportsPerformance",IF(EV_Data4[[#This Row],[acceleration_0_60_mph]]&lt;=5,"HighPerformance","Standard"))</f>
        <v>Standard</v>
      </c>
      <c r="AG279" t="str">
        <f>IF(EV_Data4[[#This Row],[customer_rating]]&gt;=4.5,"Excellent",IF(EV_Data4[[#This Row],[customer_rating]]&gt;=3.5,"Good","Average"))</f>
        <v>Average</v>
      </c>
      <c r="AH27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80" spans="1:34" x14ac:dyDescent="0.3">
      <c r="A280" t="s">
        <v>38</v>
      </c>
      <c r="B280" t="s">
        <v>101</v>
      </c>
      <c r="C280">
        <v>2023</v>
      </c>
      <c r="D280" t="s">
        <v>26</v>
      </c>
      <c r="E280" s="3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48</v>
      </c>
      <c r="N280">
        <v>7</v>
      </c>
      <c r="O280" t="s">
        <v>51</v>
      </c>
      <c r="P280">
        <v>17.5</v>
      </c>
      <c r="Q280">
        <v>1704</v>
      </c>
      <c r="R280">
        <v>4</v>
      </c>
      <c r="S280">
        <v>2</v>
      </c>
      <c r="T280" t="s">
        <v>41</v>
      </c>
      <c r="U280" t="s">
        <v>33</v>
      </c>
      <c r="V280" s="3">
        <v>29402</v>
      </c>
      <c r="W280">
        <v>3.57</v>
      </c>
      <c r="X280">
        <v>3</v>
      </c>
      <c r="Y280" s="1">
        <f>EV_Data4[[#This Row],[range_miles]]/EV_Data4[[#This Row],[battery_capacity_kwh]]</f>
        <v>3.3656957928802589</v>
      </c>
      <c r="Z280" s="4">
        <f>EV_Data4[[#This Row],[price_usd]]/EV_Data4[[#This Row],[range_miles]]</f>
        <v>240.03064102564102</v>
      </c>
      <c r="AA280" s="2">
        <f>(EV_Data4[[#This Row],[customer_rating]]*EV_Data4[[#This Row],[safety_rating]]*1000)/EV_Data4[[#This Row],[price_usd]]</f>
        <v>0.19068078381018663</v>
      </c>
      <c r="AB280">
        <f>EV_Data4[[#This Row],[horsepower]]+EV_Data4[[#This Row],[torque_nm]]/EV_Data4[[#This Row],[acceleration_0_60_mph]]</f>
        <v>1225.358024691358</v>
      </c>
      <c r="AC280" t="str">
        <f>IF(EV_Data4[[#This Row],[price_usd]]&gt;=80000,"Luxury",IF(EV_Data4[[#This Row],[price_usd]]&gt;=40000,"Mid-Range","Budget"))</f>
        <v>Mid-Range</v>
      </c>
      <c r="AD280" t="str">
        <f>IF(EV_Data4[[#This Row],[range_miles]]&gt;=350,"Long-Range",IF(EV_Data4[[#This Row],[range_miles]]&gt;=250,"Medium-Range","Short-Range"))</f>
        <v>Medium-Range</v>
      </c>
      <c r="AE280" t="str">
        <f>IF(EV_Data4[[#This Row],[charging_speed_kw]]&gt;=250,"Ultra-Fast",IF(EV_Data4[[#This Row],[charging_speed_kw]]&gt;=150,"Fast-Charging","Standard-Charging"))</f>
        <v>Fast-Charging</v>
      </c>
      <c r="AF280" t="str">
        <f>IF(EV_Data4[[#This Row],[acceleration_0_60_mph]]&lt;=3,"SportsPerformance",IF(EV_Data4[[#This Row],[acceleration_0_60_mph]]&lt;=5,"HighPerformance","Standard"))</f>
        <v>HighPerformance</v>
      </c>
      <c r="AG280" t="str">
        <f>IF(EV_Data4[[#This Row],[customer_rating]]&gt;=4.5,"Excellent",IF(EV_Data4[[#This Row],[customer_rating]]&gt;=3.5,"Good","Average"))</f>
        <v>Good</v>
      </c>
      <c r="AH28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81" spans="1:34" x14ac:dyDescent="0.3">
      <c r="A281" t="s">
        <v>76</v>
      </c>
      <c r="B281" t="s">
        <v>91</v>
      </c>
      <c r="C281">
        <v>2025</v>
      </c>
      <c r="D281" t="s">
        <v>44</v>
      </c>
      <c r="E281" s="3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34</v>
      </c>
      <c r="N281">
        <v>4</v>
      </c>
      <c r="O281" t="s">
        <v>28</v>
      </c>
      <c r="P281">
        <v>69.3</v>
      </c>
      <c r="Q281">
        <v>2671</v>
      </c>
      <c r="R281">
        <v>4</v>
      </c>
      <c r="S281">
        <v>0</v>
      </c>
      <c r="T281" t="s">
        <v>41</v>
      </c>
      <c r="U281" t="s">
        <v>33</v>
      </c>
      <c r="V281" s="3">
        <v>43803</v>
      </c>
      <c r="W281">
        <v>3.47</v>
      </c>
      <c r="X281">
        <v>5</v>
      </c>
      <c r="Y281" s="1">
        <f>EV_Data4[[#This Row],[range_miles]]/EV_Data4[[#This Row],[battery_capacity_kwh]]</f>
        <v>3.4777070063694269</v>
      </c>
      <c r="Z281" s="4">
        <f>EV_Data4[[#This Row],[price_usd]]/EV_Data4[[#This Row],[range_miles]]</f>
        <v>243.49780219780217</v>
      </c>
      <c r="AA281" s="2">
        <f>(EV_Data4[[#This Row],[customer_rating]]*EV_Data4[[#This Row],[safety_rating]]*1000)/EV_Data4[[#This Row],[price_usd]]</f>
        <v>0.20880061496895821</v>
      </c>
      <c r="AB281">
        <f>EV_Data4[[#This Row],[horsepower]]+EV_Data4[[#This Row],[torque_nm]]/EV_Data4[[#This Row],[acceleration_0_60_mph]]</f>
        <v>848.45825602968466</v>
      </c>
      <c r="AC281" t="str">
        <f>IF(EV_Data4[[#This Row],[price_usd]]&gt;=80000,"Luxury",IF(EV_Data4[[#This Row],[price_usd]]&gt;=40000,"Mid-Range","Budget"))</f>
        <v>Mid-Range</v>
      </c>
      <c r="AD281" t="str">
        <f>IF(EV_Data4[[#This Row],[range_miles]]&gt;=350,"Long-Range",IF(EV_Data4[[#This Row],[range_miles]]&gt;=250,"Medium-Range","Short-Range"))</f>
        <v>Medium-Range</v>
      </c>
      <c r="AE281" t="str">
        <f>IF(EV_Data4[[#This Row],[charging_speed_kw]]&gt;=250,"Ultra-Fast",IF(EV_Data4[[#This Row],[charging_speed_kw]]&gt;=150,"Fast-Charging","Standard-Charging"))</f>
        <v>Standard-Charging</v>
      </c>
      <c r="AF281" t="str">
        <f>IF(EV_Data4[[#This Row],[acceleration_0_60_mph]]&lt;=3,"SportsPerformance",IF(EV_Data4[[#This Row],[acceleration_0_60_mph]]&lt;=5,"HighPerformance","Standard"))</f>
        <v>Standard</v>
      </c>
      <c r="AG281" t="str">
        <f>IF(EV_Data4[[#This Row],[customer_rating]]&gt;=4.5,"Excellent",IF(EV_Data4[[#This Row],[customer_rating]]&gt;=3.5,"Good","Average"))</f>
        <v>Average</v>
      </c>
      <c r="AH28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82" spans="1:34" x14ac:dyDescent="0.3">
      <c r="A282" t="s">
        <v>86</v>
      </c>
      <c r="B282" t="s">
        <v>105</v>
      </c>
      <c r="C282">
        <v>2020</v>
      </c>
      <c r="D282" t="s">
        <v>44</v>
      </c>
      <c r="E282" s="3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27</v>
      </c>
      <c r="N282">
        <v>5</v>
      </c>
      <c r="O282" t="s">
        <v>50</v>
      </c>
      <c r="P282">
        <v>29.6</v>
      </c>
      <c r="Q282">
        <v>1563</v>
      </c>
      <c r="R282">
        <v>4</v>
      </c>
      <c r="S282">
        <v>1</v>
      </c>
      <c r="T282" t="s">
        <v>29</v>
      </c>
      <c r="U282" t="s">
        <v>33</v>
      </c>
      <c r="V282" s="3">
        <v>32828</v>
      </c>
      <c r="W282">
        <v>3.4</v>
      </c>
      <c r="X282">
        <v>5</v>
      </c>
      <c r="Y282" s="1">
        <f>EV_Data4[[#This Row],[range_miles]]/EV_Data4[[#This Row],[battery_capacity_kwh]]</f>
        <v>3.4040501446480231</v>
      </c>
      <c r="Z282" s="4">
        <f>EV_Data4[[#This Row],[price_usd]]/EV_Data4[[#This Row],[range_miles]]</f>
        <v>217.18373937677055</v>
      </c>
      <c r="AA282" s="2">
        <f>(EV_Data4[[#This Row],[customer_rating]]*EV_Data4[[#This Row],[safety_rating]]*1000)/EV_Data4[[#This Row],[price_usd]]</f>
        <v>0.17739317083249312</v>
      </c>
      <c r="AB282">
        <f>EV_Data4[[#This Row],[horsepower]]+EV_Data4[[#This Row],[torque_nm]]/EV_Data4[[#This Row],[acceleration_0_60_mph]]</f>
        <v>520.45488029465935</v>
      </c>
      <c r="AC282" t="str">
        <f>IF(EV_Data4[[#This Row],[price_usd]]&gt;=80000,"Luxury",IF(EV_Data4[[#This Row],[price_usd]]&gt;=40000,"Mid-Range","Budget"))</f>
        <v>Mid-Range</v>
      </c>
      <c r="AD282" t="str">
        <f>IF(EV_Data4[[#This Row],[range_miles]]&gt;=350,"Long-Range",IF(EV_Data4[[#This Row],[range_miles]]&gt;=250,"Medium-Range","Short-Range"))</f>
        <v>Long-Range</v>
      </c>
      <c r="AE282" t="str">
        <f>IF(EV_Data4[[#This Row],[charging_speed_kw]]&gt;=250,"Ultra-Fast",IF(EV_Data4[[#This Row],[charging_speed_kw]]&gt;=150,"Fast-Charging","Standard-Charging"))</f>
        <v>Standard-Charging</v>
      </c>
      <c r="AF282" t="str">
        <f>IF(EV_Data4[[#This Row],[acceleration_0_60_mph]]&lt;=3,"SportsPerformance",IF(EV_Data4[[#This Row],[acceleration_0_60_mph]]&lt;=5,"HighPerformance","Standard"))</f>
        <v>Standard</v>
      </c>
      <c r="AG282" t="str">
        <f>IF(EV_Data4[[#This Row],[customer_rating]]&gt;=4.5,"Excellent",IF(EV_Data4[[#This Row],[customer_rating]]&gt;=3.5,"Good","Average"))</f>
        <v>Average</v>
      </c>
      <c r="AH28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83" spans="1:34" x14ac:dyDescent="0.3">
      <c r="A283" t="s">
        <v>63</v>
      </c>
      <c r="B283" t="s">
        <v>96</v>
      </c>
      <c r="C283">
        <v>2025</v>
      </c>
      <c r="D283" t="s">
        <v>56</v>
      </c>
      <c r="E283" s="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34</v>
      </c>
      <c r="N283">
        <v>7</v>
      </c>
      <c r="O283" t="s">
        <v>35</v>
      </c>
      <c r="P283">
        <v>41.7</v>
      </c>
      <c r="Q283">
        <v>2370</v>
      </c>
      <c r="R283">
        <v>5</v>
      </c>
      <c r="S283">
        <v>2</v>
      </c>
      <c r="T283" t="s">
        <v>65</v>
      </c>
      <c r="U283" t="s">
        <v>37</v>
      </c>
      <c r="V283" s="3">
        <v>158327</v>
      </c>
      <c r="W283">
        <v>3.29</v>
      </c>
      <c r="X283">
        <v>3</v>
      </c>
      <c r="Y283" s="1">
        <f>EV_Data4[[#This Row],[range_miles]]/EV_Data4[[#This Row],[battery_capacity_kwh]]</f>
        <v>3.3588761174968074</v>
      </c>
      <c r="Z283" s="4">
        <f>EV_Data4[[#This Row],[price_usd]]/EV_Data4[[#This Row],[range_miles]]</f>
        <v>163.02730038022813</v>
      </c>
      <c r="AA283" s="2">
        <f>(EV_Data4[[#This Row],[customer_rating]]*EV_Data4[[#This Row],[safety_rating]]*1000)/EV_Data4[[#This Row],[price_usd]]</f>
        <v>0.38366291026859201</v>
      </c>
      <c r="AB283">
        <f>EV_Data4[[#This Row],[horsepower]]+EV_Data4[[#This Row],[torque_nm]]/EV_Data4[[#This Row],[acceleration_0_60_mph]]</f>
        <v>481.60808435852374</v>
      </c>
      <c r="AC283" t="str">
        <f>IF(EV_Data4[[#This Row],[price_usd]]&gt;=80000,"Luxury",IF(EV_Data4[[#This Row],[price_usd]]&gt;=40000,"Mid-Range","Budget"))</f>
        <v>Mid-Range</v>
      </c>
      <c r="AD283" t="str">
        <f>IF(EV_Data4[[#This Row],[range_miles]]&gt;=350,"Long-Range",IF(EV_Data4[[#This Row],[range_miles]]&gt;=250,"Medium-Range","Short-Range"))</f>
        <v>Medium-Range</v>
      </c>
      <c r="AE283" t="str">
        <f>IF(EV_Data4[[#This Row],[charging_speed_kw]]&gt;=250,"Ultra-Fast",IF(EV_Data4[[#This Row],[charging_speed_kw]]&gt;=150,"Fast-Charging","Standard-Charging"))</f>
        <v>Standard-Charging</v>
      </c>
      <c r="AF283" t="str">
        <f>IF(EV_Data4[[#This Row],[acceleration_0_60_mph]]&lt;=3,"SportsPerformance",IF(EV_Data4[[#This Row],[acceleration_0_60_mph]]&lt;=5,"HighPerformance","Standard"))</f>
        <v>Standard</v>
      </c>
      <c r="AG283" t="str">
        <f>IF(EV_Data4[[#This Row],[customer_rating]]&gt;=4.5,"Excellent",IF(EV_Data4[[#This Row],[customer_rating]]&gt;=3.5,"Good","Average"))</f>
        <v>Average</v>
      </c>
      <c r="AH28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84" spans="1:34" x14ac:dyDescent="0.3">
      <c r="A284" t="s">
        <v>24</v>
      </c>
      <c r="B284" t="s">
        <v>25</v>
      </c>
      <c r="C284">
        <v>2026</v>
      </c>
      <c r="D284" t="s">
        <v>61</v>
      </c>
      <c r="E284" s="3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48</v>
      </c>
      <c r="N284">
        <v>5</v>
      </c>
      <c r="O284" t="s">
        <v>40</v>
      </c>
      <c r="P284">
        <v>70.599999999999994</v>
      </c>
      <c r="Q284">
        <v>1732</v>
      </c>
      <c r="R284">
        <v>4</v>
      </c>
      <c r="S284">
        <v>1</v>
      </c>
      <c r="T284" t="s">
        <v>29</v>
      </c>
      <c r="U284" t="s">
        <v>37</v>
      </c>
      <c r="V284" s="3">
        <v>228329</v>
      </c>
      <c r="W284">
        <v>3.2</v>
      </c>
      <c r="X284">
        <v>3</v>
      </c>
      <c r="Y284" s="1">
        <f>EV_Data4[[#This Row],[range_miles]]/EV_Data4[[#This Row],[battery_capacity_kwh]]</f>
        <v>3.707865168539326</v>
      </c>
      <c r="Z284" s="4">
        <f>EV_Data4[[#This Row],[price_usd]]/EV_Data4[[#This Row],[range_miles]]</f>
        <v>188.47935064935066</v>
      </c>
      <c r="AA284" s="2">
        <f>(EV_Data4[[#This Row],[customer_rating]]*EV_Data4[[#This Row],[safety_rating]]*1000)/EV_Data4[[#This Row],[price_usd]]</f>
        <v>0.29399112009008987</v>
      </c>
      <c r="AB284">
        <f>EV_Data4[[#This Row],[horsepower]]+EV_Data4[[#This Row],[torque_nm]]/EV_Data4[[#This Row],[acceleration_0_60_mph]]</f>
        <v>341.06081081081084</v>
      </c>
      <c r="AC284" t="str">
        <f>IF(EV_Data4[[#This Row],[price_usd]]&gt;=80000,"Luxury",IF(EV_Data4[[#This Row],[price_usd]]&gt;=40000,"Mid-Range","Budget"))</f>
        <v>Mid-Range</v>
      </c>
      <c r="AD284" t="str">
        <f>IF(EV_Data4[[#This Row],[range_miles]]&gt;=350,"Long-Range",IF(EV_Data4[[#This Row],[range_miles]]&gt;=250,"Medium-Range","Short-Range"))</f>
        <v>Short-Range</v>
      </c>
      <c r="AE284" t="str">
        <f>IF(EV_Data4[[#This Row],[charging_speed_kw]]&gt;=250,"Ultra-Fast",IF(EV_Data4[[#This Row],[charging_speed_kw]]&gt;=150,"Fast-Charging","Standard-Charging"))</f>
        <v>Standard-Charging</v>
      </c>
      <c r="AF284" t="str">
        <f>IF(EV_Data4[[#This Row],[acceleration_0_60_mph]]&lt;=3,"SportsPerformance",IF(EV_Data4[[#This Row],[acceleration_0_60_mph]]&lt;=5,"HighPerformance","Standard"))</f>
        <v>Standard</v>
      </c>
      <c r="AG284" t="str">
        <f>IF(EV_Data4[[#This Row],[customer_rating]]&gt;=4.5,"Excellent",IF(EV_Data4[[#This Row],[customer_rating]]&gt;=3.5,"Good","Average"))</f>
        <v>Average</v>
      </c>
      <c r="AH28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85" spans="1:34" x14ac:dyDescent="0.3">
      <c r="A285" t="s">
        <v>46</v>
      </c>
      <c r="B285" t="s">
        <v>72</v>
      </c>
      <c r="C285">
        <v>2023</v>
      </c>
      <c r="D285" t="s">
        <v>56</v>
      </c>
      <c r="E285" s="3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34</v>
      </c>
      <c r="N285">
        <v>7</v>
      </c>
      <c r="O285" t="s">
        <v>28</v>
      </c>
      <c r="P285">
        <v>66.2</v>
      </c>
      <c r="Q285">
        <v>2370</v>
      </c>
      <c r="R285">
        <v>5</v>
      </c>
      <c r="S285">
        <v>2</v>
      </c>
      <c r="T285" t="s">
        <v>41</v>
      </c>
      <c r="U285" t="s">
        <v>30</v>
      </c>
      <c r="V285" s="3">
        <v>156090</v>
      </c>
      <c r="W285">
        <v>3.54</v>
      </c>
      <c r="X285">
        <v>6</v>
      </c>
      <c r="Y285" s="1">
        <f>EV_Data4[[#This Row],[range_miles]]/EV_Data4[[#This Row],[battery_capacity_kwh]]</f>
        <v>3.6633663366336635</v>
      </c>
      <c r="Z285" s="4">
        <f>EV_Data4[[#This Row],[price_usd]]/EV_Data4[[#This Row],[range_miles]]</f>
        <v>565.3031891891892</v>
      </c>
      <c r="AA285" s="2">
        <f>(EV_Data4[[#This Row],[customer_rating]]*EV_Data4[[#This Row],[safety_rating]]*1000)/EV_Data4[[#This Row],[price_usd]]</f>
        <v>0.16924665826298044</v>
      </c>
      <c r="AB285">
        <f>EV_Data4[[#This Row],[horsepower]]+EV_Data4[[#This Row],[torque_nm]]/EV_Data4[[#This Row],[acceleration_0_60_mph]]</f>
        <v>853.13071895424832</v>
      </c>
      <c r="AC285" t="str">
        <f>IF(EV_Data4[[#This Row],[price_usd]]&gt;=80000,"Luxury",IF(EV_Data4[[#This Row],[price_usd]]&gt;=40000,"Mid-Range","Budget"))</f>
        <v>Luxury</v>
      </c>
      <c r="AD285" t="str">
        <f>IF(EV_Data4[[#This Row],[range_miles]]&gt;=350,"Long-Range",IF(EV_Data4[[#This Row],[range_miles]]&gt;=250,"Medium-Range","Short-Range"))</f>
        <v>Short-Range</v>
      </c>
      <c r="AE285" t="str">
        <f>IF(EV_Data4[[#This Row],[charging_speed_kw]]&gt;=250,"Ultra-Fast",IF(EV_Data4[[#This Row],[charging_speed_kw]]&gt;=150,"Fast-Charging","Standard-Charging"))</f>
        <v>Ultra-Fast</v>
      </c>
      <c r="AF285" t="str">
        <f>IF(EV_Data4[[#This Row],[acceleration_0_60_mph]]&lt;=3,"SportsPerformance",IF(EV_Data4[[#This Row],[acceleration_0_60_mph]]&lt;=5,"HighPerformance","Standard"))</f>
        <v>Standard</v>
      </c>
      <c r="AG285" t="str">
        <f>IF(EV_Data4[[#This Row],[customer_rating]]&gt;=4.5,"Excellent",IF(EV_Data4[[#This Row],[customer_rating]]&gt;=3.5,"Good","Average"))</f>
        <v>Good</v>
      </c>
      <c r="AH28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86" spans="1:34" x14ac:dyDescent="0.3">
      <c r="A286" t="s">
        <v>42</v>
      </c>
      <c r="B286" t="s">
        <v>115</v>
      </c>
      <c r="C286">
        <v>2022</v>
      </c>
      <c r="D286" t="s">
        <v>44</v>
      </c>
      <c r="E286" s="3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34</v>
      </c>
      <c r="N286">
        <v>5</v>
      </c>
      <c r="O286" t="s">
        <v>28</v>
      </c>
      <c r="P286">
        <v>78.900000000000006</v>
      </c>
      <c r="Q286">
        <v>2457</v>
      </c>
      <c r="R286">
        <v>4</v>
      </c>
      <c r="S286">
        <v>0</v>
      </c>
      <c r="T286" t="s">
        <v>45</v>
      </c>
      <c r="U286" t="s">
        <v>33</v>
      </c>
      <c r="V286" s="3">
        <v>86318</v>
      </c>
      <c r="W286">
        <v>3.46</v>
      </c>
      <c r="X286">
        <v>3</v>
      </c>
      <c r="Y286" s="1">
        <f>EV_Data4[[#This Row],[range_miles]]/EV_Data4[[#This Row],[battery_capacity_kwh]]</f>
        <v>3.5382830626450117</v>
      </c>
      <c r="Z286" s="4">
        <f>EV_Data4[[#This Row],[price_usd]]/EV_Data4[[#This Row],[range_miles]]</f>
        <v>297.61032786885244</v>
      </c>
      <c r="AA286" s="2">
        <f>(EV_Data4[[#This Row],[customer_rating]]*EV_Data4[[#This Row],[safety_rating]]*1000)/EV_Data4[[#This Row],[price_usd]]</f>
        <v>0.15247135240657411</v>
      </c>
      <c r="AB286">
        <f>EV_Data4[[#This Row],[horsepower]]+EV_Data4[[#This Row],[torque_nm]]/EV_Data4[[#This Row],[acceleration_0_60_mph]]</f>
        <v>1207.6009501187648</v>
      </c>
      <c r="AC286" t="str">
        <f>IF(EV_Data4[[#This Row],[price_usd]]&gt;=80000,"Luxury",IF(EV_Data4[[#This Row],[price_usd]]&gt;=40000,"Mid-Range","Budget"))</f>
        <v>Luxury</v>
      </c>
      <c r="AD286" t="str">
        <f>IF(EV_Data4[[#This Row],[range_miles]]&gt;=350,"Long-Range",IF(EV_Data4[[#This Row],[range_miles]]&gt;=250,"Medium-Range","Short-Range"))</f>
        <v>Medium-Range</v>
      </c>
      <c r="AE286" t="str">
        <f>IF(EV_Data4[[#This Row],[charging_speed_kw]]&gt;=250,"Ultra-Fast",IF(EV_Data4[[#This Row],[charging_speed_kw]]&gt;=150,"Fast-Charging","Standard-Charging"))</f>
        <v>Standard-Charging</v>
      </c>
      <c r="AF286" t="str">
        <f>IF(EV_Data4[[#This Row],[acceleration_0_60_mph]]&lt;=3,"SportsPerformance",IF(EV_Data4[[#This Row],[acceleration_0_60_mph]]&lt;=5,"HighPerformance","Standard"))</f>
        <v>HighPerformance</v>
      </c>
      <c r="AG286" t="str">
        <f>IF(EV_Data4[[#This Row],[customer_rating]]&gt;=4.5,"Excellent",IF(EV_Data4[[#This Row],[customer_rating]]&gt;=3.5,"Good","Average"))</f>
        <v>Average</v>
      </c>
      <c r="AH28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87" spans="1:34" x14ac:dyDescent="0.3">
      <c r="A287" t="s">
        <v>46</v>
      </c>
      <c r="B287" t="s">
        <v>57</v>
      </c>
      <c r="C287">
        <v>2022</v>
      </c>
      <c r="D287" t="s">
        <v>33</v>
      </c>
      <c r="E287" s="3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48</v>
      </c>
      <c r="N287">
        <v>5</v>
      </c>
      <c r="O287" t="s">
        <v>58</v>
      </c>
      <c r="P287">
        <v>36.700000000000003</v>
      </c>
      <c r="Q287">
        <v>1500</v>
      </c>
      <c r="R287">
        <v>5</v>
      </c>
      <c r="S287">
        <v>2</v>
      </c>
      <c r="T287" t="s">
        <v>41</v>
      </c>
      <c r="U287" t="s">
        <v>37</v>
      </c>
      <c r="V287" s="3">
        <v>130707</v>
      </c>
      <c r="W287">
        <v>3.64</v>
      </c>
      <c r="X287">
        <v>5</v>
      </c>
      <c r="Y287" s="1">
        <f>EV_Data4[[#This Row],[range_miles]]/EV_Data4[[#This Row],[battery_capacity_kwh]]</f>
        <v>3.4941329856584091</v>
      </c>
      <c r="Z287" s="4">
        <f>EV_Data4[[#This Row],[price_usd]]/EV_Data4[[#This Row],[range_miles]]</f>
        <v>220.48264925373132</v>
      </c>
      <c r="AA287" s="2">
        <f>(EV_Data4[[#This Row],[customer_rating]]*EV_Data4[[#This Row],[safety_rating]]*1000)/EV_Data4[[#This Row],[price_usd]]</f>
        <v>0.30800812667595767</v>
      </c>
      <c r="AB287">
        <f>EV_Data4[[#This Row],[horsepower]]+EV_Data4[[#This Row],[torque_nm]]/EV_Data4[[#This Row],[acceleration_0_60_mph]]</f>
        <v>426.16497829232998</v>
      </c>
      <c r="AC287" t="str">
        <f>IF(EV_Data4[[#This Row],[price_usd]]&gt;=80000,"Luxury",IF(EV_Data4[[#This Row],[price_usd]]&gt;=40000,"Mid-Range","Budget"))</f>
        <v>Mid-Range</v>
      </c>
      <c r="AD287" t="str">
        <f>IF(EV_Data4[[#This Row],[range_miles]]&gt;=350,"Long-Range",IF(EV_Data4[[#This Row],[range_miles]]&gt;=250,"Medium-Range","Short-Range"))</f>
        <v>Medium-Range</v>
      </c>
      <c r="AE287" t="str">
        <f>IF(EV_Data4[[#This Row],[charging_speed_kw]]&gt;=250,"Ultra-Fast",IF(EV_Data4[[#This Row],[charging_speed_kw]]&gt;=150,"Fast-Charging","Standard-Charging"))</f>
        <v>Fast-Charging</v>
      </c>
      <c r="AF287" t="str">
        <f>IF(EV_Data4[[#This Row],[acceleration_0_60_mph]]&lt;=3,"SportsPerformance",IF(EV_Data4[[#This Row],[acceleration_0_60_mph]]&lt;=5,"HighPerformance","Standard"))</f>
        <v>Standard</v>
      </c>
      <c r="AG287" t="str">
        <f>IF(EV_Data4[[#This Row],[customer_rating]]&gt;=4.5,"Excellent",IF(EV_Data4[[#This Row],[customer_rating]]&gt;=3.5,"Good","Average"))</f>
        <v>Good</v>
      </c>
      <c r="AH28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88" spans="1:34" x14ac:dyDescent="0.3">
      <c r="A288" t="s">
        <v>68</v>
      </c>
      <c r="B288" t="s">
        <v>90</v>
      </c>
      <c r="C288">
        <v>2024</v>
      </c>
      <c r="D288" t="s">
        <v>26</v>
      </c>
      <c r="E288" s="3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34</v>
      </c>
      <c r="N288">
        <v>7</v>
      </c>
      <c r="O288" t="s">
        <v>28</v>
      </c>
      <c r="P288">
        <v>62.2</v>
      </c>
      <c r="Q288">
        <v>2466</v>
      </c>
      <c r="R288">
        <v>5</v>
      </c>
      <c r="S288">
        <v>0</v>
      </c>
      <c r="T288" t="s">
        <v>45</v>
      </c>
      <c r="U288" t="s">
        <v>37</v>
      </c>
      <c r="V288" s="3">
        <v>62703</v>
      </c>
      <c r="W288">
        <v>3.86</v>
      </c>
      <c r="X288">
        <v>3</v>
      </c>
      <c r="Y288" s="1">
        <f>EV_Data4[[#This Row],[range_miles]]/EV_Data4[[#This Row],[battery_capacity_kwh]]</f>
        <v>3.4541984732824429</v>
      </c>
      <c r="Z288" s="4">
        <f>EV_Data4[[#This Row],[price_usd]]/EV_Data4[[#This Row],[range_miles]]</f>
        <v>138.36339779005525</v>
      </c>
      <c r="AA288" s="2">
        <f>(EV_Data4[[#This Row],[customer_rating]]*EV_Data4[[#This Row],[safety_rating]]*1000)/EV_Data4[[#This Row],[price_usd]]</f>
        <v>0.38532529540774102</v>
      </c>
      <c r="AB288">
        <f>EV_Data4[[#This Row],[horsepower]]+EV_Data4[[#This Row],[torque_nm]]/EV_Data4[[#This Row],[acceleration_0_60_mph]]</f>
        <v>713.07462686567169</v>
      </c>
      <c r="AC288" t="str">
        <f>IF(EV_Data4[[#This Row],[price_usd]]&gt;=80000,"Luxury",IF(EV_Data4[[#This Row],[price_usd]]&gt;=40000,"Mid-Range","Budget"))</f>
        <v>Mid-Range</v>
      </c>
      <c r="AD288" t="str">
        <f>IF(EV_Data4[[#This Row],[range_miles]]&gt;=350,"Long-Range",IF(EV_Data4[[#This Row],[range_miles]]&gt;=250,"Medium-Range","Short-Range"))</f>
        <v>Long-Range</v>
      </c>
      <c r="AE288" t="str">
        <f>IF(EV_Data4[[#This Row],[charging_speed_kw]]&gt;=250,"Ultra-Fast",IF(EV_Data4[[#This Row],[charging_speed_kw]]&gt;=150,"Fast-Charging","Standard-Charging"))</f>
        <v>Fast-Charging</v>
      </c>
      <c r="AF288" t="str">
        <f>IF(EV_Data4[[#This Row],[acceleration_0_60_mph]]&lt;=3,"SportsPerformance",IF(EV_Data4[[#This Row],[acceleration_0_60_mph]]&lt;=5,"HighPerformance","Standard"))</f>
        <v>HighPerformance</v>
      </c>
      <c r="AG288" t="str">
        <f>IF(EV_Data4[[#This Row],[customer_rating]]&gt;=4.5,"Excellent",IF(EV_Data4[[#This Row],[customer_rating]]&gt;=3.5,"Good","Average"))</f>
        <v>Good</v>
      </c>
      <c r="AH28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89" spans="1:34" x14ac:dyDescent="0.3">
      <c r="A289" t="s">
        <v>42</v>
      </c>
      <c r="B289" t="s">
        <v>115</v>
      </c>
      <c r="C289">
        <v>2025</v>
      </c>
      <c r="D289" t="s">
        <v>26</v>
      </c>
      <c r="E289" s="3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48</v>
      </c>
      <c r="N289">
        <v>5</v>
      </c>
      <c r="O289" t="s">
        <v>51</v>
      </c>
      <c r="P289">
        <v>37.4</v>
      </c>
      <c r="Q289">
        <v>1704</v>
      </c>
      <c r="R289">
        <v>4</v>
      </c>
      <c r="S289">
        <v>0</v>
      </c>
      <c r="T289" t="s">
        <v>45</v>
      </c>
      <c r="U289" t="s">
        <v>30</v>
      </c>
      <c r="V289" s="3">
        <v>108933</v>
      </c>
      <c r="W289">
        <v>3.59</v>
      </c>
      <c r="X289">
        <v>4</v>
      </c>
      <c r="Y289" s="1">
        <f>EV_Data4[[#This Row],[range_miles]]/EV_Data4[[#This Row],[battery_capacity_kwh]]</f>
        <v>3.5339638865004299</v>
      </c>
      <c r="Z289" s="4">
        <f>EV_Data4[[#This Row],[price_usd]]/EV_Data4[[#This Row],[range_miles]]</f>
        <v>285.47873479318736</v>
      </c>
      <c r="AA289" s="2">
        <f>(EV_Data4[[#This Row],[customer_rating]]*EV_Data4[[#This Row],[safety_rating]]*1000)/EV_Data4[[#This Row],[price_usd]]</f>
        <v>0.12238800474824549</v>
      </c>
      <c r="AB289">
        <f>EV_Data4[[#This Row],[horsepower]]+EV_Data4[[#This Row],[torque_nm]]/EV_Data4[[#This Row],[acceleration_0_60_mph]]</f>
        <v>1333.9483394833949</v>
      </c>
      <c r="AC289" t="str">
        <f>IF(EV_Data4[[#This Row],[price_usd]]&gt;=80000,"Luxury",IF(EV_Data4[[#This Row],[price_usd]]&gt;=40000,"Mid-Range","Budget"))</f>
        <v>Luxury</v>
      </c>
      <c r="AD289" t="str">
        <f>IF(EV_Data4[[#This Row],[range_miles]]&gt;=350,"Long-Range",IF(EV_Data4[[#This Row],[range_miles]]&gt;=250,"Medium-Range","Short-Range"))</f>
        <v>Long-Range</v>
      </c>
      <c r="AE289" t="str">
        <f>IF(EV_Data4[[#This Row],[charging_speed_kw]]&gt;=250,"Ultra-Fast",IF(EV_Data4[[#This Row],[charging_speed_kw]]&gt;=150,"Fast-Charging","Standard-Charging"))</f>
        <v>Fast-Charging</v>
      </c>
      <c r="AF289" t="str">
        <f>IF(EV_Data4[[#This Row],[acceleration_0_60_mph]]&lt;=3,"SportsPerformance",IF(EV_Data4[[#This Row],[acceleration_0_60_mph]]&lt;=5,"HighPerformance","Standard"))</f>
        <v>SportsPerformance</v>
      </c>
      <c r="AG289" t="str">
        <f>IF(EV_Data4[[#This Row],[customer_rating]]&gt;=4.5,"Excellent",IF(EV_Data4[[#This Row],[customer_rating]]&gt;=3.5,"Good","Average"))</f>
        <v>Good</v>
      </c>
      <c r="AH28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90" spans="1:34" x14ac:dyDescent="0.3">
      <c r="A290" t="s">
        <v>63</v>
      </c>
      <c r="B290" t="s">
        <v>88</v>
      </c>
      <c r="C290">
        <v>2024</v>
      </c>
      <c r="D290" t="s">
        <v>56</v>
      </c>
      <c r="E290" s="3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48</v>
      </c>
      <c r="N290">
        <v>5</v>
      </c>
      <c r="O290" t="s">
        <v>51</v>
      </c>
      <c r="P290">
        <v>24</v>
      </c>
      <c r="Q290">
        <v>1558</v>
      </c>
      <c r="R290">
        <v>4</v>
      </c>
      <c r="S290">
        <v>1</v>
      </c>
      <c r="T290" t="s">
        <v>65</v>
      </c>
      <c r="U290" t="s">
        <v>37</v>
      </c>
      <c r="V290" s="3">
        <v>220450</v>
      </c>
      <c r="W290">
        <v>3.22</v>
      </c>
      <c r="X290">
        <v>4</v>
      </c>
      <c r="Y290" s="1">
        <f>EV_Data4[[#This Row],[range_miles]]/EV_Data4[[#This Row],[battery_capacity_kwh]]</f>
        <v>3.3333333333333335</v>
      </c>
      <c r="Z290" s="4">
        <f>EV_Data4[[#This Row],[price_usd]]/EV_Data4[[#This Row],[range_miles]]</f>
        <v>243.11580000000001</v>
      </c>
      <c r="AA290" s="2">
        <f>(EV_Data4[[#This Row],[customer_rating]]*EV_Data4[[#This Row],[safety_rating]]*1000)/EV_Data4[[#This Row],[price_usd]]</f>
        <v>0.35319245670855887</v>
      </c>
      <c r="AB290">
        <f>EV_Data4[[#This Row],[horsepower]]+EV_Data4[[#This Row],[torque_nm]]/EV_Data4[[#This Row],[acceleration_0_60_mph]]</f>
        <v>467.58192090395482</v>
      </c>
      <c r="AC290" t="str">
        <f>IF(EV_Data4[[#This Row],[price_usd]]&gt;=80000,"Luxury",IF(EV_Data4[[#This Row],[price_usd]]&gt;=40000,"Mid-Range","Budget"))</f>
        <v>Budget</v>
      </c>
      <c r="AD290" t="str">
        <f>IF(EV_Data4[[#This Row],[range_miles]]&gt;=350,"Long-Range",IF(EV_Data4[[#This Row],[range_miles]]&gt;=250,"Medium-Range","Short-Range"))</f>
        <v>Short-Range</v>
      </c>
      <c r="AE290" t="str">
        <f>IF(EV_Data4[[#This Row],[charging_speed_kw]]&gt;=250,"Ultra-Fast",IF(EV_Data4[[#This Row],[charging_speed_kw]]&gt;=150,"Fast-Charging","Standard-Charging"))</f>
        <v>Standard-Charging</v>
      </c>
      <c r="AF290" t="str">
        <f>IF(EV_Data4[[#This Row],[acceleration_0_60_mph]]&lt;=3,"SportsPerformance",IF(EV_Data4[[#This Row],[acceleration_0_60_mph]]&lt;=5,"HighPerformance","Standard"))</f>
        <v>Standard</v>
      </c>
      <c r="AG290" t="str">
        <f>IF(EV_Data4[[#This Row],[customer_rating]]&gt;=4.5,"Excellent",IF(EV_Data4[[#This Row],[customer_rating]]&gt;=3.5,"Good","Average"))</f>
        <v>Average</v>
      </c>
      <c r="AH29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91" spans="1:34" x14ac:dyDescent="0.3">
      <c r="A291" t="s">
        <v>42</v>
      </c>
      <c r="B291" t="s">
        <v>115</v>
      </c>
      <c r="C291">
        <v>2025</v>
      </c>
      <c r="D291" t="s">
        <v>56</v>
      </c>
      <c r="E291" s="3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48</v>
      </c>
      <c r="N291">
        <v>5</v>
      </c>
      <c r="O291" t="s">
        <v>28</v>
      </c>
      <c r="P291">
        <v>50.4</v>
      </c>
      <c r="Q291">
        <v>2255</v>
      </c>
      <c r="R291">
        <v>5</v>
      </c>
      <c r="S291">
        <v>1</v>
      </c>
      <c r="T291" t="s">
        <v>45</v>
      </c>
      <c r="U291" t="s">
        <v>33</v>
      </c>
      <c r="V291" s="3">
        <v>84247</v>
      </c>
      <c r="W291">
        <v>3.42</v>
      </c>
      <c r="X291">
        <v>3</v>
      </c>
      <c r="Y291" s="1">
        <f>EV_Data4[[#This Row],[range_miles]]/EV_Data4[[#This Row],[battery_capacity_kwh]]</f>
        <v>3.4228187919463084</v>
      </c>
      <c r="Z291" s="4">
        <f>EV_Data4[[#This Row],[price_usd]]/EV_Data4[[#This Row],[range_miles]]</f>
        <v>487.64594771241832</v>
      </c>
      <c r="AA291" s="2">
        <f>(EV_Data4[[#This Row],[customer_rating]]*EV_Data4[[#This Row],[safety_rating]]*1000)/EV_Data4[[#This Row],[price_usd]]</f>
        <v>0.22919231956432551</v>
      </c>
      <c r="AB291">
        <f>EV_Data4[[#This Row],[horsepower]]+EV_Data4[[#This Row],[torque_nm]]/EV_Data4[[#This Row],[acceleration_0_60_mph]]</f>
        <v>883.24866785079928</v>
      </c>
      <c r="AC291" t="str">
        <f>IF(EV_Data4[[#This Row],[price_usd]]&gt;=80000,"Luxury",IF(EV_Data4[[#This Row],[price_usd]]&gt;=40000,"Mid-Range","Budget"))</f>
        <v>Mid-Range</v>
      </c>
      <c r="AD291" t="str">
        <f>IF(EV_Data4[[#This Row],[range_miles]]&gt;=350,"Long-Range",IF(EV_Data4[[#This Row],[range_miles]]&gt;=250,"Medium-Range","Short-Range"))</f>
        <v>Short-Range</v>
      </c>
      <c r="AE291" t="str">
        <f>IF(EV_Data4[[#This Row],[charging_speed_kw]]&gt;=250,"Ultra-Fast",IF(EV_Data4[[#This Row],[charging_speed_kw]]&gt;=150,"Fast-Charging","Standard-Charging"))</f>
        <v>Standard-Charging</v>
      </c>
      <c r="AF291" t="str">
        <f>IF(EV_Data4[[#This Row],[acceleration_0_60_mph]]&lt;=3,"SportsPerformance",IF(EV_Data4[[#This Row],[acceleration_0_60_mph]]&lt;=5,"HighPerformance","Standard"))</f>
        <v>Standard</v>
      </c>
      <c r="AG291" t="str">
        <f>IF(EV_Data4[[#This Row],[customer_rating]]&gt;=4.5,"Excellent",IF(EV_Data4[[#This Row],[customer_rating]]&gt;=3.5,"Good","Average"))</f>
        <v>Average</v>
      </c>
      <c r="AH29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92" spans="1:34" x14ac:dyDescent="0.3">
      <c r="A292" t="s">
        <v>46</v>
      </c>
      <c r="B292" t="s">
        <v>72</v>
      </c>
      <c r="C292">
        <v>2025</v>
      </c>
      <c r="D292" t="s">
        <v>56</v>
      </c>
      <c r="E292" s="3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48</v>
      </c>
      <c r="N292">
        <v>5</v>
      </c>
      <c r="O292" t="s">
        <v>28</v>
      </c>
      <c r="P292">
        <v>77.099999999999994</v>
      </c>
      <c r="Q292">
        <v>2639</v>
      </c>
      <c r="R292">
        <v>4</v>
      </c>
      <c r="S292">
        <v>2</v>
      </c>
      <c r="T292" t="s">
        <v>41</v>
      </c>
      <c r="U292" t="s">
        <v>33</v>
      </c>
      <c r="V292" s="3">
        <v>217680</v>
      </c>
      <c r="W292">
        <v>3.55</v>
      </c>
      <c r="X292">
        <v>4</v>
      </c>
      <c r="Y292" s="1">
        <f>EV_Data4[[#This Row],[range_miles]]/EV_Data4[[#This Row],[battery_capacity_kwh]]</f>
        <v>3.1645569620253164</v>
      </c>
      <c r="Z292" s="4">
        <f>EV_Data4[[#This Row],[price_usd]]/EV_Data4[[#This Row],[range_miles]]</f>
        <v>580.75360000000001</v>
      </c>
      <c r="AA292" s="2">
        <f>(EV_Data4[[#This Row],[customer_rating]]*EV_Data4[[#This Row],[safety_rating]]*1000)/EV_Data4[[#This Row],[price_usd]]</f>
        <v>0.16300659464989398</v>
      </c>
      <c r="AB292">
        <f>EV_Data4[[#This Row],[horsepower]]+EV_Data4[[#This Row],[torque_nm]]/EV_Data4[[#This Row],[acceleration_0_60_mph]]</f>
        <v>767.50393700787401</v>
      </c>
      <c r="AC292" t="str">
        <f>IF(EV_Data4[[#This Row],[price_usd]]&gt;=80000,"Luxury",IF(EV_Data4[[#This Row],[price_usd]]&gt;=40000,"Mid-Range","Budget"))</f>
        <v>Luxury</v>
      </c>
      <c r="AD292" t="str">
        <f>IF(EV_Data4[[#This Row],[range_miles]]&gt;=350,"Long-Range",IF(EV_Data4[[#This Row],[range_miles]]&gt;=250,"Medium-Range","Short-Range"))</f>
        <v>Short-Range</v>
      </c>
      <c r="AE292" t="str">
        <f>IF(EV_Data4[[#This Row],[charging_speed_kw]]&gt;=250,"Ultra-Fast",IF(EV_Data4[[#This Row],[charging_speed_kw]]&gt;=150,"Fast-Charging","Standard-Charging"))</f>
        <v>Fast-Charging</v>
      </c>
      <c r="AF292" t="str">
        <f>IF(EV_Data4[[#This Row],[acceleration_0_60_mph]]&lt;=3,"SportsPerformance",IF(EV_Data4[[#This Row],[acceleration_0_60_mph]]&lt;=5,"HighPerformance","Standard"))</f>
        <v>Standard</v>
      </c>
      <c r="AG292" t="str">
        <f>IF(EV_Data4[[#This Row],[customer_rating]]&gt;=4.5,"Excellent",IF(EV_Data4[[#This Row],[customer_rating]]&gt;=3.5,"Good","Average"))</f>
        <v>Good</v>
      </c>
      <c r="AH29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93" spans="1:34" x14ac:dyDescent="0.3">
      <c r="A293" t="s">
        <v>46</v>
      </c>
      <c r="B293" t="s">
        <v>72</v>
      </c>
      <c r="C293">
        <v>2025</v>
      </c>
      <c r="D293" t="s">
        <v>26</v>
      </c>
      <c r="E293" s="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27</v>
      </c>
      <c r="N293">
        <v>5</v>
      </c>
      <c r="O293" t="s">
        <v>28</v>
      </c>
      <c r="P293">
        <v>72.900000000000006</v>
      </c>
      <c r="Q293">
        <v>2600</v>
      </c>
      <c r="R293">
        <v>5</v>
      </c>
      <c r="S293">
        <v>2</v>
      </c>
      <c r="T293" t="s">
        <v>41</v>
      </c>
      <c r="U293" t="s">
        <v>30</v>
      </c>
      <c r="V293" s="3">
        <v>229037</v>
      </c>
      <c r="W293">
        <v>4.3499999999999996</v>
      </c>
      <c r="X293">
        <v>6</v>
      </c>
      <c r="Y293" s="1">
        <f>EV_Data4[[#This Row],[range_miles]]/EV_Data4[[#This Row],[battery_capacity_kwh]]</f>
        <v>3.3786078098471988</v>
      </c>
      <c r="Z293" s="4">
        <f>EV_Data4[[#This Row],[price_usd]]/EV_Data4[[#This Row],[range_miles]]</f>
        <v>418.52457286432161</v>
      </c>
      <c r="AA293" s="2">
        <f>(EV_Data4[[#This Row],[customer_rating]]*EV_Data4[[#This Row],[safety_rating]]*1000)/EV_Data4[[#This Row],[price_usd]]</f>
        <v>0.1305735546948307</v>
      </c>
      <c r="AB293">
        <f>EV_Data4[[#This Row],[horsepower]]+EV_Data4[[#This Row],[torque_nm]]/EV_Data4[[#This Row],[acceleration_0_60_mph]]</f>
        <v>1260.9826589595375</v>
      </c>
      <c r="AC293" t="str">
        <f>IF(EV_Data4[[#This Row],[price_usd]]&gt;=80000,"Luxury",IF(EV_Data4[[#This Row],[price_usd]]&gt;=40000,"Mid-Range","Budget"))</f>
        <v>Luxury</v>
      </c>
      <c r="AD293" t="str">
        <f>IF(EV_Data4[[#This Row],[range_miles]]&gt;=350,"Long-Range",IF(EV_Data4[[#This Row],[range_miles]]&gt;=250,"Medium-Range","Short-Range"))</f>
        <v>Long-Range</v>
      </c>
      <c r="AE293" t="str">
        <f>IF(EV_Data4[[#This Row],[charging_speed_kw]]&gt;=250,"Ultra-Fast",IF(EV_Data4[[#This Row],[charging_speed_kw]]&gt;=150,"Fast-Charging","Standard-Charging"))</f>
        <v>Fast-Charging</v>
      </c>
      <c r="AF293" t="str">
        <f>IF(EV_Data4[[#This Row],[acceleration_0_60_mph]]&lt;=3,"SportsPerformance",IF(EV_Data4[[#This Row],[acceleration_0_60_mph]]&lt;=5,"HighPerformance","Standard"))</f>
        <v>HighPerformance</v>
      </c>
      <c r="AG293" t="str">
        <f>IF(EV_Data4[[#This Row],[customer_rating]]&gt;=4.5,"Excellent",IF(EV_Data4[[#This Row],[customer_rating]]&gt;=3.5,"Good","Average"))</f>
        <v>Good</v>
      </c>
      <c r="AH29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94" spans="1:34" x14ac:dyDescent="0.3">
      <c r="A294" t="s">
        <v>52</v>
      </c>
      <c r="B294" t="s">
        <v>103</v>
      </c>
      <c r="C294">
        <v>2024</v>
      </c>
      <c r="D294" t="s">
        <v>56</v>
      </c>
      <c r="E294" s="3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48</v>
      </c>
      <c r="N294">
        <v>5</v>
      </c>
      <c r="O294" t="s">
        <v>50</v>
      </c>
      <c r="P294">
        <v>29</v>
      </c>
      <c r="Q294">
        <v>1558</v>
      </c>
      <c r="R294">
        <v>4</v>
      </c>
      <c r="S294">
        <v>1</v>
      </c>
      <c r="T294" t="s">
        <v>29</v>
      </c>
      <c r="U294" t="s">
        <v>30</v>
      </c>
      <c r="V294" s="3">
        <v>43904</v>
      </c>
      <c r="W294">
        <v>3.6</v>
      </c>
      <c r="X294">
        <v>6</v>
      </c>
      <c r="Y294" s="1">
        <f>EV_Data4[[#This Row],[range_miles]]/EV_Data4[[#This Row],[battery_capacity_kwh]]</f>
        <v>3.2951653944020358</v>
      </c>
      <c r="Z294" s="4">
        <f>EV_Data4[[#This Row],[price_usd]]/EV_Data4[[#This Row],[range_miles]]</f>
        <v>450.87231660231657</v>
      </c>
      <c r="AA294" s="2">
        <f>(EV_Data4[[#This Row],[customer_rating]]*EV_Data4[[#This Row],[safety_rating]]*1000)/EV_Data4[[#This Row],[price_usd]]</f>
        <v>0.12331308344108242</v>
      </c>
      <c r="AB294">
        <f>EV_Data4[[#This Row],[horsepower]]+EV_Data4[[#This Row],[torque_nm]]/EV_Data4[[#This Row],[acceleration_0_60_mph]]</f>
        <v>733.88967971530246</v>
      </c>
      <c r="AC294" t="str">
        <f>IF(EV_Data4[[#This Row],[price_usd]]&gt;=80000,"Luxury",IF(EV_Data4[[#This Row],[price_usd]]&gt;=40000,"Mid-Range","Budget"))</f>
        <v>Luxury</v>
      </c>
      <c r="AD294" t="str">
        <f>IF(EV_Data4[[#This Row],[range_miles]]&gt;=350,"Long-Range",IF(EV_Data4[[#This Row],[range_miles]]&gt;=250,"Medium-Range","Short-Range"))</f>
        <v>Medium-Range</v>
      </c>
      <c r="AE294" t="str">
        <f>IF(EV_Data4[[#This Row],[charging_speed_kw]]&gt;=250,"Ultra-Fast",IF(EV_Data4[[#This Row],[charging_speed_kw]]&gt;=150,"Fast-Charging","Standard-Charging"))</f>
        <v>Standard-Charging</v>
      </c>
      <c r="AF294" t="str">
        <f>IF(EV_Data4[[#This Row],[acceleration_0_60_mph]]&lt;=3,"SportsPerformance",IF(EV_Data4[[#This Row],[acceleration_0_60_mph]]&lt;=5,"HighPerformance","Standard"))</f>
        <v>Standard</v>
      </c>
      <c r="AG294" t="str">
        <f>IF(EV_Data4[[#This Row],[customer_rating]]&gt;=4.5,"Excellent",IF(EV_Data4[[#This Row],[customer_rating]]&gt;=3.5,"Good","Average"))</f>
        <v>Good</v>
      </c>
      <c r="AH29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95" spans="1:34" x14ac:dyDescent="0.3">
      <c r="A295" t="s">
        <v>24</v>
      </c>
      <c r="B295" t="s">
        <v>85</v>
      </c>
      <c r="C295">
        <v>2024</v>
      </c>
      <c r="D295" t="s">
        <v>33</v>
      </c>
      <c r="E295" s="3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27</v>
      </c>
      <c r="N295">
        <v>5</v>
      </c>
      <c r="O295" t="s">
        <v>50</v>
      </c>
      <c r="P295">
        <v>25.9</v>
      </c>
      <c r="Q295">
        <v>1840</v>
      </c>
      <c r="R295">
        <v>5</v>
      </c>
      <c r="S295">
        <v>0</v>
      </c>
      <c r="T295" t="s">
        <v>29</v>
      </c>
      <c r="U295" t="s">
        <v>33</v>
      </c>
      <c r="V295" s="3">
        <v>289215</v>
      </c>
      <c r="W295">
        <v>3.46</v>
      </c>
      <c r="X295">
        <v>4</v>
      </c>
      <c r="Y295" s="1">
        <f>EV_Data4[[#This Row],[range_miles]]/EV_Data4[[#This Row],[battery_capacity_kwh]]</f>
        <v>3.2467532467532467</v>
      </c>
      <c r="Z295" s="4">
        <f>EV_Data4[[#This Row],[price_usd]]/EV_Data4[[#This Row],[range_miles]]</f>
        <v>395.16636</v>
      </c>
      <c r="AA295" s="2">
        <f>(EV_Data4[[#This Row],[customer_rating]]*EV_Data4[[#This Row],[safety_rating]]*1000)/EV_Data4[[#This Row],[price_usd]]</f>
        <v>0.17511612071432398</v>
      </c>
      <c r="AB295">
        <f>EV_Data4[[#This Row],[horsepower]]+EV_Data4[[#This Row],[torque_nm]]/EV_Data4[[#This Row],[acceleration_0_60_mph]]</f>
        <v>1116.2025316455697</v>
      </c>
      <c r="AC295" t="str">
        <f>IF(EV_Data4[[#This Row],[price_usd]]&gt;=80000,"Luxury",IF(EV_Data4[[#This Row],[price_usd]]&gt;=40000,"Mid-Range","Budget"))</f>
        <v>Luxury</v>
      </c>
      <c r="AD295" t="str">
        <f>IF(EV_Data4[[#This Row],[range_miles]]&gt;=350,"Long-Range",IF(EV_Data4[[#This Row],[range_miles]]&gt;=250,"Medium-Range","Short-Range"))</f>
        <v>Medium-Range</v>
      </c>
      <c r="AE295" t="str">
        <f>IF(EV_Data4[[#This Row],[charging_speed_kw]]&gt;=250,"Ultra-Fast",IF(EV_Data4[[#This Row],[charging_speed_kw]]&gt;=150,"Fast-Charging","Standard-Charging"))</f>
        <v>Standard-Charging</v>
      </c>
      <c r="AF295" t="str">
        <f>IF(EV_Data4[[#This Row],[acceleration_0_60_mph]]&lt;=3,"SportsPerformance",IF(EV_Data4[[#This Row],[acceleration_0_60_mph]]&lt;=5,"HighPerformance","Standard"))</f>
        <v>Standard</v>
      </c>
      <c r="AG295" t="str">
        <f>IF(EV_Data4[[#This Row],[customer_rating]]&gt;=4.5,"Excellent",IF(EV_Data4[[#This Row],[customer_rating]]&gt;=3.5,"Good","Average"))</f>
        <v>Average</v>
      </c>
      <c r="AH29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296" spans="1:34" x14ac:dyDescent="0.3">
      <c r="A296" t="s">
        <v>46</v>
      </c>
      <c r="B296" t="s">
        <v>57</v>
      </c>
      <c r="C296">
        <v>2023</v>
      </c>
      <c r="D296" t="s">
        <v>56</v>
      </c>
      <c r="E296" s="3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27</v>
      </c>
      <c r="N296">
        <v>5</v>
      </c>
      <c r="O296" t="s">
        <v>40</v>
      </c>
      <c r="P296">
        <v>72.2</v>
      </c>
      <c r="Q296">
        <v>1500</v>
      </c>
      <c r="R296">
        <v>4</v>
      </c>
      <c r="S296">
        <v>2</v>
      </c>
      <c r="T296" t="s">
        <v>41</v>
      </c>
      <c r="U296" t="s">
        <v>37</v>
      </c>
      <c r="V296" s="3">
        <v>175034</v>
      </c>
      <c r="W296">
        <v>3.89</v>
      </c>
      <c r="X296">
        <v>4</v>
      </c>
      <c r="Y296" s="1">
        <f>EV_Data4[[#This Row],[range_miles]]/EV_Data4[[#This Row],[battery_capacity_kwh]]</f>
        <v>4.0246913580246915</v>
      </c>
      <c r="Z296" s="4">
        <f>EV_Data4[[#This Row],[price_usd]]/EV_Data4[[#This Row],[range_miles]]</f>
        <v>348.16104294478527</v>
      </c>
      <c r="AA296" s="2">
        <f>(EV_Data4[[#This Row],[customer_rating]]*EV_Data4[[#This Row],[safety_rating]]*1000)/EV_Data4[[#This Row],[price_usd]]</f>
        <v>0.27418381416821952</v>
      </c>
      <c r="AB296">
        <f>EV_Data4[[#This Row],[horsepower]]+EV_Data4[[#This Row],[torque_nm]]/EV_Data4[[#This Row],[acceleration_0_60_mph]]</f>
        <v>435.35443037974682</v>
      </c>
      <c r="AC296" t="str">
        <f>IF(EV_Data4[[#This Row],[price_usd]]&gt;=80000,"Luxury",IF(EV_Data4[[#This Row],[price_usd]]&gt;=40000,"Mid-Range","Budget"))</f>
        <v>Mid-Range</v>
      </c>
      <c r="AD296" t="str">
        <f>IF(EV_Data4[[#This Row],[range_miles]]&gt;=350,"Long-Range",IF(EV_Data4[[#This Row],[range_miles]]&gt;=250,"Medium-Range","Short-Range"))</f>
        <v>Short-Range</v>
      </c>
      <c r="AE296" t="str">
        <f>IF(EV_Data4[[#This Row],[charging_speed_kw]]&gt;=250,"Ultra-Fast",IF(EV_Data4[[#This Row],[charging_speed_kw]]&gt;=150,"Fast-Charging","Standard-Charging"))</f>
        <v>Ultra-Fast</v>
      </c>
      <c r="AF296" t="str">
        <f>IF(EV_Data4[[#This Row],[acceleration_0_60_mph]]&lt;=3,"SportsPerformance",IF(EV_Data4[[#This Row],[acceleration_0_60_mph]]&lt;=5,"HighPerformance","Standard"))</f>
        <v>Standard</v>
      </c>
      <c r="AG296" t="str">
        <f>IF(EV_Data4[[#This Row],[customer_rating]]&gt;=4.5,"Excellent",IF(EV_Data4[[#This Row],[customer_rating]]&gt;=3.5,"Good","Average"))</f>
        <v>Good</v>
      </c>
      <c r="AH29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97" spans="1:34" x14ac:dyDescent="0.3">
      <c r="A297" t="s">
        <v>68</v>
      </c>
      <c r="B297" t="s">
        <v>69</v>
      </c>
      <c r="C297">
        <v>2024</v>
      </c>
      <c r="D297" t="s">
        <v>33</v>
      </c>
      <c r="E297" s="3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48</v>
      </c>
      <c r="N297">
        <v>7</v>
      </c>
      <c r="O297" t="s">
        <v>28</v>
      </c>
      <c r="P297">
        <v>72.400000000000006</v>
      </c>
      <c r="Q297">
        <v>2127</v>
      </c>
      <c r="R297">
        <v>4</v>
      </c>
      <c r="S297">
        <v>1</v>
      </c>
      <c r="T297" t="s">
        <v>45</v>
      </c>
      <c r="U297" t="s">
        <v>33</v>
      </c>
      <c r="V297" s="3">
        <v>86699</v>
      </c>
      <c r="W297">
        <v>3.36</v>
      </c>
      <c r="X297">
        <v>4</v>
      </c>
      <c r="Y297" s="1">
        <f>EV_Data4[[#This Row],[range_miles]]/EV_Data4[[#This Row],[battery_capacity_kwh]]</f>
        <v>3.5813953488372094</v>
      </c>
      <c r="Z297" s="4">
        <f>EV_Data4[[#This Row],[price_usd]]/EV_Data4[[#This Row],[range_miles]]</f>
        <v>487.3609090909091</v>
      </c>
      <c r="AA297" s="2">
        <f>(EV_Data4[[#This Row],[customer_rating]]*EV_Data4[[#This Row],[safety_rating]]*1000)/EV_Data4[[#This Row],[price_usd]]</f>
        <v>0.17907207091254007</v>
      </c>
      <c r="AB297">
        <f>EV_Data4[[#This Row],[horsepower]]+EV_Data4[[#This Row],[torque_nm]]/EV_Data4[[#This Row],[acceleration_0_60_mph]]</f>
        <v>1054.6736990154711</v>
      </c>
      <c r="AC297" t="str">
        <f>IF(EV_Data4[[#This Row],[price_usd]]&gt;=80000,"Luxury",IF(EV_Data4[[#This Row],[price_usd]]&gt;=40000,"Mid-Range","Budget"))</f>
        <v>Mid-Range</v>
      </c>
      <c r="AD297" t="str">
        <f>IF(EV_Data4[[#This Row],[range_miles]]&gt;=350,"Long-Range",IF(EV_Data4[[#This Row],[range_miles]]&gt;=250,"Medium-Range","Short-Range"))</f>
        <v>Short-Range</v>
      </c>
      <c r="AE297" t="str">
        <f>IF(EV_Data4[[#This Row],[charging_speed_kw]]&gt;=250,"Ultra-Fast",IF(EV_Data4[[#This Row],[charging_speed_kw]]&gt;=150,"Fast-Charging","Standard-Charging"))</f>
        <v>Standard-Charging</v>
      </c>
      <c r="AF297" t="str">
        <f>IF(EV_Data4[[#This Row],[acceleration_0_60_mph]]&lt;=3,"SportsPerformance",IF(EV_Data4[[#This Row],[acceleration_0_60_mph]]&lt;=5,"HighPerformance","Standard"))</f>
        <v>Standard</v>
      </c>
      <c r="AG297" t="str">
        <f>IF(EV_Data4[[#This Row],[customer_rating]]&gt;=4.5,"Excellent",IF(EV_Data4[[#This Row],[customer_rating]]&gt;=3.5,"Good","Average"))</f>
        <v>Average</v>
      </c>
      <c r="AH29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98" spans="1:34" x14ac:dyDescent="0.3">
      <c r="A298" t="s">
        <v>76</v>
      </c>
      <c r="B298" t="s">
        <v>81</v>
      </c>
      <c r="C298">
        <v>2025</v>
      </c>
      <c r="D298" t="s">
        <v>61</v>
      </c>
      <c r="E298" s="3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48</v>
      </c>
      <c r="N298">
        <v>7</v>
      </c>
      <c r="O298" t="s">
        <v>28</v>
      </c>
      <c r="P298">
        <v>54</v>
      </c>
      <c r="Q298">
        <v>2803</v>
      </c>
      <c r="R298">
        <v>4</v>
      </c>
      <c r="S298">
        <v>1</v>
      </c>
      <c r="T298" t="s">
        <v>41</v>
      </c>
      <c r="U298" t="s">
        <v>37</v>
      </c>
      <c r="V298" s="3">
        <v>35218</v>
      </c>
      <c r="W298">
        <v>3.57</v>
      </c>
      <c r="X298">
        <v>3</v>
      </c>
      <c r="Y298" s="1">
        <f>EV_Data4[[#This Row],[range_miles]]/EV_Data4[[#This Row],[battery_capacity_kwh]]</f>
        <v>3.4451612903225808</v>
      </c>
      <c r="Z298" s="4">
        <f>EV_Data4[[#This Row],[price_usd]]/EV_Data4[[#This Row],[range_miles]]</f>
        <v>187.15415730337079</v>
      </c>
      <c r="AA298" s="2">
        <f>(EV_Data4[[#This Row],[customer_rating]]*EV_Data4[[#This Row],[safety_rating]]*1000)/EV_Data4[[#This Row],[price_usd]]</f>
        <v>0.28577054786296457</v>
      </c>
      <c r="AB298">
        <f>EV_Data4[[#This Row],[horsepower]]+EV_Data4[[#This Row],[torque_nm]]/EV_Data4[[#This Row],[acceleration_0_60_mph]]</f>
        <v>481</v>
      </c>
      <c r="AC298" t="str">
        <f>IF(EV_Data4[[#This Row],[price_usd]]&gt;=80000,"Luxury",IF(EV_Data4[[#This Row],[price_usd]]&gt;=40000,"Mid-Range","Budget"))</f>
        <v>Mid-Range</v>
      </c>
      <c r="AD298" t="str">
        <f>IF(EV_Data4[[#This Row],[range_miles]]&gt;=350,"Long-Range",IF(EV_Data4[[#This Row],[range_miles]]&gt;=250,"Medium-Range","Short-Range"))</f>
        <v>Medium-Range</v>
      </c>
      <c r="AE298" t="str">
        <f>IF(EV_Data4[[#This Row],[charging_speed_kw]]&gt;=250,"Ultra-Fast",IF(EV_Data4[[#This Row],[charging_speed_kw]]&gt;=150,"Fast-Charging","Standard-Charging"))</f>
        <v>Standard-Charging</v>
      </c>
      <c r="AF298" t="str">
        <f>IF(EV_Data4[[#This Row],[acceleration_0_60_mph]]&lt;=3,"SportsPerformance",IF(EV_Data4[[#This Row],[acceleration_0_60_mph]]&lt;=5,"HighPerformance","Standard"))</f>
        <v>HighPerformance</v>
      </c>
      <c r="AG298" t="str">
        <f>IF(EV_Data4[[#This Row],[customer_rating]]&gt;=4.5,"Excellent",IF(EV_Data4[[#This Row],[customer_rating]]&gt;=3.5,"Good","Average"))</f>
        <v>Good</v>
      </c>
      <c r="AH29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299" spans="1:34" x14ac:dyDescent="0.3">
      <c r="A299" t="s">
        <v>63</v>
      </c>
      <c r="B299" t="s">
        <v>88</v>
      </c>
      <c r="C299">
        <v>2024</v>
      </c>
      <c r="D299" t="s">
        <v>61</v>
      </c>
      <c r="E299" s="3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27</v>
      </c>
      <c r="N299">
        <v>7</v>
      </c>
      <c r="O299" t="s">
        <v>40</v>
      </c>
      <c r="P299">
        <v>74.900000000000006</v>
      </c>
      <c r="Q299">
        <v>1609</v>
      </c>
      <c r="R299">
        <v>4</v>
      </c>
      <c r="S299">
        <v>1</v>
      </c>
      <c r="T299" t="s">
        <v>65</v>
      </c>
      <c r="U299" t="s">
        <v>37</v>
      </c>
      <c r="V299" s="3">
        <v>139199</v>
      </c>
      <c r="W299">
        <v>3.11</v>
      </c>
      <c r="X299">
        <v>5</v>
      </c>
      <c r="Y299" s="1">
        <f>EV_Data4[[#This Row],[range_miles]]/EV_Data4[[#This Row],[battery_capacity_kwh]]</f>
        <v>3.3995584988962473</v>
      </c>
      <c r="Z299" s="4">
        <f>EV_Data4[[#This Row],[price_usd]]/EV_Data4[[#This Row],[range_miles]]</f>
        <v>257.97214285714284</v>
      </c>
      <c r="AA299" s="2">
        <f>(EV_Data4[[#This Row],[customer_rating]]*EV_Data4[[#This Row],[safety_rating]]*1000)/EV_Data4[[#This Row],[price_usd]]</f>
        <v>0.31313156484478971</v>
      </c>
      <c r="AB299">
        <f>EV_Data4[[#This Row],[horsepower]]+EV_Data4[[#This Row],[torque_nm]]/EV_Data4[[#This Row],[acceleration_0_60_mph]]</f>
        <v>460.11560693641616</v>
      </c>
      <c r="AC299" t="str">
        <f>IF(EV_Data4[[#This Row],[price_usd]]&gt;=80000,"Luxury",IF(EV_Data4[[#This Row],[price_usd]]&gt;=40000,"Mid-Range","Budget"))</f>
        <v>Budget</v>
      </c>
      <c r="AD299" t="str">
        <f>IF(EV_Data4[[#This Row],[range_miles]]&gt;=350,"Long-Range",IF(EV_Data4[[#This Row],[range_miles]]&gt;=250,"Medium-Range","Short-Range"))</f>
        <v>Short-Range</v>
      </c>
      <c r="AE299" t="str">
        <f>IF(EV_Data4[[#This Row],[charging_speed_kw]]&gt;=250,"Ultra-Fast",IF(EV_Data4[[#This Row],[charging_speed_kw]]&gt;=150,"Fast-Charging","Standard-Charging"))</f>
        <v>Standard-Charging</v>
      </c>
      <c r="AF299" t="str">
        <f>IF(EV_Data4[[#This Row],[acceleration_0_60_mph]]&lt;=3,"SportsPerformance",IF(EV_Data4[[#This Row],[acceleration_0_60_mph]]&lt;=5,"HighPerformance","Standard"))</f>
        <v>Standard</v>
      </c>
      <c r="AG299" t="str">
        <f>IF(EV_Data4[[#This Row],[customer_rating]]&gt;=4.5,"Excellent",IF(EV_Data4[[#This Row],[customer_rating]]&gt;=3.5,"Good","Average"))</f>
        <v>Average</v>
      </c>
      <c r="AH29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00" spans="1:34" x14ac:dyDescent="0.3">
      <c r="A300" t="s">
        <v>83</v>
      </c>
      <c r="B300" t="s">
        <v>116</v>
      </c>
      <c r="C300">
        <v>2025</v>
      </c>
      <c r="D300" t="s">
        <v>56</v>
      </c>
      <c r="E300" s="3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48</v>
      </c>
      <c r="N300">
        <v>5</v>
      </c>
      <c r="O300" t="s">
        <v>28</v>
      </c>
      <c r="P300">
        <v>68.3</v>
      </c>
      <c r="Q300">
        <v>2688</v>
      </c>
      <c r="R300">
        <v>5</v>
      </c>
      <c r="S300">
        <v>2</v>
      </c>
      <c r="T300" t="s">
        <v>29</v>
      </c>
      <c r="U300" t="s">
        <v>33</v>
      </c>
      <c r="V300" s="3">
        <v>29338</v>
      </c>
      <c r="W300">
        <v>3.48</v>
      </c>
      <c r="X300">
        <v>6</v>
      </c>
      <c r="Y300" s="1">
        <f>EV_Data4[[#This Row],[range_miles]]/EV_Data4[[#This Row],[battery_capacity_kwh]]</f>
        <v>3.1886477462437397</v>
      </c>
      <c r="Z300" s="4">
        <f>EV_Data4[[#This Row],[price_usd]]/EV_Data4[[#This Row],[range_miles]]</f>
        <v>448.84523560209425</v>
      </c>
      <c r="AA300" s="2">
        <f>(EV_Data4[[#This Row],[customer_rating]]*EV_Data4[[#This Row],[safety_rating]]*1000)/EV_Data4[[#This Row],[price_usd]]</f>
        <v>0.20296411594430105</v>
      </c>
      <c r="AB300">
        <f>EV_Data4[[#This Row],[horsepower]]+EV_Data4[[#This Row],[torque_nm]]/EV_Data4[[#This Row],[acceleration_0_60_mph]]</f>
        <v>745.65776293823035</v>
      </c>
      <c r="AC300" t="str">
        <f>IF(EV_Data4[[#This Row],[price_usd]]&gt;=80000,"Luxury",IF(EV_Data4[[#This Row],[price_usd]]&gt;=40000,"Mid-Range","Budget"))</f>
        <v>Luxury</v>
      </c>
      <c r="AD300" t="str">
        <f>IF(EV_Data4[[#This Row],[range_miles]]&gt;=350,"Long-Range",IF(EV_Data4[[#This Row],[range_miles]]&gt;=250,"Medium-Range","Short-Range"))</f>
        <v>Short-Range</v>
      </c>
      <c r="AE300" t="str">
        <f>IF(EV_Data4[[#This Row],[charging_speed_kw]]&gt;=250,"Ultra-Fast",IF(EV_Data4[[#This Row],[charging_speed_kw]]&gt;=150,"Fast-Charging","Standard-Charging"))</f>
        <v>Standard-Charging</v>
      </c>
      <c r="AF300" t="str">
        <f>IF(EV_Data4[[#This Row],[acceleration_0_60_mph]]&lt;=3,"SportsPerformance",IF(EV_Data4[[#This Row],[acceleration_0_60_mph]]&lt;=5,"HighPerformance","Standard"))</f>
        <v>Standard</v>
      </c>
      <c r="AG300" t="str">
        <f>IF(EV_Data4[[#This Row],[customer_rating]]&gt;=4.5,"Excellent",IF(EV_Data4[[#This Row],[customer_rating]]&gt;=3.5,"Good","Average"))</f>
        <v>Average</v>
      </c>
      <c r="AH30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01" spans="1:34" x14ac:dyDescent="0.3">
      <c r="A301" t="s">
        <v>46</v>
      </c>
      <c r="B301" t="s">
        <v>72</v>
      </c>
      <c r="C301">
        <v>2023</v>
      </c>
      <c r="D301" t="s">
        <v>56</v>
      </c>
      <c r="E301" s="3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34</v>
      </c>
      <c r="N301">
        <v>5</v>
      </c>
      <c r="O301" t="s">
        <v>28</v>
      </c>
      <c r="P301">
        <v>50.7</v>
      </c>
      <c r="Q301">
        <v>2531</v>
      </c>
      <c r="R301">
        <v>5</v>
      </c>
      <c r="S301">
        <v>3</v>
      </c>
      <c r="T301" t="s">
        <v>41</v>
      </c>
      <c r="U301" t="s">
        <v>37</v>
      </c>
      <c r="V301" s="3">
        <v>199768</v>
      </c>
      <c r="W301">
        <v>3.77</v>
      </c>
      <c r="X301">
        <v>5</v>
      </c>
      <c r="Y301" s="1">
        <f>EV_Data4[[#This Row],[range_miles]]/EV_Data4[[#This Row],[battery_capacity_kwh]]</f>
        <v>3.5239852398523985</v>
      </c>
      <c r="Z301" s="4">
        <f>EV_Data4[[#This Row],[price_usd]]/EV_Data4[[#This Row],[range_miles]]</f>
        <v>325.72298429319369</v>
      </c>
      <c r="AA301" s="2">
        <f>(EV_Data4[[#This Row],[customer_rating]]*EV_Data4[[#This Row],[safety_rating]]*1000)/EV_Data4[[#This Row],[price_usd]]</f>
        <v>0.30299089789624661</v>
      </c>
      <c r="AB301">
        <f>EV_Data4[[#This Row],[horsepower]]+EV_Data4[[#This Row],[torque_nm]]/EV_Data4[[#This Row],[acceleration_0_60_mph]]</f>
        <v>447.0263157894737</v>
      </c>
      <c r="AC301" t="str">
        <f>IF(EV_Data4[[#This Row],[price_usd]]&gt;=80000,"Luxury",IF(EV_Data4[[#This Row],[price_usd]]&gt;=40000,"Mid-Range","Budget"))</f>
        <v>Mid-Range</v>
      </c>
      <c r="AD301" t="str">
        <f>IF(EV_Data4[[#This Row],[range_miles]]&gt;=350,"Long-Range",IF(EV_Data4[[#This Row],[range_miles]]&gt;=250,"Medium-Range","Short-Range"))</f>
        <v>Short-Range</v>
      </c>
      <c r="AE301" t="str">
        <f>IF(EV_Data4[[#This Row],[charging_speed_kw]]&gt;=250,"Ultra-Fast",IF(EV_Data4[[#This Row],[charging_speed_kw]]&gt;=150,"Fast-Charging","Standard-Charging"))</f>
        <v>Ultra-Fast</v>
      </c>
      <c r="AF301" t="str">
        <f>IF(EV_Data4[[#This Row],[acceleration_0_60_mph]]&lt;=3,"SportsPerformance",IF(EV_Data4[[#This Row],[acceleration_0_60_mph]]&lt;=5,"HighPerformance","Standard"))</f>
        <v>Standard</v>
      </c>
      <c r="AG301" t="str">
        <f>IF(EV_Data4[[#This Row],[customer_rating]]&gt;=4.5,"Excellent",IF(EV_Data4[[#This Row],[customer_rating]]&gt;=3.5,"Good","Average"))</f>
        <v>Good</v>
      </c>
      <c r="AH301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302" spans="1:34" x14ac:dyDescent="0.3">
      <c r="A302" t="s">
        <v>46</v>
      </c>
      <c r="B302" t="s">
        <v>72</v>
      </c>
      <c r="C302">
        <v>2022</v>
      </c>
      <c r="D302" t="s">
        <v>26</v>
      </c>
      <c r="E302" s="3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48</v>
      </c>
      <c r="N302">
        <v>7</v>
      </c>
      <c r="O302" t="s">
        <v>28</v>
      </c>
      <c r="P302">
        <v>63.7</v>
      </c>
      <c r="Q302">
        <v>2467</v>
      </c>
      <c r="R302">
        <v>4</v>
      </c>
      <c r="S302">
        <v>2</v>
      </c>
      <c r="T302" t="s">
        <v>41</v>
      </c>
      <c r="U302" t="s">
        <v>30</v>
      </c>
      <c r="V302" s="3">
        <v>163960</v>
      </c>
      <c r="W302">
        <v>4.09</v>
      </c>
      <c r="X302">
        <v>5</v>
      </c>
      <c r="Y302" s="1">
        <f>EV_Data4[[#This Row],[range_miles]]/EV_Data4[[#This Row],[battery_capacity_kwh]]</f>
        <v>3.5900473933649288</v>
      </c>
      <c r="Z302" s="4">
        <f>EV_Data4[[#This Row],[price_usd]]/EV_Data4[[#This Row],[range_miles]]</f>
        <v>561.47960396039605</v>
      </c>
      <c r="AA302" s="2">
        <f>(EV_Data4[[#This Row],[customer_rating]]*EV_Data4[[#This Row],[safety_rating]]*1000)/EV_Data4[[#This Row],[price_usd]]</f>
        <v>9.6162708242813422E-2</v>
      </c>
      <c r="AB302">
        <f>EV_Data4[[#This Row],[horsepower]]+EV_Data4[[#This Row],[torque_nm]]/EV_Data4[[#This Row],[acceleration_0_60_mph]]</f>
        <v>1225.5154639175257</v>
      </c>
      <c r="AC302" t="str">
        <f>IF(EV_Data4[[#This Row],[price_usd]]&gt;=80000,"Luxury",IF(EV_Data4[[#This Row],[price_usd]]&gt;=40000,"Mid-Range","Budget"))</f>
        <v>Luxury</v>
      </c>
      <c r="AD302" t="str">
        <f>IF(EV_Data4[[#This Row],[range_miles]]&gt;=350,"Long-Range",IF(EV_Data4[[#This Row],[range_miles]]&gt;=250,"Medium-Range","Short-Range"))</f>
        <v>Medium-Range</v>
      </c>
      <c r="AE302" t="str">
        <f>IF(EV_Data4[[#This Row],[charging_speed_kw]]&gt;=250,"Ultra-Fast",IF(EV_Data4[[#This Row],[charging_speed_kw]]&gt;=150,"Fast-Charging","Standard-Charging"))</f>
        <v>Ultra-Fast</v>
      </c>
      <c r="AF302" t="str">
        <f>IF(EV_Data4[[#This Row],[acceleration_0_60_mph]]&lt;=3,"SportsPerformance",IF(EV_Data4[[#This Row],[acceleration_0_60_mph]]&lt;=5,"HighPerformance","Standard"))</f>
        <v>HighPerformance</v>
      </c>
      <c r="AG302" t="str">
        <f>IF(EV_Data4[[#This Row],[customer_rating]]&gt;=4.5,"Excellent",IF(EV_Data4[[#This Row],[customer_rating]]&gt;=3.5,"Good","Average"))</f>
        <v>Good</v>
      </c>
      <c r="AH30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03" spans="1:34" x14ac:dyDescent="0.3">
      <c r="A303" t="s">
        <v>68</v>
      </c>
      <c r="B303" t="s">
        <v>106</v>
      </c>
      <c r="C303">
        <v>2024</v>
      </c>
      <c r="D303" t="s">
        <v>33</v>
      </c>
      <c r="E303" s="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34</v>
      </c>
      <c r="N303">
        <v>7</v>
      </c>
      <c r="O303" t="s">
        <v>40</v>
      </c>
      <c r="P303">
        <v>77.2</v>
      </c>
      <c r="Q303">
        <v>1500</v>
      </c>
      <c r="R303">
        <v>5</v>
      </c>
      <c r="S303">
        <v>1</v>
      </c>
      <c r="T303" t="s">
        <v>45</v>
      </c>
      <c r="U303" t="s">
        <v>33</v>
      </c>
      <c r="V303" s="3">
        <v>134570</v>
      </c>
      <c r="W303">
        <v>3.64</v>
      </c>
      <c r="X303">
        <v>3</v>
      </c>
      <c r="Y303" s="1">
        <f>EV_Data4[[#This Row],[range_miles]]/EV_Data4[[#This Row],[battery_capacity_kwh]]</f>
        <v>3.8192419825072887</v>
      </c>
      <c r="Z303" s="4">
        <f>EV_Data4[[#This Row],[price_usd]]/EV_Data4[[#This Row],[range_miles]]</f>
        <v>308.96534351145038</v>
      </c>
      <c r="AA303" s="2">
        <f>(EV_Data4[[#This Row],[customer_rating]]*EV_Data4[[#This Row],[safety_rating]]*1000)/EV_Data4[[#This Row],[price_usd]]</f>
        <v>0.22483314168984589</v>
      </c>
      <c r="AB303">
        <f>EV_Data4[[#This Row],[horsepower]]+EV_Data4[[#This Row],[torque_nm]]/EV_Data4[[#This Row],[acceleration_0_60_mph]]</f>
        <v>1150.4187604690117</v>
      </c>
      <c r="AC303" t="str">
        <f>IF(EV_Data4[[#This Row],[price_usd]]&gt;=80000,"Luxury",IF(EV_Data4[[#This Row],[price_usd]]&gt;=40000,"Mid-Range","Budget"))</f>
        <v>Luxury</v>
      </c>
      <c r="AD303" t="str">
        <f>IF(EV_Data4[[#This Row],[range_miles]]&gt;=350,"Long-Range",IF(EV_Data4[[#This Row],[range_miles]]&gt;=250,"Medium-Range","Short-Range"))</f>
        <v>Medium-Range</v>
      </c>
      <c r="AE303" t="str">
        <f>IF(EV_Data4[[#This Row],[charging_speed_kw]]&gt;=250,"Ultra-Fast",IF(EV_Data4[[#This Row],[charging_speed_kw]]&gt;=150,"Fast-Charging","Standard-Charging"))</f>
        <v>Standard-Charging</v>
      </c>
      <c r="AF303" t="str">
        <f>IF(EV_Data4[[#This Row],[acceleration_0_60_mph]]&lt;=3,"SportsPerformance",IF(EV_Data4[[#This Row],[acceleration_0_60_mph]]&lt;=5,"HighPerformance","Standard"))</f>
        <v>Standard</v>
      </c>
      <c r="AG303" t="str">
        <f>IF(EV_Data4[[#This Row],[customer_rating]]&gt;=4.5,"Excellent",IF(EV_Data4[[#This Row],[customer_rating]]&gt;=3.5,"Good","Average"))</f>
        <v>Good</v>
      </c>
      <c r="AH30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04" spans="1:34" x14ac:dyDescent="0.3">
      <c r="A304" t="s">
        <v>42</v>
      </c>
      <c r="B304" t="s">
        <v>71</v>
      </c>
      <c r="C304">
        <v>2022</v>
      </c>
      <c r="D304" t="s">
        <v>56</v>
      </c>
      <c r="E304" s="3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48</v>
      </c>
      <c r="N304">
        <v>7</v>
      </c>
      <c r="O304" t="s">
        <v>50</v>
      </c>
      <c r="P304">
        <v>27.1</v>
      </c>
      <c r="Q304">
        <v>1724</v>
      </c>
      <c r="R304">
        <v>5</v>
      </c>
      <c r="S304">
        <v>0</v>
      </c>
      <c r="T304" t="s">
        <v>45</v>
      </c>
      <c r="U304" t="s">
        <v>37</v>
      </c>
      <c r="V304" s="3">
        <v>77441</v>
      </c>
      <c r="W304">
        <v>3.34</v>
      </c>
      <c r="X304">
        <v>4</v>
      </c>
      <c r="Y304" s="1">
        <f>EV_Data4[[#This Row],[range_miles]]/EV_Data4[[#This Row],[battery_capacity_kwh]]</f>
        <v>3.3790737564322471</v>
      </c>
      <c r="Z304" s="4">
        <f>EV_Data4[[#This Row],[price_usd]]/EV_Data4[[#This Row],[range_miles]]</f>
        <v>222.0594923857868</v>
      </c>
      <c r="AA304" s="2">
        <f>(EV_Data4[[#This Row],[customer_rating]]*EV_Data4[[#This Row],[safety_rating]]*1000)/EV_Data4[[#This Row],[price_usd]]</f>
        <v>0.38175163193107803</v>
      </c>
      <c r="AB304">
        <f>EV_Data4[[#This Row],[horsepower]]+EV_Data4[[#This Row],[torque_nm]]/EV_Data4[[#This Row],[acceleration_0_60_mph]]</f>
        <v>429.36065573770492</v>
      </c>
      <c r="AC304" t="str">
        <f>IF(EV_Data4[[#This Row],[price_usd]]&gt;=80000,"Luxury",IF(EV_Data4[[#This Row],[price_usd]]&gt;=40000,"Mid-Range","Budget"))</f>
        <v>Mid-Range</v>
      </c>
      <c r="AD304" t="str">
        <f>IF(EV_Data4[[#This Row],[range_miles]]&gt;=350,"Long-Range",IF(EV_Data4[[#This Row],[range_miles]]&gt;=250,"Medium-Range","Short-Range"))</f>
        <v>Short-Range</v>
      </c>
      <c r="AE304" t="str">
        <f>IF(EV_Data4[[#This Row],[charging_speed_kw]]&gt;=250,"Ultra-Fast",IF(EV_Data4[[#This Row],[charging_speed_kw]]&gt;=150,"Fast-Charging","Standard-Charging"))</f>
        <v>Standard-Charging</v>
      </c>
      <c r="AF304" t="str">
        <f>IF(EV_Data4[[#This Row],[acceleration_0_60_mph]]&lt;=3,"SportsPerformance",IF(EV_Data4[[#This Row],[acceleration_0_60_mph]]&lt;=5,"HighPerformance","Standard"))</f>
        <v>Standard</v>
      </c>
      <c r="AG304" t="str">
        <f>IF(EV_Data4[[#This Row],[customer_rating]]&gt;=4.5,"Excellent",IF(EV_Data4[[#This Row],[customer_rating]]&gt;=3.5,"Good","Average"))</f>
        <v>Average</v>
      </c>
      <c r="AH30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05" spans="1:34" x14ac:dyDescent="0.3">
      <c r="A305" t="s">
        <v>83</v>
      </c>
      <c r="B305" t="s">
        <v>89</v>
      </c>
      <c r="C305">
        <v>2023</v>
      </c>
      <c r="D305" t="s">
        <v>44</v>
      </c>
      <c r="E305" s="3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27</v>
      </c>
      <c r="N305">
        <v>5</v>
      </c>
      <c r="O305" t="s">
        <v>58</v>
      </c>
      <c r="P305">
        <v>26.8</v>
      </c>
      <c r="Q305">
        <v>1652</v>
      </c>
      <c r="R305">
        <v>5</v>
      </c>
      <c r="S305">
        <v>2</v>
      </c>
      <c r="T305" t="s">
        <v>29</v>
      </c>
      <c r="U305" t="s">
        <v>30</v>
      </c>
      <c r="V305" s="3">
        <v>70841</v>
      </c>
      <c r="W305">
        <v>3.71</v>
      </c>
      <c r="X305">
        <v>5</v>
      </c>
      <c r="Y305" s="1">
        <f>EV_Data4[[#This Row],[range_miles]]/EV_Data4[[#This Row],[battery_capacity_kwh]]</f>
        <v>3.7085308056872037</v>
      </c>
      <c r="Z305" s="4">
        <f>EV_Data4[[#This Row],[price_usd]]/EV_Data4[[#This Row],[range_miles]]</f>
        <v>428.2427795527156</v>
      </c>
      <c r="AA305" s="2">
        <f>(EV_Data4[[#This Row],[customer_rating]]*EV_Data4[[#This Row],[safety_rating]]*1000)/EV_Data4[[#This Row],[price_usd]]</f>
        <v>0.13839153524257949</v>
      </c>
      <c r="AB305">
        <f>EV_Data4[[#This Row],[horsepower]]+EV_Data4[[#This Row],[torque_nm]]/EV_Data4[[#This Row],[acceleration_0_60_mph]]</f>
        <v>1197.2911963882618</v>
      </c>
      <c r="AC305" t="str">
        <f>IF(EV_Data4[[#This Row],[price_usd]]&gt;=80000,"Luxury",IF(EV_Data4[[#This Row],[price_usd]]&gt;=40000,"Mid-Range","Budget"))</f>
        <v>Luxury</v>
      </c>
      <c r="AD305" t="str">
        <f>IF(EV_Data4[[#This Row],[range_miles]]&gt;=350,"Long-Range",IF(EV_Data4[[#This Row],[range_miles]]&gt;=250,"Medium-Range","Short-Range"))</f>
        <v>Medium-Range</v>
      </c>
      <c r="AE305" t="str">
        <f>IF(EV_Data4[[#This Row],[charging_speed_kw]]&gt;=250,"Ultra-Fast",IF(EV_Data4[[#This Row],[charging_speed_kw]]&gt;=150,"Fast-Charging","Standard-Charging"))</f>
        <v>Standard-Charging</v>
      </c>
      <c r="AF305" t="str">
        <f>IF(EV_Data4[[#This Row],[acceleration_0_60_mph]]&lt;=3,"SportsPerformance",IF(EV_Data4[[#This Row],[acceleration_0_60_mph]]&lt;=5,"HighPerformance","Standard"))</f>
        <v>HighPerformance</v>
      </c>
      <c r="AG305" t="str">
        <f>IF(EV_Data4[[#This Row],[customer_rating]]&gt;=4.5,"Excellent",IF(EV_Data4[[#This Row],[customer_rating]]&gt;=3.5,"Good","Average"))</f>
        <v>Good</v>
      </c>
      <c r="AH30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06" spans="1:34" x14ac:dyDescent="0.3">
      <c r="A306" t="s">
        <v>38</v>
      </c>
      <c r="B306" t="s">
        <v>55</v>
      </c>
      <c r="C306">
        <v>2025</v>
      </c>
      <c r="D306" t="s">
        <v>33</v>
      </c>
      <c r="E306" s="3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48</v>
      </c>
      <c r="N306">
        <v>5</v>
      </c>
      <c r="O306" t="s">
        <v>50</v>
      </c>
      <c r="P306">
        <v>27.2</v>
      </c>
      <c r="Q306">
        <v>1500</v>
      </c>
      <c r="R306">
        <v>4</v>
      </c>
      <c r="S306">
        <v>0</v>
      </c>
      <c r="T306" t="s">
        <v>41</v>
      </c>
      <c r="U306" t="s">
        <v>33</v>
      </c>
      <c r="V306" s="3">
        <v>11404</v>
      </c>
      <c r="W306">
        <v>3.35</v>
      </c>
      <c r="X306">
        <v>4</v>
      </c>
      <c r="Y306" s="1">
        <f>EV_Data4[[#This Row],[range_miles]]/EV_Data4[[#This Row],[battery_capacity_kwh]]</f>
        <v>3.012422360248447</v>
      </c>
      <c r="Z306" s="4">
        <f>EV_Data4[[#This Row],[price_usd]]/EV_Data4[[#This Row],[range_miles]]</f>
        <v>416.9897422680412</v>
      </c>
      <c r="AA306" s="2">
        <f>(EV_Data4[[#This Row],[customer_rating]]*EV_Data4[[#This Row],[safety_rating]]*1000)/EV_Data4[[#This Row],[price_usd]]</f>
        <v>0.16564475800475204</v>
      </c>
      <c r="AB306">
        <f>EV_Data4[[#This Row],[horsepower]]+EV_Data4[[#This Row],[torque_nm]]/EV_Data4[[#This Row],[acceleration_0_60_mph]]</f>
        <v>1126.3988522238164</v>
      </c>
      <c r="AC306" t="str">
        <f>IF(EV_Data4[[#This Row],[price_usd]]&gt;=80000,"Luxury",IF(EV_Data4[[#This Row],[price_usd]]&gt;=40000,"Mid-Range","Budget"))</f>
        <v>Luxury</v>
      </c>
      <c r="AD306" t="str">
        <f>IF(EV_Data4[[#This Row],[range_miles]]&gt;=350,"Long-Range",IF(EV_Data4[[#This Row],[range_miles]]&gt;=250,"Medium-Range","Short-Range"))</f>
        <v>Short-Range</v>
      </c>
      <c r="AE306" t="str">
        <f>IF(EV_Data4[[#This Row],[charging_speed_kw]]&gt;=250,"Ultra-Fast",IF(EV_Data4[[#This Row],[charging_speed_kw]]&gt;=150,"Fast-Charging","Standard-Charging"))</f>
        <v>Standard-Charging</v>
      </c>
      <c r="AF306" t="str">
        <f>IF(EV_Data4[[#This Row],[acceleration_0_60_mph]]&lt;=3,"SportsPerformance",IF(EV_Data4[[#This Row],[acceleration_0_60_mph]]&lt;=5,"HighPerformance","Standard"))</f>
        <v>Standard</v>
      </c>
      <c r="AG306" t="str">
        <f>IF(EV_Data4[[#This Row],[customer_rating]]&gt;=4.5,"Excellent",IF(EV_Data4[[#This Row],[customer_rating]]&gt;=3.5,"Good","Average"))</f>
        <v>Average</v>
      </c>
      <c r="AH30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07" spans="1:34" x14ac:dyDescent="0.3">
      <c r="A307" t="s">
        <v>124</v>
      </c>
      <c r="B307" t="s">
        <v>125</v>
      </c>
      <c r="C307">
        <v>2026</v>
      </c>
      <c r="D307" t="s">
        <v>61</v>
      </c>
      <c r="E307" s="3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34</v>
      </c>
      <c r="N307">
        <v>7</v>
      </c>
      <c r="O307" t="s">
        <v>51</v>
      </c>
      <c r="P307">
        <v>23.6</v>
      </c>
      <c r="Q307">
        <v>1531</v>
      </c>
      <c r="R307">
        <v>4</v>
      </c>
      <c r="S307">
        <v>0</v>
      </c>
      <c r="T307" t="s">
        <v>41</v>
      </c>
      <c r="U307" t="s">
        <v>30</v>
      </c>
      <c r="V307" s="3">
        <v>26890</v>
      </c>
      <c r="W307">
        <v>3.19</v>
      </c>
      <c r="X307">
        <v>5</v>
      </c>
      <c r="Y307" s="1">
        <f>EV_Data4[[#This Row],[range_miles]]/EV_Data4[[#This Row],[battery_capacity_kwh]]</f>
        <v>4.0657439446366785</v>
      </c>
      <c r="Z307" s="4">
        <f>EV_Data4[[#This Row],[price_usd]]/EV_Data4[[#This Row],[range_miles]]</f>
        <v>848.36553191489361</v>
      </c>
      <c r="AA307" s="2">
        <f>(EV_Data4[[#This Row],[customer_rating]]*EV_Data4[[#This Row],[safety_rating]]*1000)/EV_Data4[[#This Row],[price_usd]]</f>
        <v>6.4002921261860732E-2</v>
      </c>
      <c r="AB307">
        <f>EV_Data4[[#This Row],[horsepower]]+EV_Data4[[#This Row],[torque_nm]]/EV_Data4[[#This Row],[acceleration_0_60_mph]]</f>
        <v>1067.0770252324037</v>
      </c>
      <c r="AC307" t="str">
        <f>IF(EV_Data4[[#This Row],[price_usd]]&gt;=80000,"Luxury",IF(EV_Data4[[#This Row],[price_usd]]&gt;=40000,"Mid-Range","Budget"))</f>
        <v>Luxury</v>
      </c>
      <c r="AD307" t="str">
        <f>IF(EV_Data4[[#This Row],[range_miles]]&gt;=350,"Long-Range",IF(EV_Data4[[#This Row],[range_miles]]&gt;=250,"Medium-Range","Short-Range"))</f>
        <v>Short-Range</v>
      </c>
      <c r="AE307" t="str">
        <f>IF(EV_Data4[[#This Row],[charging_speed_kw]]&gt;=250,"Ultra-Fast",IF(EV_Data4[[#This Row],[charging_speed_kw]]&gt;=150,"Fast-Charging","Standard-Charging"))</f>
        <v>Fast-Charging</v>
      </c>
      <c r="AF307" t="str">
        <f>IF(EV_Data4[[#This Row],[acceleration_0_60_mph]]&lt;=3,"SportsPerformance",IF(EV_Data4[[#This Row],[acceleration_0_60_mph]]&lt;=5,"HighPerformance","Standard"))</f>
        <v>Standard</v>
      </c>
      <c r="AG307" t="str">
        <f>IF(EV_Data4[[#This Row],[customer_rating]]&gt;=4.5,"Excellent",IF(EV_Data4[[#This Row],[customer_rating]]&gt;=3.5,"Good","Average"))</f>
        <v>Average</v>
      </c>
      <c r="AH30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08" spans="1:34" x14ac:dyDescent="0.3">
      <c r="A308" t="s">
        <v>68</v>
      </c>
      <c r="B308" t="s">
        <v>109</v>
      </c>
      <c r="C308">
        <v>2023</v>
      </c>
      <c r="D308" t="s">
        <v>44</v>
      </c>
      <c r="E308" s="3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34</v>
      </c>
      <c r="N308">
        <v>5</v>
      </c>
      <c r="O308" t="s">
        <v>51</v>
      </c>
      <c r="P308">
        <v>38.200000000000003</v>
      </c>
      <c r="Q308">
        <v>1500</v>
      </c>
      <c r="R308">
        <v>5</v>
      </c>
      <c r="S308">
        <v>1</v>
      </c>
      <c r="T308" t="s">
        <v>45</v>
      </c>
      <c r="U308" t="s">
        <v>33</v>
      </c>
      <c r="V308" s="3">
        <v>146072</v>
      </c>
      <c r="W308">
        <v>4.09</v>
      </c>
      <c r="X308">
        <v>4</v>
      </c>
      <c r="Y308" s="1">
        <f>EV_Data4[[#This Row],[range_miles]]/EV_Data4[[#This Row],[battery_capacity_kwh]]</f>
        <v>3.6447733580018502</v>
      </c>
      <c r="Z308" s="4">
        <f>EV_Data4[[#This Row],[price_usd]]/EV_Data4[[#This Row],[range_miles]]</f>
        <v>167.43654822335026</v>
      </c>
      <c r="AA308" s="2">
        <f>(EV_Data4[[#This Row],[customer_rating]]*EV_Data4[[#This Row],[safety_rating]]*1000)/EV_Data4[[#This Row],[price_usd]]</f>
        <v>0.30998938911626495</v>
      </c>
      <c r="AB308">
        <f>EV_Data4[[#This Row],[horsepower]]+EV_Data4[[#This Row],[torque_nm]]/EV_Data4[[#This Row],[acceleration_0_60_mph]]</f>
        <v>978.69747899159665</v>
      </c>
      <c r="AC308" t="str">
        <f>IF(EV_Data4[[#This Row],[price_usd]]&gt;=80000,"Luxury",IF(EV_Data4[[#This Row],[price_usd]]&gt;=40000,"Mid-Range","Budget"))</f>
        <v>Mid-Range</v>
      </c>
      <c r="AD308" t="str">
        <f>IF(EV_Data4[[#This Row],[range_miles]]&gt;=350,"Long-Range",IF(EV_Data4[[#This Row],[range_miles]]&gt;=250,"Medium-Range","Short-Range"))</f>
        <v>Long-Range</v>
      </c>
      <c r="AE308" t="str">
        <f>IF(EV_Data4[[#This Row],[charging_speed_kw]]&gt;=250,"Ultra-Fast",IF(EV_Data4[[#This Row],[charging_speed_kw]]&gt;=150,"Fast-Charging","Standard-Charging"))</f>
        <v>Standard-Charging</v>
      </c>
      <c r="AF308" t="str">
        <f>IF(EV_Data4[[#This Row],[acceleration_0_60_mph]]&lt;=3,"SportsPerformance",IF(EV_Data4[[#This Row],[acceleration_0_60_mph]]&lt;=5,"HighPerformance","Standard"))</f>
        <v>HighPerformance</v>
      </c>
      <c r="AG308" t="str">
        <f>IF(EV_Data4[[#This Row],[customer_rating]]&gt;=4.5,"Excellent",IF(EV_Data4[[#This Row],[customer_rating]]&gt;=3.5,"Good","Average"))</f>
        <v>Good</v>
      </c>
      <c r="AH30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09" spans="1:34" x14ac:dyDescent="0.3">
      <c r="A309" t="s">
        <v>63</v>
      </c>
      <c r="B309" t="s">
        <v>107</v>
      </c>
      <c r="C309">
        <v>2024</v>
      </c>
      <c r="D309" t="s">
        <v>33</v>
      </c>
      <c r="E309" s="3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27</v>
      </c>
      <c r="N309">
        <v>5</v>
      </c>
      <c r="O309" t="s">
        <v>50</v>
      </c>
      <c r="P309">
        <v>28.6</v>
      </c>
      <c r="Q309">
        <v>1988</v>
      </c>
      <c r="R309">
        <v>4</v>
      </c>
      <c r="S309">
        <v>0</v>
      </c>
      <c r="T309" t="s">
        <v>65</v>
      </c>
      <c r="U309" t="s">
        <v>33</v>
      </c>
      <c r="V309" s="3">
        <v>235660</v>
      </c>
      <c r="W309">
        <v>3.57</v>
      </c>
      <c r="X309">
        <v>5</v>
      </c>
      <c r="Y309" s="1">
        <f>EV_Data4[[#This Row],[range_miles]]/EV_Data4[[#This Row],[battery_capacity_kwh]]</f>
        <v>3.5945273631840795</v>
      </c>
      <c r="Z309" s="4">
        <f>EV_Data4[[#This Row],[price_usd]]/EV_Data4[[#This Row],[range_miles]]</f>
        <v>233.98923875432527</v>
      </c>
      <c r="AA309" s="2">
        <f>(EV_Data4[[#This Row],[customer_rating]]*EV_Data4[[#This Row],[safety_rating]]*1000)/EV_Data4[[#This Row],[price_usd]]</f>
        <v>0.21117109901691572</v>
      </c>
      <c r="AB309">
        <f>EV_Data4[[#This Row],[horsepower]]+EV_Data4[[#This Row],[torque_nm]]/EV_Data4[[#This Row],[acceleration_0_60_mph]]</f>
        <v>824.21717171717171</v>
      </c>
      <c r="AC309" t="str">
        <f>IF(EV_Data4[[#This Row],[price_usd]]&gt;=80000,"Luxury",IF(EV_Data4[[#This Row],[price_usd]]&gt;=40000,"Mid-Range","Budget"))</f>
        <v>Mid-Range</v>
      </c>
      <c r="AD309" t="str">
        <f>IF(EV_Data4[[#This Row],[range_miles]]&gt;=350,"Long-Range",IF(EV_Data4[[#This Row],[range_miles]]&gt;=250,"Medium-Range","Short-Range"))</f>
        <v>Medium-Range</v>
      </c>
      <c r="AE309" t="str">
        <f>IF(EV_Data4[[#This Row],[charging_speed_kw]]&gt;=250,"Ultra-Fast",IF(EV_Data4[[#This Row],[charging_speed_kw]]&gt;=150,"Fast-Charging","Standard-Charging"))</f>
        <v>Standard-Charging</v>
      </c>
      <c r="AF309" t="str">
        <f>IF(EV_Data4[[#This Row],[acceleration_0_60_mph]]&lt;=3,"SportsPerformance",IF(EV_Data4[[#This Row],[acceleration_0_60_mph]]&lt;=5,"HighPerformance","Standard"))</f>
        <v>Standard</v>
      </c>
      <c r="AG309" t="str">
        <f>IF(EV_Data4[[#This Row],[customer_rating]]&gt;=4.5,"Excellent",IF(EV_Data4[[#This Row],[customer_rating]]&gt;=3.5,"Good","Average"))</f>
        <v>Good</v>
      </c>
      <c r="AH30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10" spans="1:34" x14ac:dyDescent="0.3">
      <c r="A310" t="s">
        <v>76</v>
      </c>
      <c r="B310" t="s">
        <v>81</v>
      </c>
      <c r="C310">
        <v>2023</v>
      </c>
      <c r="D310" t="s">
        <v>56</v>
      </c>
      <c r="E310" s="3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27</v>
      </c>
      <c r="N310">
        <v>5</v>
      </c>
      <c r="O310" t="s">
        <v>35</v>
      </c>
      <c r="P310">
        <v>35.200000000000003</v>
      </c>
      <c r="Q310">
        <v>1892</v>
      </c>
      <c r="R310">
        <v>5</v>
      </c>
      <c r="S310">
        <v>0</v>
      </c>
      <c r="T310" t="s">
        <v>41</v>
      </c>
      <c r="U310" t="s">
        <v>37</v>
      </c>
      <c r="V310" s="3">
        <v>47569</v>
      </c>
      <c r="W310">
        <v>3.37</v>
      </c>
      <c r="X310">
        <v>4</v>
      </c>
      <c r="Y310" s="1">
        <f>EV_Data4[[#This Row],[range_miles]]/EV_Data4[[#This Row],[battery_capacity_kwh]]</f>
        <v>3.3785822021116139</v>
      </c>
      <c r="Z310" s="4">
        <f>EV_Data4[[#This Row],[price_usd]]/EV_Data4[[#This Row],[range_miles]]</f>
        <v>188.43004464285715</v>
      </c>
      <c r="AA310" s="2">
        <f>(EV_Data4[[#This Row],[customer_rating]]*EV_Data4[[#This Row],[safety_rating]]*1000)/EV_Data4[[#This Row],[price_usd]]</f>
        <v>0.39921029806201758</v>
      </c>
      <c r="AB310">
        <f>EV_Data4[[#This Row],[horsepower]]+EV_Data4[[#This Row],[torque_nm]]/EV_Data4[[#This Row],[acceleration_0_60_mph]]</f>
        <v>461.43165467625897</v>
      </c>
      <c r="AC310" t="str">
        <f>IF(EV_Data4[[#This Row],[price_usd]]&gt;=80000,"Luxury",IF(EV_Data4[[#This Row],[price_usd]]&gt;=40000,"Mid-Range","Budget"))</f>
        <v>Mid-Range</v>
      </c>
      <c r="AD310" t="str">
        <f>IF(EV_Data4[[#This Row],[range_miles]]&gt;=350,"Long-Range",IF(EV_Data4[[#This Row],[range_miles]]&gt;=250,"Medium-Range","Short-Range"))</f>
        <v>Short-Range</v>
      </c>
      <c r="AE310" t="str">
        <f>IF(EV_Data4[[#This Row],[charging_speed_kw]]&gt;=250,"Ultra-Fast",IF(EV_Data4[[#This Row],[charging_speed_kw]]&gt;=150,"Fast-Charging","Standard-Charging"))</f>
        <v>Standard-Charging</v>
      </c>
      <c r="AF310" t="str">
        <f>IF(EV_Data4[[#This Row],[acceleration_0_60_mph]]&lt;=3,"SportsPerformance",IF(EV_Data4[[#This Row],[acceleration_0_60_mph]]&lt;=5,"HighPerformance","Standard"))</f>
        <v>Standard</v>
      </c>
      <c r="AG310" t="str">
        <f>IF(EV_Data4[[#This Row],[customer_rating]]&gt;=4.5,"Excellent",IF(EV_Data4[[#This Row],[customer_rating]]&gt;=3.5,"Good","Average"))</f>
        <v>Average</v>
      </c>
      <c r="AH31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11" spans="1:34" x14ac:dyDescent="0.3">
      <c r="A311" t="s">
        <v>63</v>
      </c>
      <c r="B311" t="s">
        <v>82</v>
      </c>
      <c r="C311">
        <v>2024</v>
      </c>
      <c r="D311" t="s">
        <v>56</v>
      </c>
      <c r="E311" s="3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48</v>
      </c>
      <c r="N311">
        <v>7</v>
      </c>
      <c r="O311" t="s">
        <v>58</v>
      </c>
      <c r="P311">
        <v>15.8</v>
      </c>
      <c r="Q311">
        <v>1666</v>
      </c>
      <c r="R311">
        <v>5</v>
      </c>
      <c r="S311">
        <v>1</v>
      </c>
      <c r="T311" t="s">
        <v>65</v>
      </c>
      <c r="U311" t="s">
        <v>37</v>
      </c>
      <c r="V311" s="3">
        <v>205113</v>
      </c>
      <c r="W311">
        <v>3.4</v>
      </c>
      <c r="X311">
        <v>4</v>
      </c>
      <c r="Y311" s="1">
        <f>EV_Data4[[#This Row],[range_miles]]/EV_Data4[[#This Row],[battery_capacity_kwh]]</f>
        <v>3.2835820895522385</v>
      </c>
      <c r="Z311" s="4">
        <f>EV_Data4[[#This Row],[price_usd]]/EV_Data4[[#This Row],[range_miles]]</f>
        <v>233.01202479338843</v>
      </c>
      <c r="AA311" s="2">
        <f>(EV_Data4[[#This Row],[customer_rating]]*EV_Data4[[#This Row],[safety_rating]]*1000)/EV_Data4[[#This Row],[price_usd]]</f>
        <v>0.30147771964380937</v>
      </c>
      <c r="AB311">
        <f>EV_Data4[[#This Row],[horsepower]]+EV_Data4[[#This Row],[torque_nm]]/EV_Data4[[#This Row],[acceleration_0_60_mph]]</f>
        <v>721.72392638036808</v>
      </c>
      <c r="AC311" t="str">
        <f>IF(EV_Data4[[#This Row],[price_usd]]&gt;=80000,"Luxury",IF(EV_Data4[[#This Row],[price_usd]]&gt;=40000,"Mid-Range","Budget"))</f>
        <v>Mid-Range</v>
      </c>
      <c r="AD311" t="str">
        <f>IF(EV_Data4[[#This Row],[range_miles]]&gt;=350,"Long-Range",IF(EV_Data4[[#This Row],[range_miles]]&gt;=250,"Medium-Range","Short-Range"))</f>
        <v>Short-Range</v>
      </c>
      <c r="AE311" t="str">
        <f>IF(EV_Data4[[#This Row],[charging_speed_kw]]&gt;=250,"Ultra-Fast",IF(EV_Data4[[#This Row],[charging_speed_kw]]&gt;=150,"Fast-Charging","Standard-Charging"))</f>
        <v>Standard-Charging</v>
      </c>
      <c r="AF311" t="str">
        <f>IF(EV_Data4[[#This Row],[acceleration_0_60_mph]]&lt;=3,"SportsPerformance",IF(EV_Data4[[#This Row],[acceleration_0_60_mph]]&lt;=5,"HighPerformance","Standard"))</f>
        <v>Standard</v>
      </c>
      <c r="AG311" t="str">
        <f>IF(EV_Data4[[#This Row],[customer_rating]]&gt;=4.5,"Excellent",IF(EV_Data4[[#This Row],[customer_rating]]&gt;=3.5,"Good","Average"))</f>
        <v>Average</v>
      </c>
      <c r="AH31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12" spans="1:34" x14ac:dyDescent="0.3">
      <c r="A312" t="s">
        <v>24</v>
      </c>
      <c r="B312" t="s">
        <v>25</v>
      </c>
      <c r="C312">
        <v>2025</v>
      </c>
      <c r="D312" t="s">
        <v>44</v>
      </c>
      <c r="E312" s="3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34</v>
      </c>
      <c r="N312">
        <v>7</v>
      </c>
      <c r="O312" t="s">
        <v>50</v>
      </c>
      <c r="P312">
        <v>26.2</v>
      </c>
      <c r="Q312">
        <v>1571</v>
      </c>
      <c r="R312">
        <v>4</v>
      </c>
      <c r="S312">
        <v>0</v>
      </c>
      <c r="T312" t="s">
        <v>29</v>
      </c>
      <c r="U312" t="s">
        <v>33</v>
      </c>
      <c r="V312" s="3">
        <v>228215</v>
      </c>
      <c r="W312">
        <v>3.37</v>
      </c>
      <c r="X312">
        <v>3</v>
      </c>
      <c r="Y312" s="1">
        <f>EV_Data4[[#This Row],[range_miles]]/EV_Data4[[#This Row],[battery_capacity_kwh]]</f>
        <v>3.2606060606060607</v>
      </c>
      <c r="Z312" s="4">
        <f>EV_Data4[[#This Row],[price_usd]]/EV_Data4[[#This Row],[range_miles]]</f>
        <v>245.5210037174721</v>
      </c>
      <c r="AA312" s="2">
        <f>(EV_Data4[[#This Row],[customer_rating]]*EV_Data4[[#This Row],[safety_rating]]*1000)/EV_Data4[[#This Row],[price_usd]]</f>
        <v>0.20410279937285328</v>
      </c>
      <c r="AB312">
        <f>EV_Data4[[#This Row],[horsepower]]+EV_Data4[[#This Row],[torque_nm]]/EV_Data4[[#This Row],[acceleration_0_60_mph]]</f>
        <v>765.18214936247728</v>
      </c>
      <c r="AC312" t="str">
        <f>IF(EV_Data4[[#This Row],[price_usd]]&gt;=80000,"Luxury",IF(EV_Data4[[#This Row],[price_usd]]&gt;=40000,"Mid-Range","Budget"))</f>
        <v>Mid-Range</v>
      </c>
      <c r="AD312" t="str">
        <f>IF(EV_Data4[[#This Row],[range_miles]]&gt;=350,"Long-Range",IF(EV_Data4[[#This Row],[range_miles]]&gt;=250,"Medium-Range","Short-Range"))</f>
        <v>Medium-Range</v>
      </c>
      <c r="AE312" t="str">
        <f>IF(EV_Data4[[#This Row],[charging_speed_kw]]&gt;=250,"Ultra-Fast",IF(EV_Data4[[#This Row],[charging_speed_kw]]&gt;=150,"Fast-Charging","Standard-Charging"))</f>
        <v>Standard-Charging</v>
      </c>
      <c r="AF312" t="str">
        <f>IF(EV_Data4[[#This Row],[acceleration_0_60_mph]]&lt;=3,"SportsPerformance",IF(EV_Data4[[#This Row],[acceleration_0_60_mph]]&lt;=5,"HighPerformance","Standard"))</f>
        <v>Standard</v>
      </c>
      <c r="AG312" t="str">
        <f>IF(EV_Data4[[#This Row],[customer_rating]]&gt;=4.5,"Excellent",IF(EV_Data4[[#This Row],[customer_rating]]&gt;=3.5,"Good","Average"))</f>
        <v>Average</v>
      </c>
      <c r="AH31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13" spans="1:34" x14ac:dyDescent="0.3">
      <c r="A313" t="s">
        <v>46</v>
      </c>
      <c r="B313" t="s">
        <v>72</v>
      </c>
      <c r="C313">
        <v>2024</v>
      </c>
      <c r="D313" t="s">
        <v>56</v>
      </c>
      <c r="E313" s="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27</v>
      </c>
      <c r="N313">
        <v>5</v>
      </c>
      <c r="O313" t="s">
        <v>28</v>
      </c>
      <c r="P313">
        <v>50.6</v>
      </c>
      <c r="Q313">
        <v>2555</v>
      </c>
      <c r="R313">
        <v>5</v>
      </c>
      <c r="S313">
        <v>2</v>
      </c>
      <c r="T313" t="s">
        <v>41</v>
      </c>
      <c r="U313" t="s">
        <v>37</v>
      </c>
      <c r="V313" s="3">
        <v>220616</v>
      </c>
      <c r="W313">
        <v>3.81</v>
      </c>
      <c r="X313">
        <v>5</v>
      </c>
      <c r="Y313" s="1">
        <f>EV_Data4[[#This Row],[range_miles]]/EV_Data4[[#This Row],[battery_capacity_kwh]]</f>
        <v>3.3557046979865768</v>
      </c>
      <c r="Z313" s="4">
        <f>EV_Data4[[#This Row],[price_usd]]/EV_Data4[[#This Row],[range_miles]]</f>
        <v>249.10039999999998</v>
      </c>
      <c r="AA313" s="2">
        <f>(EV_Data4[[#This Row],[customer_rating]]*EV_Data4[[#This Row],[safety_rating]]*1000)/EV_Data4[[#This Row],[price_usd]]</f>
        <v>0.50983458878428134</v>
      </c>
      <c r="AB313">
        <f>EV_Data4[[#This Row],[horsepower]]+EV_Data4[[#This Row],[torque_nm]]/EV_Data4[[#This Row],[acceleration_0_60_mph]]</f>
        <v>259.231884057971</v>
      </c>
      <c r="AC313" t="str">
        <f>IF(EV_Data4[[#This Row],[price_usd]]&gt;=80000,"Luxury",IF(EV_Data4[[#This Row],[price_usd]]&gt;=40000,"Mid-Range","Budget"))</f>
        <v>Budget</v>
      </c>
      <c r="AD313" t="str">
        <f>IF(EV_Data4[[#This Row],[range_miles]]&gt;=350,"Long-Range",IF(EV_Data4[[#This Row],[range_miles]]&gt;=250,"Medium-Range","Short-Range"))</f>
        <v>Short-Range</v>
      </c>
      <c r="AE313" t="str">
        <f>IF(EV_Data4[[#This Row],[charging_speed_kw]]&gt;=250,"Ultra-Fast",IF(EV_Data4[[#This Row],[charging_speed_kw]]&gt;=150,"Fast-Charging","Standard-Charging"))</f>
        <v>Fast-Charging</v>
      </c>
      <c r="AF313" t="str">
        <f>IF(EV_Data4[[#This Row],[acceleration_0_60_mph]]&lt;=3,"SportsPerformance",IF(EV_Data4[[#This Row],[acceleration_0_60_mph]]&lt;=5,"HighPerformance","Standard"))</f>
        <v>Standard</v>
      </c>
      <c r="AG313" t="str">
        <f>IF(EV_Data4[[#This Row],[customer_rating]]&gt;=4.5,"Excellent",IF(EV_Data4[[#This Row],[customer_rating]]&gt;=3.5,"Good","Average"))</f>
        <v>Good</v>
      </c>
      <c r="AH31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14" spans="1:34" x14ac:dyDescent="0.3">
      <c r="A314" t="s">
        <v>46</v>
      </c>
      <c r="B314" t="s">
        <v>72</v>
      </c>
      <c r="C314">
        <v>2023</v>
      </c>
      <c r="D314" t="s">
        <v>56</v>
      </c>
      <c r="E314" s="3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34</v>
      </c>
      <c r="N314">
        <v>5</v>
      </c>
      <c r="O314" t="s">
        <v>28</v>
      </c>
      <c r="P314">
        <v>75.7</v>
      </c>
      <c r="Q314">
        <v>2714</v>
      </c>
      <c r="R314">
        <v>5</v>
      </c>
      <c r="S314">
        <v>2</v>
      </c>
      <c r="T314" t="s">
        <v>41</v>
      </c>
      <c r="U314" t="s">
        <v>37</v>
      </c>
      <c r="V314" s="3">
        <v>174372</v>
      </c>
      <c r="W314">
        <v>3.4</v>
      </c>
      <c r="X314">
        <v>5</v>
      </c>
      <c r="Y314" s="1">
        <f>EV_Data4[[#This Row],[range_miles]]/EV_Data4[[#This Row],[battery_capacity_kwh]]</f>
        <v>3.6116504854368934</v>
      </c>
      <c r="Z314" s="4">
        <f>EV_Data4[[#This Row],[price_usd]]/EV_Data4[[#This Row],[range_miles]]</f>
        <v>207.64672043010754</v>
      </c>
      <c r="AA314" s="2">
        <f>(EV_Data4[[#This Row],[customer_rating]]*EV_Data4[[#This Row],[safety_rating]]*1000)/EV_Data4[[#This Row],[price_usd]]</f>
        <v>0.44016033228480239</v>
      </c>
      <c r="AB314">
        <f>EV_Data4[[#This Row],[horsepower]]+EV_Data4[[#This Row],[torque_nm]]/EV_Data4[[#This Row],[acceleration_0_60_mph]]</f>
        <v>304.82653061224488</v>
      </c>
      <c r="AC314" t="str">
        <f>IF(EV_Data4[[#This Row],[price_usd]]&gt;=80000,"Luxury",IF(EV_Data4[[#This Row],[price_usd]]&gt;=40000,"Mid-Range","Budget"))</f>
        <v>Budget</v>
      </c>
      <c r="AD314" t="str">
        <f>IF(EV_Data4[[#This Row],[range_miles]]&gt;=350,"Long-Range",IF(EV_Data4[[#This Row],[range_miles]]&gt;=250,"Medium-Range","Short-Range"))</f>
        <v>Short-Range</v>
      </c>
      <c r="AE314" t="str">
        <f>IF(EV_Data4[[#This Row],[charging_speed_kw]]&gt;=250,"Ultra-Fast",IF(EV_Data4[[#This Row],[charging_speed_kw]]&gt;=150,"Fast-Charging","Standard-Charging"))</f>
        <v>Ultra-Fast</v>
      </c>
      <c r="AF314" t="str">
        <f>IF(EV_Data4[[#This Row],[acceleration_0_60_mph]]&lt;=3,"SportsPerformance",IF(EV_Data4[[#This Row],[acceleration_0_60_mph]]&lt;=5,"HighPerformance","Standard"))</f>
        <v>Standard</v>
      </c>
      <c r="AG314" t="str">
        <f>IF(EV_Data4[[#This Row],[customer_rating]]&gt;=4.5,"Excellent",IF(EV_Data4[[#This Row],[customer_rating]]&gt;=3.5,"Good","Average"))</f>
        <v>Average</v>
      </c>
      <c r="AH31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15" spans="1:34" x14ac:dyDescent="0.3">
      <c r="A315" t="s">
        <v>31</v>
      </c>
      <c r="B315" t="s">
        <v>112</v>
      </c>
      <c r="C315">
        <v>2022</v>
      </c>
      <c r="D315" t="s">
        <v>61</v>
      </c>
      <c r="E315" s="3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27</v>
      </c>
      <c r="N315">
        <v>5</v>
      </c>
      <c r="O315" t="s">
        <v>28</v>
      </c>
      <c r="P315">
        <v>64.8</v>
      </c>
      <c r="Q315">
        <v>2317</v>
      </c>
      <c r="R315">
        <v>5</v>
      </c>
      <c r="S315">
        <v>1</v>
      </c>
      <c r="T315" t="s">
        <v>36</v>
      </c>
      <c r="U315" t="s">
        <v>33</v>
      </c>
      <c r="V315" s="3">
        <v>8818</v>
      </c>
      <c r="W315">
        <v>3.15</v>
      </c>
      <c r="X315">
        <v>3</v>
      </c>
      <c r="Y315" s="1">
        <f>EV_Data4[[#This Row],[range_miles]]/EV_Data4[[#This Row],[battery_capacity_kwh]]</f>
        <v>3.6619718309859155</v>
      </c>
      <c r="Z315" s="4">
        <f>EV_Data4[[#This Row],[price_usd]]/EV_Data4[[#This Row],[range_miles]]</f>
        <v>448.60570512820516</v>
      </c>
      <c r="AA315" s="2">
        <f>(EV_Data4[[#This Row],[customer_rating]]*EV_Data4[[#This Row],[safety_rating]]*1000)/EV_Data4[[#This Row],[price_usd]]</f>
        <v>0.22505629622495568</v>
      </c>
      <c r="AB315">
        <f>EV_Data4[[#This Row],[horsepower]]+EV_Data4[[#This Row],[torque_nm]]/EV_Data4[[#This Row],[acceleration_0_60_mph]]</f>
        <v>967.71336553945252</v>
      </c>
      <c r="AC315" t="str">
        <f>IF(EV_Data4[[#This Row],[price_usd]]&gt;=80000,"Luxury",IF(EV_Data4[[#This Row],[price_usd]]&gt;=40000,"Mid-Range","Budget"))</f>
        <v>Mid-Range</v>
      </c>
      <c r="AD315" t="str">
        <f>IF(EV_Data4[[#This Row],[range_miles]]&gt;=350,"Long-Range",IF(EV_Data4[[#This Row],[range_miles]]&gt;=250,"Medium-Range","Short-Range"))</f>
        <v>Short-Range</v>
      </c>
      <c r="AE315" t="str">
        <f>IF(EV_Data4[[#This Row],[charging_speed_kw]]&gt;=250,"Ultra-Fast",IF(EV_Data4[[#This Row],[charging_speed_kw]]&gt;=150,"Fast-Charging","Standard-Charging"))</f>
        <v>Standard-Charging</v>
      </c>
      <c r="AF315" t="str">
        <f>IF(EV_Data4[[#This Row],[acceleration_0_60_mph]]&lt;=3,"SportsPerformance",IF(EV_Data4[[#This Row],[acceleration_0_60_mph]]&lt;=5,"HighPerformance","Standard"))</f>
        <v>Standard</v>
      </c>
      <c r="AG315" t="str">
        <f>IF(EV_Data4[[#This Row],[customer_rating]]&gt;=4.5,"Excellent",IF(EV_Data4[[#This Row],[customer_rating]]&gt;=3.5,"Good","Average"))</f>
        <v>Average</v>
      </c>
      <c r="AH31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16" spans="1:34" x14ac:dyDescent="0.3">
      <c r="A316" t="s">
        <v>52</v>
      </c>
      <c r="B316" t="s">
        <v>126</v>
      </c>
      <c r="C316">
        <v>2021</v>
      </c>
      <c r="D316" t="s">
        <v>26</v>
      </c>
      <c r="E316" s="3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27</v>
      </c>
      <c r="N316">
        <v>7</v>
      </c>
      <c r="O316" t="s">
        <v>40</v>
      </c>
      <c r="P316">
        <v>62.5</v>
      </c>
      <c r="Q316">
        <v>1751</v>
      </c>
      <c r="R316">
        <v>4</v>
      </c>
      <c r="S316">
        <v>1</v>
      </c>
      <c r="T316" t="s">
        <v>29</v>
      </c>
      <c r="U316" t="s">
        <v>30</v>
      </c>
      <c r="V316" s="3">
        <v>35726</v>
      </c>
      <c r="W316">
        <v>3.78</v>
      </c>
      <c r="X316">
        <v>6</v>
      </c>
      <c r="Y316" s="1">
        <f>EV_Data4[[#This Row],[range_miles]]/EV_Data4[[#This Row],[battery_capacity_kwh]]</f>
        <v>3.2801595214356931</v>
      </c>
      <c r="Z316" s="4">
        <f>EV_Data4[[#This Row],[price_usd]]/EV_Data4[[#This Row],[range_miles]]</f>
        <v>502.22917933130697</v>
      </c>
      <c r="AA316" s="2">
        <f>(EV_Data4[[#This Row],[customer_rating]]*EV_Data4[[#This Row],[safety_rating]]*1000)/EV_Data4[[#This Row],[price_usd]]</f>
        <v>9.1506922934467244E-2</v>
      </c>
      <c r="AB316">
        <f>EV_Data4[[#This Row],[horsepower]]+EV_Data4[[#This Row],[torque_nm]]/EV_Data4[[#This Row],[acceleration_0_60_mph]]</f>
        <v>1209.4527363184079</v>
      </c>
      <c r="AC316" t="str">
        <f>IF(EV_Data4[[#This Row],[price_usd]]&gt;=80000,"Luxury",IF(EV_Data4[[#This Row],[price_usd]]&gt;=40000,"Mid-Range","Budget"))</f>
        <v>Luxury</v>
      </c>
      <c r="AD316" t="str">
        <f>IF(EV_Data4[[#This Row],[range_miles]]&gt;=350,"Long-Range",IF(EV_Data4[[#This Row],[range_miles]]&gt;=250,"Medium-Range","Short-Range"))</f>
        <v>Medium-Range</v>
      </c>
      <c r="AE316" t="str">
        <f>IF(EV_Data4[[#This Row],[charging_speed_kw]]&gt;=250,"Ultra-Fast",IF(EV_Data4[[#This Row],[charging_speed_kw]]&gt;=150,"Fast-Charging","Standard-Charging"))</f>
        <v>Fast-Charging</v>
      </c>
      <c r="AF316" t="str">
        <f>IF(EV_Data4[[#This Row],[acceleration_0_60_mph]]&lt;=3,"SportsPerformance",IF(EV_Data4[[#This Row],[acceleration_0_60_mph]]&lt;=5,"HighPerformance","Standard"))</f>
        <v>HighPerformance</v>
      </c>
      <c r="AG316" t="str">
        <f>IF(EV_Data4[[#This Row],[customer_rating]]&gt;=4.5,"Excellent",IF(EV_Data4[[#This Row],[customer_rating]]&gt;=3.5,"Good","Average"))</f>
        <v>Good</v>
      </c>
      <c r="AH31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17" spans="1:34" x14ac:dyDescent="0.3">
      <c r="A317" t="s">
        <v>38</v>
      </c>
      <c r="B317" t="s">
        <v>55</v>
      </c>
      <c r="C317">
        <v>2025</v>
      </c>
      <c r="D317" t="s">
        <v>61</v>
      </c>
      <c r="E317" s="3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27</v>
      </c>
      <c r="N317">
        <v>7</v>
      </c>
      <c r="O317" t="s">
        <v>50</v>
      </c>
      <c r="P317">
        <v>33.299999999999997</v>
      </c>
      <c r="Q317">
        <v>1629</v>
      </c>
      <c r="R317">
        <v>4</v>
      </c>
      <c r="S317">
        <v>0</v>
      </c>
      <c r="T317" t="s">
        <v>41</v>
      </c>
      <c r="U317" t="s">
        <v>33</v>
      </c>
      <c r="V317" s="3">
        <v>27643</v>
      </c>
      <c r="W317">
        <v>3.38</v>
      </c>
      <c r="X317">
        <v>4</v>
      </c>
      <c r="Y317" s="1">
        <f>EV_Data4[[#This Row],[range_miles]]/EV_Data4[[#This Row],[battery_capacity_kwh]]</f>
        <v>4.4630071599045351</v>
      </c>
      <c r="Z317" s="4">
        <f>EV_Data4[[#This Row],[price_usd]]/EV_Data4[[#This Row],[range_miles]]</f>
        <v>377.61550802139038</v>
      </c>
      <c r="AA317" s="2">
        <f>(EV_Data4[[#This Row],[customer_rating]]*EV_Data4[[#This Row],[safety_rating]]*1000)/EV_Data4[[#This Row],[price_usd]]</f>
        <v>0.19146317803384874</v>
      </c>
      <c r="AB317">
        <f>EV_Data4[[#This Row],[horsepower]]+EV_Data4[[#This Row],[torque_nm]]/EV_Data4[[#This Row],[acceleration_0_60_mph]]</f>
        <v>1170.1456310679612</v>
      </c>
      <c r="AC317" t="str">
        <f>IF(EV_Data4[[#This Row],[price_usd]]&gt;=80000,"Luxury",IF(EV_Data4[[#This Row],[price_usd]]&gt;=40000,"Mid-Range","Budget"))</f>
        <v>Mid-Range</v>
      </c>
      <c r="AD317" t="str">
        <f>IF(EV_Data4[[#This Row],[range_miles]]&gt;=350,"Long-Range",IF(EV_Data4[[#This Row],[range_miles]]&gt;=250,"Medium-Range","Short-Range"))</f>
        <v>Short-Range</v>
      </c>
      <c r="AE317" t="str">
        <f>IF(EV_Data4[[#This Row],[charging_speed_kw]]&gt;=250,"Ultra-Fast",IF(EV_Data4[[#This Row],[charging_speed_kw]]&gt;=150,"Fast-Charging","Standard-Charging"))</f>
        <v>Standard-Charging</v>
      </c>
      <c r="AF317" t="str">
        <f>IF(EV_Data4[[#This Row],[acceleration_0_60_mph]]&lt;=3,"SportsPerformance",IF(EV_Data4[[#This Row],[acceleration_0_60_mph]]&lt;=5,"HighPerformance","Standard"))</f>
        <v>Standard</v>
      </c>
      <c r="AG317" t="str">
        <f>IF(EV_Data4[[#This Row],[customer_rating]]&gt;=4.5,"Excellent",IF(EV_Data4[[#This Row],[customer_rating]]&gt;=3.5,"Good","Average"))</f>
        <v>Average</v>
      </c>
      <c r="AH31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18" spans="1:34" x14ac:dyDescent="0.3">
      <c r="A318" t="s">
        <v>24</v>
      </c>
      <c r="B318" t="s">
        <v>70</v>
      </c>
      <c r="C318">
        <v>2025</v>
      </c>
      <c r="D318" t="s">
        <v>26</v>
      </c>
      <c r="E318" s="3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48</v>
      </c>
      <c r="N318">
        <v>7</v>
      </c>
      <c r="O318" t="s">
        <v>28</v>
      </c>
      <c r="P318">
        <v>70.900000000000006</v>
      </c>
      <c r="Q318">
        <v>2812</v>
      </c>
      <c r="R318">
        <v>5</v>
      </c>
      <c r="S318">
        <v>0</v>
      </c>
      <c r="T318" t="s">
        <v>29</v>
      </c>
      <c r="U318" t="s">
        <v>33</v>
      </c>
      <c r="V318" s="3">
        <v>291709</v>
      </c>
      <c r="W318">
        <v>3.7</v>
      </c>
      <c r="X318">
        <v>3</v>
      </c>
      <c r="Y318" s="1">
        <f>EV_Data4[[#This Row],[range_miles]]/EV_Data4[[#This Row],[battery_capacity_kwh]]</f>
        <v>3.7343358395989976</v>
      </c>
      <c r="Z318" s="4">
        <f>EV_Data4[[#This Row],[price_usd]]/EV_Data4[[#This Row],[range_miles]]</f>
        <v>180.20022371364652</v>
      </c>
      <c r="AA318" s="2">
        <f>(EV_Data4[[#This Row],[customer_rating]]*EV_Data4[[#This Row],[safety_rating]]*1000)/EV_Data4[[#This Row],[price_usd]]</f>
        <v>0.22967243744529761</v>
      </c>
      <c r="AB318">
        <f>EV_Data4[[#This Row],[horsepower]]+EV_Data4[[#This Row],[torque_nm]]/EV_Data4[[#This Row],[acceleration_0_60_mph]]</f>
        <v>1138.3108504398826</v>
      </c>
      <c r="AC318" t="str">
        <f>IF(EV_Data4[[#This Row],[price_usd]]&gt;=80000,"Luxury",IF(EV_Data4[[#This Row],[price_usd]]&gt;=40000,"Mid-Range","Budget"))</f>
        <v>Luxury</v>
      </c>
      <c r="AD318" t="str">
        <f>IF(EV_Data4[[#This Row],[range_miles]]&gt;=350,"Long-Range",IF(EV_Data4[[#This Row],[range_miles]]&gt;=250,"Medium-Range","Short-Range"))</f>
        <v>Long-Range</v>
      </c>
      <c r="AE318" t="str">
        <f>IF(EV_Data4[[#This Row],[charging_speed_kw]]&gt;=250,"Ultra-Fast",IF(EV_Data4[[#This Row],[charging_speed_kw]]&gt;=150,"Fast-Charging","Standard-Charging"))</f>
        <v>Fast-Charging</v>
      </c>
      <c r="AF318" t="str">
        <f>IF(EV_Data4[[#This Row],[acceleration_0_60_mph]]&lt;=3,"SportsPerformance",IF(EV_Data4[[#This Row],[acceleration_0_60_mph]]&lt;=5,"HighPerformance","Standard"))</f>
        <v>HighPerformance</v>
      </c>
      <c r="AG318" t="str">
        <f>IF(EV_Data4[[#This Row],[customer_rating]]&gt;=4.5,"Excellent",IF(EV_Data4[[#This Row],[customer_rating]]&gt;=3.5,"Good","Average"))</f>
        <v>Good</v>
      </c>
      <c r="AH31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19" spans="1:34" x14ac:dyDescent="0.3">
      <c r="A319" t="s">
        <v>46</v>
      </c>
      <c r="B319" t="s">
        <v>49</v>
      </c>
      <c r="C319">
        <v>2020</v>
      </c>
      <c r="D319" t="s">
        <v>44</v>
      </c>
      <c r="E319" s="3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34</v>
      </c>
      <c r="N319">
        <v>5</v>
      </c>
      <c r="O319" t="s">
        <v>40</v>
      </c>
      <c r="P319">
        <v>74</v>
      </c>
      <c r="Q319">
        <v>1505</v>
      </c>
      <c r="R319">
        <v>4</v>
      </c>
      <c r="S319">
        <v>3</v>
      </c>
      <c r="T319" t="s">
        <v>41</v>
      </c>
      <c r="U319" t="s">
        <v>33</v>
      </c>
      <c r="V319" s="3">
        <v>498047</v>
      </c>
      <c r="W319">
        <v>3.82</v>
      </c>
      <c r="X319">
        <v>5</v>
      </c>
      <c r="Y319" s="1">
        <f>EV_Data4[[#This Row],[range_miles]]/EV_Data4[[#This Row],[battery_capacity_kwh]]</f>
        <v>3.5696517412935322</v>
      </c>
      <c r="Z319" s="4">
        <f>EV_Data4[[#This Row],[price_usd]]/EV_Data4[[#This Row],[range_miles]]</f>
        <v>335.85630662020907</v>
      </c>
      <c r="AA319" s="2">
        <f>(EV_Data4[[#This Row],[customer_rating]]*EV_Data4[[#This Row],[safety_rating]]*1000)/EV_Data4[[#This Row],[price_usd]]</f>
        <v>0.1585214184430126</v>
      </c>
      <c r="AB319">
        <f>EV_Data4[[#This Row],[horsepower]]+EV_Data4[[#This Row],[torque_nm]]/EV_Data4[[#This Row],[acceleration_0_60_mph]]</f>
        <v>808.05442176870747</v>
      </c>
      <c r="AC319" t="str">
        <f>IF(EV_Data4[[#This Row],[price_usd]]&gt;=80000,"Luxury",IF(EV_Data4[[#This Row],[price_usd]]&gt;=40000,"Mid-Range","Budget"))</f>
        <v>Luxury</v>
      </c>
      <c r="AD319" t="str">
        <f>IF(EV_Data4[[#This Row],[range_miles]]&gt;=350,"Long-Range",IF(EV_Data4[[#This Row],[range_miles]]&gt;=250,"Medium-Range","Short-Range"))</f>
        <v>Medium-Range</v>
      </c>
      <c r="AE319" t="str">
        <f>IF(EV_Data4[[#This Row],[charging_speed_kw]]&gt;=250,"Ultra-Fast",IF(EV_Data4[[#This Row],[charging_speed_kw]]&gt;=150,"Fast-Charging","Standard-Charging"))</f>
        <v>Ultra-Fast</v>
      </c>
      <c r="AF319" t="str">
        <f>IF(EV_Data4[[#This Row],[acceleration_0_60_mph]]&lt;=3,"SportsPerformance",IF(EV_Data4[[#This Row],[acceleration_0_60_mph]]&lt;=5,"HighPerformance","Standard"))</f>
        <v>Standard</v>
      </c>
      <c r="AG319" t="str">
        <f>IF(EV_Data4[[#This Row],[customer_rating]]&gt;=4.5,"Excellent",IF(EV_Data4[[#This Row],[customer_rating]]&gt;=3.5,"Good","Average"))</f>
        <v>Good</v>
      </c>
      <c r="AH319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320" spans="1:34" x14ac:dyDescent="0.3">
      <c r="A320" t="s">
        <v>46</v>
      </c>
      <c r="B320" t="s">
        <v>78</v>
      </c>
      <c r="C320">
        <v>2023</v>
      </c>
      <c r="D320" t="s">
        <v>56</v>
      </c>
      <c r="E320" s="3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34</v>
      </c>
      <c r="N320">
        <v>7</v>
      </c>
      <c r="O320" t="s">
        <v>51</v>
      </c>
      <c r="P320">
        <v>30.7</v>
      </c>
      <c r="Q320">
        <v>1644</v>
      </c>
      <c r="R320">
        <v>5</v>
      </c>
      <c r="S320">
        <v>3</v>
      </c>
      <c r="T320" t="s">
        <v>41</v>
      </c>
      <c r="U320" t="s">
        <v>66</v>
      </c>
      <c r="V320" s="3">
        <v>230869</v>
      </c>
      <c r="W320">
        <v>3.79</v>
      </c>
      <c r="X320">
        <v>4</v>
      </c>
      <c r="Y320" s="1">
        <f>EV_Data4[[#This Row],[range_miles]]/EV_Data4[[#This Row],[battery_capacity_kwh]]</f>
        <v>3.1310679611650483</v>
      </c>
      <c r="Z320" s="4">
        <f>EV_Data4[[#This Row],[price_usd]]/EV_Data4[[#This Row],[range_miles]]</f>
        <v>106.33062015503876</v>
      </c>
      <c r="AA320" s="2">
        <f>(EV_Data4[[#This Row],[customer_rating]]*EV_Data4[[#This Row],[safety_rating]]*1000)/EV_Data4[[#This Row],[price_usd]]</f>
        <v>0.69076633142932131</v>
      </c>
      <c r="AB320">
        <f>EV_Data4[[#This Row],[horsepower]]+EV_Data4[[#This Row],[torque_nm]]/EV_Data4[[#This Row],[acceleration_0_60_mph]]</f>
        <v>201.22259136212625</v>
      </c>
      <c r="AC320" t="str">
        <f>IF(EV_Data4[[#This Row],[price_usd]]&gt;=80000,"Luxury",IF(EV_Data4[[#This Row],[price_usd]]&gt;=40000,"Mid-Range","Budget"))</f>
        <v>Budget</v>
      </c>
      <c r="AD320" t="str">
        <f>IF(EV_Data4[[#This Row],[range_miles]]&gt;=350,"Long-Range",IF(EV_Data4[[#This Row],[range_miles]]&gt;=250,"Medium-Range","Short-Range"))</f>
        <v>Medium-Range</v>
      </c>
      <c r="AE320" t="str">
        <f>IF(EV_Data4[[#This Row],[charging_speed_kw]]&gt;=250,"Ultra-Fast",IF(EV_Data4[[#This Row],[charging_speed_kw]]&gt;=150,"Fast-Charging","Standard-Charging"))</f>
        <v>Fast-Charging</v>
      </c>
      <c r="AF320" t="str">
        <f>IF(EV_Data4[[#This Row],[acceleration_0_60_mph]]&lt;=3,"SportsPerformance",IF(EV_Data4[[#This Row],[acceleration_0_60_mph]]&lt;=5,"HighPerformance","Standard"))</f>
        <v>Standard</v>
      </c>
      <c r="AG320" t="str">
        <f>IF(EV_Data4[[#This Row],[customer_rating]]&gt;=4.5,"Excellent",IF(EV_Data4[[#This Row],[customer_rating]]&gt;=3.5,"Good","Average"))</f>
        <v>Good</v>
      </c>
      <c r="AH320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321" spans="1:34" x14ac:dyDescent="0.3">
      <c r="A321" t="s">
        <v>63</v>
      </c>
      <c r="B321" t="s">
        <v>82</v>
      </c>
      <c r="C321">
        <v>2024</v>
      </c>
      <c r="D321" t="s">
        <v>56</v>
      </c>
      <c r="E321" s="3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48</v>
      </c>
      <c r="N321">
        <v>5</v>
      </c>
      <c r="O321" t="s">
        <v>40</v>
      </c>
      <c r="P321">
        <v>63.3</v>
      </c>
      <c r="Q321">
        <v>1500</v>
      </c>
      <c r="R321">
        <v>4</v>
      </c>
      <c r="S321">
        <v>1</v>
      </c>
      <c r="T321" t="s">
        <v>65</v>
      </c>
      <c r="U321" t="s">
        <v>33</v>
      </c>
      <c r="V321" s="3">
        <v>191416</v>
      </c>
      <c r="W321">
        <v>3.33</v>
      </c>
      <c r="X321">
        <v>4</v>
      </c>
      <c r="Y321" s="1">
        <f>EV_Data4[[#This Row],[range_miles]]/EV_Data4[[#This Row],[battery_capacity_kwh]]</f>
        <v>3.3779761904761902</v>
      </c>
      <c r="Z321" s="4">
        <f>EV_Data4[[#This Row],[price_usd]]/EV_Data4[[#This Row],[range_miles]]</f>
        <v>336.88356828193838</v>
      </c>
      <c r="AA321" s="2">
        <f>(EV_Data4[[#This Row],[customer_rating]]*EV_Data4[[#This Row],[safety_rating]]*1000)/EV_Data4[[#This Row],[price_usd]]</f>
        <v>0.17418010144029419</v>
      </c>
      <c r="AB321">
        <f>EV_Data4[[#This Row],[horsepower]]+EV_Data4[[#This Row],[torque_nm]]/EV_Data4[[#This Row],[acceleration_0_60_mph]]</f>
        <v>959.37234042553189</v>
      </c>
      <c r="AC321" t="str">
        <f>IF(EV_Data4[[#This Row],[price_usd]]&gt;=80000,"Luxury",IF(EV_Data4[[#This Row],[price_usd]]&gt;=40000,"Mid-Range","Budget"))</f>
        <v>Mid-Range</v>
      </c>
      <c r="AD321" t="str">
        <f>IF(EV_Data4[[#This Row],[range_miles]]&gt;=350,"Long-Range",IF(EV_Data4[[#This Row],[range_miles]]&gt;=250,"Medium-Range","Short-Range"))</f>
        <v>Short-Range</v>
      </c>
      <c r="AE321" t="str">
        <f>IF(EV_Data4[[#This Row],[charging_speed_kw]]&gt;=250,"Ultra-Fast",IF(EV_Data4[[#This Row],[charging_speed_kw]]&gt;=150,"Fast-Charging","Standard-Charging"))</f>
        <v>Standard-Charging</v>
      </c>
      <c r="AF321" t="str">
        <f>IF(EV_Data4[[#This Row],[acceleration_0_60_mph]]&lt;=3,"SportsPerformance",IF(EV_Data4[[#This Row],[acceleration_0_60_mph]]&lt;=5,"HighPerformance","Standard"))</f>
        <v>Standard</v>
      </c>
      <c r="AG321" t="str">
        <f>IF(EV_Data4[[#This Row],[customer_rating]]&gt;=4.5,"Excellent",IF(EV_Data4[[#This Row],[customer_rating]]&gt;=3.5,"Good","Average"))</f>
        <v>Average</v>
      </c>
      <c r="AH32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22" spans="1:34" x14ac:dyDescent="0.3">
      <c r="A322" t="s">
        <v>42</v>
      </c>
      <c r="B322" t="s">
        <v>71</v>
      </c>
      <c r="C322">
        <v>2025</v>
      </c>
      <c r="D322" t="s">
        <v>56</v>
      </c>
      <c r="E322" s="3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48</v>
      </c>
      <c r="N322">
        <v>5</v>
      </c>
      <c r="O322" t="s">
        <v>50</v>
      </c>
      <c r="P322">
        <v>22</v>
      </c>
      <c r="Q322">
        <v>1500</v>
      </c>
      <c r="R322">
        <v>5</v>
      </c>
      <c r="S322">
        <v>1</v>
      </c>
      <c r="T322" t="s">
        <v>45</v>
      </c>
      <c r="U322" t="s">
        <v>37</v>
      </c>
      <c r="V322" s="3">
        <v>137512</v>
      </c>
      <c r="W322">
        <v>3.35</v>
      </c>
      <c r="X322">
        <v>3</v>
      </c>
      <c r="Y322" s="1">
        <f>EV_Data4[[#This Row],[range_miles]]/EV_Data4[[#This Row],[battery_capacity_kwh]]</f>
        <v>3.75</v>
      </c>
      <c r="Z322" s="4">
        <f>EV_Data4[[#This Row],[price_usd]]/EV_Data4[[#This Row],[range_miles]]</f>
        <v>181.64921052631578</v>
      </c>
      <c r="AA322" s="2">
        <f>(EV_Data4[[#This Row],[customer_rating]]*EV_Data4[[#This Row],[safety_rating]]*1000)/EV_Data4[[#This Row],[price_usd]]</f>
        <v>0.40443287404245992</v>
      </c>
      <c r="AB322">
        <f>EV_Data4[[#This Row],[horsepower]]+EV_Data4[[#This Row],[torque_nm]]/EV_Data4[[#This Row],[acceleration_0_60_mph]]</f>
        <v>425.20642978003383</v>
      </c>
      <c r="AC322" t="str">
        <f>IF(EV_Data4[[#This Row],[price_usd]]&gt;=80000,"Luxury",IF(EV_Data4[[#This Row],[price_usd]]&gt;=40000,"Mid-Range","Budget"))</f>
        <v>Mid-Range</v>
      </c>
      <c r="AD322" t="str">
        <f>IF(EV_Data4[[#This Row],[range_miles]]&gt;=350,"Long-Range",IF(EV_Data4[[#This Row],[range_miles]]&gt;=250,"Medium-Range","Short-Range"))</f>
        <v>Short-Range</v>
      </c>
      <c r="AE322" t="str">
        <f>IF(EV_Data4[[#This Row],[charging_speed_kw]]&gt;=250,"Ultra-Fast",IF(EV_Data4[[#This Row],[charging_speed_kw]]&gt;=150,"Fast-Charging","Standard-Charging"))</f>
        <v>Standard-Charging</v>
      </c>
      <c r="AF322" t="str">
        <f>IF(EV_Data4[[#This Row],[acceleration_0_60_mph]]&lt;=3,"SportsPerformance",IF(EV_Data4[[#This Row],[acceleration_0_60_mph]]&lt;=5,"HighPerformance","Standard"))</f>
        <v>Standard</v>
      </c>
      <c r="AG322" t="str">
        <f>IF(EV_Data4[[#This Row],[customer_rating]]&gt;=4.5,"Excellent",IF(EV_Data4[[#This Row],[customer_rating]]&gt;=3.5,"Good","Average"))</f>
        <v>Average</v>
      </c>
      <c r="AH32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23" spans="1:34" x14ac:dyDescent="0.3">
      <c r="A323" t="s">
        <v>38</v>
      </c>
      <c r="B323" t="s">
        <v>118</v>
      </c>
      <c r="C323">
        <v>2023</v>
      </c>
      <c r="D323" t="s">
        <v>61</v>
      </c>
      <c r="E323" s="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48</v>
      </c>
      <c r="N323">
        <v>5</v>
      </c>
      <c r="O323" t="s">
        <v>28</v>
      </c>
      <c r="P323">
        <v>66.5</v>
      </c>
      <c r="Q323">
        <v>2693</v>
      </c>
      <c r="R323">
        <v>4</v>
      </c>
      <c r="S323">
        <v>0</v>
      </c>
      <c r="T323" t="s">
        <v>41</v>
      </c>
      <c r="U323" t="s">
        <v>37</v>
      </c>
      <c r="V323" s="3">
        <v>5462</v>
      </c>
      <c r="W323">
        <v>3.44</v>
      </c>
      <c r="X323">
        <v>4</v>
      </c>
      <c r="Y323" s="1">
        <f>EV_Data4[[#This Row],[range_miles]]/EV_Data4[[#This Row],[battery_capacity_kwh]]</f>
        <v>2.8901734104046244</v>
      </c>
      <c r="Z323" s="4">
        <f>EV_Data4[[#This Row],[price_usd]]/EV_Data4[[#This Row],[range_miles]]</f>
        <v>427.54826666666668</v>
      </c>
      <c r="AA323" s="2">
        <f>(EV_Data4[[#This Row],[customer_rating]]*EV_Data4[[#This Row],[safety_rating]]*1000)/EV_Data4[[#This Row],[price_usd]]</f>
        <v>0.21455667227590991</v>
      </c>
      <c r="AB323">
        <f>EV_Data4[[#This Row],[horsepower]]+EV_Data4[[#This Row],[torque_nm]]/EV_Data4[[#This Row],[acceleration_0_60_mph]]</f>
        <v>995.18740629685158</v>
      </c>
      <c r="AC323" t="str">
        <f>IF(EV_Data4[[#This Row],[price_usd]]&gt;=80000,"Luxury",IF(EV_Data4[[#This Row],[price_usd]]&gt;=40000,"Mid-Range","Budget"))</f>
        <v>Mid-Range</v>
      </c>
      <c r="AD323" t="str">
        <f>IF(EV_Data4[[#This Row],[range_miles]]&gt;=350,"Long-Range",IF(EV_Data4[[#This Row],[range_miles]]&gt;=250,"Medium-Range","Short-Range"))</f>
        <v>Short-Range</v>
      </c>
      <c r="AE323" t="str">
        <f>IF(EV_Data4[[#This Row],[charging_speed_kw]]&gt;=250,"Ultra-Fast",IF(EV_Data4[[#This Row],[charging_speed_kw]]&gt;=150,"Fast-Charging","Standard-Charging"))</f>
        <v>Standard-Charging</v>
      </c>
      <c r="AF323" t="str">
        <f>IF(EV_Data4[[#This Row],[acceleration_0_60_mph]]&lt;=3,"SportsPerformance",IF(EV_Data4[[#This Row],[acceleration_0_60_mph]]&lt;=5,"HighPerformance","Standard"))</f>
        <v>Standard</v>
      </c>
      <c r="AG323" t="str">
        <f>IF(EV_Data4[[#This Row],[customer_rating]]&gt;=4.5,"Excellent",IF(EV_Data4[[#This Row],[customer_rating]]&gt;=3.5,"Good","Average"))</f>
        <v>Average</v>
      </c>
      <c r="AH32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24" spans="1:34" x14ac:dyDescent="0.3">
      <c r="A324" t="s">
        <v>83</v>
      </c>
      <c r="B324" t="s">
        <v>89</v>
      </c>
      <c r="C324">
        <v>2025</v>
      </c>
      <c r="D324" t="s">
        <v>26</v>
      </c>
      <c r="E324" s="3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48</v>
      </c>
      <c r="N324">
        <v>5</v>
      </c>
      <c r="O324" t="s">
        <v>28</v>
      </c>
      <c r="P324">
        <v>57.6</v>
      </c>
      <c r="Q324">
        <v>2381</v>
      </c>
      <c r="R324">
        <v>4</v>
      </c>
      <c r="S324">
        <v>1</v>
      </c>
      <c r="T324" t="s">
        <v>29</v>
      </c>
      <c r="U324" t="s">
        <v>33</v>
      </c>
      <c r="V324" s="3">
        <v>50895</v>
      </c>
      <c r="W324">
        <v>3.63</v>
      </c>
      <c r="X324">
        <v>5</v>
      </c>
      <c r="Y324" s="1">
        <f>EV_Data4[[#This Row],[range_miles]]/EV_Data4[[#This Row],[battery_capacity_kwh]]</f>
        <v>3.4629629629629628</v>
      </c>
      <c r="Z324" s="4">
        <f>EV_Data4[[#This Row],[price_usd]]/EV_Data4[[#This Row],[range_miles]]</f>
        <v>261.04422459893044</v>
      </c>
      <c r="AA324" s="2">
        <f>(EV_Data4[[#This Row],[customer_rating]]*EV_Data4[[#This Row],[safety_rating]]*1000)/EV_Data4[[#This Row],[price_usd]]</f>
        <v>0.14872395461502108</v>
      </c>
      <c r="AB324">
        <f>EV_Data4[[#This Row],[horsepower]]+EV_Data4[[#This Row],[torque_nm]]/EV_Data4[[#This Row],[acceleration_0_60_mph]]</f>
        <v>1039.2307692307693</v>
      </c>
      <c r="AC324" t="str">
        <f>IF(EV_Data4[[#This Row],[price_usd]]&gt;=80000,"Luxury",IF(EV_Data4[[#This Row],[price_usd]]&gt;=40000,"Mid-Range","Budget"))</f>
        <v>Luxury</v>
      </c>
      <c r="AD324" t="str">
        <f>IF(EV_Data4[[#This Row],[range_miles]]&gt;=350,"Long-Range",IF(EV_Data4[[#This Row],[range_miles]]&gt;=250,"Medium-Range","Short-Range"))</f>
        <v>Long-Range</v>
      </c>
      <c r="AE324" t="str">
        <f>IF(EV_Data4[[#This Row],[charging_speed_kw]]&gt;=250,"Ultra-Fast",IF(EV_Data4[[#This Row],[charging_speed_kw]]&gt;=150,"Fast-Charging","Standard-Charging"))</f>
        <v>Fast-Charging</v>
      </c>
      <c r="AF324" t="str">
        <f>IF(EV_Data4[[#This Row],[acceleration_0_60_mph]]&lt;=3,"SportsPerformance",IF(EV_Data4[[#This Row],[acceleration_0_60_mph]]&lt;=5,"HighPerformance","Standard"))</f>
        <v>HighPerformance</v>
      </c>
      <c r="AG324" t="str">
        <f>IF(EV_Data4[[#This Row],[customer_rating]]&gt;=4.5,"Excellent",IF(EV_Data4[[#This Row],[customer_rating]]&gt;=3.5,"Good","Average"))</f>
        <v>Good</v>
      </c>
      <c r="AH32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25" spans="1:34" x14ac:dyDescent="0.3">
      <c r="A325" t="s">
        <v>63</v>
      </c>
      <c r="B325" t="s">
        <v>64</v>
      </c>
      <c r="C325">
        <v>2024</v>
      </c>
      <c r="D325" t="s">
        <v>26</v>
      </c>
      <c r="E325" s="3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34</v>
      </c>
      <c r="N325">
        <v>5</v>
      </c>
      <c r="O325" t="s">
        <v>58</v>
      </c>
      <c r="P325">
        <v>22.2</v>
      </c>
      <c r="Q325">
        <v>1500</v>
      </c>
      <c r="R325">
        <v>3</v>
      </c>
      <c r="S325">
        <v>0</v>
      </c>
      <c r="T325" t="s">
        <v>65</v>
      </c>
      <c r="U325" t="s">
        <v>30</v>
      </c>
      <c r="V325" s="3">
        <v>111137</v>
      </c>
      <c r="W325">
        <v>3.92</v>
      </c>
      <c r="X325">
        <v>3</v>
      </c>
      <c r="Y325" s="1">
        <f>EV_Data4[[#This Row],[range_miles]]/EV_Data4[[#This Row],[battery_capacity_kwh]]</f>
        <v>3.7251512532411408</v>
      </c>
      <c r="Z325" s="4">
        <f>EV_Data4[[#This Row],[price_usd]]/EV_Data4[[#This Row],[range_miles]]</f>
        <v>272.11577726218098</v>
      </c>
      <c r="AA325" s="2">
        <f>(EV_Data4[[#This Row],[customer_rating]]*EV_Data4[[#This Row],[safety_rating]]*1000)/EV_Data4[[#This Row],[price_usd]]</f>
        <v>0.10027122684745046</v>
      </c>
      <c r="AB325">
        <f>EV_Data4[[#This Row],[horsepower]]+EV_Data4[[#This Row],[torque_nm]]/EV_Data4[[#This Row],[acceleration_0_60_mph]]</f>
        <v>1231.1170212765958</v>
      </c>
      <c r="AC325" t="str">
        <f>IF(EV_Data4[[#This Row],[price_usd]]&gt;=80000,"Luxury",IF(EV_Data4[[#This Row],[price_usd]]&gt;=40000,"Mid-Range","Budget"))</f>
        <v>Luxury</v>
      </c>
      <c r="AD325" t="str">
        <f>IF(EV_Data4[[#This Row],[range_miles]]&gt;=350,"Long-Range",IF(EV_Data4[[#This Row],[range_miles]]&gt;=250,"Medium-Range","Short-Range"))</f>
        <v>Long-Range</v>
      </c>
      <c r="AE325" t="str">
        <f>IF(EV_Data4[[#This Row],[charging_speed_kw]]&gt;=250,"Ultra-Fast",IF(EV_Data4[[#This Row],[charging_speed_kw]]&gt;=150,"Fast-Charging","Standard-Charging"))</f>
        <v>Fast-Charging</v>
      </c>
      <c r="AF325" t="str">
        <f>IF(EV_Data4[[#This Row],[acceleration_0_60_mph]]&lt;=3,"SportsPerformance",IF(EV_Data4[[#This Row],[acceleration_0_60_mph]]&lt;=5,"HighPerformance","Standard"))</f>
        <v>HighPerformance</v>
      </c>
      <c r="AG325" t="str">
        <f>IF(EV_Data4[[#This Row],[customer_rating]]&gt;=4.5,"Excellent",IF(EV_Data4[[#This Row],[customer_rating]]&gt;=3.5,"Good","Average"))</f>
        <v>Good</v>
      </c>
      <c r="AH32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26" spans="1:34" x14ac:dyDescent="0.3">
      <c r="A326" t="s">
        <v>31</v>
      </c>
      <c r="B326" t="s">
        <v>112</v>
      </c>
      <c r="C326">
        <v>2025</v>
      </c>
      <c r="D326" t="s">
        <v>44</v>
      </c>
      <c r="E326" s="3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27</v>
      </c>
      <c r="N326">
        <v>7</v>
      </c>
      <c r="O326" t="s">
        <v>51</v>
      </c>
      <c r="P326">
        <v>16</v>
      </c>
      <c r="Q326">
        <v>1500</v>
      </c>
      <c r="R326">
        <v>5</v>
      </c>
      <c r="S326">
        <v>0</v>
      </c>
      <c r="T326" t="s">
        <v>36</v>
      </c>
      <c r="U326" t="s">
        <v>33</v>
      </c>
      <c r="V326" s="3">
        <v>15856</v>
      </c>
      <c r="W326">
        <v>3.46</v>
      </c>
      <c r="X326">
        <v>4</v>
      </c>
      <c r="Y326" s="1">
        <f>EV_Data4[[#This Row],[range_miles]]/EV_Data4[[#This Row],[battery_capacity_kwh]]</f>
        <v>3.4911242603550297</v>
      </c>
      <c r="Z326" s="4">
        <f>EV_Data4[[#This Row],[price_usd]]/EV_Data4[[#This Row],[range_miles]]</f>
        <v>263.11020338983047</v>
      </c>
      <c r="AA326" s="2">
        <f>(EV_Data4[[#This Row],[customer_rating]]*EV_Data4[[#This Row],[safety_rating]]*1000)/EV_Data4[[#This Row],[price_usd]]</f>
        <v>0.22288785095012711</v>
      </c>
      <c r="AB326">
        <f>EV_Data4[[#This Row],[horsepower]]+EV_Data4[[#This Row],[torque_nm]]/EV_Data4[[#This Row],[acceleration_0_60_mph]]</f>
        <v>1166.6666666666667</v>
      </c>
      <c r="AC326" t="str">
        <f>IF(EV_Data4[[#This Row],[price_usd]]&gt;=80000,"Luxury",IF(EV_Data4[[#This Row],[price_usd]]&gt;=40000,"Mid-Range","Budget"))</f>
        <v>Mid-Range</v>
      </c>
      <c r="AD326" t="str">
        <f>IF(EV_Data4[[#This Row],[range_miles]]&gt;=350,"Long-Range",IF(EV_Data4[[#This Row],[range_miles]]&gt;=250,"Medium-Range","Short-Range"))</f>
        <v>Medium-Range</v>
      </c>
      <c r="AE326" t="str">
        <f>IF(EV_Data4[[#This Row],[charging_speed_kw]]&gt;=250,"Ultra-Fast",IF(EV_Data4[[#This Row],[charging_speed_kw]]&gt;=150,"Fast-Charging","Standard-Charging"))</f>
        <v>Standard-Charging</v>
      </c>
      <c r="AF326" t="str">
        <f>IF(EV_Data4[[#This Row],[acceleration_0_60_mph]]&lt;=3,"SportsPerformance",IF(EV_Data4[[#This Row],[acceleration_0_60_mph]]&lt;=5,"HighPerformance","Standard"))</f>
        <v>Standard</v>
      </c>
      <c r="AG326" t="str">
        <f>IF(EV_Data4[[#This Row],[customer_rating]]&gt;=4.5,"Excellent",IF(EV_Data4[[#This Row],[customer_rating]]&gt;=3.5,"Good","Average"))</f>
        <v>Average</v>
      </c>
      <c r="AH32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27" spans="1:34" x14ac:dyDescent="0.3">
      <c r="A327" t="s">
        <v>38</v>
      </c>
      <c r="B327" t="s">
        <v>39</v>
      </c>
      <c r="C327">
        <v>2025</v>
      </c>
      <c r="D327" t="s">
        <v>26</v>
      </c>
      <c r="E327" s="3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34</v>
      </c>
      <c r="N327">
        <v>7</v>
      </c>
      <c r="O327" t="s">
        <v>28</v>
      </c>
      <c r="P327">
        <v>51.2</v>
      </c>
      <c r="Q327">
        <v>2645</v>
      </c>
      <c r="R327">
        <v>5</v>
      </c>
      <c r="S327">
        <v>2</v>
      </c>
      <c r="T327" t="s">
        <v>41</v>
      </c>
      <c r="U327" t="s">
        <v>37</v>
      </c>
      <c r="V327" s="3">
        <v>7236</v>
      </c>
      <c r="W327">
        <v>3.24</v>
      </c>
      <c r="X327">
        <v>3</v>
      </c>
      <c r="Y327" s="1">
        <f>EV_Data4[[#This Row],[range_miles]]/EV_Data4[[#This Row],[battery_capacity_kwh]]</f>
        <v>3.4411384217335059</v>
      </c>
      <c r="Z327" s="4">
        <f>EV_Data4[[#This Row],[price_usd]]/EV_Data4[[#This Row],[range_miles]]</f>
        <v>201.55703007518795</v>
      </c>
      <c r="AA327" s="2">
        <f>(EV_Data4[[#This Row],[customer_rating]]*EV_Data4[[#This Row],[safety_rating]]*1000)/EV_Data4[[#This Row],[price_usd]]</f>
        <v>0.30215892552286094</v>
      </c>
      <c r="AB327">
        <f>EV_Data4[[#This Row],[horsepower]]+EV_Data4[[#This Row],[torque_nm]]/EV_Data4[[#This Row],[acceleration_0_60_mph]]</f>
        <v>845.06686930091189</v>
      </c>
      <c r="AC327" t="str">
        <f>IF(EV_Data4[[#This Row],[price_usd]]&gt;=80000,"Luxury",IF(EV_Data4[[#This Row],[price_usd]]&gt;=40000,"Mid-Range","Budget"))</f>
        <v>Mid-Range</v>
      </c>
      <c r="AD327" t="str">
        <f>IF(EV_Data4[[#This Row],[range_miles]]&gt;=350,"Long-Range",IF(EV_Data4[[#This Row],[range_miles]]&gt;=250,"Medium-Range","Short-Range"))</f>
        <v>Medium-Range</v>
      </c>
      <c r="AE327" t="str">
        <f>IF(EV_Data4[[#This Row],[charging_speed_kw]]&gt;=250,"Ultra-Fast",IF(EV_Data4[[#This Row],[charging_speed_kw]]&gt;=150,"Fast-Charging","Standard-Charging"))</f>
        <v>Fast-Charging</v>
      </c>
      <c r="AF327" t="str">
        <f>IF(EV_Data4[[#This Row],[acceleration_0_60_mph]]&lt;=3,"SportsPerformance",IF(EV_Data4[[#This Row],[acceleration_0_60_mph]]&lt;=5,"HighPerformance","Standard"))</f>
        <v>HighPerformance</v>
      </c>
      <c r="AG327" t="str">
        <f>IF(EV_Data4[[#This Row],[customer_rating]]&gt;=4.5,"Excellent",IF(EV_Data4[[#This Row],[customer_rating]]&gt;=3.5,"Good","Average"))</f>
        <v>Average</v>
      </c>
      <c r="AH32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28" spans="1:34" x14ac:dyDescent="0.3">
      <c r="A328" t="s">
        <v>42</v>
      </c>
      <c r="B328" t="s">
        <v>54</v>
      </c>
      <c r="C328">
        <v>2026</v>
      </c>
      <c r="D328" t="s">
        <v>33</v>
      </c>
      <c r="E328" s="3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48</v>
      </c>
      <c r="N328">
        <v>5</v>
      </c>
      <c r="O328" t="s">
        <v>51</v>
      </c>
      <c r="P328">
        <v>25.6</v>
      </c>
      <c r="Q328">
        <v>1500</v>
      </c>
      <c r="R328">
        <v>5</v>
      </c>
      <c r="S328">
        <v>1</v>
      </c>
      <c r="T328" t="s">
        <v>45</v>
      </c>
      <c r="U328" t="s">
        <v>33</v>
      </c>
      <c r="V328" s="3">
        <v>126328</v>
      </c>
      <c r="W328">
        <v>3.5</v>
      </c>
      <c r="X328">
        <v>4</v>
      </c>
      <c r="Y328" s="1">
        <f>EV_Data4[[#This Row],[range_miles]]/EV_Data4[[#This Row],[battery_capacity_kwh]]</f>
        <v>3.3378746594005446</v>
      </c>
      <c r="Z328" s="4">
        <f>EV_Data4[[#This Row],[price_usd]]/EV_Data4[[#This Row],[range_miles]]</f>
        <v>401.22444897959184</v>
      </c>
      <c r="AA328" s="2">
        <f>(EV_Data4[[#This Row],[customer_rating]]*EV_Data4[[#This Row],[safety_rating]]*1000)/EV_Data4[[#This Row],[price_usd]]</f>
        <v>0.17802646775447281</v>
      </c>
      <c r="AB328">
        <f>EV_Data4[[#This Row],[horsepower]]+EV_Data4[[#This Row],[torque_nm]]/EV_Data4[[#This Row],[acceleration_0_60_mph]]</f>
        <v>1157.4614065180103</v>
      </c>
      <c r="AC328" t="str">
        <f>IF(EV_Data4[[#This Row],[price_usd]]&gt;=80000,"Luxury",IF(EV_Data4[[#This Row],[price_usd]]&gt;=40000,"Mid-Range","Budget"))</f>
        <v>Luxury</v>
      </c>
      <c r="AD328" t="str">
        <f>IF(EV_Data4[[#This Row],[range_miles]]&gt;=350,"Long-Range",IF(EV_Data4[[#This Row],[range_miles]]&gt;=250,"Medium-Range","Short-Range"))</f>
        <v>Short-Range</v>
      </c>
      <c r="AE328" t="str">
        <f>IF(EV_Data4[[#This Row],[charging_speed_kw]]&gt;=250,"Ultra-Fast",IF(EV_Data4[[#This Row],[charging_speed_kw]]&gt;=150,"Fast-Charging","Standard-Charging"))</f>
        <v>Standard-Charging</v>
      </c>
      <c r="AF328" t="str">
        <f>IF(EV_Data4[[#This Row],[acceleration_0_60_mph]]&lt;=3,"SportsPerformance",IF(EV_Data4[[#This Row],[acceleration_0_60_mph]]&lt;=5,"HighPerformance","Standard"))</f>
        <v>Standard</v>
      </c>
      <c r="AG328" t="str">
        <f>IF(EV_Data4[[#This Row],[customer_rating]]&gt;=4.5,"Excellent",IF(EV_Data4[[#This Row],[customer_rating]]&gt;=3.5,"Good","Average"))</f>
        <v>Good</v>
      </c>
      <c r="AH32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29" spans="1:34" x14ac:dyDescent="0.3">
      <c r="A329" t="s">
        <v>42</v>
      </c>
      <c r="B329" t="s">
        <v>80</v>
      </c>
      <c r="C329">
        <v>2025</v>
      </c>
      <c r="D329" t="s">
        <v>33</v>
      </c>
      <c r="E329" s="3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27</v>
      </c>
      <c r="N329">
        <v>5</v>
      </c>
      <c r="O329" t="s">
        <v>35</v>
      </c>
      <c r="P329">
        <v>52.1</v>
      </c>
      <c r="Q329">
        <v>2022</v>
      </c>
      <c r="R329">
        <v>5</v>
      </c>
      <c r="S329">
        <v>0</v>
      </c>
      <c r="T329" t="s">
        <v>45</v>
      </c>
      <c r="U329" t="s">
        <v>37</v>
      </c>
      <c r="V329" s="3">
        <v>58624</v>
      </c>
      <c r="W329">
        <v>3.74</v>
      </c>
      <c r="X329">
        <v>5</v>
      </c>
      <c r="Y329" s="1">
        <f>EV_Data4[[#This Row],[range_miles]]/EV_Data4[[#This Row],[battery_capacity_kwh]]</f>
        <v>3.3243243243243241</v>
      </c>
      <c r="Z329" s="4">
        <f>EV_Data4[[#This Row],[price_usd]]/EV_Data4[[#This Row],[range_miles]]</f>
        <v>252.6491869918699</v>
      </c>
      <c r="AA329" s="2">
        <f>(EV_Data4[[#This Row],[customer_rating]]*EV_Data4[[#This Row],[safety_rating]]*1000)/EV_Data4[[#This Row],[price_usd]]</f>
        <v>0.30087672581763658</v>
      </c>
      <c r="AB329">
        <f>EV_Data4[[#This Row],[horsepower]]+EV_Data4[[#This Row],[torque_nm]]/EV_Data4[[#This Row],[acceleration_0_60_mph]]</f>
        <v>765.29974811083127</v>
      </c>
      <c r="AC329" t="str">
        <f>IF(EV_Data4[[#This Row],[price_usd]]&gt;=80000,"Luxury",IF(EV_Data4[[#This Row],[price_usd]]&gt;=40000,"Mid-Range","Budget"))</f>
        <v>Mid-Range</v>
      </c>
      <c r="AD329" t="str">
        <f>IF(EV_Data4[[#This Row],[range_miles]]&gt;=350,"Long-Range",IF(EV_Data4[[#This Row],[range_miles]]&gt;=250,"Medium-Range","Short-Range"))</f>
        <v>Short-Range</v>
      </c>
      <c r="AE329" t="str">
        <f>IF(EV_Data4[[#This Row],[charging_speed_kw]]&gt;=250,"Ultra-Fast",IF(EV_Data4[[#This Row],[charging_speed_kw]]&gt;=150,"Fast-Charging","Standard-Charging"))</f>
        <v>Standard-Charging</v>
      </c>
      <c r="AF329" t="str">
        <f>IF(EV_Data4[[#This Row],[acceleration_0_60_mph]]&lt;=3,"SportsPerformance",IF(EV_Data4[[#This Row],[acceleration_0_60_mph]]&lt;=5,"HighPerformance","Standard"))</f>
        <v>Standard</v>
      </c>
      <c r="AG329" t="str">
        <f>IF(EV_Data4[[#This Row],[customer_rating]]&gt;=4.5,"Excellent",IF(EV_Data4[[#This Row],[customer_rating]]&gt;=3.5,"Good","Average"))</f>
        <v>Good</v>
      </c>
      <c r="AH32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30" spans="1:34" x14ac:dyDescent="0.3">
      <c r="A330" t="s">
        <v>24</v>
      </c>
      <c r="B330" t="s">
        <v>25</v>
      </c>
      <c r="C330">
        <v>2025</v>
      </c>
      <c r="D330" t="s">
        <v>26</v>
      </c>
      <c r="E330" s="3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27</v>
      </c>
      <c r="N330">
        <v>7</v>
      </c>
      <c r="O330" t="s">
        <v>50</v>
      </c>
      <c r="P330">
        <v>28.5</v>
      </c>
      <c r="Q330">
        <v>1500</v>
      </c>
      <c r="R330">
        <v>4</v>
      </c>
      <c r="S330">
        <v>1</v>
      </c>
      <c r="T330" t="s">
        <v>29</v>
      </c>
      <c r="U330" t="s">
        <v>37</v>
      </c>
      <c r="V330" s="3">
        <v>298599</v>
      </c>
      <c r="W330">
        <v>3.42</v>
      </c>
      <c r="X330">
        <v>5</v>
      </c>
      <c r="Y330" s="1">
        <f>EV_Data4[[#This Row],[range_miles]]/EV_Data4[[#This Row],[battery_capacity_kwh]]</f>
        <v>3.3989501312335957</v>
      </c>
      <c r="Z330" s="4">
        <f>EV_Data4[[#This Row],[price_usd]]/EV_Data4[[#This Row],[range_miles]]</f>
        <v>221.86173745173747</v>
      </c>
      <c r="AA330" s="2">
        <f>(EV_Data4[[#This Row],[customer_rating]]*EV_Data4[[#This Row],[safety_rating]]*1000)/EV_Data4[[#This Row],[price_usd]]</f>
        <v>0.23806958975980552</v>
      </c>
      <c r="AB330">
        <f>EV_Data4[[#This Row],[horsepower]]+EV_Data4[[#This Row],[torque_nm]]/EV_Data4[[#This Row],[acceleration_0_60_mph]]</f>
        <v>639.04878048780483</v>
      </c>
      <c r="AC330" t="str">
        <f>IF(EV_Data4[[#This Row],[price_usd]]&gt;=80000,"Luxury",IF(EV_Data4[[#This Row],[price_usd]]&gt;=40000,"Mid-Range","Budget"))</f>
        <v>Mid-Range</v>
      </c>
      <c r="AD330" t="str">
        <f>IF(EV_Data4[[#This Row],[range_miles]]&gt;=350,"Long-Range",IF(EV_Data4[[#This Row],[range_miles]]&gt;=250,"Medium-Range","Short-Range"))</f>
        <v>Medium-Range</v>
      </c>
      <c r="AE330" t="str">
        <f>IF(EV_Data4[[#This Row],[charging_speed_kw]]&gt;=250,"Ultra-Fast",IF(EV_Data4[[#This Row],[charging_speed_kw]]&gt;=150,"Fast-Charging","Standard-Charging"))</f>
        <v>Fast-Charging</v>
      </c>
      <c r="AF330" t="str">
        <f>IF(EV_Data4[[#This Row],[acceleration_0_60_mph]]&lt;=3,"SportsPerformance",IF(EV_Data4[[#This Row],[acceleration_0_60_mph]]&lt;=5,"HighPerformance","Standard"))</f>
        <v>HighPerformance</v>
      </c>
      <c r="AG330" t="str">
        <f>IF(EV_Data4[[#This Row],[customer_rating]]&gt;=4.5,"Excellent",IF(EV_Data4[[#This Row],[customer_rating]]&gt;=3.5,"Good","Average"))</f>
        <v>Average</v>
      </c>
      <c r="AH33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31" spans="1:34" x14ac:dyDescent="0.3">
      <c r="A331" t="s">
        <v>63</v>
      </c>
      <c r="B331" t="s">
        <v>96</v>
      </c>
      <c r="C331">
        <v>2023</v>
      </c>
      <c r="D331" t="s">
        <v>33</v>
      </c>
      <c r="E331" s="3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48</v>
      </c>
      <c r="N331">
        <v>5</v>
      </c>
      <c r="O331" t="s">
        <v>51</v>
      </c>
      <c r="P331">
        <v>32.200000000000003</v>
      </c>
      <c r="Q331">
        <v>1500</v>
      </c>
      <c r="R331">
        <v>5</v>
      </c>
      <c r="S331">
        <v>1</v>
      </c>
      <c r="T331" t="s">
        <v>65</v>
      </c>
      <c r="U331" t="s">
        <v>33</v>
      </c>
      <c r="V331" s="3">
        <v>171261</v>
      </c>
      <c r="W331">
        <v>3.56</v>
      </c>
      <c r="X331">
        <v>4</v>
      </c>
      <c r="Y331" s="1">
        <f>EV_Data4[[#This Row],[range_miles]]/EV_Data4[[#This Row],[battery_capacity_kwh]]</f>
        <v>3.4482758620689657</v>
      </c>
      <c r="Z331" s="4">
        <f>EV_Data4[[#This Row],[price_usd]]/EV_Data4[[#This Row],[range_miles]]</f>
        <v>272.43045833333332</v>
      </c>
      <c r="AA331" s="2">
        <f>(EV_Data4[[#This Row],[customer_rating]]*EV_Data4[[#This Row],[safety_rating]]*1000)/EV_Data4[[#This Row],[price_usd]]</f>
        <v>0.27224072932373722</v>
      </c>
      <c r="AB331">
        <f>EV_Data4[[#This Row],[horsepower]]+EV_Data4[[#This Row],[torque_nm]]/EV_Data4[[#This Row],[acceleration_0_60_mph]]</f>
        <v>876.44</v>
      </c>
      <c r="AC331" t="str">
        <f>IF(EV_Data4[[#This Row],[price_usd]]&gt;=80000,"Luxury",IF(EV_Data4[[#This Row],[price_usd]]&gt;=40000,"Mid-Range","Budget"))</f>
        <v>Mid-Range</v>
      </c>
      <c r="AD331" t="str">
        <f>IF(EV_Data4[[#This Row],[range_miles]]&gt;=350,"Long-Range",IF(EV_Data4[[#This Row],[range_miles]]&gt;=250,"Medium-Range","Short-Range"))</f>
        <v>Short-Range</v>
      </c>
      <c r="AE331" t="str">
        <f>IF(EV_Data4[[#This Row],[charging_speed_kw]]&gt;=250,"Ultra-Fast",IF(EV_Data4[[#This Row],[charging_speed_kw]]&gt;=150,"Fast-Charging","Standard-Charging"))</f>
        <v>Standard-Charging</v>
      </c>
      <c r="AF331" t="str">
        <f>IF(EV_Data4[[#This Row],[acceleration_0_60_mph]]&lt;=3,"SportsPerformance",IF(EV_Data4[[#This Row],[acceleration_0_60_mph]]&lt;=5,"HighPerformance","Standard"))</f>
        <v>Standard</v>
      </c>
      <c r="AG331" t="str">
        <f>IF(EV_Data4[[#This Row],[customer_rating]]&gt;=4.5,"Excellent",IF(EV_Data4[[#This Row],[customer_rating]]&gt;=3.5,"Good","Average"))</f>
        <v>Good</v>
      </c>
      <c r="AH33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32" spans="1:34" x14ac:dyDescent="0.3">
      <c r="A332" t="s">
        <v>24</v>
      </c>
      <c r="B332" t="s">
        <v>85</v>
      </c>
      <c r="C332">
        <v>2025</v>
      </c>
      <c r="D332" t="s">
        <v>26</v>
      </c>
      <c r="E332" s="3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27</v>
      </c>
      <c r="N332">
        <v>7</v>
      </c>
      <c r="O332" t="s">
        <v>50</v>
      </c>
      <c r="P332">
        <v>27.4</v>
      </c>
      <c r="Q332">
        <v>1591</v>
      </c>
      <c r="R332">
        <v>5</v>
      </c>
      <c r="S332">
        <v>1</v>
      </c>
      <c r="T332" t="s">
        <v>29</v>
      </c>
      <c r="U332" t="s">
        <v>33</v>
      </c>
      <c r="V332" s="3">
        <v>265949</v>
      </c>
      <c r="W332">
        <v>3.68</v>
      </c>
      <c r="X332">
        <v>4</v>
      </c>
      <c r="Y332" s="1">
        <f>EV_Data4[[#This Row],[range_miles]]/EV_Data4[[#This Row],[battery_capacity_kwh]]</f>
        <v>3.3366733466933867</v>
      </c>
      <c r="Z332" s="4">
        <f>EV_Data4[[#This Row],[price_usd]]/EV_Data4[[#This Row],[range_miles]]</f>
        <v>264.74057057057058</v>
      </c>
      <c r="AA332" s="2">
        <f>(EV_Data4[[#This Row],[customer_rating]]*EV_Data4[[#This Row],[safety_rating]]*1000)/EV_Data4[[#This Row],[price_usd]]</f>
        <v>0.20871472451754858</v>
      </c>
      <c r="AB332">
        <f>EV_Data4[[#This Row],[horsepower]]+EV_Data4[[#This Row],[torque_nm]]/EV_Data4[[#This Row],[acceleration_0_60_mph]]</f>
        <v>1348.2889733840304</v>
      </c>
      <c r="AC332" t="str">
        <f>IF(EV_Data4[[#This Row],[price_usd]]&gt;=80000,"Luxury",IF(EV_Data4[[#This Row],[price_usd]]&gt;=40000,"Mid-Range","Budget"))</f>
        <v>Luxury</v>
      </c>
      <c r="AD332" t="str">
        <f>IF(EV_Data4[[#This Row],[range_miles]]&gt;=350,"Long-Range",IF(EV_Data4[[#This Row],[range_miles]]&gt;=250,"Medium-Range","Short-Range"))</f>
        <v>Medium-Range</v>
      </c>
      <c r="AE332" t="str">
        <f>IF(EV_Data4[[#This Row],[charging_speed_kw]]&gt;=250,"Ultra-Fast",IF(EV_Data4[[#This Row],[charging_speed_kw]]&gt;=150,"Fast-Charging","Standard-Charging"))</f>
        <v>Fast-Charging</v>
      </c>
      <c r="AF332" t="str">
        <f>IF(EV_Data4[[#This Row],[acceleration_0_60_mph]]&lt;=3,"SportsPerformance",IF(EV_Data4[[#This Row],[acceleration_0_60_mph]]&lt;=5,"HighPerformance","Standard"))</f>
        <v>SportsPerformance</v>
      </c>
      <c r="AG332" t="str">
        <f>IF(EV_Data4[[#This Row],[customer_rating]]&gt;=4.5,"Excellent",IF(EV_Data4[[#This Row],[customer_rating]]&gt;=3.5,"Good","Average"))</f>
        <v>Good</v>
      </c>
      <c r="AH33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33" spans="1:34" x14ac:dyDescent="0.3">
      <c r="A333" t="s">
        <v>38</v>
      </c>
      <c r="B333" t="s">
        <v>39</v>
      </c>
      <c r="C333">
        <v>2022</v>
      </c>
      <c r="D333" t="s">
        <v>44</v>
      </c>
      <c r="E333" s="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34</v>
      </c>
      <c r="N333">
        <v>5</v>
      </c>
      <c r="O333" t="s">
        <v>40</v>
      </c>
      <c r="P333">
        <v>61.5</v>
      </c>
      <c r="Q333">
        <v>1500</v>
      </c>
      <c r="R333">
        <v>4</v>
      </c>
      <c r="S333">
        <v>1</v>
      </c>
      <c r="T333" t="s">
        <v>41</v>
      </c>
      <c r="U333" t="s">
        <v>37</v>
      </c>
      <c r="V333" s="3">
        <v>17112</v>
      </c>
      <c r="W333">
        <v>3.4</v>
      </c>
      <c r="X333">
        <v>3</v>
      </c>
      <c r="Y333" s="1">
        <f>EV_Data4[[#This Row],[range_miles]]/EV_Data4[[#This Row],[battery_capacity_kwh]]</f>
        <v>3.1680773881499396</v>
      </c>
      <c r="Z333" s="4">
        <f>EV_Data4[[#This Row],[price_usd]]/EV_Data4[[#This Row],[range_miles]]</f>
        <v>188.71706106870229</v>
      </c>
      <c r="AA333" s="2">
        <f>(EV_Data4[[#This Row],[customer_rating]]*EV_Data4[[#This Row],[safety_rating]]*1000)/EV_Data4[[#This Row],[price_usd]]</f>
        <v>0.27505937540892328</v>
      </c>
      <c r="AB333">
        <f>EV_Data4[[#This Row],[horsepower]]+EV_Data4[[#This Row],[torque_nm]]/EV_Data4[[#This Row],[acceleration_0_60_mph]]</f>
        <v>658.34042553191489</v>
      </c>
      <c r="AC333" t="str">
        <f>IF(EV_Data4[[#This Row],[price_usd]]&gt;=80000,"Luxury",IF(EV_Data4[[#This Row],[price_usd]]&gt;=40000,"Mid-Range","Budget"))</f>
        <v>Mid-Range</v>
      </c>
      <c r="AD333" t="str">
        <f>IF(EV_Data4[[#This Row],[range_miles]]&gt;=350,"Long-Range",IF(EV_Data4[[#This Row],[range_miles]]&gt;=250,"Medium-Range","Short-Range"))</f>
        <v>Medium-Range</v>
      </c>
      <c r="AE333" t="str">
        <f>IF(EV_Data4[[#This Row],[charging_speed_kw]]&gt;=250,"Ultra-Fast",IF(EV_Data4[[#This Row],[charging_speed_kw]]&gt;=150,"Fast-Charging","Standard-Charging"))</f>
        <v>Standard-Charging</v>
      </c>
      <c r="AF333" t="str">
        <f>IF(EV_Data4[[#This Row],[acceleration_0_60_mph]]&lt;=3,"SportsPerformance",IF(EV_Data4[[#This Row],[acceleration_0_60_mph]]&lt;=5,"HighPerformance","Standard"))</f>
        <v>HighPerformance</v>
      </c>
      <c r="AG333" t="str">
        <f>IF(EV_Data4[[#This Row],[customer_rating]]&gt;=4.5,"Excellent",IF(EV_Data4[[#This Row],[customer_rating]]&gt;=3.5,"Good","Average"))</f>
        <v>Average</v>
      </c>
      <c r="AH33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34" spans="1:34" x14ac:dyDescent="0.3">
      <c r="A334" t="s">
        <v>46</v>
      </c>
      <c r="B334" t="s">
        <v>47</v>
      </c>
      <c r="C334">
        <v>2023</v>
      </c>
      <c r="D334" t="s">
        <v>56</v>
      </c>
      <c r="E334" s="3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48</v>
      </c>
      <c r="N334">
        <v>5</v>
      </c>
      <c r="O334" t="s">
        <v>40</v>
      </c>
      <c r="P334">
        <v>77.5</v>
      </c>
      <c r="Q334">
        <v>1500</v>
      </c>
      <c r="R334">
        <v>4</v>
      </c>
      <c r="S334">
        <v>3</v>
      </c>
      <c r="T334" t="s">
        <v>41</v>
      </c>
      <c r="U334" t="s">
        <v>66</v>
      </c>
      <c r="V334" s="3">
        <v>239021</v>
      </c>
      <c r="W334">
        <v>3.85</v>
      </c>
      <c r="X334">
        <v>5</v>
      </c>
      <c r="Y334" s="1">
        <f>EV_Data4[[#This Row],[range_miles]]/EV_Data4[[#This Row],[battery_capacity_kwh]]</f>
        <v>3.7215909090909087</v>
      </c>
      <c r="Z334" s="4">
        <f>EV_Data4[[#This Row],[price_usd]]/EV_Data4[[#This Row],[range_miles]]</f>
        <v>127.11751908396947</v>
      </c>
      <c r="AA334" s="2">
        <f>(EV_Data4[[#This Row],[customer_rating]]*EV_Data4[[#This Row],[safety_rating]]*1000)/EV_Data4[[#This Row],[price_usd]]</f>
        <v>0.46239594965168673</v>
      </c>
      <c r="AB334">
        <f>EV_Data4[[#This Row],[horsepower]]+EV_Data4[[#This Row],[torque_nm]]/EV_Data4[[#This Row],[acceleration_0_60_mph]]</f>
        <v>288.2</v>
      </c>
      <c r="AC334" t="str">
        <f>IF(EV_Data4[[#This Row],[price_usd]]&gt;=80000,"Luxury",IF(EV_Data4[[#This Row],[price_usd]]&gt;=40000,"Mid-Range","Budget"))</f>
        <v>Budget</v>
      </c>
      <c r="AD334" t="str">
        <f>IF(EV_Data4[[#This Row],[range_miles]]&gt;=350,"Long-Range",IF(EV_Data4[[#This Row],[range_miles]]&gt;=250,"Medium-Range","Short-Range"))</f>
        <v>Medium-Range</v>
      </c>
      <c r="AE334" t="str">
        <f>IF(EV_Data4[[#This Row],[charging_speed_kw]]&gt;=250,"Ultra-Fast",IF(EV_Data4[[#This Row],[charging_speed_kw]]&gt;=150,"Fast-Charging","Standard-Charging"))</f>
        <v>Ultra-Fast</v>
      </c>
      <c r="AF334" t="str">
        <f>IF(EV_Data4[[#This Row],[acceleration_0_60_mph]]&lt;=3,"SportsPerformance",IF(EV_Data4[[#This Row],[acceleration_0_60_mph]]&lt;=5,"HighPerformance","Standard"))</f>
        <v>HighPerformance</v>
      </c>
      <c r="AG334" t="str">
        <f>IF(EV_Data4[[#This Row],[customer_rating]]&gt;=4.5,"Excellent",IF(EV_Data4[[#This Row],[customer_rating]]&gt;=3.5,"Good","Average"))</f>
        <v>Good</v>
      </c>
      <c r="AH33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335" spans="1:34" x14ac:dyDescent="0.3">
      <c r="A335" t="s">
        <v>46</v>
      </c>
      <c r="B335" t="s">
        <v>72</v>
      </c>
      <c r="C335">
        <v>2025</v>
      </c>
      <c r="D335" t="s">
        <v>56</v>
      </c>
      <c r="E335" s="3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34</v>
      </c>
      <c r="N335">
        <v>5</v>
      </c>
      <c r="O335" t="s">
        <v>28</v>
      </c>
      <c r="P335">
        <v>77</v>
      </c>
      <c r="Q335">
        <v>2468</v>
      </c>
      <c r="R335">
        <v>5</v>
      </c>
      <c r="S335">
        <v>2</v>
      </c>
      <c r="T335" t="s">
        <v>41</v>
      </c>
      <c r="U335" t="s">
        <v>66</v>
      </c>
      <c r="V335" s="3">
        <v>210522</v>
      </c>
      <c r="W335">
        <v>3.78</v>
      </c>
      <c r="X335">
        <v>5</v>
      </c>
      <c r="Y335" s="1">
        <f>EV_Data4[[#This Row],[range_miles]]/EV_Data4[[#This Row],[battery_capacity_kwh]]</f>
        <v>3.7177280550774525</v>
      </c>
      <c r="Z335" s="4">
        <f>EV_Data4[[#This Row],[price_usd]]/EV_Data4[[#This Row],[range_miles]]</f>
        <v>137.45157407407407</v>
      </c>
      <c r="AA335" s="2">
        <f>(EV_Data4[[#This Row],[customer_rating]]*EV_Data4[[#This Row],[safety_rating]]*1000)/EV_Data4[[#This Row],[price_usd]]</f>
        <v>0.6365878353116956</v>
      </c>
      <c r="AB335">
        <f>EV_Data4[[#This Row],[horsepower]]+EV_Data4[[#This Row],[torque_nm]]/EV_Data4[[#This Row],[acceleration_0_60_mph]]</f>
        <v>228.17472118959108</v>
      </c>
      <c r="AC335" t="str">
        <f>IF(EV_Data4[[#This Row],[price_usd]]&gt;=80000,"Luxury",IF(EV_Data4[[#This Row],[price_usd]]&gt;=40000,"Mid-Range","Budget"))</f>
        <v>Budget</v>
      </c>
      <c r="AD335" t="str">
        <f>IF(EV_Data4[[#This Row],[range_miles]]&gt;=350,"Long-Range",IF(EV_Data4[[#This Row],[range_miles]]&gt;=250,"Medium-Range","Short-Range"))</f>
        <v>Short-Range</v>
      </c>
      <c r="AE335" t="str">
        <f>IF(EV_Data4[[#This Row],[charging_speed_kw]]&gt;=250,"Ultra-Fast",IF(EV_Data4[[#This Row],[charging_speed_kw]]&gt;=150,"Fast-Charging","Standard-Charging"))</f>
        <v>Ultra-Fast</v>
      </c>
      <c r="AF335" t="str">
        <f>IF(EV_Data4[[#This Row],[acceleration_0_60_mph]]&lt;=3,"SportsPerformance",IF(EV_Data4[[#This Row],[acceleration_0_60_mph]]&lt;=5,"HighPerformance","Standard"))</f>
        <v>Standard</v>
      </c>
      <c r="AG335" t="str">
        <f>IF(EV_Data4[[#This Row],[customer_rating]]&gt;=4.5,"Excellent",IF(EV_Data4[[#This Row],[customer_rating]]&gt;=3.5,"Good","Average"))</f>
        <v>Good</v>
      </c>
      <c r="AH33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36" spans="1:34" x14ac:dyDescent="0.3">
      <c r="A336" t="s">
        <v>46</v>
      </c>
      <c r="B336" t="s">
        <v>57</v>
      </c>
      <c r="C336">
        <v>2025</v>
      </c>
      <c r="D336" t="s">
        <v>44</v>
      </c>
      <c r="E336" s="3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34</v>
      </c>
      <c r="N336">
        <v>7</v>
      </c>
      <c r="O336" t="s">
        <v>50</v>
      </c>
      <c r="P336">
        <v>19.7</v>
      </c>
      <c r="Q336">
        <v>1638</v>
      </c>
      <c r="R336">
        <v>5</v>
      </c>
      <c r="S336">
        <v>2</v>
      </c>
      <c r="T336" t="s">
        <v>41</v>
      </c>
      <c r="U336" t="s">
        <v>30</v>
      </c>
      <c r="V336" s="3">
        <v>207546</v>
      </c>
      <c r="W336">
        <v>3.74</v>
      </c>
      <c r="X336">
        <v>6</v>
      </c>
      <c r="Y336" s="1">
        <f>EV_Data4[[#This Row],[range_miles]]/EV_Data4[[#This Row],[battery_capacity_kwh]]</f>
        <v>3.8339021615472126</v>
      </c>
      <c r="Z336" s="4">
        <f>EV_Data4[[#This Row],[price_usd]]/EV_Data4[[#This Row],[range_miles]]</f>
        <v>383.33305637982198</v>
      </c>
      <c r="AA336" s="2">
        <f>(EV_Data4[[#This Row],[customer_rating]]*EV_Data4[[#This Row],[safety_rating]]*1000)/EV_Data4[[#This Row],[price_usd]]</f>
        <v>0.1447556200014801</v>
      </c>
      <c r="AB336">
        <f>EV_Data4[[#This Row],[horsepower]]+EV_Data4[[#This Row],[torque_nm]]/EV_Data4[[#This Row],[acceleration_0_60_mph]]</f>
        <v>1144.8311688311687</v>
      </c>
      <c r="AC336" t="str">
        <f>IF(EV_Data4[[#This Row],[price_usd]]&gt;=80000,"Luxury",IF(EV_Data4[[#This Row],[price_usd]]&gt;=40000,"Mid-Range","Budget"))</f>
        <v>Luxury</v>
      </c>
      <c r="AD336" t="str">
        <f>IF(EV_Data4[[#This Row],[range_miles]]&gt;=350,"Long-Range",IF(EV_Data4[[#This Row],[range_miles]]&gt;=250,"Medium-Range","Short-Range"))</f>
        <v>Medium-Range</v>
      </c>
      <c r="AE336" t="str">
        <f>IF(EV_Data4[[#This Row],[charging_speed_kw]]&gt;=250,"Ultra-Fast",IF(EV_Data4[[#This Row],[charging_speed_kw]]&gt;=150,"Fast-Charging","Standard-Charging"))</f>
        <v>Ultra-Fast</v>
      </c>
      <c r="AF336" t="str">
        <f>IF(EV_Data4[[#This Row],[acceleration_0_60_mph]]&lt;=3,"SportsPerformance",IF(EV_Data4[[#This Row],[acceleration_0_60_mph]]&lt;=5,"HighPerformance","Standard"))</f>
        <v>Standard</v>
      </c>
      <c r="AG336" t="str">
        <f>IF(EV_Data4[[#This Row],[customer_rating]]&gt;=4.5,"Excellent",IF(EV_Data4[[#This Row],[customer_rating]]&gt;=3.5,"Good","Average"))</f>
        <v>Good</v>
      </c>
      <c r="AH33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37" spans="1:34" x14ac:dyDescent="0.3">
      <c r="A337" t="s">
        <v>46</v>
      </c>
      <c r="B337" t="s">
        <v>72</v>
      </c>
      <c r="C337">
        <v>2025</v>
      </c>
      <c r="D337" t="s">
        <v>44</v>
      </c>
      <c r="E337" s="3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48</v>
      </c>
      <c r="N337">
        <v>5</v>
      </c>
      <c r="O337" t="s">
        <v>28</v>
      </c>
      <c r="P337">
        <v>78.7</v>
      </c>
      <c r="Q337">
        <v>2287</v>
      </c>
      <c r="R337">
        <v>5</v>
      </c>
      <c r="S337">
        <v>3</v>
      </c>
      <c r="T337" t="s">
        <v>41</v>
      </c>
      <c r="U337" t="s">
        <v>30</v>
      </c>
      <c r="V337" s="3">
        <v>133735</v>
      </c>
      <c r="W337">
        <v>3.85</v>
      </c>
      <c r="X337">
        <v>4</v>
      </c>
      <c r="Y337" s="1">
        <f>EV_Data4[[#This Row],[range_miles]]/EV_Data4[[#This Row],[battery_capacity_kwh]]</f>
        <v>3.6457142857142859</v>
      </c>
      <c r="Z337" s="4">
        <f>EV_Data4[[#This Row],[price_usd]]/EV_Data4[[#This Row],[range_miles]]</f>
        <v>414.50454545454551</v>
      </c>
      <c r="AA337" s="2">
        <f>(EV_Data4[[#This Row],[customer_rating]]*EV_Data4[[#This Row],[safety_rating]]*1000)/EV_Data4[[#This Row],[price_usd]]</f>
        <v>0.14558302978326279</v>
      </c>
      <c r="AB337">
        <f>EV_Data4[[#This Row],[horsepower]]+EV_Data4[[#This Row],[torque_nm]]/EV_Data4[[#This Row],[acceleration_0_60_mph]]</f>
        <v>1168.6223175965665</v>
      </c>
      <c r="AC337" t="str">
        <f>IF(EV_Data4[[#This Row],[price_usd]]&gt;=80000,"Luxury",IF(EV_Data4[[#This Row],[price_usd]]&gt;=40000,"Mid-Range","Budget"))</f>
        <v>Luxury</v>
      </c>
      <c r="AD337" t="str">
        <f>IF(EV_Data4[[#This Row],[range_miles]]&gt;=350,"Long-Range",IF(EV_Data4[[#This Row],[range_miles]]&gt;=250,"Medium-Range","Short-Range"))</f>
        <v>Medium-Range</v>
      </c>
      <c r="AE337" t="str">
        <f>IF(EV_Data4[[#This Row],[charging_speed_kw]]&gt;=250,"Ultra-Fast",IF(EV_Data4[[#This Row],[charging_speed_kw]]&gt;=150,"Fast-Charging","Standard-Charging"))</f>
        <v>Ultra-Fast</v>
      </c>
      <c r="AF337" t="str">
        <f>IF(EV_Data4[[#This Row],[acceleration_0_60_mph]]&lt;=3,"SportsPerformance",IF(EV_Data4[[#This Row],[acceleration_0_60_mph]]&lt;=5,"HighPerformance","Standard"))</f>
        <v>HighPerformance</v>
      </c>
      <c r="AG337" t="str">
        <f>IF(EV_Data4[[#This Row],[customer_rating]]&gt;=4.5,"Excellent",IF(EV_Data4[[#This Row],[customer_rating]]&gt;=3.5,"Good","Average"))</f>
        <v>Good</v>
      </c>
      <c r="AH337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338" spans="1:34" x14ac:dyDescent="0.3">
      <c r="A338" t="s">
        <v>52</v>
      </c>
      <c r="B338" t="s">
        <v>126</v>
      </c>
      <c r="C338">
        <v>2026</v>
      </c>
      <c r="D338" t="s">
        <v>56</v>
      </c>
      <c r="E338" s="3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34</v>
      </c>
      <c r="N338">
        <v>7</v>
      </c>
      <c r="O338" t="s">
        <v>35</v>
      </c>
      <c r="P338">
        <v>56.9</v>
      </c>
      <c r="Q338">
        <v>2444</v>
      </c>
      <c r="R338">
        <v>4</v>
      </c>
      <c r="S338">
        <v>2</v>
      </c>
      <c r="T338" t="s">
        <v>29</v>
      </c>
      <c r="U338" t="s">
        <v>37</v>
      </c>
      <c r="V338" s="3">
        <v>57795</v>
      </c>
      <c r="W338">
        <v>3.37</v>
      </c>
      <c r="X338">
        <v>5</v>
      </c>
      <c r="Y338" s="1">
        <f>EV_Data4[[#This Row],[range_miles]]/EV_Data4[[#This Row],[battery_capacity_kwh]]</f>
        <v>3.7155963302752291</v>
      </c>
      <c r="Z338" s="4">
        <f>EV_Data4[[#This Row],[price_usd]]/EV_Data4[[#This Row],[range_miles]]</f>
        <v>365.1359259259259</v>
      </c>
      <c r="AA338" s="2">
        <f>(EV_Data4[[#This Row],[customer_rating]]*EV_Data4[[#This Row],[safety_rating]]*1000)/EV_Data4[[#This Row],[price_usd]]</f>
        <v>0.22788739928070081</v>
      </c>
      <c r="AB338">
        <f>EV_Data4[[#This Row],[horsepower]]+EV_Data4[[#This Row],[torque_nm]]/EV_Data4[[#This Row],[acceleration_0_60_mph]]</f>
        <v>195.02281368821292</v>
      </c>
      <c r="AC338" t="str">
        <f>IF(EV_Data4[[#This Row],[price_usd]]&gt;=80000,"Luxury",IF(EV_Data4[[#This Row],[price_usd]]&gt;=40000,"Mid-Range","Budget"))</f>
        <v>Mid-Range</v>
      </c>
      <c r="AD338" t="str">
        <f>IF(EV_Data4[[#This Row],[range_miles]]&gt;=350,"Long-Range",IF(EV_Data4[[#This Row],[range_miles]]&gt;=250,"Medium-Range","Short-Range"))</f>
        <v>Short-Range</v>
      </c>
      <c r="AE338" t="str">
        <f>IF(EV_Data4[[#This Row],[charging_speed_kw]]&gt;=250,"Ultra-Fast",IF(EV_Data4[[#This Row],[charging_speed_kw]]&gt;=150,"Fast-Charging","Standard-Charging"))</f>
        <v>Standard-Charging</v>
      </c>
      <c r="AF338" t="str">
        <f>IF(EV_Data4[[#This Row],[acceleration_0_60_mph]]&lt;=3,"SportsPerformance",IF(EV_Data4[[#This Row],[acceleration_0_60_mph]]&lt;=5,"HighPerformance","Standard"))</f>
        <v>Standard</v>
      </c>
      <c r="AG338" t="str">
        <f>IF(EV_Data4[[#This Row],[customer_rating]]&gt;=4.5,"Excellent",IF(EV_Data4[[#This Row],[customer_rating]]&gt;=3.5,"Good","Average"))</f>
        <v>Average</v>
      </c>
      <c r="AH33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39" spans="1:34" x14ac:dyDescent="0.3">
      <c r="A339" t="s">
        <v>38</v>
      </c>
      <c r="B339" t="s">
        <v>102</v>
      </c>
      <c r="C339">
        <v>2026</v>
      </c>
      <c r="D339" t="s">
        <v>26</v>
      </c>
      <c r="E339" s="3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48</v>
      </c>
      <c r="N339">
        <v>5</v>
      </c>
      <c r="O339" t="s">
        <v>35</v>
      </c>
      <c r="P339">
        <v>44.4</v>
      </c>
      <c r="Q339">
        <v>2235</v>
      </c>
      <c r="R339">
        <v>5</v>
      </c>
      <c r="S339">
        <v>2</v>
      </c>
      <c r="T339" t="s">
        <v>41</v>
      </c>
      <c r="U339" t="s">
        <v>37</v>
      </c>
      <c r="V339" s="3">
        <v>18263</v>
      </c>
      <c r="W339">
        <v>3.65</v>
      </c>
      <c r="X339">
        <v>4</v>
      </c>
      <c r="Y339" s="1">
        <f>EV_Data4[[#This Row],[range_miles]]/EV_Data4[[#This Row],[battery_capacity_kwh]]</f>
        <v>3.3850364963503652</v>
      </c>
      <c r="Z339" s="4">
        <f>EV_Data4[[#This Row],[price_usd]]/EV_Data4[[#This Row],[range_miles]]</f>
        <v>114.66134770889488</v>
      </c>
      <c r="AA339" s="2">
        <f>(EV_Data4[[#This Row],[customer_rating]]*EV_Data4[[#This Row],[safety_rating]]*1000)/EV_Data4[[#This Row],[price_usd]]</f>
        <v>0.42901444685580603</v>
      </c>
      <c r="AB339">
        <f>EV_Data4[[#This Row],[horsepower]]+EV_Data4[[#This Row],[torque_nm]]/EV_Data4[[#This Row],[acceleration_0_60_mph]]</f>
        <v>592.5454545454545</v>
      </c>
      <c r="AC339" t="str">
        <f>IF(EV_Data4[[#This Row],[price_usd]]&gt;=80000,"Luxury",IF(EV_Data4[[#This Row],[price_usd]]&gt;=40000,"Mid-Range","Budget"))</f>
        <v>Mid-Range</v>
      </c>
      <c r="AD339" t="str">
        <f>IF(EV_Data4[[#This Row],[range_miles]]&gt;=350,"Long-Range",IF(EV_Data4[[#This Row],[range_miles]]&gt;=250,"Medium-Range","Short-Range"))</f>
        <v>Long-Range</v>
      </c>
      <c r="AE339" t="str">
        <f>IF(EV_Data4[[#This Row],[charging_speed_kw]]&gt;=250,"Ultra-Fast",IF(EV_Data4[[#This Row],[charging_speed_kw]]&gt;=150,"Fast-Charging","Standard-Charging"))</f>
        <v>Fast-Charging</v>
      </c>
      <c r="AF339" t="str">
        <f>IF(EV_Data4[[#This Row],[acceleration_0_60_mph]]&lt;=3,"SportsPerformance",IF(EV_Data4[[#This Row],[acceleration_0_60_mph]]&lt;=5,"HighPerformance","Standard"))</f>
        <v>SportsPerformance</v>
      </c>
      <c r="AG339" t="str">
        <f>IF(EV_Data4[[#This Row],[customer_rating]]&gt;=4.5,"Excellent",IF(EV_Data4[[#This Row],[customer_rating]]&gt;=3.5,"Good","Average"))</f>
        <v>Good</v>
      </c>
      <c r="AH33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40" spans="1:34" x14ac:dyDescent="0.3">
      <c r="A340" t="s">
        <v>68</v>
      </c>
      <c r="B340" t="s">
        <v>106</v>
      </c>
      <c r="C340">
        <v>2026</v>
      </c>
      <c r="D340" t="s">
        <v>33</v>
      </c>
      <c r="E340" s="3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48</v>
      </c>
      <c r="N340">
        <v>7</v>
      </c>
      <c r="O340" t="s">
        <v>58</v>
      </c>
      <c r="P340">
        <v>26</v>
      </c>
      <c r="Q340">
        <v>1500</v>
      </c>
      <c r="R340">
        <v>4</v>
      </c>
      <c r="S340">
        <v>1</v>
      </c>
      <c r="T340" t="s">
        <v>45</v>
      </c>
      <c r="U340" t="s">
        <v>33</v>
      </c>
      <c r="V340" s="3">
        <v>147601</v>
      </c>
      <c r="W340">
        <v>3.5</v>
      </c>
      <c r="X340">
        <v>4</v>
      </c>
      <c r="Y340" s="1">
        <f>EV_Data4[[#This Row],[range_miles]]/EV_Data4[[#This Row],[battery_capacity_kwh]]</f>
        <v>3.5829959514170042</v>
      </c>
      <c r="Z340" s="4">
        <f>EV_Data4[[#This Row],[price_usd]]/EV_Data4[[#This Row],[range_miles]]</f>
        <v>491.13355932203388</v>
      </c>
      <c r="AA340" s="2">
        <f>(EV_Data4[[#This Row],[customer_rating]]*EV_Data4[[#This Row],[safety_rating]]*1000)/EV_Data4[[#This Row],[price_usd]]</f>
        <v>0.16104793430716718</v>
      </c>
      <c r="AB340">
        <f>EV_Data4[[#This Row],[horsepower]]+EV_Data4[[#This Row],[torque_nm]]/EV_Data4[[#This Row],[acceleration_0_60_mph]]</f>
        <v>1156.2162162162163</v>
      </c>
      <c r="AC340" t="str">
        <f>IF(EV_Data4[[#This Row],[price_usd]]&gt;=80000,"Luxury",IF(EV_Data4[[#This Row],[price_usd]]&gt;=40000,"Mid-Range","Budget"))</f>
        <v>Luxury</v>
      </c>
      <c r="AD340" t="str">
        <f>IF(EV_Data4[[#This Row],[range_miles]]&gt;=350,"Long-Range",IF(EV_Data4[[#This Row],[range_miles]]&gt;=250,"Medium-Range","Short-Range"))</f>
        <v>Short-Range</v>
      </c>
      <c r="AE340" t="str">
        <f>IF(EV_Data4[[#This Row],[charging_speed_kw]]&gt;=250,"Ultra-Fast",IF(EV_Data4[[#This Row],[charging_speed_kw]]&gt;=150,"Fast-Charging","Standard-Charging"))</f>
        <v>Standard-Charging</v>
      </c>
      <c r="AF340" t="str">
        <f>IF(EV_Data4[[#This Row],[acceleration_0_60_mph]]&lt;=3,"SportsPerformance",IF(EV_Data4[[#This Row],[acceleration_0_60_mph]]&lt;=5,"HighPerformance","Standard"))</f>
        <v>Standard</v>
      </c>
      <c r="AG340" t="str">
        <f>IF(EV_Data4[[#This Row],[customer_rating]]&gt;=4.5,"Excellent",IF(EV_Data4[[#This Row],[customer_rating]]&gt;=3.5,"Good","Average"))</f>
        <v>Good</v>
      </c>
      <c r="AH34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41" spans="1:34" x14ac:dyDescent="0.3">
      <c r="A341" t="s">
        <v>46</v>
      </c>
      <c r="B341" t="s">
        <v>57</v>
      </c>
      <c r="C341">
        <v>2025</v>
      </c>
      <c r="D341" t="s">
        <v>33</v>
      </c>
      <c r="E341" s="3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27</v>
      </c>
      <c r="N341">
        <v>5</v>
      </c>
      <c r="O341" t="s">
        <v>58</v>
      </c>
      <c r="P341">
        <v>22.4</v>
      </c>
      <c r="Q341">
        <v>1618</v>
      </c>
      <c r="R341">
        <v>5</v>
      </c>
      <c r="S341">
        <v>2</v>
      </c>
      <c r="T341" t="s">
        <v>41</v>
      </c>
      <c r="U341" t="s">
        <v>30</v>
      </c>
      <c r="V341" s="3">
        <v>210253</v>
      </c>
      <c r="W341">
        <v>3.9</v>
      </c>
      <c r="X341">
        <v>4</v>
      </c>
      <c r="Y341" s="1">
        <f>EV_Data4[[#This Row],[range_miles]]/EV_Data4[[#This Row],[battery_capacity_kwh]]</f>
        <v>3.15359477124183</v>
      </c>
      <c r="Z341" s="4">
        <f>EV_Data4[[#This Row],[price_usd]]/EV_Data4[[#This Row],[range_miles]]</f>
        <v>839.54632124352338</v>
      </c>
      <c r="AA341" s="2">
        <f>(EV_Data4[[#This Row],[customer_rating]]*EV_Data4[[#This Row],[safety_rating]]*1000)/EV_Data4[[#This Row],[price_usd]]</f>
        <v>0.12034627140096144</v>
      </c>
      <c r="AB341">
        <f>EV_Data4[[#This Row],[horsepower]]+EV_Data4[[#This Row],[torque_nm]]/EV_Data4[[#This Row],[acceleration_0_60_mph]]</f>
        <v>1111.3874345549739</v>
      </c>
      <c r="AC341" t="str">
        <f>IF(EV_Data4[[#This Row],[price_usd]]&gt;=80000,"Luxury",IF(EV_Data4[[#This Row],[price_usd]]&gt;=40000,"Mid-Range","Budget"))</f>
        <v>Luxury</v>
      </c>
      <c r="AD341" t="str">
        <f>IF(EV_Data4[[#This Row],[range_miles]]&gt;=350,"Long-Range",IF(EV_Data4[[#This Row],[range_miles]]&gt;=250,"Medium-Range","Short-Range"))</f>
        <v>Short-Range</v>
      </c>
      <c r="AE341" t="str">
        <f>IF(EV_Data4[[#This Row],[charging_speed_kw]]&gt;=250,"Ultra-Fast",IF(EV_Data4[[#This Row],[charging_speed_kw]]&gt;=150,"Fast-Charging","Standard-Charging"))</f>
        <v>Ultra-Fast</v>
      </c>
      <c r="AF341" t="str">
        <f>IF(EV_Data4[[#This Row],[acceleration_0_60_mph]]&lt;=3,"SportsPerformance",IF(EV_Data4[[#This Row],[acceleration_0_60_mph]]&lt;=5,"HighPerformance","Standard"))</f>
        <v>Standard</v>
      </c>
      <c r="AG341" t="str">
        <f>IF(EV_Data4[[#This Row],[customer_rating]]&gt;=4.5,"Excellent",IF(EV_Data4[[#This Row],[customer_rating]]&gt;=3.5,"Good","Average"))</f>
        <v>Good</v>
      </c>
      <c r="AH34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42" spans="1:34" x14ac:dyDescent="0.3">
      <c r="A342" t="s">
        <v>68</v>
      </c>
      <c r="B342" t="s">
        <v>69</v>
      </c>
      <c r="C342">
        <v>2025</v>
      </c>
      <c r="D342" t="s">
        <v>33</v>
      </c>
      <c r="E342" s="3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27</v>
      </c>
      <c r="N342">
        <v>5</v>
      </c>
      <c r="O342" t="s">
        <v>51</v>
      </c>
      <c r="P342">
        <v>34.4</v>
      </c>
      <c r="Q342">
        <v>2027</v>
      </c>
      <c r="R342">
        <v>5</v>
      </c>
      <c r="S342">
        <v>2</v>
      </c>
      <c r="T342" t="s">
        <v>45</v>
      </c>
      <c r="U342" t="s">
        <v>37</v>
      </c>
      <c r="V342" s="3">
        <v>55671</v>
      </c>
      <c r="W342">
        <v>3.38</v>
      </c>
      <c r="X342">
        <v>3</v>
      </c>
      <c r="Y342" s="1">
        <f>EV_Data4[[#This Row],[range_miles]]/EV_Data4[[#This Row],[battery_capacity_kwh]]</f>
        <v>4.4318181818181817</v>
      </c>
      <c r="Z342" s="4">
        <f>EV_Data4[[#This Row],[price_usd]]/EV_Data4[[#This Row],[range_miles]]</f>
        <v>218.10623931623931</v>
      </c>
      <c r="AA342" s="2">
        <f>(EV_Data4[[#This Row],[customer_rating]]*EV_Data4[[#This Row],[safety_rating]]*1000)/EV_Data4[[#This Row],[price_usd]]</f>
        <v>0.33113322410508794</v>
      </c>
      <c r="AB342">
        <f>EV_Data4[[#This Row],[horsepower]]+EV_Data4[[#This Row],[torque_nm]]/EV_Data4[[#This Row],[acceleration_0_60_mph]]</f>
        <v>656.99864314789693</v>
      </c>
      <c r="AC342" t="str">
        <f>IF(EV_Data4[[#This Row],[price_usd]]&gt;=80000,"Luxury",IF(EV_Data4[[#This Row],[price_usd]]&gt;=40000,"Mid-Range","Budget"))</f>
        <v>Mid-Range</v>
      </c>
      <c r="AD342" t="str">
        <f>IF(EV_Data4[[#This Row],[range_miles]]&gt;=350,"Long-Range",IF(EV_Data4[[#This Row],[range_miles]]&gt;=250,"Medium-Range","Short-Range"))</f>
        <v>Short-Range</v>
      </c>
      <c r="AE342" t="str">
        <f>IF(EV_Data4[[#This Row],[charging_speed_kw]]&gt;=250,"Ultra-Fast",IF(EV_Data4[[#This Row],[charging_speed_kw]]&gt;=150,"Fast-Charging","Standard-Charging"))</f>
        <v>Standard-Charging</v>
      </c>
      <c r="AF342" t="str">
        <f>IF(EV_Data4[[#This Row],[acceleration_0_60_mph]]&lt;=3,"SportsPerformance",IF(EV_Data4[[#This Row],[acceleration_0_60_mph]]&lt;=5,"HighPerformance","Standard"))</f>
        <v>Standard</v>
      </c>
      <c r="AG342" t="str">
        <f>IF(EV_Data4[[#This Row],[customer_rating]]&gt;=4.5,"Excellent",IF(EV_Data4[[#This Row],[customer_rating]]&gt;=3.5,"Good","Average"))</f>
        <v>Average</v>
      </c>
      <c r="AH34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43" spans="1:34" x14ac:dyDescent="0.3">
      <c r="A343" t="s">
        <v>68</v>
      </c>
      <c r="B343" t="s">
        <v>69</v>
      </c>
      <c r="C343">
        <v>2024</v>
      </c>
      <c r="D343" t="s">
        <v>56</v>
      </c>
      <c r="E343" s="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48</v>
      </c>
      <c r="N343">
        <v>5</v>
      </c>
      <c r="O343" t="s">
        <v>40</v>
      </c>
      <c r="P343">
        <v>65.7</v>
      </c>
      <c r="Q343">
        <v>1635</v>
      </c>
      <c r="R343">
        <v>4</v>
      </c>
      <c r="S343">
        <v>1</v>
      </c>
      <c r="T343" t="s">
        <v>45</v>
      </c>
      <c r="U343" t="s">
        <v>37</v>
      </c>
      <c r="V343" s="3">
        <v>89573</v>
      </c>
      <c r="W343">
        <v>3.43</v>
      </c>
      <c r="X343">
        <v>3</v>
      </c>
      <c r="Y343" s="1">
        <f>EV_Data4[[#This Row],[range_miles]]/EV_Data4[[#This Row],[battery_capacity_kwh]]</f>
        <v>3.5629453681710213</v>
      </c>
      <c r="Z343" s="4">
        <f>EV_Data4[[#This Row],[price_usd]]/EV_Data4[[#This Row],[range_miles]]</f>
        <v>348.15539999999999</v>
      </c>
      <c r="AA343" s="2">
        <f>(EV_Data4[[#This Row],[customer_rating]]*EV_Data4[[#This Row],[safety_rating]]*1000)/EV_Data4[[#This Row],[price_usd]]</f>
        <v>0.26271793189669518</v>
      </c>
      <c r="AB343">
        <f>EV_Data4[[#This Row],[horsepower]]+EV_Data4[[#This Row],[torque_nm]]/EV_Data4[[#This Row],[acceleration_0_60_mph]]</f>
        <v>647.06312292358803</v>
      </c>
      <c r="AC343" t="str">
        <f>IF(EV_Data4[[#This Row],[price_usd]]&gt;=80000,"Luxury",IF(EV_Data4[[#This Row],[price_usd]]&gt;=40000,"Mid-Range","Budget"))</f>
        <v>Mid-Range</v>
      </c>
      <c r="AD343" t="str">
        <f>IF(EV_Data4[[#This Row],[range_miles]]&gt;=350,"Long-Range",IF(EV_Data4[[#This Row],[range_miles]]&gt;=250,"Medium-Range","Short-Range"))</f>
        <v>Short-Range</v>
      </c>
      <c r="AE343" t="str">
        <f>IF(EV_Data4[[#This Row],[charging_speed_kw]]&gt;=250,"Ultra-Fast",IF(EV_Data4[[#This Row],[charging_speed_kw]]&gt;=150,"Fast-Charging","Standard-Charging"))</f>
        <v>Standard-Charging</v>
      </c>
      <c r="AF343" t="str">
        <f>IF(EV_Data4[[#This Row],[acceleration_0_60_mph]]&lt;=3,"SportsPerformance",IF(EV_Data4[[#This Row],[acceleration_0_60_mph]]&lt;=5,"HighPerformance","Standard"))</f>
        <v>Standard</v>
      </c>
      <c r="AG343" t="str">
        <f>IF(EV_Data4[[#This Row],[customer_rating]]&gt;=4.5,"Excellent",IF(EV_Data4[[#This Row],[customer_rating]]&gt;=3.5,"Good","Average"))</f>
        <v>Average</v>
      </c>
      <c r="AH34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44" spans="1:34" x14ac:dyDescent="0.3">
      <c r="A344" t="s">
        <v>46</v>
      </c>
      <c r="B344" t="s">
        <v>57</v>
      </c>
      <c r="C344">
        <v>2025</v>
      </c>
      <c r="D344" t="s">
        <v>56</v>
      </c>
      <c r="E344" s="3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27</v>
      </c>
      <c r="N344">
        <v>5</v>
      </c>
      <c r="O344" t="s">
        <v>51</v>
      </c>
      <c r="P344">
        <v>37.4</v>
      </c>
      <c r="Q344">
        <v>1787</v>
      </c>
      <c r="R344">
        <v>4</v>
      </c>
      <c r="S344">
        <v>3</v>
      </c>
      <c r="T344" t="s">
        <v>41</v>
      </c>
      <c r="U344" t="s">
        <v>37</v>
      </c>
      <c r="V344" s="3">
        <v>101221</v>
      </c>
      <c r="W344">
        <v>3.6</v>
      </c>
      <c r="X344">
        <v>4</v>
      </c>
      <c r="Y344" s="1">
        <f>EV_Data4[[#This Row],[range_miles]]/EV_Data4[[#This Row],[battery_capacity_kwh]]</f>
        <v>3.694581280788177</v>
      </c>
      <c r="Z344" s="4">
        <f>EV_Data4[[#This Row],[price_usd]]/EV_Data4[[#This Row],[range_miles]]</f>
        <v>360.12126666666666</v>
      </c>
      <c r="AA344" s="2">
        <f>(EV_Data4[[#This Row],[customer_rating]]*EV_Data4[[#This Row],[safety_rating]]*1000)/EV_Data4[[#This Row],[price_usd]]</f>
        <v>0.26657686975442901</v>
      </c>
      <c r="AB344">
        <f>EV_Data4[[#This Row],[horsepower]]+EV_Data4[[#This Row],[torque_nm]]/EV_Data4[[#This Row],[acceleration_0_60_mph]]</f>
        <v>426.86450662739321</v>
      </c>
      <c r="AC344" t="str">
        <f>IF(EV_Data4[[#This Row],[price_usd]]&gt;=80000,"Luxury",IF(EV_Data4[[#This Row],[price_usd]]&gt;=40000,"Mid-Range","Budget"))</f>
        <v>Mid-Range</v>
      </c>
      <c r="AD344" t="str">
        <f>IF(EV_Data4[[#This Row],[range_miles]]&gt;=350,"Long-Range",IF(EV_Data4[[#This Row],[range_miles]]&gt;=250,"Medium-Range","Short-Range"))</f>
        <v>Short-Range</v>
      </c>
      <c r="AE344" t="str">
        <f>IF(EV_Data4[[#This Row],[charging_speed_kw]]&gt;=250,"Ultra-Fast",IF(EV_Data4[[#This Row],[charging_speed_kw]]&gt;=150,"Fast-Charging","Standard-Charging"))</f>
        <v>Fast-Charging</v>
      </c>
      <c r="AF344" t="str">
        <f>IF(EV_Data4[[#This Row],[acceleration_0_60_mph]]&lt;=3,"SportsPerformance",IF(EV_Data4[[#This Row],[acceleration_0_60_mph]]&lt;=5,"HighPerformance","Standard"))</f>
        <v>Standard</v>
      </c>
      <c r="AG344" t="str">
        <f>IF(EV_Data4[[#This Row],[customer_rating]]&gt;=4.5,"Excellent",IF(EV_Data4[[#This Row],[customer_rating]]&gt;=3.5,"Good","Average"))</f>
        <v>Good</v>
      </c>
      <c r="AH34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345" spans="1:34" x14ac:dyDescent="0.3">
      <c r="A345" t="s">
        <v>24</v>
      </c>
      <c r="B345" t="s">
        <v>74</v>
      </c>
      <c r="C345">
        <v>2025</v>
      </c>
      <c r="D345" t="s">
        <v>56</v>
      </c>
      <c r="E345" s="3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48</v>
      </c>
      <c r="N345">
        <v>5</v>
      </c>
      <c r="O345" t="s">
        <v>40</v>
      </c>
      <c r="P345">
        <v>74.5</v>
      </c>
      <c r="Q345">
        <v>1500</v>
      </c>
      <c r="R345">
        <v>4</v>
      </c>
      <c r="S345">
        <v>0</v>
      </c>
      <c r="T345" t="s">
        <v>29</v>
      </c>
      <c r="U345" t="s">
        <v>33</v>
      </c>
      <c r="V345" s="3">
        <v>237990</v>
      </c>
      <c r="W345">
        <v>3.28</v>
      </c>
      <c r="X345">
        <v>4</v>
      </c>
      <c r="Y345" s="1">
        <f>EV_Data4[[#This Row],[range_miles]]/EV_Data4[[#This Row],[battery_capacity_kwh]]</f>
        <v>3.6231884057971016</v>
      </c>
      <c r="Z345" s="4">
        <f>EV_Data4[[#This Row],[price_usd]]/EV_Data4[[#This Row],[range_miles]]</f>
        <v>524.41433333333327</v>
      </c>
      <c r="AA345" s="2">
        <f>(EV_Data4[[#This Row],[customer_rating]]*EV_Data4[[#This Row],[safety_rating]]*1000)/EV_Data4[[#This Row],[price_usd]]</f>
        <v>0.16678923726341069</v>
      </c>
      <c r="AB345">
        <f>EV_Data4[[#This Row],[horsepower]]+EV_Data4[[#This Row],[torque_nm]]/EV_Data4[[#This Row],[acceleration_0_60_mph]]</f>
        <v>997.3564993564994</v>
      </c>
      <c r="AC345" t="str">
        <f>IF(EV_Data4[[#This Row],[price_usd]]&gt;=80000,"Luxury",IF(EV_Data4[[#This Row],[price_usd]]&gt;=40000,"Mid-Range","Budget"))</f>
        <v>Mid-Range</v>
      </c>
      <c r="AD345" t="str">
        <f>IF(EV_Data4[[#This Row],[range_miles]]&gt;=350,"Long-Range",IF(EV_Data4[[#This Row],[range_miles]]&gt;=250,"Medium-Range","Short-Range"))</f>
        <v>Short-Range</v>
      </c>
      <c r="AE345" t="str">
        <f>IF(EV_Data4[[#This Row],[charging_speed_kw]]&gt;=250,"Ultra-Fast",IF(EV_Data4[[#This Row],[charging_speed_kw]]&gt;=150,"Fast-Charging","Standard-Charging"))</f>
        <v>Standard-Charging</v>
      </c>
      <c r="AF345" t="str">
        <f>IF(EV_Data4[[#This Row],[acceleration_0_60_mph]]&lt;=3,"SportsPerformance",IF(EV_Data4[[#This Row],[acceleration_0_60_mph]]&lt;=5,"HighPerformance","Standard"))</f>
        <v>Standard</v>
      </c>
      <c r="AG345" t="str">
        <f>IF(EV_Data4[[#This Row],[customer_rating]]&gt;=4.5,"Excellent",IF(EV_Data4[[#This Row],[customer_rating]]&gt;=3.5,"Good","Average"))</f>
        <v>Average</v>
      </c>
      <c r="AH34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46" spans="1:34" x14ac:dyDescent="0.3">
      <c r="A346" t="s">
        <v>24</v>
      </c>
      <c r="B346" t="s">
        <v>25</v>
      </c>
      <c r="C346">
        <v>2026</v>
      </c>
      <c r="D346" t="s">
        <v>61</v>
      </c>
      <c r="E346" s="3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34</v>
      </c>
      <c r="N346">
        <v>7</v>
      </c>
      <c r="O346" t="s">
        <v>28</v>
      </c>
      <c r="P346">
        <v>69.900000000000006</v>
      </c>
      <c r="Q346">
        <v>2758</v>
      </c>
      <c r="R346">
        <v>3</v>
      </c>
      <c r="S346">
        <v>1</v>
      </c>
      <c r="T346" t="s">
        <v>29</v>
      </c>
      <c r="U346" t="s">
        <v>37</v>
      </c>
      <c r="V346" s="3">
        <v>248701</v>
      </c>
      <c r="W346">
        <v>3.08</v>
      </c>
      <c r="X346">
        <v>5</v>
      </c>
      <c r="Y346" s="1">
        <f>EV_Data4[[#This Row],[range_miles]]/EV_Data4[[#This Row],[battery_capacity_kwh]]</f>
        <v>3.5897435897435899</v>
      </c>
      <c r="Z346" s="4">
        <f>EV_Data4[[#This Row],[price_usd]]/EV_Data4[[#This Row],[range_miles]]</f>
        <v>236.92595238095237</v>
      </c>
      <c r="AA346" s="2">
        <f>(EV_Data4[[#This Row],[customer_rating]]*EV_Data4[[#This Row],[safety_rating]]*1000)/EV_Data4[[#This Row],[price_usd]]</f>
        <v>0.23214003973513928</v>
      </c>
      <c r="AB346">
        <f>EV_Data4[[#This Row],[horsepower]]+EV_Data4[[#This Row],[torque_nm]]/EV_Data4[[#This Row],[acceleration_0_60_mph]]</f>
        <v>312.19334389857369</v>
      </c>
      <c r="AC346" t="str">
        <f>IF(EV_Data4[[#This Row],[price_usd]]&gt;=80000,"Luxury",IF(EV_Data4[[#This Row],[price_usd]]&gt;=40000,"Mid-Range","Budget"))</f>
        <v>Budget</v>
      </c>
      <c r="AD346" t="str">
        <f>IF(EV_Data4[[#This Row],[range_miles]]&gt;=350,"Long-Range",IF(EV_Data4[[#This Row],[range_miles]]&gt;=250,"Medium-Range","Short-Range"))</f>
        <v>Short-Range</v>
      </c>
      <c r="AE346" t="str">
        <f>IF(EV_Data4[[#This Row],[charging_speed_kw]]&gt;=250,"Ultra-Fast",IF(EV_Data4[[#This Row],[charging_speed_kw]]&gt;=150,"Fast-Charging","Standard-Charging"))</f>
        <v>Standard-Charging</v>
      </c>
      <c r="AF346" t="str">
        <f>IF(EV_Data4[[#This Row],[acceleration_0_60_mph]]&lt;=3,"SportsPerformance",IF(EV_Data4[[#This Row],[acceleration_0_60_mph]]&lt;=5,"HighPerformance","Standard"))</f>
        <v>Standard</v>
      </c>
      <c r="AG346" t="str">
        <f>IF(EV_Data4[[#This Row],[customer_rating]]&gt;=4.5,"Excellent",IF(EV_Data4[[#This Row],[customer_rating]]&gt;=3.5,"Good","Average"))</f>
        <v>Average</v>
      </c>
      <c r="AH34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47" spans="1:34" x14ac:dyDescent="0.3">
      <c r="A347" t="s">
        <v>42</v>
      </c>
      <c r="B347" t="s">
        <v>80</v>
      </c>
      <c r="C347">
        <v>2025</v>
      </c>
      <c r="D347" t="s">
        <v>33</v>
      </c>
      <c r="E347" s="3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27</v>
      </c>
      <c r="N347">
        <v>5</v>
      </c>
      <c r="O347" t="s">
        <v>35</v>
      </c>
      <c r="P347">
        <v>45.2</v>
      </c>
      <c r="Q347">
        <v>2221</v>
      </c>
      <c r="R347">
        <v>5</v>
      </c>
      <c r="S347">
        <v>1</v>
      </c>
      <c r="T347" t="s">
        <v>45</v>
      </c>
      <c r="U347" t="s">
        <v>30</v>
      </c>
      <c r="V347" s="3">
        <v>50563</v>
      </c>
      <c r="W347">
        <v>3.44</v>
      </c>
      <c r="X347">
        <v>3</v>
      </c>
      <c r="Y347" s="1">
        <f>EV_Data4[[#This Row],[range_miles]]/EV_Data4[[#This Row],[battery_capacity_kwh]]</f>
        <v>3.3809523809523809</v>
      </c>
      <c r="Z347" s="4">
        <f>EV_Data4[[#This Row],[price_usd]]/EV_Data4[[#This Row],[range_miles]]</f>
        <v>485.97394366197182</v>
      </c>
      <c r="AA347" s="2">
        <f>(EV_Data4[[#This Row],[customer_rating]]*EV_Data4[[#This Row],[safety_rating]]*1000)/EV_Data4[[#This Row],[price_usd]]</f>
        <v>0.16616358708541823</v>
      </c>
      <c r="AB347">
        <f>EV_Data4[[#This Row],[horsepower]]+EV_Data4[[#This Row],[torque_nm]]/EV_Data4[[#This Row],[acceleration_0_60_mph]]</f>
        <v>1120.1307189542483</v>
      </c>
      <c r="AC347" t="str">
        <f>IF(EV_Data4[[#This Row],[price_usd]]&gt;=80000,"Luxury",IF(EV_Data4[[#This Row],[price_usd]]&gt;=40000,"Mid-Range","Budget"))</f>
        <v>Luxury</v>
      </c>
      <c r="AD347" t="str">
        <f>IF(EV_Data4[[#This Row],[range_miles]]&gt;=350,"Long-Range",IF(EV_Data4[[#This Row],[range_miles]]&gt;=250,"Medium-Range","Short-Range"))</f>
        <v>Short-Range</v>
      </c>
      <c r="AE347" t="str">
        <f>IF(EV_Data4[[#This Row],[charging_speed_kw]]&gt;=250,"Ultra-Fast",IF(EV_Data4[[#This Row],[charging_speed_kw]]&gt;=150,"Fast-Charging","Standard-Charging"))</f>
        <v>Standard-Charging</v>
      </c>
      <c r="AF347" t="str">
        <f>IF(EV_Data4[[#This Row],[acceleration_0_60_mph]]&lt;=3,"SportsPerformance",IF(EV_Data4[[#This Row],[acceleration_0_60_mph]]&lt;=5,"HighPerformance","Standard"))</f>
        <v>Standard</v>
      </c>
      <c r="AG347" t="str">
        <f>IF(EV_Data4[[#This Row],[customer_rating]]&gt;=4.5,"Excellent",IF(EV_Data4[[#This Row],[customer_rating]]&gt;=3.5,"Good","Average"))</f>
        <v>Average</v>
      </c>
      <c r="AH34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48" spans="1:34" x14ac:dyDescent="0.3">
      <c r="A348" t="s">
        <v>83</v>
      </c>
      <c r="B348" t="s">
        <v>114</v>
      </c>
      <c r="C348">
        <v>2024</v>
      </c>
      <c r="D348" t="s">
        <v>26</v>
      </c>
      <c r="E348" s="3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27</v>
      </c>
      <c r="N348">
        <v>5</v>
      </c>
      <c r="O348" t="s">
        <v>35</v>
      </c>
      <c r="P348">
        <v>68.3</v>
      </c>
      <c r="Q348">
        <v>2006</v>
      </c>
      <c r="R348">
        <v>5</v>
      </c>
      <c r="S348">
        <v>1</v>
      </c>
      <c r="T348" t="s">
        <v>29</v>
      </c>
      <c r="U348" t="s">
        <v>33</v>
      </c>
      <c r="V348" s="3">
        <v>21525</v>
      </c>
      <c r="W348">
        <v>3.69</v>
      </c>
      <c r="X348">
        <v>5</v>
      </c>
      <c r="Y348" s="1">
        <f>EV_Data4[[#This Row],[range_miles]]/EV_Data4[[#This Row],[battery_capacity_kwh]]</f>
        <v>3.5812356979405031</v>
      </c>
      <c r="Z348" s="4">
        <f>EV_Data4[[#This Row],[price_usd]]/EV_Data4[[#This Row],[range_miles]]</f>
        <v>245.03638977635782</v>
      </c>
      <c r="AA348" s="2">
        <f>(EV_Data4[[#This Row],[customer_rating]]*EV_Data4[[#This Row],[safety_rating]]*1000)/EV_Data4[[#This Row],[price_usd]]</f>
        <v>0.24055891026944032</v>
      </c>
      <c r="AB348">
        <f>EV_Data4[[#This Row],[horsepower]]+EV_Data4[[#This Row],[torque_nm]]/EV_Data4[[#This Row],[acceleration_0_60_mph]]</f>
        <v>657.09742120343844</v>
      </c>
      <c r="AC348" t="str">
        <f>IF(EV_Data4[[#This Row],[price_usd]]&gt;=80000,"Luxury",IF(EV_Data4[[#This Row],[price_usd]]&gt;=40000,"Mid-Range","Budget"))</f>
        <v>Mid-Range</v>
      </c>
      <c r="AD348" t="str">
        <f>IF(EV_Data4[[#This Row],[range_miles]]&gt;=350,"Long-Range",IF(EV_Data4[[#This Row],[range_miles]]&gt;=250,"Medium-Range","Short-Range"))</f>
        <v>Medium-Range</v>
      </c>
      <c r="AE348" t="str">
        <f>IF(EV_Data4[[#This Row],[charging_speed_kw]]&gt;=250,"Ultra-Fast",IF(EV_Data4[[#This Row],[charging_speed_kw]]&gt;=150,"Fast-Charging","Standard-Charging"))</f>
        <v>Fast-Charging</v>
      </c>
      <c r="AF348" t="str">
        <f>IF(EV_Data4[[#This Row],[acceleration_0_60_mph]]&lt;=3,"SportsPerformance",IF(EV_Data4[[#This Row],[acceleration_0_60_mph]]&lt;=5,"HighPerformance","Standard"))</f>
        <v>HighPerformance</v>
      </c>
      <c r="AG348" t="str">
        <f>IF(EV_Data4[[#This Row],[customer_rating]]&gt;=4.5,"Excellent",IF(EV_Data4[[#This Row],[customer_rating]]&gt;=3.5,"Good","Average"))</f>
        <v>Good</v>
      </c>
      <c r="AH34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49" spans="1:34" x14ac:dyDescent="0.3">
      <c r="A349" t="s">
        <v>46</v>
      </c>
      <c r="B349" t="s">
        <v>57</v>
      </c>
      <c r="C349">
        <v>2023</v>
      </c>
      <c r="D349" t="s">
        <v>44</v>
      </c>
      <c r="E349" s="3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34</v>
      </c>
      <c r="N349">
        <v>5</v>
      </c>
      <c r="O349" t="s">
        <v>50</v>
      </c>
      <c r="P349">
        <v>39.200000000000003</v>
      </c>
      <c r="Q349">
        <v>1521</v>
      </c>
      <c r="R349">
        <v>4</v>
      </c>
      <c r="S349">
        <v>2</v>
      </c>
      <c r="T349" t="s">
        <v>41</v>
      </c>
      <c r="U349" t="s">
        <v>33</v>
      </c>
      <c r="V349" s="3">
        <v>246839</v>
      </c>
      <c r="W349">
        <v>3.98</v>
      </c>
      <c r="X349">
        <v>4</v>
      </c>
      <c r="Y349" s="1">
        <f>EV_Data4[[#This Row],[range_miles]]/EV_Data4[[#This Row],[battery_capacity_kwh]]</f>
        <v>3.6808236808236807</v>
      </c>
      <c r="Z349" s="4">
        <f>EV_Data4[[#This Row],[price_usd]]/EV_Data4[[#This Row],[range_miles]]</f>
        <v>344.78339160839164</v>
      </c>
      <c r="AA349" s="2">
        <f>(EV_Data4[[#This Row],[customer_rating]]*EV_Data4[[#This Row],[safety_rating]]*1000)/EV_Data4[[#This Row],[price_usd]]</f>
        <v>0.16144726520806363</v>
      </c>
      <c r="AB349">
        <f>EV_Data4[[#This Row],[horsepower]]+EV_Data4[[#This Row],[torque_nm]]/EV_Data4[[#This Row],[acceleration_0_60_mph]]</f>
        <v>859.70040485829963</v>
      </c>
      <c r="AC349" t="str">
        <f>IF(EV_Data4[[#This Row],[price_usd]]&gt;=80000,"Luxury",IF(EV_Data4[[#This Row],[price_usd]]&gt;=40000,"Mid-Range","Budget"))</f>
        <v>Luxury</v>
      </c>
      <c r="AD349" t="str">
        <f>IF(EV_Data4[[#This Row],[range_miles]]&gt;=350,"Long-Range",IF(EV_Data4[[#This Row],[range_miles]]&gt;=250,"Medium-Range","Short-Range"))</f>
        <v>Medium-Range</v>
      </c>
      <c r="AE349" t="str">
        <f>IF(EV_Data4[[#This Row],[charging_speed_kw]]&gt;=250,"Ultra-Fast",IF(EV_Data4[[#This Row],[charging_speed_kw]]&gt;=150,"Fast-Charging","Standard-Charging"))</f>
        <v>Fast-Charging</v>
      </c>
      <c r="AF349" t="str">
        <f>IF(EV_Data4[[#This Row],[acceleration_0_60_mph]]&lt;=3,"SportsPerformance",IF(EV_Data4[[#This Row],[acceleration_0_60_mph]]&lt;=5,"HighPerformance","Standard"))</f>
        <v>HighPerformance</v>
      </c>
      <c r="AG349" t="str">
        <f>IF(EV_Data4[[#This Row],[customer_rating]]&gt;=4.5,"Excellent",IF(EV_Data4[[#This Row],[customer_rating]]&gt;=3.5,"Good","Average"))</f>
        <v>Good</v>
      </c>
      <c r="AH34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50" spans="1:34" x14ac:dyDescent="0.3">
      <c r="A350" t="s">
        <v>24</v>
      </c>
      <c r="B350" t="s">
        <v>70</v>
      </c>
      <c r="C350">
        <v>2026</v>
      </c>
      <c r="D350" t="s">
        <v>61</v>
      </c>
      <c r="E350" s="3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34</v>
      </c>
      <c r="N350">
        <v>5</v>
      </c>
      <c r="O350" t="s">
        <v>50</v>
      </c>
      <c r="P350">
        <v>19</v>
      </c>
      <c r="Q350">
        <v>1583</v>
      </c>
      <c r="R350">
        <v>4</v>
      </c>
      <c r="S350">
        <v>0</v>
      </c>
      <c r="T350" t="s">
        <v>29</v>
      </c>
      <c r="U350" t="s">
        <v>33</v>
      </c>
      <c r="V350" s="3">
        <v>282690</v>
      </c>
      <c r="W350">
        <v>3.24</v>
      </c>
      <c r="X350">
        <v>3</v>
      </c>
      <c r="Y350" s="1">
        <f>EV_Data4[[#This Row],[range_miles]]/EV_Data4[[#This Row],[battery_capacity_kwh]]</f>
        <v>3.4280639431616344</v>
      </c>
      <c r="Z350" s="4">
        <f>EV_Data4[[#This Row],[price_usd]]/EV_Data4[[#This Row],[range_miles]]</f>
        <v>448.41113989637307</v>
      </c>
      <c r="AA350" s="2">
        <f>(EV_Data4[[#This Row],[customer_rating]]*EV_Data4[[#This Row],[safety_rating]]*1000)/EV_Data4[[#This Row],[price_usd]]</f>
        <v>0.14975154070185634</v>
      </c>
      <c r="AB350">
        <f>EV_Data4[[#This Row],[horsepower]]+EV_Data4[[#This Row],[torque_nm]]/EV_Data4[[#This Row],[acceleration_0_60_mph]]</f>
        <v>1058.623188405797</v>
      </c>
      <c r="AC350" t="str">
        <f>IF(EV_Data4[[#This Row],[price_usd]]&gt;=80000,"Luxury",IF(EV_Data4[[#This Row],[price_usd]]&gt;=40000,"Mid-Range","Budget"))</f>
        <v>Luxury</v>
      </c>
      <c r="AD350" t="str">
        <f>IF(EV_Data4[[#This Row],[range_miles]]&gt;=350,"Long-Range",IF(EV_Data4[[#This Row],[range_miles]]&gt;=250,"Medium-Range","Short-Range"))</f>
        <v>Short-Range</v>
      </c>
      <c r="AE350" t="str">
        <f>IF(EV_Data4[[#This Row],[charging_speed_kw]]&gt;=250,"Ultra-Fast",IF(EV_Data4[[#This Row],[charging_speed_kw]]&gt;=150,"Fast-Charging","Standard-Charging"))</f>
        <v>Standard-Charging</v>
      </c>
      <c r="AF350" t="str">
        <f>IF(EV_Data4[[#This Row],[acceleration_0_60_mph]]&lt;=3,"SportsPerformance",IF(EV_Data4[[#This Row],[acceleration_0_60_mph]]&lt;=5,"HighPerformance","Standard"))</f>
        <v>Standard</v>
      </c>
      <c r="AG350" t="str">
        <f>IF(EV_Data4[[#This Row],[customer_rating]]&gt;=4.5,"Excellent",IF(EV_Data4[[#This Row],[customer_rating]]&gt;=3.5,"Good","Average"))</f>
        <v>Average</v>
      </c>
      <c r="AH35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51" spans="1:34" x14ac:dyDescent="0.3">
      <c r="A351" t="s">
        <v>83</v>
      </c>
      <c r="B351" t="s">
        <v>116</v>
      </c>
      <c r="C351">
        <v>2026</v>
      </c>
      <c r="D351" t="s">
        <v>61</v>
      </c>
      <c r="E351" s="3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48</v>
      </c>
      <c r="N351">
        <v>5</v>
      </c>
      <c r="O351" t="s">
        <v>50</v>
      </c>
      <c r="P351">
        <v>28.4</v>
      </c>
      <c r="Q351">
        <v>1500</v>
      </c>
      <c r="R351">
        <v>5</v>
      </c>
      <c r="S351">
        <v>2</v>
      </c>
      <c r="T351" t="s">
        <v>29</v>
      </c>
      <c r="U351" t="s">
        <v>33</v>
      </c>
      <c r="V351" s="3">
        <v>49770</v>
      </c>
      <c r="W351">
        <v>3.42</v>
      </c>
      <c r="X351">
        <v>8</v>
      </c>
      <c r="Y351" s="1">
        <f>EV_Data4[[#This Row],[range_miles]]/EV_Data4[[#This Row],[battery_capacity_kwh]]</f>
        <v>3.6341463414634148</v>
      </c>
      <c r="Z351" s="4">
        <f>EV_Data4[[#This Row],[price_usd]]/EV_Data4[[#This Row],[range_miles]]</f>
        <v>244.92996644295303</v>
      </c>
      <c r="AA351" s="2">
        <f>(EV_Data4[[#This Row],[customer_rating]]*EV_Data4[[#This Row],[safety_rating]]*1000)/EV_Data4[[#This Row],[price_usd]]</f>
        <v>0.23428146081478157</v>
      </c>
      <c r="AB351">
        <f>EV_Data4[[#This Row],[horsepower]]+EV_Data4[[#This Row],[torque_nm]]/EV_Data4[[#This Row],[acceleration_0_60_mph]]</f>
        <v>532.64417177914106</v>
      </c>
      <c r="AC351" t="str">
        <f>IF(EV_Data4[[#This Row],[price_usd]]&gt;=80000,"Luxury",IF(EV_Data4[[#This Row],[price_usd]]&gt;=40000,"Mid-Range","Budget"))</f>
        <v>Mid-Range</v>
      </c>
      <c r="AD351" t="str">
        <f>IF(EV_Data4[[#This Row],[range_miles]]&gt;=350,"Long-Range",IF(EV_Data4[[#This Row],[range_miles]]&gt;=250,"Medium-Range","Short-Range"))</f>
        <v>Medium-Range</v>
      </c>
      <c r="AE351" t="str">
        <f>IF(EV_Data4[[#This Row],[charging_speed_kw]]&gt;=250,"Ultra-Fast",IF(EV_Data4[[#This Row],[charging_speed_kw]]&gt;=150,"Fast-Charging","Standard-Charging"))</f>
        <v>Standard-Charging</v>
      </c>
      <c r="AF351" t="str">
        <f>IF(EV_Data4[[#This Row],[acceleration_0_60_mph]]&lt;=3,"SportsPerformance",IF(EV_Data4[[#This Row],[acceleration_0_60_mph]]&lt;=5,"HighPerformance","Standard"))</f>
        <v>Standard</v>
      </c>
      <c r="AG351" t="str">
        <f>IF(EV_Data4[[#This Row],[customer_rating]]&gt;=4.5,"Excellent",IF(EV_Data4[[#This Row],[customer_rating]]&gt;=3.5,"Good","Average"))</f>
        <v>Average</v>
      </c>
      <c r="AH35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52" spans="1:34" x14ac:dyDescent="0.3">
      <c r="A352" t="s">
        <v>68</v>
      </c>
      <c r="B352" t="s">
        <v>79</v>
      </c>
      <c r="C352">
        <v>2025</v>
      </c>
      <c r="D352" t="s">
        <v>61</v>
      </c>
      <c r="E352" s="3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27</v>
      </c>
      <c r="N352">
        <v>5</v>
      </c>
      <c r="O352" t="s">
        <v>35</v>
      </c>
      <c r="P352">
        <v>63.1</v>
      </c>
      <c r="Q352">
        <v>1935</v>
      </c>
      <c r="R352">
        <v>4</v>
      </c>
      <c r="S352">
        <v>1</v>
      </c>
      <c r="T352" t="s">
        <v>45</v>
      </c>
      <c r="U352" t="s">
        <v>37</v>
      </c>
      <c r="V352" s="3">
        <v>101021</v>
      </c>
      <c r="W352">
        <v>3.33</v>
      </c>
      <c r="X352">
        <v>3</v>
      </c>
      <c r="Y352" s="1">
        <f>EV_Data4[[#This Row],[range_miles]]/EV_Data4[[#This Row],[battery_capacity_kwh]]</f>
        <v>3.779971791255289</v>
      </c>
      <c r="Z352" s="4">
        <f>EV_Data4[[#This Row],[price_usd]]/EV_Data4[[#This Row],[range_miles]]</f>
        <v>147.01328358208954</v>
      </c>
      <c r="AA352" s="2">
        <f>(EV_Data4[[#This Row],[customer_rating]]*EV_Data4[[#This Row],[safety_rating]]*1000)/EV_Data4[[#This Row],[price_usd]]</f>
        <v>0.33807484144492989</v>
      </c>
      <c r="AB352">
        <f>EV_Data4[[#This Row],[horsepower]]+EV_Data4[[#This Row],[torque_nm]]/EV_Data4[[#This Row],[acceleration_0_60_mph]]</f>
        <v>333.625</v>
      </c>
      <c r="AC352" t="str">
        <f>IF(EV_Data4[[#This Row],[price_usd]]&gt;=80000,"Luxury",IF(EV_Data4[[#This Row],[price_usd]]&gt;=40000,"Mid-Range","Budget"))</f>
        <v>Budget</v>
      </c>
      <c r="AD352" t="str">
        <f>IF(EV_Data4[[#This Row],[range_miles]]&gt;=350,"Long-Range",IF(EV_Data4[[#This Row],[range_miles]]&gt;=250,"Medium-Range","Short-Range"))</f>
        <v>Medium-Range</v>
      </c>
      <c r="AE352" t="str">
        <f>IF(EV_Data4[[#This Row],[charging_speed_kw]]&gt;=250,"Ultra-Fast",IF(EV_Data4[[#This Row],[charging_speed_kw]]&gt;=150,"Fast-Charging","Standard-Charging"))</f>
        <v>Standard-Charging</v>
      </c>
      <c r="AF352" t="str">
        <f>IF(EV_Data4[[#This Row],[acceleration_0_60_mph]]&lt;=3,"SportsPerformance",IF(EV_Data4[[#This Row],[acceleration_0_60_mph]]&lt;=5,"HighPerformance","Standard"))</f>
        <v>Standard</v>
      </c>
      <c r="AG352" t="str">
        <f>IF(EV_Data4[[#This Row],[customer_rating]]&gt;=4.5,"Excellent",IF(EV_Data4[[#This Row],[customer_rating]]&gt;=3.5,"Good","Average"))</f>
        <v>Average</v>
      </c>
      <c r="AH35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53" spans="1:34" x14ac:dyDescent="0.3">
      <c r="A353" t="s">
        <v>52</v>
      </c>
      <c r="B353" t="s">
        <v>53</v>
      </c>
      <c r="C353">
        <v>2024</v>
      </c>
      <c r="D353" t="s">
        <v>33</v>
      </c>
      <c r="E353" s="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27</v>
      </c>
      <c r="N353">
        <v>5</v>
      </c>
      <c r="O353" t="s">
        <v>35</v>
      </c>
      <c r="P353">
        <v>65.099999999999994</v>
      </c>
      <c r="Q353">
        <v>1569</v>
      </c>
      <c r="R353">
        <v>4</v>
      </c>
      <c r="S353">
        <v>2</v>
      </c>
      <c r="T353" t="s">
        <v>29</v>
      </c>
      <c r="U353" t="s">
        <v>33</v>
      </c>
      <c r="V353" s="3">
        <v>71016</v>
      </c>
      <c r="W353">
        <v>3.79</v>
      </c>
      <c r="X353">
        <v>7</v>
      </c>
      <c r="Y353" s="1">
        <f>EV_Data4[[#This Row],[range_miles]]/EV_Data4[[#This Row],[battery_capacity_kwh]]</f>
        <v>3.7684729064039408</v>
      </c>
      <c r="Z353" s="4">
        <f>EV_Data4[[#This Row],[price_usd]]/EV_Data4[[#This Row],[range_miles]]</f>
        <v>325.57346405228759</v>
      </c>
      <c r="AA353" s="2">
        <f>(EV_Data4[[#This Row],[customer_rating]]*EV_Data4[[#This Row],[safety_rating]]*1000)/EV_Data4[[#This Row],[price_usd]]</f>
        <v>0.15216990673470282</v>
      </c>
      <c r="AB353">
        <f>EV_Data4[[#This Row],[horsepower]]+EV_Data4[[#This Row],[torque_nm]]/EV_Data4[[#This Row],[acceleration_0_60_mph]]</f>
        <v>606.17928902627511</v>
      </c>
      <c r="AC353" t="str">
        <f>IF(EV_Data4[[#This Row],[price_usd]]&gt;=80000,"Luxury",IF(EV_Data4[[#This Row],[price_usd]]&gt;=40000,"Mid-Range","Budget"))</f>
        <v>Luxury</v>
      </c>
      <c r="AD353" t="str">
        <f>IF(EV_Data4[[#This Row],[range_miles]]&gt;=350,"Long-Range",IF(EV_Data4[[#This Row],[range_miles]]&gt;=250,"Medium-Range","Short-Range"))</f>
        <v>Medium-Range</v>
      </c>
      <c r="AE353" t="str">
        <f>IF(EV_Data4[[#This Row],[charging_speed_kw]]&gt;=250,"Ultra-Fast",IF(EV_Data4[[#This Row],[charging_speed_kw]]&gt;=150,"Fast-Charging","Standard-Charging"))</f>
        <v>Standard-Charging</v>
      </c>
      <c r="AF353" t="str">
        <f>IF(EV_Data4[[#This Row],[acceleration_0_60_mph]]&lt;=3,"SportsPerformance",IF(EV_Data4[[#This Row],[acceleration_0_60_mph]]&lt;=5,"HighPerformance","Standard"))</f>
        <v>Standard</v>
      </c>
      <c r="AG353" t="str">
        <f>IF(EV_Data4[[#This Row],[customer_rating]]&gt;=4.5,"Excellent",IF(EV_Data4[[#This Row],[customer_rating]]&gt;=3.5,"Good","Average"))</f>
        <v>Good</v>
      </c>
      <c r="AH35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54" spans="1:34" x14ac:dyDescent="0.3">
      <c r="A354" t="s">
        <v>83</v>
      </c>
      <c r="B354" t="s">
        <v>84</v>
      </c>
      <c r="C354">
        <v>2025</v>
      </c>
      <c r="D354" t="s">
        <v>26</v>
      </c>
      <c r="E354" s="3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27</v>
      </c>
      <c r="N354">
        <v>5</v>
      </c>
      <c r="O354" t="s">
        <v>28</v>
      </c>
      <c r="P354">
        <v>75.3</v>
      </c>
      <c r="Q354">
        <v>2275</v>
      </c>
      <c r="R354">
        <v>5</v>
      </c>
      <c r="S354">
        <v>1</v>
      </c>
      <c r="T354" t="s">
        <v>29</v>
      </c>
      <c r="U354" t="s">
        <v>30</v>
      </c>
      <c r="V354" s="3">
        <v>68048</v>
      </c>
      <c r="W354">
        <v>3.7</v>
      </c>
      <c r="X354">
        <v>8</v>
      </c>
      <c r="Y354" s="1">
        <f>EV_Data4[[#This Row],[range_miles]]/EV_Data4[[#This Row],[battery_capacity_kwh]]</f>
        <v>3.7907608695652177</v>
      </c>
      <c r="Z354" s="4">
        <f>EV_Data4[[#This Row],[price_usd]]/EV_Data4[[#This Row],[range_miles]]</f>
        <v>407.33372759856633</v>
      </c>
      <c r="AA354" s="2">
        <f>(EV_Data4[[#This Row],[customer_rating]]*EV_Data4[[#This Row],[safety_rating]]*1000)/EV_Data4[[#This Row],[price_usd]]</f>
        <v>0.16278603816707848</v>
      </c>
      <c r="AB354">
        <f>EV_Data4[[#This Row],[horsepower]]+EV_Data4[[#This Row],[torque_nm]]/EV_Data4[[#This Row],[acceleration_0_60_mph]]</f>
        <v>1287.3417721518988</v>
      </c>
      <c r="AC354" t="str">
        <f>IF(EV_Data4[[#This Row],[price_usd]]&gt;=80000,"Luxury",IF(EV_Data4[[#This Row],[price_usd]]&gt;=40000,"Mid-Range","Budget"))</f>
        <v>Luxury</v>
      </c>
      <c r="AD354" t="str">
        <f>IF(EV_Data4[[#This Row],[range_miles]]&gt;=350,"Long-Range",IF(EV_Data4[[#This Row],[range_miles]]&gt;=250,"Medium-Range","Short-Range"))</f>
        <v>Medium-Range</v>
      </c>
      <c r="AE354" t="str">
        <f>IF(EV_Data4[[#This Row],[charging_speed_kw]]&gt;=250,"Ultra-Fast",IF(EV_Data4[[#This Row],[charging_speed_kw]]&gt;=150,"Fast-Charging","Standard-Charging"))</f>
        <v>Fast-Charging</v>
      </c>
      <c r="AF354" t="str">
        <f>IF(EV_Data4[[#This Row],[acceleration_0_60_mph]]&lt;=3,"SportsPerformance",IF(EV_Data4[[#This Row],[acceleration_0_60_mph]]&lt;=5,"HighPerformance","Standard"))</f>
        <v>HighPerformance</v>
      </c>
      <c r="AG354" t="str">
        <f>IF(EV_Data4[[#This Row],[customer_rating]]&gt;=4.5,"Excellent",IF(EV_Data4[[#This Row],[customer_rating]]&gt;=3.5,"Good","Average"))</f>
        <v>Good</v>
      </c>
      <c r="AH35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55" spans="1:34" x14ac:dyDescent="0.3">
      <c r="A355" t="s">
        <v>46</v>
      </c>
      <c r="B355" t="s">
        <v>49</v>
      </c>
      <c r="C355">
        <v>2024</v>
      </c>
      <c r="D355" t="s">
        <v>61</v>
      </c>
      <c r="E355" s="3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48</v>
      </c>
      <c r="N355">
        <v>5</v>
      </c>
      <c r="O355" t="s">
        <v>51</v>
      </c>
      <c r="P355">
        <v>22.2</v>
      </c>
      <c r="Q355">
        <v>1526</v>
      </c>
      <c r="R355">
        <v>4</v>
      </c>
      <c r="S355">
        <v>2</v>
      </c>
      <c r="T355" t="s">
        <v>41</v>
      </c>
      <c r="U355" t="s">
        <v>30</v>
      </c>
      <c r="V355" s="3">
        <v>456268</v>
      </c>
      <c r="W355">
        <v>3.43</v>
      </c>
      <c r="X355">
        <v>6</v>
      </c>
      <c r="Y355" s="1">
        <f>EV_Data4[[#This Row],[range_miles]]/EV_Data4[[#This Row],[battery_capacity_kwh]]</f>
        <v>3.2854209445585214</v>
      </c>
      <c r="Z355" s="4">
        <f>EV_Data4[[#This Row],[price_usd]]/EV_Data4[[#This Row],[range_miles]]</f>
        <v>693.37068750000003</v>
      </c>
      <c r="AA355" s="2">
        <f>(EV_Data4[[#This Row],[customer_rating]]*EV_Data4[[#This Row],[safety_rating]]*1000)/EV_Data4[[#This Row],[price_usd]]</f>
        <v>0.12367122167967333</v>
      </c>
      <c r="AB355">
        <f>EV_Data4[[#This Row],[horsepower]]+EV_Data4[[#This Row],[torque_nm]]/EV_Data4[[#This Row],[acceleration_0_60_mph]]</f>
        <v>976.06557377049182</v>
      </c>
      <c r="AC355" t="str">
        <f>IF(EV_Data4[[#This Row],[price_usd]]&gt;=80000,"Luxury",IF(EV_Data4[[#This Row],[price_usd]]&gt;=40000,"Mid-Range","Budget"))</f>
        <v>Luxury</v>
      </c>
      <c r="AD355" t="str">
        <f>IF(EV_Data4[[#This Row],[range_miles]]&gt;=350,"Long-Range",IF(EV_Data4[[#This Row],[range_miles]]&gt;=250,"Medium-Range","Short-Range"))</f>
        <v>Short-Range</v>
      </c>
      <c r="AE355" t="str">
        <f>IF(EV_Data4[[#This Row],[charging_speed_kw]]&gt;=250,"Ultra-Fast",IF(EV_Data4[[#This Row],[charging_speed_kw]]&gt;=150,"Fast-Charging","Standard-Charging"))</f>
        <v>Ultra-Fast</v>
      </c>
      <c r="AF355" t="str">
        <f>IF(EV_Data4[[#This Row],[acceleration_0_60_mph]]&lt;=3,"SportsPerformance",IF(EV_Data4[[#This Row],[acceleration_0_60_mph]]&lt;=5,"HighPerformance","Standard"))</f>
        <v>Standard</v>
      </c>
      <c r="AG355" t="str">
        <f>IF(EV_Data4[[#This Row],[customer_rating]]&gt;=4.5,"Excellent",IF(EV_Data4[[#This Row],[customer_rating]]&gt;=3.5,"Good","Average"))</f>
        <v>Average</v>
      </c>
      <c r="AH35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56" spans="1:34" x14ac:dyDescent="0.3">
      <c r="A356" t="s">
        <v>46</v>
      </c>
      <c r="B356" t="s">
        <v>78</v>
      </c>
      <c r="C356">
        <v>2026</v>
      </c>
      <c r="D356" t="s">
        <v>44</v>
      </c>
      <c r="E356" s="3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48</v>
      </c>
      <c r="N356">
        <v>5</v>
      </c>
      <c r="O356" t="s">
        <v>51</v>
      </c>
      <c r="P356">
        <v>32.1</v>
      </c>
      <c r="Q356">
        <v>1500</v>
      </c>
      <c r="R356">
        <v>4</v>
      </c>
      <c r="S356">
        <v>2</v>
      </c>
      <c r="T356" t="s">
        <v>41</v>
      </c>
      <c r="U356" t="s">
        <v>30</v>
      </c>
      <c r="V356" s="3">
        <v>176985</v>
      </c>
      <c r="W356">
        <v>4.2300000000000004</v>
      </c>
      <c r="X356">
        <v>5</v>
      </c>
      <c r="Y356" s="1">
        <f>EV_Data4[[#This Row],[range_miles]]/EV_Data4[[#This Row],[battery_capacity_kwh]]</f>
        <v>3.3615221987315014</v>
      </c>
      <c r="Z356" s="4">
        <f>EV_Data4[[#This Row],[price_usd]]/EV_Data4[[#This Row],[range_miles]]</f>
        <v>448.82433962264156</v>
      </c>
      <c r="AA356" s="2">
        <f>(EV_Data4[[#This Row],[customer_rating]]*EV_Data4[[#This Row],[safety_rating]]*1000)/EV_Data4[[#This Row],[price_usd]]</f>
        <v>0.1185487115394559</v>
      </c>
      <c r="AB356">
        <f>EV_Data4[[#This Row],[horsepower]]+EV_Data4[[#This Row],[torque_nm]]/EV_Data4[[#This Row],[acceleration_0_60_mph]]</f>
        <v>1188.937093275488</v>
      </c>
      <c r="AC356" t="str">
        <f>IF(EV_Data4[[#This Row],[price_usd]]&gt;=80000,"Luxury",IF(EV_Data4[[#This Row],[price_usd]]&gt;=40000,"Mid-Range","Budget"))</f>
        <v>Luxury</v>
      </c>
      <c r="AD356" t="str">
        <f>IF(EV_Data4[[#This Row],[range_miles]]&gt;=350,"Long-Range",IF(EV_Data4[[#This Row],[range_miles]]&gt;=250,"Medium-Range","Short-Range"))</f>
        <v>Medium-Range</v>
      </c>
      <c r="AE356" t="str">
        <f>IF(EV_Data4[[#This Row],[charging_speed_kw]]&gt;=250,"Ultra-Fast",IF(EV_Data4[[#This Row],[charging_speed_kw]]&gt;=150,"Fast-Charging","Standard-Charging"))</f>
        <v>Fast-Charging</v>
      </c>
      <c r="AF356" t="str">
        <f>IF(EV_Data4[[#This Row],[acceleration_0_60_mph]]&lt;=3,"SportsPerformance",IF(EV_Data4[[#This Row],[acceleration_0_60_mph]]&lt;=5,"HighPerformance","Standard"))</f>
        <v>HighPerformance</v>
      </c>
      <c r="AG356" t="str">
        <f>IF(EV_Data4[[#This Row],[customer_rating]]&gt;=4.5,"Excellent",IF(EV_Data4[[#This Row],[customer_rating]]&gt;=3.5,"Good","Average"))</f>
        <v>Good</v>
      </c>
      <c r="AH35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57" spans="1:34" x14ac:dyDescent="0.3">
      <c r="A357" t="s">
        <v>83</v>
      </c>
      <c r="B357" t="s">
        <v>89</v>
      </c>
      <c r="C357">
        <v>2024</v>
      </c>
      <c r="D357" t="s">
        <v>33</v>
      </c>
      <c r="E357" s="3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48</v>
      </c>
      <c r="N357">
        <v>7</v>
      </c>
      <c r="O357" t="s">
        <v>40</v>
      </c>
      <c r="P357">
        <v>73.2</v>
      </c>
      <c r="Q357">
        <v>1764</v>
      </c>
      <c r="R357">
        <v>4</v>
      </c>
      <c r="S357">
        <v>2</v>
      </c>
      <c r="T357" t="s">
        <v>29</v>
      </c>
      <c r="U357" t="s">
        <v>33</v>
      </c>
      <c r="V357" s="3">
        <v>51378</v>
      </c>
      <c r="W357">
        <v>3.2</v>
      </c>
      <c r="X357">
        <v>5</v>
      </c>
      <c r="Y357" s="1">
        <f>EV_Data4[[#This Row],[range_miles]]/EV_Data4[[#This Row],[battery_capacity_kwh]]</f>
        <v>3.5674676524953788</v>
      </c>
      <c r="Z357" s="4">
        <f>EV_Data4[[#This Row],[price_usd]]/EV_Data4[[#This Row],[range_miles]]</f>
        <v>359.80316062176161</v>
      </c>
      <c r="AA357" s="2">
        <f>(EV_Data4[[#This Row],[customer_rating]]*EV_Data4[[#This Row],[safety_rating]]*1000)/EV_Data4[[#This Row],[price_usd]]</f>
        <v>0.18432646174844305</v>
      </c>
      <c r="AB357">
        <f>EV_Data4[[#This Row],[horsepower]]+EV_Data4[[#This Row],[torque_nm]]/EV_Data4[[#This Row],[acceleration_0_60_mph]]</f>
        <v>434.02389078498294</v>
      </c>
      <c r="AC357" t="str">
        <f>IF(EV_Data4[[#This Row],[price_usd]]&gt;=80000,"Luxury",IF(EV_Data4[[#This Row],[price_usd]]&gt;=40000,"Mid-Range","Budget"))</f>
        <v>Mid-Range</v>
      </c>
      <c r="AD357" t="str">
        <f>IF(EV_Data4[[#This Row],[range_miles]]&gt;=350,"Long-Range",IF(EV_Data4[[#This Row],[range_miles]]&gt;=250,"Medium-Range","Short-Range"))</f>
        <v>Short-Range</v>
      </c>
      <c r="AE357" t="str">
        <f>IF(EV_Data4[[#This Row],[charging_speed_kw]]&gt;=250,"Ultra-Fast",IF(EV_Data4[[#This Row],[charging_speed_kw]]&gt;=150,"Fast-Charging","Standard-Charging"))</f>
        <v>Standard-Charging</v>
      </c>
      <c r="AF357" t="str">
        <f>IF(EV_Data4[[#This Row],[acceleration_0_60_mph]]&lt;=3,"SportsPerformance",IF(EV_Data4[[#This Row],[acceleration_0_60_mph]]&lt;=5,"HighPerformance","Standard"))</f>
        <v>Standard</v>
      </c>
      <c r="AG357" t="str">
        <f>IF(EV_Data4[[#This Row],[customer_rating]]&gt;=4.5,"Excellent",IF(EV_Data4[[#This Row],[customer_rating]]&gt;=3.5,"Good","Average"))</f>
        <v>Average</v>
      </c>
      <c r="AH35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58" spans="1:34" x14ac:dyDescent="0.3">
      <c r="A358" t="s">
        <v>46</v>
      </c>
      <c r="B358" t="s">
        <v>47</v>
      </c>
      <c r="C358">
        <v>2025</v>
      </c>
      <c r="D358" t="s">
        <v>56</v>
      </c>
      <c r="E358" s="3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27</v>
      </c>
      <c r="N358">
        <v>7</v>
      </c>
      <c r="O358" t="s">
        <v>35</v>
      </c>
      <c r="P358">
        <v>51.8</v>
      </c>
      <c r="Q358">
        <v>1730</v>
      </c>
      <c r="R358">
        <v>4</v>
      </c>
      <c r="S358">
        <v>2</v>
      </c>
      <c r="T358" t="s">
        <v>41</v>
      </c>
      <c r="U358" t="s">
        <v>37</v>
      </c>
      <c r="V358" s="3">
        <v>207769</v>
      </c>
      <c r="W358">
        <v>3.71</v>
      </c>
      <c r="X358">
        <v>5</v>
      </c>
      <c r="Y358" s="1">
        <f>EV_Data4[[#This Row],[range_miles]]/EV_Data4[[#This Row],[battery_capacity_kwh]]</f>
        <v>3.6464968152866244</v>
      </c>
      <c r="Z358" s="4">
        <f>EV_Data4[[#This Row],[price_usd]]/EV_Data4[[#This Row],[range_miles]]</f>
        <v>187.68174672489084</v>
      </c>
      <c r="AA358" s="2">
        <f>(EV_Data4[[#This Row],[customer_rating]]*EV_Data4[[#This Row],[safety_rating]]*1000)/EV_Data4[[#This Row],[price_usd]]</f>
        <v>0.34528394252837191</v>
      </c>
      <c r="AB358">
        <f>EV_Data4[[#This Row],[horsepower]]+EV_Data4[[#This Row],[torque_nm]]/EV_Data4[[#This Row],[acceleration_0_60_mph]]</f>
        <v>280.7341772151899</v>
      </c>
      <c r="AC358" t="str">
        <f>IF(EV_Data4[[#This Row],[price_usd]]&gt;=80000,"Luxury",IF(EV_Data4[[#This Row],[price_usd]]&gt;=40000,"Mid-Range","Budget"))</f>
        <v>Mid-Range</v>
      </c>
      <c r="AD358" t="str">
        <f>IF(EV_Data4[[#This Row],[range_miles]]&gt;=350,"Long-Range",IF(EV_Data4[[#This Row],[range_miles]]&gt;=250,"Medium-Range","Short-Range"))</f>
        <v>Short-Range</v>
      </c>
      <c r="AE358" t="str">
        <f>IF(EV_Data4[[#This Row],[charging_speed_kw]]&gt;=250,"Ultra-Fast",IF(EV_Data4[[#This Row],[charging_speed_kw]]&gt;=150,"Fast-Charging","Standard-Charging"))</f>
        <v>Ultra-Fast</v>
      </c>
      <c r="AF358" t="str">
        <f>IF(EV_Data4[[#This Row],[acceleration_0_60_mph]]&lt;=3,"SportsPerformance",IF(EV_Data4[[#This Row],[acceleration_0_60_mph]]&lt;=5,"HighPerformance","Standard"))</f>
        <v>Standard</v>
      </c>
      <c r="AG358" t="str">
        <f>IF(EV_Data4[[#This Row],[customer_rating]]&gt;=4.5,"Excellent",IF(EV_Data4[[#This Row],[customer_rating]]&gt;=3.5,"Good","Average"))</f>
        <v>Good</v>
      </c>
      <c r="AH35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59" spans="1:34" x14ac:dyDescent="0.3">
      <c r="A359" t="s">
        <v>42</v>
      </c>
      <c r="B359" t="s">
        <v>71</v>
      </c>
      <c r="C359">
        <v>2024</v>
      </c>
      <c r="D359" t="s">
        <v>33</v>
      </c>
      <c r="E359" s="3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48</v>
      </c>
      <c r="N359">
        <v>5</v>
      </c>
      <c r="O359" t="s">
        <v>51</v>
      </c>
      <c r="P359">
        <v>33.700000000000003</v>
      </c>
      <c r="Q359">
        <v>1841</v>
      </c>
      <c r="R359">
        <v>3</v>
      </c>
      <c r="S359">
        <v>0</v>
      </c>
      <c r="T359" t="s">
        <v>45</v>
      </c>
      <c r="U359" t="s">
        <v>37</v>
      </c>
      <c r="V359" s="3">
        <v>113782</v>
      </c>
      <c r="W359">
        <v>3.4</v>
      </c>
      <c r="X359">
        <v>3</v>
      </c>
      <c r="Y359" s="1">
        <f>EV_Data4[[#This Row],[range_miles]]/EV_Data4[[#This Row],[battery_capacity_kwh]]</f>
        <v>3.7209302325581399</v>
      </c>
      <c r="Z359" s="4">
        <f>EV_Data4[[#This Row],[price_usd]]/EV_Data4[[#This Row],[range_miles]]</f>
        <v>318.72994318181821</v>
      </c>
      <c r="AA359" s="2">
        <f>(EV_Data4[[#This Row],[customer_rating]]*EV_Data4[[#This Row],[safety_rating]]*1000)/EV_Data4[[#This Row],[price_usd]]</f>
        <v>0.18182962314741016</v>
      </c>
      <c r="AB359">
        <f>EV_Data4[[#This Row],[horsepower]]+EV_Data4[[#This Row],[torque_nm]]/EV_Data4[[#This Row],[acceleration_0_60_mph]]</f>
        <v>618.01298701298697</v>
      </c>
      <c r="AC359" t="str">
        <f>IF(EV_Data4[[#This Row],[price_usd]]&gt;=80000,"Luxury",IF(EV_Data4[[#This Row],[price_usd]]&gt;=40000,"Mid-Range","Budget"))</f>
        <v>Mid-Range</v>
      </c>
      <c r="AD359" t="str">
        <f>IF(EV_Data4[[#This Row],[range_miles]]&gt;=350,"Long-Range",IF(EV_Data4[[#This Row],[range_miles]]&gt;=250,"Medium-Range","Short-Range"))</f>
        <v>Short-Range</v>
      </c>
      <c r="AE359" t="str">
        <f>IF(EV_Data4[[#This Row],[charging_speed_kw]]&gt;=250,"Ultra-Fast",IF(EV_Data4[[#This Row],[charging_speed_kw]]&gt;=150,"Fast-Charging","Standard-Charging"))</f>
        <v>Standard-Charging</v>
      </c>
      <c r="AF359" t="str">
        <f>IF(EV_Data4[[#This Row],[acceleration_0_60_mph]]&lt;=3,"SportsPerformance",IF(EV_Data4[[#This Row],[acceleration_0_60_mph]]&lt;=5,"HighPerformance","Standard"))</f>
        <v>Standard</v>
      </c>
      <c r="AG359" t="str">
        <f>IF(EV_Data4[[#This Row],[customer_rating]]&gt;=4.5,"Excellent",IF(EV_Data4[[#This Row],[customer_rating]]&gt;=3.5,"Good","Average"))</f>
        <v>Average</v>
      </c>
      <c r="AH35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60" spans="1:34" x14ac:dyDescent="0.3">
      <c r="A360" t="s">
        <v>92</v>
      </c>
      <c r="B360" t="s">
        <v>110</v>
      </c>
      <c r="C360">
        <v>2024</v>
      </c>
      <c r="D360" t="s">
        <v>56</v>
      </c>
      <c r="E360" s="3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34</v>
      </c>
      <c r="N360">
        <v>7</v>
      </c>
      <c r="O360" t="s">
        <v>28</v>
      </c>
      <c r="P360">
        <v>56.6</v>
      </c>
      <c r="Q360">
        <v>2319</v>
      </c>
      <c r="R360">
        <v>5</v>
      </c>
      <c r="S360">
        <v>0</v>
      </c>
      <c r="T360" t="s">
        <v>65</v>
      </c>
      <c r="U360" t="s">
        <v>33</v>
      </c>
      <c r="V360" s="3">
        <v>17477</v>
      </c>
      <c r="W360">
        <v>3.38</v>
      </c>
      <c r="X360">
        <v>5</v>
      </c>
      <c r="Y360" s="1">
        <f>EV_Data4[[#This Row],[range_miles]]/EV_Data4[[#This Row],[battery_capacity_kwh]]</f>
        <v>3.7876614060258249</v>
      </c>
      <c r="Z360" s="4">
        <f>EV_Data4[[#This Row],[price_usd]]/EV_Data4[[#This Row],[range_miles]]</f>
        <v>312.63965909090905</v>
      </c>
      <c r="AA360" s="2">
        <f>(EV_Data4[[#This Row],[customer_rating]]*EV_Data4[[#This Row],[safety_rating]]*1000)/EV_Data4[[#This Row],[price_usd]]</f>
        <v>0.20475697709399449</v>
      </c>
      <c r="AB360">
        <f>EV_Data4[[#This Row],[horsepower]]+EV_Data4[[#This Row],[torque_nm]]/EV_Data4[[#This Row],[acceleration_0_60_mph]]</f>
        <v>818.18998716302951</v>
      </c>
      <c r="AC360" t="str">
        <f>IF(EV_Data4[[#This Row],[price_usd]]&gt;=80000,"Luxury",IF(EV_Data4[[#This Row],[price_usd]]&gt;=40000,"Mid-Range","Budget"))</f>
        <v>Luxury</v>
      </c>
      <c r="AD360" t="str">
        <f>IF(EV_Data4[[#This Row],[range_miles]]&gt;=350,"Long-Range",IF(EV_Data4[[#This Row],[range_miles]]&gt;=250,"Medium-Range","Short-Range"))</f>
        <v>Medium-Range</v>
      </c>
      <c r="AE360" t="str">
        <f>IF(EV_Data4[[#This Row],[charging_speed_kw]]&gt;=250,"Ultra-Fast",IF(EV_Data4[[#This Row],[charging_speed_kw]]&gt;=150,"Fast-Charging","Standard-Charging"))</f>
        <v>Standard-Charging</v>
      </c>
      <c r="AF360" t="str">
        <f>IF(EV_Data4[[#This Row],[acceleration_0_60_mph]]&lt;=3,"SportsPerformance",IF(EV_Data4[[#This Row],[acceleration_0_60_mph]]&lt;=5,"HighPerformance","Standard"))</f>
        <v>Standard</v>
      </c>
      <c r="AG360" t="str">
        <f>IF(EV_Data4[[#This Row],[customer_rating]]&gt;=4.5,"Excellent",IF(EV_Data4[[#This Row],[customer_rating]]&gt;=3.5,"Good","Average"))</f>
        <v>Average</v>
      </c>
      <c r="AH36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61" spans="1:34" x14ac:dyDescent="0.3">
      <c r="A361" t="s">
        <v>42</v>
      </c>
      <c r="B361" t="s">
        <v>80</v>
      </c>
      <c r="C361">
        <v>2026</v>
      </c>
      <c r="D361" t="s">
        <v>56</v>
      </c>
      <c r="E361" s="3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34</v>
      </c>
      <c r="N361">
        <v>5</v>
      </c>
      <c r="O361" t="s">
        <v>35</v>
      </c>
      <c r="P361">
        <v>53</v>
      </c>
      <c r="Q361">
        <v>1838</v>
      </c>
      <c r="R361">
        <v>5</v>
      </c>
      <c r="S361">
        <v>0</v>
      </c>
      <c r="T361" t="s">
        <v>45</v>
      </c>
      <c r="U361" t="s">
        <v>37</v>
      </c>
      <c r="V361" s="3">
        <v>93165</v>
      </c>
      <c r="W361">
        <v>3.26</v>
      </c>
      <c r="X361">
        <v>3</v>
      </c>
      <c r="Y361" s="1">
        <f>EV_Data4[[#This Row],[range_miles]]/EV_Data4[[#This Row],[battery_capacity_kwh]]</f>
        <v>3.2857142857142856</v>
      </c>
      <c r="Z361" s="4">
        <f>EV_Data4[[#This Row],[price_usd]]/EV_Data4[[#This Row],[range_miles]]</f>
        <v>341.89125000000001</v>
      </c>
      <c r="AA361" s="2">
        <f>(EV_Data4[[#This Row],[customer_rating]]*EV_Data4[[#This Row],[safety_rating]]*1000)/EV_Data4[[#This Row],[price_usd]]</f>
        <v>0.25910858064293579</v>
      </c>
      <c r="AB361">
        <f>EV_Data4[[#This Row],[horsepower]]+EV_Data4[[#This Row],[torque_nm]]/EV_Data4[[#This Row],[acceleration_0_60_mph]]</f>
        <v>740.51004016064257</v>
      </c>
      <c r="AC361" t="str">
        <f>IF(EV_Data4[[#This Row],[price_usd]]&gt;=80000,"Luxury",IF(EV_Data4[[#This Row],[price_usd]]&gt;=40000,"Mid-Range","Budget"))</f>
        <v>Mid-Range</v>
      </c>
      <c r="AD361" t="str">
        <f>IF(EV_Data4[[#This Row],[range_miles]]&gt;=350,"Long-Range",IF(EV_Data4[[#This Row],[range_miles]]&gt;=250,"Medium-Range","Short-Range"))</f>
        <v>Short-Range</v>
      </c>
      <c r="AE361" t="str">
        <f>IF(EV_Data4[[#This Row],[charging_speed_kw]]&gt;=250,"Ultra-Fast",IF(EV_Data4[[#This Row],[charging_speed_kw]]&gt;=150,"Fast-Charging","Standard-Charging"))</f>
        <v>Standard-Charging</v>
      </c>
      <c r="AF361" t="str">
        <f>IF(EV_Data4[[#This Row],[acceleration_0_60_mph]]&lt;=3,"SportsPerformance",IF(EV_Data4[[#This Row],[acceleration_0_60_mph]]&lt;=5,"HighPerformance","Standard"))</f>
        <v>Standard</v>
      </c>
      <c r="AG361" t="str">
        <f>IF(EV_Data4[[#This Row],[customer_rating]]&gt;=4.5,"Excellent",IF(EV_Data4[[#This Row],[customer_rating]]&gt;=3.5,"Good","Average"))</f>
        <v>Average</v>
      </c>
      <c r="AH36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62" spans="1:34" x14ac:dyDescent="0.3">
      <c r="A362" t="s">
        <v>24</v>
      </c>
      <c r="B362" t="s">
        <v>74</v>
      </c>
      <c r="C362">
        <v>2025</v>
      </c>
      <c r="D362" t="s">
        <v>26</v>
      </c>
      <c r="E362" s="3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48</v>
      </c>
      <c r="N362">
        <v>5</v>
      </c>
      <c r="O362" t="s">
        <v>28</v>
      </c>
      <c r="P362">
        <v>77.900000000000006</v>
      </c>
      <c r="Q362">
        <v>2374</v>
      </c>
      <c r="R362">
        <v>4</v>
      </c>
      <c r="S362">
        <v>1</v>
      </c>
      <c r="T362" t="s">
        <v>29</v>
      </c>
      <c r="U362" t="s">
        <v>33</v>
      </c>
      <c r="V362" s="3">
        <v>255988</v>
      </c>
      <c r="W362">
        <v>3.58</v>
      </c>
      <c r="X362">
        <v>4</v>
      </c>
      <c r="Y362" s="1">
        <f>EV_Data4[[#This Row],[range_miles]]/EV_Data4[[#This Row],[battery_capacity_kwh]]</f>
        <v>3.5983263598326358</v>
      </c>
      <c r="Z362" s="4">
        <f>EV_Data4[[#This Row],[price_usd]]/EV_Data4[[#This Row],[range_miles]]</f>
        <v>377.53027131782943</v>
      </c>
      <c r="AA362" s="2">
        <f>(EV_Data4[[#This Row],[customer_rating]]*EV_Data4[[#This Row],[safety_rating]]*1000)/EV_Data4[[#This Row],[price_usd]]</f>
        <v>0.14701834577462397</v>
      </c>
      <c r="AB362">
        <f>EV_Data4[[#This Row],[horsepower]]+EV_Data4[[#This Row],[torque_nm]]/EV_Data4[[#This Row],[acceleration_0_60_mph]]</f>
        <v>1262.0689655172414</v>
      </c>
      <c r="AC362" t="str">
        <f>IF(EV_Data4[[#This Row],[price_usd]]&gt;=80000,"Luxury",IF(EV_Data4[[#This Row],[price_usd]]&gt;=40000,"Mid-Range","Budget"))</f>
        <v>Luxury</v>
      </c>
      <c r="AD362" t="str">
        <f>IF(EV_Data4[[#This Row],[range_miles]]&gt;=350,"Long-Range",IF(EV_Data4[[#This Row],[range_miles]]&gt;=250,"Medium-Range","Short-Range"))</f>
        <v>Medium-Range</v>
      </c>
      <c r="AE362" t="str">
        <f>IF(EV_Data4[[#This Row],[charging_speed_kw]]&gt;=250,"Ultra-Fast",IF(EV_Data4[[#This Row],[charging_speed_kw]]&gt;=150,"Fast-Charging","Standard-Charging"))</f>
        <v>Fast-Charging</v>
      </c>
      <c r="AF362" t="str">
        <f>IF(EV_Data4[[#This Row],[acceleration_0_60_mph]]&lt;=3,"SportsPerformance",IF(EV_Data4[[#This Row],[acceleration_0_60_mph]]&lt;=5,"HighPerformance","Standard"))</f>
        <v>HighPerformance</v>
      </c>
      <c r="AG362" t="str">
        <f>IF(EV_Data4[[#This Row],[customer_rating]]&gt;=4.5,"Excellent",IF(EV_Data4[[#This Row],[customer_rating]]&gt;=3.5,"Good","Average"))</f>
        <v>Good</v>
      </c>
      <c r="AH36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63" spans="1:34" x14ac:dyDescent="0.3">
      <c r="A363" t="s">
        <v>83</v>
      </c>
      <c r="B363" t="s">
        <v>84</v>
      </c>
      <c r="C363">
        <v>2025</v>
      </c>
      <c r="D363" t="s">
        <v>61</v>
      </c>
      <c r="E363" s="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34</v>
      </c>
      <c r="N363">
        <v>5</v>
      </c>
      <c r="O363" t="s">
        <v>50</v>
      </c>
      <c r="P363">
        <v>31.2</v>
      </c>
      <c r="Q363">
        <v>1703</v>
      </c>
      <c r="R363">
        <v>4</v>
      </c>
      <c r="S363">
        <v>2</v>
      </c>
      <c r="T363" t="s">
        <v>29</v>
      </c>
      <c r="U363" t="s">
        <v>33</v>
      </c>
      <c r="V363" s="3">
        <v>78799</v>
      </c>
      <c r="W363">
        <v>3.26</v>
      </c>
      <c r="X363">
        <v>8</v>
      </c>
      <c r="Y363" s="1">
        <f>EV_Data4[[#This Row],[range_miles]]/EV_Data4[[#This Row],[battery_capacity_kwh]]</f>
        <v>3.325942350332594</v>
      </c>
      <c r="Z363" s="4">
        <f>EV_Data4[[#This Row],[price_usd]]/EV_Data4[[#This Row],[range_miles]]</f>
        <v>571.37386666666669</v>
      </c>
      <c r="AA363" s="2">
        <f>(EV_Data4[[#This Row],[customer_rating]]*EV_Data4[[#This Row],[safety_rating]]*1000)/EV_Data4[[#This Row],[price_usd]]</f>
        <v>0.15214789895886033</v>
      </c>
      <c r="AB363">
        <f>EV_Data4[[#This Row],[horsepower]]+EV_Data4[[#This Row],[torque_nm]]/EV_Data4[[#This Row],[acceleration_0_60_mph]]</f>
        <v>730.55908513341808</v>
      </c>
      <c r="AC363" t="str">
        <f>IF(EV_Data4[[#This Row],[price_usd]]&gt;=80000,"Luxury",IF(EV_Data4[[#This Row],[price_usd]]&gt;=40000,"Mid-Range","Budget"))</f>
        <v>Luxury</v>
      </c>
      <c r="AD363" t="str">
        <f>IF(EV_Data4[[#This Row],[range_miles]]&gt;=350,"Long-Range",IF(EV_Data4[[#This Row],[range_miles]]&gt;=250,"Medium-Range","Short-Range"))</f>
        <v>Short-Range</v>
      </c>
      <c r="AE363" t="str">
        <f>IF(EV_Data4[[#This Row],[charging_speed_kw]]&gt;=250,"Ultra-Fast",IF(EV_Data4[[#This Row],[charging_speed_kw]]&gt;=150,"Fast-Charging","Standard-Charging"))</f>
        <v>Standard-Charging</v>
      </c>
      <c r="AF363" t="str">
        <f>IF(EV_Data4[[#This Row],[acceleration_0_60_mph]]&lt;=3,"SportsPerformance",IF(EV_Data4[[#This Row],[acceleration_0_60_mph]]&lt;=5,"HighPerformance","Standard"))</f>
        <v>Standard</v>
      </c>
      <c r="AG363" t="str">
        <f>IF(EV_Data4[[#This Row],[customer_rating]]&gt;=4.5,"Excellent",IF(EV_Data4[[#This Row],[customer_rating]]&gt;=3.5,"Good","Average"))</f>
        <v>Average</v>
      </c>
      <c r="AH36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64" spans="1:34" x14ac:dyDescent="0.3">
      <c r="A364" t="s">
        <v>68</v>
      </c>
      <c r="B364" t="s">
        <v>79</v>
      </c>
      <c r="C364">
        <v>2024</v>
      </c>
      <c r="D364" t="s">
        <v>56</v>
      </c>
      <c r="E364" s="3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34</v>
      </c>
      <c r="N364">
        <v>7</v>
      </c>
      <c r="O364" t="s">
        <v>28</v>
      </c>
      <c r="P364">
        <v>50.2</v>
      </c>
      <c r="Q364">
        <v>2843</v>
      </c>
      <c r="R364">
        <v>5</v>
      </c>
      <c r="S364">
        <v>2</v>
      </c>
      <c r="T364" t="s">
        <v>45</v>
      </c>
      <c r="U364" t="s">
        <v>37</v>
      </c>
      <c r="V364" s="3">
        <v>136935</v>
      </c>
      <c r="W364">
        <v>3.41</v>
      </c>
      <c r="X364">
        <v>4</v>
      </c>
      <c r="Y364" s="1">
        <f>EV_Data4[[#This Row],[range_miles]]/EV_Data4[[#This Row],[battery_capacity_kwh]]</f>
        <v>3.7157534246575343</v>
      </c>
      <c r="Z364" s="4">
        <f>EV_Data4[[#This Row],[price_usd]]/EV_Data4[[#This Row],[range_miles]]</f>
        <v>249.9306451612903</v>
      </c>
      <c r="AA364" s="2">
        <f>(EV_Data4[[#This Row],[customer_rating]]*EV_Data4[[#This Row],[safety_rating]]*1000)/EV_Data4[[#This Row],[price_usd]]</f>
        <v>0.31437292742041806</v>
      </c>
      <c r="AB364">
        <f>EV_Data4[[#This Row],[horsepower]]+EV_Data4[[#This Row],[torque_nm]]/EV_Data4[[#This Row],[acceleration_0_60_mph]]</f>
        <v>646.92084432717684</v>
      </c>
      <c r="AC364" t="str">
        <f>IF(EV_Data4[[#This Row],[price_usd]]&gt;=80000,"Luxury",IF(EV_Data4[[#This Row],[price_usd]]&gt;=40000,"Mid-Range","Budget"))</f>
        <v>Mid-Range</v>
      </c>
      <c r="AD364" t="str">
        <f>IF(EV_Data4[[#This Row],[range_miles]]&gt;=350,"Long-Range",IF(EV_Data4[[#This Row],[range_miles]]&gt;=250,"Medium-Range","Short-Range"))</f>
        <v>Short-Range</v>
      </c>
      <c r="AE364" t="str">
        <f>IF(EV_Data4[[#This Row],[charging_speed_kw]]&gt;=250,"Ultra-Fast",IF(EV_Data4[[#This Row],[charging_speed_kw]]&gt;=150,"Fast-Charging","Standard-Charging"))</f>
        <v>Standard-Charging</v>
      </c>
      <c r="AF364" t="str">
        <f>IF(EV_Data4[[#This Row],[acceleration_0_60_mph]]&lt;=3,"SportsPerformance",IF(EV_Data4[[#This Row],[acceleration_0_60_mph]]&lt;=5,"HighPerformance","Standard"))</f>
        <v>Standard</v>
      </c>
      <c r="AG364" t="str">
        <f>IF(EV_Data4[[#This Row],[customer_rating]]&gt;=4.5,"Excellent",IF(EV_Data4[[#This Row],[customer_rating]]&gt;=3.5,"Good","Average"))</f>
        <v>Average</v>
      </c>
      <c r="AH36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65" spans="1:34" x14ac:dyDescent="0.3">
      <c r="A365" t="s">
        <v>42</v>
      </c>
      <c r="B365" t="s">
        <v>71</v>
      </c>
      <c r="C365">
        <v>2023</v>
      </c>
      <c r="D365" t="s">
        <v>33</v>
      </c>
      <c r="E365" s="3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27</v>
      </c>
      <c r="N365">
        <v>5</v>
      </c>
      <c r="O365" t="s">
        <v>35</v>
      </c>
      <c r="P365">
        <v>44.2</v>
      </c>
      <c r="Q365">
        <v>1516</v>
      </c>
      <c r="R365">
        <v>5</v>
      </c>
      <c r="S365">
        <v>1</v>
      </c>
      <c r="T365" t="s">
        <v>45</v>
      </c>
      <c r="U365" t="s">
        <v>33</v>
      </c>
      <c r="V365" s="3">
        <v>107457</v>
      </c>
      <c r="W365">
        <v>3.32</v>
      </c>
      <c r="X365">
        <v>5</v>
      </c>
      <c r="Y365" s="1">
        <f>EV_Data4[[#This Row],[range_miles]]/EV_Data4[[#This Row],[battery_capacity_kwh]]</f>
        <v>3.1811023622047245</v>
      </c>
      <c r="Z365" s="4">
        <f>EV_Data4[[#This Row],[price_usd]]/EV_Data4[[#This Row],[range_miles]]</f>
        <v>473.25980198019801</v>
      </c>
      <c r="AA365" s="2">
        <f>(EV_Data4[[#This Row],[customer_rating]]*EV_Data4[[#This Row],[safety_rating]]*1000)/EV_Data4[[#This Row],[price_usd]]</f>
        <v>0.17364292821392135</v>
      </c>
      <c r="AB365">
        <f>EV_Data4[[#This Row],[horsepower]]+EV_Data4[[#This Row],[torque_nm]]/EV_Data4[[#This Row],[acceleration_0_60_mph]]</f>
        <v>1153.0797101449275</v>
      </c>
      <c r="AC365" t="str">
        <f>IF(EV_Data4[[#This Row],[price_usd]]&gt;=80000,"Luxury",IF(EV_Data4[[#This Row],[price_usd]]&gt;=40000,"Mid-Range","Budget"))</f>
        <v>Luxury</v>
      </c>
      <c r="AD365" t="str">
        <f>IF(EV_Data4[[#This Row],[range_miles]]&gt;=350,"Long-Range",IF(EV_Data4[[#This Row],[range_miles]]&gt;=250,"Medium-Range","Short-Range"))</f>
        <v>Short-Range</v>
      </c>
      <c r="AE365" t="str">
        <f>IF(EV_Data4[[#This Row],[charging_speed_kw]]&gt;=250,"Ultra-Fast",IF(EV_Data4[[#This Row],[charging_speed_kw]]&gt;=150,"Fast-Charging","Standard-Charging"))</f>
        <v>Standard-Charging</v>
      </c>
      <c r="AF365" t="str">
        <f>IF(EV_Data4[[#This Row],[acceleration_0_60_mph]]&lt;=3,"SportsPerformance",IF(EV_Data4[[#This Row],[acceleration_0_60_mph]]&lt;=5,"HighPerformance","Standard"))</f>
        <v>Standard</v>
      </c>
      <c r="AG365" t="str">
        <f>IF(EV_Data4[[#This Row],[customer_rating]]&gt;=4.5,"Excellent",IF(EV_Data4[[#This Row],[customer_rating]]&gt;=3.5,"Good","Average"))</f>
        <v>Average</v>
      </c>
      <c r="AH36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66" spans="1:34" x14ac:dyDescent="0.3">
      <c r="A366" t="s">
        <v>92</v>
      </c>
      <c r="B366" t="s">
        <v>127</v>
      </c>
      <c r="C366">
        <v>2023</v>
      </c>
      <c r="D366" t="s">
        <v>44</v>
      </c>
      <c r="E366" s="3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27</v>
      </c>
      <c r="N366">
        <v>7</v>
      </c>
      <c r="O366" t="s">
        <v>58</v>
      </c>
      <c r="P366">
        <v>20.5</v>
      </c>
      <c r="Q366">
        <v>1662</v>
      </c>
      <c r="R366">
        <v>4</v>
      </c>
      <c r="S366">
        <v>0</v>
      </c>
      <c r="T366" t="s">
        <v>65</v>
      </c>
      <c r="U366" t="s">
        <v>33</v>
      </c>
      <c r="V366" s="3">
        <v>12631</v>
      </c>
      <c r="W366">
        <v>3.86</v>
      </c>
      <c r="X366">
        <v>5</v>
      </c>
      <c r="Y366" s="1">
        <f>EV_Data4[[#This Row],[range_miles]]/EV_Data4[[#This Row],[battery_capacity_kwh]]</f>
        <v>3.4274952919020714</v>
      </c>
      <c r="Z366" s="4">
        <f>EV_Data4[[#This Row],[price_usd]]/EV_Data4[[#This Row],[range_miles]]</f>
        <v>269.26332417582421</v>
      </c>
      <c r="AA366" s="2">
        <f>(EV_Data4[[#This Row],[customer_rating]]*EV_Data4[[#This Row],[safety_rating]]*1000)/EV_Data4[[#This Row],[price_usd]]</f>
        <v>0.15753197189931625</v>
      </c>
      <c r="AB366">
        <f>EV_Data4[[#This Row],[horsepower]]+EV_Data4[[#This Row],[torque_nm]]/EV_Data4[[#This Row],[acceleration_0_60_mph]]</f>
        <v>1115.9834254143648</v>
      </c>
      <c r="AC366" t="str">
        <f>IF(EV_Data4[[#This Row],[price_usd]]&gt;=80000,"Luxury",IF(EV_Data4[[#This Row],[price_usd]]&gt;=40000,"Mid-Range","Budget"))</f>
        <v>Luxury</v>
      </c>
      <c r="AD366" t="str">
        <f>IF(EV_Data4[[#This Row],[range_miles]]&gt;=350,"Long-Range",IF(EV_Data4[[#This Row],[range_miles]]&gt;=250,"Medium-Range","Short-Range"))</f>
        <v>Long-Range</v>
      </c>
      <c r="AE366" t="str">
        <f>IF(EV_Data4[[#This Row],[charging_speed_kw]]&gt;=250,"Ultra-Fast",IF(EV_Data4[[#This Row],[charging_speed_kw]]&gt;=150,"Fast-Charging","Standard-Charging"))</f>
        <v>Standard-Charging</v>
      </c>
      <c r="AF366" t="str">
        <f>IF(EV_Data4[[#This Row],[acceleration_0_60_mph]]&lt;=3,"SportsPerformance",IF(EV_Data4[[#This Row],[acceleration_0_60_mph]]&lt;=5,"HighPerformance","Standard"))</f>
        <v>Standard</v>
      </c>
      <c r="AG366" t="str">
        <f>IF(EV_Data4[[#This Row],[customer_rating]]&gt;=4.5,"Excellent",IF(EV_Data4[[#This Row],[customer_rating]]&gt;=3.5,"Good","Average"))</f>
        <v>Good</v>
      </c>
      <c r="AH36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67" spans="1:34" x14ac:dyDescent="0.3">
      <c r="A367" t="s">
        <v>24</v>
      </c>
      <c r="B367" t="s">
        <v>85</v>
      </c>
      <c r="C367">
        <v>2025</v>
      </c>
      <c r="D367" t="s">
        <v>26</v>
      </c>
      <c r="E367" s="3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27</v>
      </c>
      <c r="N367">
        <v>5</v>
      </c>
      <c r="O367" t="s">
        <v>28</v>
      </c>
      <c r="P367">
        <v>77.2</v>
      </c>
      <c r="Q367">
        <v>2583</v>
      </c>
      <c r="R367">
        <v>3</v>
      </c>
      <c r="S367">
        <v>1</v>
      </c>
      <c r="T367" t="s">
        <v>29</v>
      </c>
      <c r="U367" t="s">
        <v>37</v>
      </c>
      <c r="V367" s="3">
        <v>263694</v>
      </c>
      <c r="W367">
        <v>3.21</v>
      </c>
      <c r="X367">
        <v>3</v>
      </c>
      <c r="Y367" s="1">
        <f>EV_Data4[[#This Row],[range_miles]]/EV_Data4[[#This Row],[battery_capacity_kwh]]</f>
        <v>3.6363636363636362</v>
      </c>
      <c r="Z367" s="4">
        <f>EV_Data4[[#This Row],[price_usd]]/EV_Data4[[#This Row],[range_miles]]</f>
        <v>224.28242307692307</v>
      </c>
      <c r="AA367" s="2">
        <f>(EV_Data4[[#This Row],[customer_rating]]*EV_Data4[[#This Row],[safety_rating]]*1000)/EV_Data4[[#This Row],[price_usd]]</f>
        <v>0.16514206075684448</v>
      </c>
      <c r="AB367">
        <f>EV_Data4[[#This Row],[horsepower]]+EV_Data4[[#This Row],[torque_nm]]/EV_Data4[[#This Row],[acceleration_0_60_mph]]</f>
        <v>723.70080862533689</v>
      </c>
      <c r="AC367" t="str">
        <f>IF(EV_Data4[[#This Row],[price_usd]]&gt;=80000,"Luxury",IF(EV_Data4[[#This Row],[price_usd]]&gt;=40000,"Mid-Range","Budget"))</f>
        <v>Mid-Range</v>
      </c>
      <c r="AD367" t="str">
        <f>IF(EV_Data4[[#This Row],[range_miles]]&gt;=350,"Long-Range",IF(EV_Data4[[#This Row],[range_miles]]&gt;=250,"Medium-Range","Short-Range"))</f>
        <v>Medium-Range</v>
      </c>
      <c r="AE367" t="str">
        <f>IF(EV_Data4[[#This Row],[charging_speed_kw]]&gt;=250,"Ultra-Fast",IF(EV_Data4[[#This Row],[charging_speed_kw]]&gt;=150,"Fast-Charging","Standard-Charging"))</f>
        <v>Fast-Charging</v>
      </c>
      <c r="AF367" t="str">
        <f>IF(EV_Data4[[#This Row],[acceleration_0_60_mph]]&lt;=3,"SportsPerformance",IF(EV_Data4[[#This Row],[acceleration_0_60_mph]]&lt;=5,"HighPerformance","Standard"))</f>
        <v>HighPerformance</v>
      </c>
      <c r="AG367" t="str">
        <f>IF(EV_Data4[[#This Row],[customer_rating]]&gt;=4.5,"Excellent",IF(EV_Data4[[#This Row],[customer_rating]]&gt;=3.5,"Good","Average"))</f>
        <v>Average</v>
      </c>
      <c r="AH36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68" spans="1:34" x14ac:dyDescent="0.3">
      <c r="A368" t="s">
        <v>31</v>
      </c>
      <c r="B368" t="s">
        <v>32</v>
      </c>
      <c r="C368">
        <v>2024</v>
      </c>
      <c r="D368" t="s">
        <v>56</v>
      </c>
      <c r="E368" s="3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48</v>
      </c>
      <c r="N368">
        <v>5</v>
      </c>
      <c r="O368" t="s">
        <v>35</v>
      </c>
      <c r="P368">
        <v>35.4</v>
      </c>
      <c r="Q368">
        <v>1773</v>
      </c>
      <c r="R368">
        <v>4</v>
      </c>
      <c r="S368">
        <v>0</v>
      </c>
      <c r="T368" t="s">
        <v>36</v>
      </c>
      <c r="U368" t="s">
        <v>37</v>
      </c>
      <c r="V368" s="3">
        <v>8458</v>
      </c>
      <c r="W368">
        <v>3.67</v>
      </c>
      <c r="X368">
        <v>4</v>
      </c>
      <c r="Y368" s="1">
        <f>EV_Data4[[#This Row],[range_miles]]/EV_Data4[[#This Row],[battery_capacity_kwh]]</f>
        <v>3.3790523690773067</v>
      </c>
      <c r="Z368" s="4">
        <f>EV_Data4[[#This Row],[price_usd]]/EV_Data4[[#This Row],[range_miles]]</f>
        <v>231.73291512915131</v>
      </c>
      <c r="AA368" s="2">
        <f>(EV_Data4[[#This Row],[customer_rating]]*EV_Data4[[#This Row],[safety_rating]]*1000)/EV_Data4[[#This Row],[price_usd]]</f>
        <v>0.23375937625100279</v>
      </c>
      <c r="AB368">
        <f>EV_Data4[[#This Row],[horsepower]]+EV_Data4[[#This Row],[torque_nm]]/EV_Data4[[#This Row],[acceleration_0_60_mph]]</f>
        <v>811.02560455192031</v>
      </c>
      <c r="AC368" t="str">
        <f>IF(EV_Data4[[#This Row],[price_usd]]&gt;=80000,"Luxury",IF(EV_Data4[[#This Row],[price_usd]]&gt;=40000,"Mid-Range","Budget"))</f>
        <v>Mid-Range</v>
      </c>
      <c r="AD368" t="str">
        <f>IF(EV_Data4[[#This Row],[range_miles]]&gt;=350,"Long-Range",IF(EV_Data4[[#This Row],[range_miles]]&gt;=250,"Medium-Range","Short-Range"))</f>
        <v>Medium-Range</v>
      </c>
      <c r="AE368" t="str">
        <f>IF(EV_Data4[[#This Row],[charging_speed_kw]]&gt;=250,"Ultra-Fast",IF(EV_Data4[[#This Row],[charging_speed_kw]]&gt;=150,"Fast-Charging","Standard-Charging"))</f>
        <v>Standard-Charging</v>
      </c>
      <c r="AF368" t="str">
        <f>IF(EV_Data4[[#This Row],[acceleration_0_60_mph]]&lt;=3,"SportsPerformance",IF(EV_Data4[[#This Row],[acceleration_0_60_mph]]&lt;=5,"HighPerformance","Standard"))</f>
        <v>Standard</v>
      </c>
      <c r="AG368" t="str">
        <f>IF(EV_Data4[[#This Row],[customer_rating]]&gt;=4.5,"Excellent",IF(EV_Data4[[#This Row],[customer_rating]]&gt;=3.5,"Good","Average"))</f>
        <v>Good</v>
      </c>
      <c r="AH36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69" spans="1:34" x14ac:dyDescent="0.3">
      <c r="A369" t="s">
        <v>86</v>
      </c>
      <c r="B369" t="s">
        <v>108</v>
      </c>
      <c r="C369">
        <v>2025</v>
      </c>
      <c r="D369" t="s">
        <v>61</v>
      </c>
      <c r="E369" s="3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48</v>
      </c>
      <c r="N369">
        <v>7</v>
      </c>
      <c r="O369" t="s">
        <v>28</v>
      </c>
      <c r="P369">
        <v>64.5</v>
      </c>
      <c r="Q369">
        <v>2402</v>
      </c>
      <c r="R369">
        <v>5</v>
      </c>
      <c r="S369">
        <v>2</v>
      </c>
      <c r="T369" t="s">
        <v>29</v>
      </c>
      <c r="U369" t="s">
        <v>33</v>
      </c>
      <c r="V369" s="3">
        <v>26577</v>
      </c>
      <c r="W369">
        <v>3.76</v>
      </c>
      <c r="X369">
        <v>7</v>
      </c>
      <c r="Y369" s="1">
        <f>EV_Data4[[#This Row],[range_miles]]/EV_Data4[[#This Row],[battery_capacity_kwh]]</f>
        <v>3.4347048300536676</v>
      </c>
      <c r="Z369" s="4">
        <f>EV_Data4[[#This Row],[price_usd]]/EV_Data4[[#This Row],[range_miles]]</f>
        <v>474.16015625</v>
      </c>
      <c r="AA369" s="2">
        <f>(EV_Data4[[#This Row],[customer_rating]]*EV_Data4[[#This Row],[safety_rating]]*1000)/EV_Data4[[#This Row],[price_usd]]</f>
        <v>0.20650547157117158</v>
      </c>
      <c r="AB369">
        <f>EV_Data4[[#This Row],[horsepower]]+EV_Data4[[#This Row],[torque_nm]]/EV_Data4[[#This Row],[acceleration_0_60_mph]]</f>
        <v>718.42677824267787</v>
      </c>
      <c r="AC369" t="str">
        <f>IF(EV_Data4[[#This Row],[price_usd]]&gt;=80000,"Luxury",IF(EV_Data4[[#This Row],[price_usd]]&gt;=40000,"Mid-Range","Budget"))</f>
        <v>Luxury</v>
      </c>
      <c r="AD369" t="str">
        <f>IF(EV_Data4[[#This Row],[range_miles]]&gt;=350,"Long-Range",IF(EV_Data4[[#This Row],[range_miles]]&gt;=250,"Medium-Range","Short-Range"))</f>
        <v>Short-Range</v>
      </c>
      <c r="AE369" t="str">
        <f>IF(EV_Data4[[#This Row],[charging_speed_kw]]&gt;=250,"Ultra-Fast",IF(EV_Data4[[#This Row],[charging_speed_kw]]&gt;=150,"Fast-Charging","Standard-Charging"))</f>
        <v>Standard-Charging</v>
      </c>
      <c r="AF369" t="str">
        <f>IF(EV_Data4[[#This Row],[acceleration_0_60_mph]]&lt;=3,"SportsPerformance",IF(EV_Data4[[#This Row],[acceleration_0_60_mph]]&lt;=5,"HighPerformance","Standard"))</f>
        <v>Standard</v>
      </c>
      <c r="AG369" t="str">
        <f>IF(EV_Data4[[#This Row],[customer_rating]]&gt;=4.5,"Excellent",IF(EV_Data4[[#This Row],[customer_rating]]&gt;=3.5,"Good","Average"))</f>
        <v>Good</v>
      </c>
      <c r="AH36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70" spans="1:34" x14ac:dyDescent="0.3">
      <c r="A370" t="s">
        <v>46</v>
      </c>
      <c r="B370" t="s">
        <v>72</v>
      </c>
      <c r="C370">
        <v>2024</v>
      </c>
      <c r="D370" t="s">
        <v>61</v>
      </c>
      <c r="E370" s="3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34</v>
      </c>
      <c r="N370">
        <v>5</v>
      </c>
      <c r="O370" t="s">
        <v>28</v>
      </c>
      <c r="P370">
        <v>77.3</v>
      </c>
      <c r="Q370">
        <v>2533</v>
      </c>
      <c r="R370">
        <v>4</v>
      </c>
      <c r="S370">
        <v>2</v>
      </c>
      <c r="T370" t="s">
        <v>41</v>
      </c>
      <c r="U370" t="s">
        <v>30</v>
      </c>
      <c r="V370" s="3">
        <v>105012</v>
      </c>
      <c r="W370">
        <v>4.03</v>
      </c>
      <c r="X370">
        <v>6</v>
      </c>
      <c r="Y370" s="1">
        <f>EV_Data4[[#This Row],[range_miles]]/EV_Data4[[#This Row],[battery_capacity_kwh]]</f>
        <v>3.4777376654632977</v>
      </c>
      <c r="Z370" s="4">
        <f>EV_Data4[[#This Row],[price_usd]]/EV_Data4[[#This Row],[range_miles]]</f>
        <v>452.60574394463669</v>
      </c>
      <c r="AA370" s="2">
        <f>(EV_Data4[[#This Row],[customer_rating]]*EV_Data4[[#This Row],[safety_rating]]*1000)/EV_Data4[[#This Row],[price_usd]]</f>
        <v>0.12323870710669921</v>
      </c>
      <c r="AB370">
        <f>EV_Data4[[#This Row],[horsepower]]+EV_Data4[[#This Row],[torque_nm]]/EV_Data4[[#This Row],[acceleration_0_60_mph]]</f>
        <v>1047.2817337461302</v>
      </c>
      <c r="AC370" t="str">
        <f>IF(EV_Data4[[#This Row],[price_usd]]&gt;=80000,"Luxury",IF(EV_Data4[[#This Row],[price_usd]]&gt;=40000,"Mid-Range","Budget"))</f>
        <v>Luxury</v>
      </c>
      <c r="AD370" t="str">
        <f>IF(EV_Data4[[#This Row],[range_miles]]&gt;=350,"Long-Range",IF(EV_Data4[[#This Row],[range_miles]]&gt;=250,"Medium-Range","Short-Range"))</f>
        <v>Medium-Range</v>
      </c>
      <c r="AE370" t="str">
        <f>IF(EV_Data4[[#This Row],[charging_speed_kw]]&gt;=250,"Ultra-Fast",IF(EV_Data4[[#This Row],[charging_speed_kw]]&gt;=150,"Fast-Charging","Standard-Charging"))</f>
        <v>Fast-Charging</v>
      </c>
      <c r="AF370" t="str">
        <f>IF(EV_Data4[[#This Row],[acceleration_0_60_mph]]&lt;=3,"SportsPerformance",IF(EV_Data4[[#This Row],[acceleration_0_60_mph]]&lt;=5,"HighPerformance","Standard"))</f>
        <v>Standard</v>
      </c>
      <c r="AG370" t="str">
        <f>IF(EV_Data4[[#This Row],[customer_rating]]&gt;=4.5,"Excellent",IF(EV_Data4[[#This Row],[customer_rating]]&gt;=3.5,"Good","Average"))</f>
        <v>Good</v>
      </c>
      <c r="AH37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71" spans="1:34" x14ac:dyDescent="0.3">
      <c r="A371" t="s">
        <v>46</v>
      </c>
      <c r="B371" t="s">
        <v>47</v>
      </c>
      <c r="C371">
        <v>2025</v>
      </c>
      <c r="D371" t="s">
        <v>56</v>
      </c>
      <c r="E371" s="3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34</v>
      </c>
      <c r="N371">
        <v>7</v>
      </c>
      <c r="O371" t="s">
        <v>58</v>
      </c>
      <c r="P371">
        <v>38.5</v>
      </c>
      <c r="Q371">
        <v>1522</v>
      </c>
      <c r="R371">
        <v>5</v>
      </c>
      <c r="S371">
        <v>3</v>
      </c>
      <c r="T371" t="s">
        <v>41</v>
      </c>
      <c r="U371" t="s">
        <v>33</v>
      </c>
      <c r="V371" s="3">
        <v>189686</v>
      </c>
      <c r="W371">
        <v>3.74</v>
      </c>
      <c r="X371">
        <v>5</v>
      </c>
      <c r="Y371" s="1">
        <f>EV_Data4[[#This Row],[range_miles]]/EV_Data4[[#This Row],[battery_capacity_kwh]]</f>
        <v>3.2421875</v>
      </c>
      <c r="Z371" s="4">
        <f>EV_Data4[[#This Row],[price_usd]]/EV_Data4[[#This Row],[range_miles]]</f>
        <v>279.62353413654614</v>
      </c>
      <c r="AA371" s="2">
        <f>(EV_Data4[[#This Row],[customer_rating]]*EV_Data4[[#This Row],[safety_rating]]*1000)/EV_Data4[[#This Row],[price_usd]]</f>
        <v>0.26857682719135001</v>
      </c>
      <c r="AB371">
        <f>EV_Data4[[#This Row],[horsepower]]+EV_Data4[[#This Row],[torque_nm]]/EV_Data4[[#This Row],[acceleration_0_60_mph]]</f>
        <v>571.33333333333337</v>
      </c>
      <c r="AC371" t="str">
        <f>IF(EV_Data4[[#This Row],[price_usd]]&gt;=80000,"Luxury",IF(EV_Data4[[#This Row],[price_usd]]&gt;=40000,"Mid-Range","Budget"))</f>
        <v>Mid-Range</v>
      </c>
      <c r="AD371" t="str">
        <f>IF(EV_Data4[[#This Row],[range_miles]]&gt;=350,"Long-Range",IF(EV_Data4[[#This Row],[range_miles]]&gt;=250,"Medium-Range","Short-Range"))</f>
        <v>Short-Range</v>
      </c>
      <c r="AE371" t="str">
        <f>IF(EV_Data4[[#This Row],[charging_speed_kw]]&gt;=250,"Ultra-Fast",IF(EV_Data4[[#This Row],[charging_speed_kw]]&gt;=150,"Fast-Charging","Standard-Charging"))</f>
        <v>Ultra-Fast</v>
      </c>
      <c r="AF371" t="str">
        <f>IF(EV_Data4[[#This Row],[acceleration_0_60_mph]]&lt;=3,"SportsPerformance",IF(EV_Data4[[#This Row],[acceleration_0_60_mph]]&lt;=5,"HighPerformance","Standard"))</f>
        <v>Standard</v>
      </c>
      <c r="AG371" t="str">
        <f>IF(EV_Data4[[#This Row],[customer_rating]]&gt;=4.5,"Excellent",IF(EV_Data4[[#This Row],[customer_rating]]&gt;=3.5,"Good","Average"))</f>
        <v>Good</v>
      </c>
      <c r="AH371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372" spans="1:34" x14ac:dyDescent="0.3">
      <c r="A372" t="s">
        <v>46</v>
      </c>
      <c r="B372" t="s">
        <v>49</v>
      </c>
      <c r="C372">
        <v>2024</v>
      </c>
      <c r="D372" t="s">
        <v>44</v>
      </c>
      <c r="E372" s="3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27</v>
      </c>
      <c r="N372">
        <v>5</v>
      </c>
      <c r="O372" t="s">
        <v>58</v>
      </c>
      <c r="P372">
        <v>22</v>
      </c>
      <c r="Q372">
        <v>1500</v>
      </c>
      <c r="R372">
        <v>4</v>
      </c>
      <c r="S372">
        <v>2</v>
      </c>
      <c r="T372" t="s">
        <v>41</v>
      </c>
      <c r="U372" t="s">
        <v>33</v>
      </c>
      <c r="V372" s="3">
        <v>497556</v>
      </c>
      <c r="W372">
        <v>4.0599999999999996</v>
      </c>
      <c r="X372">
        <v>5</v>
      </c>
      <c r="Y372" s="1">
        <f>EV_Data4[[#This Row],[range_miles]]/EV_Data4[[#This Row],[battery_capacity_kwh]]</f>
        <v>3.572938689217759</v>
      </c>
      <c r="Z372" s="4">
        <f>EV_Data4[[#This Row],[price_usd]]/EV_Data4[[#This Row],[range_miles]]</f>
        <v>252.69053254437867</v>
      </c>
      <c r="AA372" s="2">
        <f>(EV_Data4[[#This Row],[customer_rating]]*EV_Data4[[#This Row],[safety_rating]]*1000)/EV_Data4[[#This Row],[price_usd]]</f>
        <v>0.19014300533664913</v>
      </c>
      <c r="AB372">
        <f>EV_Data4[[#This Row],[horsepower]]+EV_Data4[[#This Row],[torque_nm]]/EV_Data4[[#This Row],[acceleration_0_60_mph]]</f>
        <v>718.18181818181824</v>
      </c>
      <c r="AC372" t="str">
        <f>IF(EV_Data4[[#This Row],[price_usd]]&gt;=80000,"Luxury",IF(EV_Data4[[#This Row],[price_usd]]&gt;=40000,"Mid-Range","Budget"))</f>
        <v>Luxury</v>
      </c>
      <c r="AD372" t="str">
        <f>IF(EV_Data4[[#This Row],[range_miles]]&gt;=350,"Long-Range",IF(EV_Data4[[#This Row],[range_miles]]&gt;=250,"Medium-Range","Short-Range"))</f>
        <v>Medium-Range</v>
      </c>
      <c r="AE372" t="str">
        <f>IF(EV_Data4[[#This Row],[charging_speed_kw]]&gt;=250,"Ultra-Fast",IF(EV_Data4[[#This Row],[charging_speed_kw]]&gt;=150,"Fast-Charging","Standard-Charging"))</f>
        <v>Ultra-Fast</v>
      </c>
      <c r="AF372" t="str">
        <f>IF(EV_Data4[[#This Row],[acceleration_0_60_mph]]&lt;=3,"SportsPerformance",IF(EV_Data4[[#This Row],[acceleration_0_60_mph]]&lt;=5,"HighPerformance","Standard"))</f>
        <v>Standard</v>
      </c>
      <c r="AG372" t="str">
        <f>IF(EV_Data4[[#This Row],[customer_rating]]&gt;=4.5,"Excellent",IF(EV_Data4[[#This Row],[customer_rating]]&gt;=3.5,"Good","Average"))</f>
        <v>Good</v>
      </c>
      <c r="AH37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73" spans="1:34" x14ac:dyDescent="0.3">
      <c r="A373" t="s">
        <v>46</v>
      </c>
      <c r="B373" t="s">
        <v>47</v>
      </c>
      <c r="C373">
        <v>2026</v>
      </c>
      <c r="D373" t="s">
        <v>44</v>
      </c>
      <c r="E373" s="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48</v>
      </c>
      <c r="N373">
        <v>7</v>
      </c>
      <c r="O373" t="s">
        <v>51</v>
      </c>
      <c r="P373">
        <v>15</v>
      </c>
      <c r="Q373">
        <v>1574</v>
      </c>
      <c r="R373">
        <v>5</v>
      </c>
      <c r="S373">
        <v>2</v>
      </c>
      <c r="T373" t="s">
        <v>41</v>
      </c>
      <c r="U373" t="s">
        <v>30</v>
      </c>
      <c r="V373" s="3">
        <v>178740</v>
      </c>
      <c r="W373">
        <v>4.0599999999999996</v>
      </c>
      <c r="X373">
        <v>5</v>
      </c>
      <c r="Y373" s="1">
        <f>EV_Data4[[#This Row],[range_miles]]/EV_Data4[[#This Row],[battery_capacity_kwh]]</f>
        <v>3.345070422535211</v>
      </c>
      <c r="Z373" s="4">
        <f>EV_Data4[[#This Row],[price_usd]]/EV_Data4[[#This Row],[range_miles]]</f>
        <v>537.0422456140351</v>
      </c>
      <c r="AA373" s="2">
        <f>(EV_Data4[[#This Row],[customer_rating]]*EV_Data4[[#This Row],[safety_rating]]*1000)/EV_Data4[[#This Row],[price_usd]]</f>
        <v>0.132630292602026</v>
      </c>
      <c r="AB373">
        <f>EV_Data4[[#This Row],[horsepower]]+EV_Data4[[#This Row],[torque_nm]]/EV_Data4[[#This Row],[acceleration_0_60_mph]]</f>
        <v>1199.766355140187</v>
      </c>
      <c r="AC373" t="str">
        <f>IF(EV_Data4[[#This Row],[price_usd]]&gt;=80000,"Luxury",IF(EV_Data4[[#This Row],[price_usd]]&gt;=40000,"Mid-Range","Budget"))</f>
        <v>Luxury</v>
      </c>
      <c r="AD373" t="str">
        <f>IF(EV_Data4[[#This Row],[range_miles]]&gt;=350,"Long-Range",IF(EV_Data4[[#This Row],[range_miles]]&gt;=250,"Medium-Range","Short-Range"))</f>
        <v>Medium-Range</v>
      </c>
      <c r="AE373" t="str">
        <f>IF(EV_Data4[[#This Row],[charging_speed_kw]]&gt;=250,"Ultra-Fast",IF(EV_Data4[[#This Row],[charging_speed_kw]]&gt;=150,"Fast-Charging","Standard-Charging"))</f>
        <v>Ultra-Fast</v>
      </c>
      <c r="AF373" t="str">
        <f>IF(EV_Data4[[#This Row],[acceleration_0_60_mph]]&lt;=3,"SportsPerformance",IF(EV_Data4[[#This Row],[acceleration_0_60_mph]]&lt;=5,"HighPerformance","Standard"))</f>
        <v>HighPerformance</v>
      </c>
      <c r="AG373" t="str">
        <f>IF(EV_Data4[[#This Row],[customer_rating]]&gt;=4.5,"Excellent",IF(EV_Data4[[#This Row],[customer_rating]]&gt;=3.5,"Good","Average"))</f>
        <v>Good</v>
      </c>
      <c r="AH37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74" spans="1:34" x14ac:dyDescent="0.3">
      <c r="A374" t="s">
        <v>46</v>
      </c>
      <c r="B374" t="s">
        <v>72</v>
      </c>
      <c r="C374">
        <v>2023</v>
      </c>
      <c r="D374" t="s">
        <v>61</v>
      </c>
      <c r="E374" s="3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48</v>
      </c>
      <c r="N374">
        <v>7</v>
      </c>
      <c r="O374" t="s">
        <v>28</v>
      </c>
      <c r="P374">
        <v>77</v>
      </c>
      <c r="Q374">
        <v>2332</v>
      </c>
      <c r="R374">
        <v>5</v>
      </c>
      <c r="S374">
        <v>2</v>
      </c>
      <c r="T374" t="s">
        <v>41</v>
      </c>
      <c r="U374" t="s">
        <v>30</v>
      </c>
      <c r="V374" s="3">
        <v>186743</v>
      </c>
      <c r="W374">
        <v>3.62</v>
      </c>
      <c r="X374">
        <v>4</v>
      </c>
      <c r="Y374" s="1">
        <f>EV_Data4[[#This Row],[range_miles]]/EV_Data4[[#This Row],[battery_capacity_kwh]]</f>
        <v>3.3644859813084111</v>
      </c>
      <c r="Z374" s="4">
        <f>EV_Data4[[#This Row],[price_usd]]/EV_Data4[[#This Row],[range_miles]]</f>
        <v>564.33564814814815</v>
      </c>
      <c r="AA374" s="2">
        <f>(EV_Data4[[#This Row],[customer_rating]]*EV_Data4[[#This Row],[safety_rating]]*1000)/EV_Data4[[#This Row],[price_usd]]</f>
        <v>0.14848662594906334</v>
      </c>
      <c r="AB374">
        <f>EV_Data4[[#This Row],[horsepower]]+EV_Data4[[#This Row],[torque_nm]]/EV_Data4[[#This Row],[acceleration_0_60_mph]]</f>
        <v>946.20393811533052</v>
      </c>
      <c r="AC374" t="str">
        <f>IF(EV_Data4[[#This Row],[price_usd]]&gt;=80000,"Luxury",IF(EV_Data4[[#This Row],[price_usd]]&gt;=40000,"Mid-Range","Budget"))</f>
        <v>Luxury</v>
      </c>
      <c r="AD374" t="str">
        <f>IF(EV_Data4[[#This Row],[range_miles]]&gt;=350,"Long-Range",IF(EV_Data4[[#This Row],[range_miles]]&gt;=250,"Medium-Range","Short-Range"))</f>
        <v>Short-Range</v>
      </c>
      <c r="AE374" t="str">
        <f>IF(EV_Data4[[#This Row],[charging_speed_kw]]&gt;=250,"Ultra-Fast",IF(EV_Data4[[#This Row],[charging_speed_kw]]&gt;=150,"Fast-Charging","Standard-Charging"))</f>
        <v>Ultra-Fast</v>
      </c>
      <c r="AF374" t="str">
        <f>IF(EV_Data4[[#This Row],[acceleration_0_60_mph]]&lt;=3,"SportsPerformance",IF(EV_Data4[[#This Row],[acceleration_0_60_mph]]&lt;=5,"HighPerformance","Standard"))</f>
        <v>Standard</v>
      </c>
      <c r="AG374" t="str">
        <f>IF(EV_Data4[[#This Row],[customer_rating]]&gt;=4.5,"Excellent",IF(EV_Data4[[#This Row],[customer_rating]]&gt;=3.5,"Good","Average"))</f>
        <v>Good</v>
      </c>
      <c r="AH37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75" spans="1:34" x14ac:dyDescent="0.3">
      <c r="A375" t="s">
        <v>83</v>
      </c>
      <c r="B375" t="s">
        <v>84</v>
      </c>
      <c r="C375">
        <v>2025</v>
      </c>
      <c r="D375" t="s">
        <v>56</v>
      </c>
      <c r="E375" s="3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34</v>
      </c>
      <c r="N375">
        <v>5</v>
      </c>
      <c r="O375" t="s">
        <v>28</v>
      </c>
      <c r="P375">
        <v>74.8</v>
      </c>
      <c r="Q375">
        <v>2768</v>
      </c>
      <c r="R375">
        <v>5</v>
      </c>
      <c r="S375">
        <v>1</v>
      </c>
      <c r="T375" t="s">
        <v>29</v>
      </c>
      <c r="U375" t="s">
        <v>33</v>
      </c>
      <c r="V375" s="3">
        <v>30088</v>
      </c>
      <c r="W375">
        <v>3.19</v>
      </c>
      <c r="X375">
        <v>8</v>
      </c>
      <c r="Y375" s="1">
        <f>EV_Data4[[#This Row],[range_miles]]/EV_Data4[[#This Row],[battery_capacity_kwh]]</f>
        <v>3.3977900552486187</v>
      </c>
      <c r="Z375" s="4">
        <f>EV_Data4[[#This Row],[price_usd]]/EV_Data4[[#This Row],[range_miles]]</f>
        <v>269.404674796748</v>
      </c>
      <c r="AA375" s="2">
        <f>(EV_Data4[[#This Row],[customer_rating]]*EV_Data4[[#This Row],[safety_rating]]*1000)/EV_Data4[[#This Row],[price_usd]]</f>
        <v>0.24066916590404466</v>
      </c>
      <c r="AB375">
        <f>EV_Data4[[#This Row],[horsepower]]+EV_Data4[[#This Row],[torque_nm]]/EV_Data4[[#This Row],[acceleration_0_60_mph]]</f>
        <v>374.59124087591243</v>
      </c>
      <c r="AC375" t="str">
        <f>IF(EV_Data4[[#This Row],[price_usd]]&gt;=80000,"Luxury",IF(EV_Data4[[#This Row],[price_usd]]&gt;=40000,"Mid-Range","Budget"))</f>
        <v>Mid-Range</v>
      </c>
      <c r="AD375" t="str">
        <f>IF(EV_Data4[[#This Row],[range_miles]]&gt;=350,"Long-Range",IF(EV_Data4[[#This Row],[range_miles]]&gt;=250,"Medium-Range","Short-Range"))</f>
        <v>Short-Range</v>
      </c>
      <c r="AE375" t="str">
        <f>IF(EV_Data4[[#This Row],[charging_speed_kw]]&gt;=250,"Ultra-Fast",IF(EV_Data4[[#This Row],[charging_speed_kw]]&gt;=150,"Fast-Charging","Standard-Charging"))</f>
        <v>Standard-Charging</v>
      </c>
      <c r="AF375" t="str">
        <f>IF(EV_Data4[[#This Row],[acceleration_0_60_mph]]&lt;=3,"SportsPerformance",IF(EV_Data4[[#This Row],[acceleration_0_60_mph]]&lt;=5,"HighPerformance","Standard"))</f>
        <v>Standard</v>
      </c>
      <c r="AG375" t="str">
        <f>IF(EV_Data4[[#This Row],[customer_rating]]&gt;=4.5,"Excellent",IF(EV_Data4[[#This Row],[customer_rating]]&gt;=3.5,"Good","Average"))</f>
        <v>Average</v>
      </c>
      <c r="AH37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76" spans="1:34" x14ac:dyDescent="0.3">
      <c r="A376" t="s">
        <v>46</v>
      </c>
      <c r="B376" t="s">
        <v>49</v>
      </c>
      <c r="C376">
        <v>2024</v>
      </c>
      <c r="D376" t="s">
        <v>56</v>
      </c>
      <c r="E376" s="3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27</v>
      </c>
      <c r="N376">
        <v>5</v>
      </c>
      <c r="O376" t="s">
        <v>58</v>
      </c>
      <c r="P376">
        <v>17.399999999999999</v>
      </c>
      <c r="Q376">
        <v>1500</v>
      </c>
      <c r="R376">
        <v>5</v>
      </c>
      <c r="S376">
        <v>2</v>
      </c>
      <c r="T376" t="s">
        <v>41</v>
      </c>
      <c r="U376" t="s">
        <v>37</v>
      </c>
      <c r="V376" s="3">
        <v>424937</v>
      </c>
      <c r="W376">
        <v>3.73</v>
      </c>
      <c r="X376">
        <v>6</v>
      </c>
      <c r="Y376" s="1">
        <f>EV_Data4[[#This Row],[range_miles]]/EV_Data4[[#This Row],[battery_capacity_kwh]]</f>
        <v>3.6304700162074552</v>
      </c>
      <c r="Z376" s="4">
        <f>EV_Data4[[#This Row],[price_usd]]/EV_Data4[[#This Row],[range_miles]]</f>
        <v>193.37392857142859</v>
      </c>
      <c r="AA376" s="2">
        <f>(EV_Data4[[#This Row],[customer_rating]]*EV_Data4[[#This Row],[safety_rating]]*1000)/EV_Data4[[#This Row],[price_usd]]</f>
        <v>0.43055922370979982</v>
      </c>
      <c r="AB376">
        <f>EV_Data4[[#This Row],[horsepower]]+EV_Data4[[#This Row],[torque_nm]]/EV_Data4[[#This Row],[acceleration_0_60_mph]]</f>
        <v>400.14492753623188</v>
      </c>
      <c r="AC376" t="str">
        <f>IF(EV_Data4[[#This Row],[price_usd]]&gt;=80000,"Luxury",IF(EV_Data4[[#This Row],[price_usd]]&gt;=40000,"Mid-Range","Budget"))</f>
        <v>Mid-Range</v>
      </c>
      <c r="AD376" t="str">
        <f>IF(EV_Data4[[#This Row],[range_miles]]&gt;=350,"Long-Range",IF(EV_Data4[[#This Row],[range_miles]]&gt;=250,"Medium-Range","Short-Range"))</f>
        <v>Short-Range</v>
      </c>
      <c r="AE376" t="str">
        <f>IF(EV_Data4[[#This Row],[charging_speed_kw]]&gt;=250,"Ultra-Fast",IF(EV_Data4[[#This Row],[charging_speed_kw]]&gt;=150,"Fast-Charging","Standard-Charging"))</f>
        <v>Ultra-Fast</v>
      </c>
      <c r="AF376" t="str">
        <f>IF(EV_Data4[[#This Row],[acceleration_0_60_mph]]&lt;=3,"SportsPerformance",IF(EV_Data4[[#This Row],[acceleration_0_60_mph]]&lt;=5,"HighPerformance","Standard"))</f>
        <v>Standard</v>
      </c>
      <c r="AG376" t="str">
        <f>IF(EV_Data4[[#This Row],[customer_rating]]&gt;=4.5,"Excellent",IF(EV_Data4[[#This Row],[customer_rating]]&gt;=3.5,"Good","Average"))</f>
        <v>Good</v>
      </c>
      <c r="AH37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77" spans="1:34" x14ac:dyDescent="0.3">
      <c r="A377" t="s">
        <v>63</v>
      </c>
      <c r="B377" t="s">
        <v>67</v>
      </c>
      <c r="C377">
        <v>2022</v>
      </c>
      <c r="D377" t="s">
        <v>33</v>
      </c>
      <c r="E377" s="3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48</v>
      </c>
      <c r="N377">
        <v>7</v>
      </c>
      <c r="O377" t="s">
        <v>40</v>
      </c>
      <c r="P377">
        <v>71.3</v>
      </c>
      <c r="Q377">
        <v>1527</v>
      </c>
      <c r="R377">
        <v>4</v>
      </c>
      <c r="S377">
        <v>2</v>
      </c>
      <c r="T377" t="s">
        <v>65</v>
      </c>
      <c r="U377" t="s">
        <v>37</v>
      </c>
      <c r="V377" s="3">
        <v>159638</v>
      </c>
      <c r="W377">
        <v>3.48</v>
      </c>
      <c r="X377">
        <v>4</v>
      </c>
      <c r="Y377" s="1">
        <f>EV_Data4[[#This Row],[range_miles]]/EV_Data4[[#This Row],[battery_capacity_kwh]]</f>
        <v>3.2303732303732304</v>
      </c>
      <c r="Z377" s="4">
        <f>EV_Data4[[#This Row],[price_usd]]/EV_Data4[[#This Row],[range_miles]]</f>
        <v>143.71438247011952</v>
      </c>
      <c r="AA377" s="2">
        <f>(EV_Data4[[#This Row],[customer_rating]]*EV_Data4[[#This Row],[safety_rating]]*1000)/EV_Data4[[#This Row],[price_usd]]</f>
        <v>0.38589156059038082</v>
      </c>
      <c r="AB377">
        <f>EV_Data4[[#This Row],[horsepower]]+EV_Data4[[#This Row],[torque_nm]]/EV_Data4[[#This Row],[acceleration_0_60_mph]]</f>
        <v>411.8354430379747</v>
      </c>
      <c r="AC377" t="str">
        <f>IF(EV_Data4[[#This Row],[price_usd]]&gt;=80000,"Luxury",IF(EV_Data4[[#This Row],[price_usd]]&gt;=40000,"Mid-Range","Budget"))</f>
        <v>Budget</v>
      </c>
      <c r="AD377" t="str">
        <f>IF(EV_Data4[[#This Row],[range_miles]]&gt;=350,"Long-Range",IF(EV_Data4[[#This Row],[range_miles]]&gt;=250,"Medium-Range","Short-Range"))</f>
        <v>Medium-Range</v>
      </c>
      <c r="AE377" t="str">
        <f>IF(EV_Data4[[#This Row],[charging_speed_kw]]&gt;=250,"Ultra-Fast",IF(EV_Data4[[#This Row],[charging_speed_kw]]&gt;=150,"Fast-Charging","Standard-Charging"))</f>
        <v>Standard-Charging</v>
      </c>
      <c r="AF377" t="str">
        <f>IF(EV_Data4[[#This Row],[acceleration_0_60_mph]]&lt;=3,"SportsPerformance",IF(EV_Data4[[#This Row],[acceleration_0_60_mph]]&lt;=5,"HighPerformance","Standard"))</f>
        <v>Standard</v>
      </c>
      <c r="AG377" t="str">
        <f>IF(EV_Data4[[#This Row],[customer_rating]]&gt;=4.5,"Excellent",IF(EV_Data4[[#This Row],[customer_rating]]&gt;=3.5,"Good","Average"))</f>
        <v>Average</v>
      </c>
      <c r="AH37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78" spans="1:34" x14ac:dyDescent="0.3">
      <c r="A378" t="s">
        <v>52</v>
      </c>
      <c r="B378" t="s">
        <v>103</v>
      </c>
      <c r="C378">
        <v>2025</v>
      </c>
      <c r="D378" t="s">
        <v>56</v>
      </c>
      <c r="E378" s="3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34</v>
      </c>
      <c r="N378">
        <v>5</v>
      </c>
      <c r="O378" t="s">
        <v>58</v>
      </c>
      <c r="P378">
        <v>35.799999999999997</v>
      </c>
      <c r="Q378">
        <v>1918</v>
      </c>
      <c r="R378">
        <v>4</v>
      </c>
      <c r="S378">
        <v>1</v>
      </c>
      <c r="T378" t="s">
        <v>29</v>
      </c>
      <c r="U378" t="s">
        <v>30</v>
      </c>
      <c r="V378" s="3">
        <v>74928</v>
      </c>
      <c r="W378">
        <v>3.82</v>
      </c>
      <c r="X378">
        <v>5</v>
      </c>
      <c r="Y378" s="1">
        <f>EV_Data4[[#This Row],[range_miles]]/EV_Data4[[#This Row],[battery_capacity_kwh]]</f>
        <v>3.4740259740259738</v>
      </c>
      <c r="Z378" s="4">
        <f>EV_Data4[[#This Row],[price_usd]]/EV_Data4[[#This Row],[range_miles]]</f>
        <v>594.45616822429906</v>
      </c>
      <c r="AA378" s="2">
        <f>(EV_Data4[[#This Row],[customer_rating]]*EV_Data4[[#This Row],[safety_rating]]*1000)/EV_Data4[[#This Row],[price_usd]]</f>
        <v>0.12011292501541895</v>
      </c>
      <c r="AB378">
        <f>EV_Data4[[#This Row],[horsepower]]+EV_Data4[[#This Row],[torque_nm]]/EV_Data4[[#This Row],[acceleration_0_60_mph]]</f>
        <v>795.29984544049455</v>
      </c>
      <c r="AC378" t="str">
        <f>IF(EV_Data4[[#This Row],[price_usd]]&gt;=80000,"Luxury",IF(EV_Data4[[#This Row],[price_usd]]&gt;=40000,"Mid-Range","Budget"))</f>
        <v>Luxury</v>
      </c>
      <c r="AD378" t="str">
        <f>IF(EV_Data4[[#This Row],[range_miles]]&gt;=350,"Long-Range",IF(EV_Data4[[#This Row],[range_miles]]&gt;=250,"Medium-Range","Short-Range"))</f>
        <v>Short-Range</v>
      </c>
      <c r="AE378" t="str">
        <f>IF(EV_Data4[[#This Row],[charging_speed_kw]]&gt;=250,"Ultra-Fast",IF(EV_Data4[[#This Row],[charging_speed_kw]]&gt;=150,"Fast-Charging","Standard-Charging"))</f>
        <v>Standard-Charging</v>
      </c>
      <c r="AF378" t="str">
        <f>IF(EV_Data4[[#This Row],[acceleration_0_60_mph]]&lt;=3,"SportsPerformance",IF(EV_Data4[[#This Row],[acceleration_0_60_mph]]&lt;=5,"HighPerformance","Standard"))</f>
        <v>Standard</v>
      </c>
      <c r="AG378" t="str">
        <f>IF(EV_Data4[[#This Row],[customer_rating]]&gt;=4.5,"Excellent",IF(EV_Data4[[#This Row],[customer_rating]]&gt;=3.5,"Good","Average"))</f>
        <v>Good</v>
      </c>
      <c r="AH37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79" spans="1:34" x14ac:dyDescent="0.3">
      <c r="A379" t="s">
        <v>46</v>
      </c>
      <c r="B379" t="s">
        <v>78</v>
      </c>
      <c r="C379">
        <v>2024</v>
      </c>
      <c r="D379" t="s">
        <v>61</v>
      </c>
      <c r="E379" s="3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34</v>
      </c>
      <c r="N379">
        <v>7</v>
      </c>
      <c r="O379" t="s">
        <v>28</v>
      </c>
      <c r="P379">
        <v>62.3</v>
      </c>
      <c r="Q379">
        <v>2173</v>
      </c>
      <c r="R379">
        <v>5</v>
      </c>
      <c r="S379">
        <v>2</v>
      </c>
      <c r="T379" t="s">
        <v>41</v>
      </c>
      <c r="U379" t="s">
        <v>33</v>
      </c>
      <c r="V379" s="3">
        <v>122128</v>
      </c>
      <c r="W379">
        <v>3.66</v>
      </c>
      <c r="X379">
        <v>4</v>
      </c>
      <c r="Y379" s="1">
        <f>EV_Data4[[#This Row],[range_miles]]/EV_Data4[[#This Row],[battery_capacity_kwh]]</f>
        <v>3.2178217821782176</v>
      </c>
      <c r="Z379" s="4">
        <f>EV_Data4[[#This Row],[price_usd]]/EV_Data4[[#This Row],[range_miles]]</f>
        <v>406.74758974358974</v>
      </c>
      <c r="AA379" s="2">
        <f>(EV_Data4[[#This Row],[customer_rating]]*EV_Data4[[#This Row],[safety_rating]]*1000)/EV_Data4[[#This Row],[price_usd]]</f>
        <v>0.23072331886542627</v>
      </c>
      <c r="AB379">
        <f>EV_Data4[[#This Row],[horsepower]]+EV_Data4[[#This Row],[torque_nm]]/EV_Data4[[#This Row],[acceleration_0_60_mph]]</f>
        <v>645.41535776614307</v>
      </c>
      <c r="AC379" t="str">
        <f>IF(EV_Data4[[#This Row],[price_usd]]&gt;=80000,"Luxury",IF(EV_Data4[[#This Row],[price_usd]]&gt;=40000,"Mid-Range","Budget"))</f>
        <v>Mid-Range</v>
      </c>
      <c r="AD379" t="str">
        <f>IF(EV_Data4[[#This Row],[range_miles]]&gt;=350,"Long-Range",IF(EV_Data4[[#This Row],[range_miles]]&gt;=250,"Medium-Range","Short-Range"))</f>
        <v>Short-Range</v>
      </c>
      <c r="AE379" t="str">
        <f>IF(EV_Data4[[#This Row],[charging_speed_kw]]&gt;=250,"Ultra-Fast",IF(EV_Data4[[#This Row],[charging_speed_kw]]&gt;=150,"Fast-Charging","Standard-Charging"))</f>
        <v>Ultra-Fast</v>
      </c>
      <c r="AF379" t="str">
        <f>IF(EV_Data4[[#This Row],[acceleration_0_60_mph]]&lt;=3,"SportsPerformance",IF(EV_Data4[[#This Row],[acceleration_0_60_mph]]&lt;=5,"HighPerformance","Standard"))</f>
        <v>Standard</v>
      </c>
      <c r="AG379" t="str">
        <f>IF(EV_Data4[[#This Row],[customer_rating]]&gt;=4.5,"Excellent",IF(EV_Data4[[#This Row],[customer_rating]]&gt;=3.5,"Good","Average"))</f>
        <v>Good</v>
      </c>
      <c r="AH37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80" spans="1:34" x14ac:dyDescent="0.3">
      <c r="A380" t="s">
        <v>76</v>
      </c>
      <c r="B380" t="s">
        <v>98</v>
      </c>
      <c r="C380">
        <v>2023</v>
      </c>
      <c r="D380" t="s">
        <v>56</v>
      </c>
      <c r="E380" s="3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48</v>
      </c>
      <c r="N380">
        <v>5</v>
      </c>
      <c r="O380" t="s">
        <v>50</v>
      </c>
      <c r="P380">
        <v>36.299999999999997</v>
      </c>
      <c r="Q380">
        <v>1677</v>
      </c>
      <c r="R380">
        <v>5</v>
      </c>
      <c r="S380">
        <v>1</v>
      </c>
      <c r="T380" t="s">
        <v>41</v>
      </c>
      <c r="U380" t="s">
        <v>37</v>
      </c>
      <c r="V380" s="3">
        <v>63701</v>
      </c>
      <c r="W380">
        <v>3.25</v>
      </c>
      <c r="X380">
        <v>4</v>
      </c>
      <c r="Y380" s="1">
        <f>EV_Data4[[#This Row],[range_miles]]/EV_Data4[[#This Row],[battery_capacity_kwh]]</f>
        <v>4.2195121951219514</v>
      </c>
      <c r="Z380" s="4">
        <f>EV_Data4[[#This Row],[price_usd]]/EV_Data4[[#This Row],[range_miles]]</f>
        <v>205.09757225433523</v>
      </c>
      <c r="AA380" s="2">
        <f>(EV_Data4[[#This Row],[customer_rating]]*EV_Data4[[#This Row],[safety_rating]]*1000)/EV_Data4[[#This Row],[price_usd]]</f>
        <v>0.45798024230959583</v>
      </c>
      <c r="AB380">
        <f>EV_Data4[[#This Row],[horsepower]]+EV_Data4[[#This Row],[torque_nm]]/EV_Data4[[#This Row],[acceleration_0_60_mph]]</f>
        <v>234.13166144200628</v>
      </c>
      <c r="AC380" t="str">
        <f>IF(EV_Data4[[#This Row],[price_usd]]&gt;=80000,"Luxury",IF(EV_Data4[[#This Row],[price_usd]]&gt;=40000,"Mid-Range","Budget"))</f>
        <v>Budget</v>
      </c>
      <c r="AD380" t="str">
        <f>IF(EV_Data4[[#This Row],[range_miles]]&gt;=350,"Long-Range",IF(EV_Data4[[#This Row],[range_miles]]&gt;=250,"Medium-Range","Short-Range"))</f>
        <v>Short-Range</v>
      </c>
      <c r="AE380" t="str">
        <f>IF(EV_Data4[[#This Row],[charging_speed_kw]]&gt;=250,"Ultra-Fast",IF(EV_Data4[[#This Row],[charging_speed_kw]]&gt;=150,"Fast-Charging","Standard-Charging"))</f>
        <v>Standard-Charging</v>
      </c>
      <c r="AF380" t="str">
        <f>IF(EV_Data4[[#This Row],[acceleration_0_60_mph]]&lt;=3,"SportsPerformance",IF(EV_Data4[[#This Row],[acceleration_0_60_mph]]&lt;=5,"HighPerformance","Standard"))</f>
        <v>Standard</v>
      </c>
      <c r="AG380" t="str">
        <f>IF(EV_Data4[[#This Row],[customer_rating]]&gt;=4.5,"Excellent",IF(EV_Data4[[#This Row],[customer_rating]]&gt;=3.5,"Good","Average"))</f>
        <v>Average</v>
      </c>
      <c r="AH38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81" spans="1:34" x14ac:dyDescent="0.3">
      <c r="A381" t="s">
        <v>63</v>
      </c>
      <c r="B381" t="s">
        <v>96</v>
      </c>
      <c r="C381">
        <v>2026</v>
      </c>
      <c r="D381" t="s">
        <v>61</v>
      </c>
      <c r="E381" s="3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27</v>
      </c>
      <c r="N381">
        <v>7</v>
      </c>
      <c r="O381" t="s">
        <v>40</v>
      </c>
      <c r="P381">
        <v>72.599999999999994</v>
      </c>
      <c r="Q381">
        <v>1904</v>
      </c>
      <c r="R381">
        <v>5</v>
      </c>
      <c r="S381">
        <v>0</v>
      </c>
      <c r="T381" t="s">
        <v>65</v>
      </c>
      <c r="U381" t="s">
        <v>33</v>
      </c>
      <c r="V381" s="3">
        <v>156944</v>
      </c>
      <c r="W381">
        <v>3.54</v>
      </c>
      <c r="X381">
        <v>4</v>
      </c>
      <c r="Y381" s="1">
        <f>EV_Data4[[#This Row],[range_miles]]/EV_Data4[[#This Row],[battery_capacity_kwh]]</f>
        <v>3.5041716328963051</v>
      </c>
      <c r="Z381" s="4">
        <f>EV_Data4[[#This Row],[price_usd]]/EV_Data4[[#This Row],[range_miles]]</f>
        <v>281.14714285714285</v>
      </c>
      <c r="AA381" s="2">
        <f>(EV_Data4[[#This Row],[customer_rating]]*EV_Data4[[#This Row],[safety_rating]]*1000)/EV_Data4[[#This Row],[price_usd]]</f>
        <v>0.21413726997483343</v>
      </c>
      <c r="AB381">
        <f>EV_Data4[[#This Row],[horsepower]]+EV_Data4[[#This Row],[torque_nm]]/EV_Data4[[#This Row],[acceleration_0_60_mph]]</f>
        <v>999.42696629213481</v>
      </c>
      <c r="AC381" t="str">
        <f>IF(EV_Data4[[#This Row],[price_usd]]&gt;=80000,"Luxury",IF(EV_Data4[[#This Row],[price_usd]]&gt;=40000,"Mid-Range","Budget"))</f>
        <v>Luxury</v>
      </c>
      <c r="AD381" t="str">
        <f>IF(EV_Data4[[#This Row],[range_miles]]&gt;=350,"Long-Range",IF(EV_Data4[[#This Row],[range_miles]]&gt;=250,"Medium-Range","Short-Range"))</f>
        <v>Medium-Range</v>
      </c>
      <c r="AE381" t="str">
        <f>IF(EV_Data4[[#This Row],[charging_speed_kw]]&gt;=250,"Ultra-Fast",IF(EV_Data4[[#This Row],[charging_speed_kw]]&gt;=150,"Fast-Charging","Standard-Charging"))</f>
        <v>Standard-Charging</v>
      </c>
      <c r="AF381" t="str">
        <f>IF(EV_Data4[[#This Row],[acceleration_0_60_mph]]&lt;=3,"SportsPerformance",IF(EV_Data4[[#This Row],[acceleration_0_60_mph]]&lt;=5,"HighPerformance","Standard"))</f>
        <v>Standard</v>
      </c>
      <c r="AG381" t="str">
        <f>IF(EV_Data4[[#This Row],[customer_rating]]&gt;=4.5,"Excellent",IF(EV_Data4[[#This Row],[customer_rating]]&gt;=3.5,"Good","Average"))</f>
        <v>Good</v>
      </c>
      <c r="AH38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82" spans="1:34" x14ac:dyDescent="0.3">
      <c r="A382" t="s">
        <v>46</v>
      </c>
      <c r="B382" t="s">
        <v>57</v>
      </c>
      <c r="C382">
        <v>2025</v>
      </c>
      <c r="D382" t="s">
        <v>44</v>
      </c>
      <c r="E382" s="3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34</v>
      </c>
      <c r="N382">
        <v>5</v>
      </c>
      <c r="O382" t="s">
        <v>40</v>
      </c>
      <c r="P382">
        <v>70.2</v>
      </c>
      <c r="Q382">
        <v>1656</v>
      </c>
      <c r="R382">
        <v>3</v>
      </c>
      <c r="S382">
        <v>3</v>
      </c>
      <c r="T382" t="s">
        <v>41</v>
      </c>
      <c r="U382" t="s">
        <v>30</v>
      </c>
      <c r="V382" s="3">
        <v>239713</v>
      </c>
      <c r="W382">
        <v>3.88</v>
      </c>
      <c r="X382">
        <v>5</v>
      </c>
      <c r="Y382" s="1">
        <f>EV_Data4[[#This Row],[range_miles]]/EV_Data4[[#This Row],[battery_capacity_kwh]]</f>
        <v>3.3892969569779643</v>
      </c>
      <c r="Z382" s="4">
        <f>EV_Data4[[#This Row],[price_usd]]/EV_Data4[[#This Row],[range_miles]]</f>
        <v>426.71526315789475</v>
      </c>
      <c r="AA382" s="2">
        <f>(EV_Data4[[#This Row],[customer_rating]]*EV_Data4[[#This Row],[safety_rating]]*1000)/EV_Data4[[#This Row],[price_usd]]</f>
        <v>8.445245533542535E-2</v>
      </c>
      <c r="AB382">
        <f>EV_Data4[[#This Row],[horsepower]]+EV_Data4[[#This Row],[torque_nm]]/EV_Data4[[#This Row],[acceleration_0_60_mph]]</f>
        <v>1158.5274725274726</v>
      </c>
      <c r="AC382" t="str">
        <f>IF(EV_Data4[[#This Row],[price_usd]]&gt;=80000,"Luxury",IF(EV_Data4[[#This Row],[price_usd]]&gt;=40000,"Mid-Range","Budget"))</f>
        <v>Luxury</v>
      </c>
      <c r="AD382" t="str">
        <f>IF(EV_Data4[[#This Row],[range_miles]]&gt;=350,"Long-Range",IF(EV_Data4[[#This Row],[range_miles]]&gt;=250,"Medium-Range","Short-Range"))</f>
        <v>Medium-Range</v>
      </c>
      <c r="AE382" t="str">
        <f>IF(EV_Data4[[#This Row],[charging_speed_kw]]&gt;=250,"Ultra-Fast",IF(EV_Data4[[#This Row],[charging_speed_kw]]&gt;=150,"Fast-Charging","Standard-Charging"))</f>
        <v>Ultra-Fast</v>
      </c>
      <c r="AF382" t="str">
        <f>IF(EV_Data4[[#This Row],[acceleration_0_60_mph]]&lt;=3,"SportsPerformance",IF(EV_Data4[[#This Row],[acceleration_0_60_mph]]&lt;=5,"HighPerformance","Standard"))</f>
        <v>HighPerformance</v>
      </c>
      <c r="AG382" t="str">
        <f>IF(EV_Data4[[#This Row],[customer_rating]]&gt;=4.5,"Excellent",IF(EV_Data4[[#This Row],[customer_rating]]&gt;=3.5,"Good","Average"))</f>
        <v>Good</v>
      </c>
      <c r="AH382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383" spans="1:34" x14ac:dyDescent="0.3">
      <c r="A383" t="s">
        <v>38</v>
      </c>
      <c r="B383" t="s">
        <v>118</v>
      </c>
      <c r="C383">
        <v>2025</v>
      </c>
      <c r="D383" t="s">
        <v>61</v>
      </c>
      <c r="E383" s="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34</v>
      </c>
      <c r="N383">
        <v>7</v>
      </c>
      <c r="O383" t="s">
        <v>40</v>
      </c>
      <c r="P383">
        <v>61.8</v>
      </c>
      <c r="Q383">
        <v>1577</v>
      </c>
      <c r="R383">
        <v>5</v>
      </c>
      <c r="S383">
        <v>1</v>
      </c>
      <c r="T383" t="s">
        <v>41</v>
      </c>
      <c r="U383" t="s">
        <v>33</v>
      </c>
      <c r="V383" s="3">
        <v>23483</v>
      </c>
      <c r="W383">
        <v>3.13</v>
      </c>
      <c r="X383">
        <v>4</v>
      </c>
      <c r="Y383" s="1">
        <f>EV_Data4[[#This Row],[range_miles]]/EV_Data4[[#This Row],[battery_capacity_kwh]]</f>
        <v>3.7037037037037037</v>
      </c>
      <c r="Z383" s="4">
        <f>EV_Data4[[#This Row],[price_usd]]/EV_Data4[[#This Row],[range_miles]]</f>
        <v>468.26006666666666</v>
      </c>
      <c r="AA383" s="2">
        <f>(EV_Data4[[#This Row],[customer_rating]]*EV_Data4[[#This Row],[safety_rating]]*1000)/EV_Data4[[#This Row],[price_usd]]</f>
        <v>0.22281065749645387</v>
      </c>
      <c r="AB383">
        <f>EV_Data4[[#This Row],[horsepower]]+EV_Data4[[#This Row],[torque_nm]]/EV_Data4[[#This Row],[acceleration_0_60_mph]]</f>
        <v>1165.1904761904761</v>
      </c>
      <c r="AC383" t="str">
        <f>IF(EV_Data4[[#This Row],[price_usd]]&gt;=80000,"Luxury",IF(EV_Data4[[#This Row],[price_usd]]&gt;=40000,"Mid-Range","Budget"))</f>
        <v>Mid-Range</v>
      </c>
      <c r="AD383" t="str">
        <f>IF(EV_Data4[[#This Row],[range_miles]]&gt;=350,"Long-Range",IF(EV_Data4[[#This Row],[range_miles]]&gt;=250,"Medium-Range","Short-Range"))</f>
        <v>Short-Range</v>
      </c>
      <c r="AE383" t="str">
        <f>IF(EV_Data4[[#This Row],[charging_speed_kw]]&gt;=250,"Ultra-Fast",IF(EV_Data4[[#This Row],[charging_speed_kw]]&gt;=150,"Fast-Charging","Standard-Charging"))</f>
        <v>Standard-Charging</v>
      </c>
      <c r="AF383" t="str">
        <f>IF(EV_Data4[[#This Row],[acceleration_0_60_mph]]&lt;=3,"SportsPerformance",IF(EV_Data4[[#This Row],[acceleration_0_60_mph]]&lt;=5,"HighPerformance","Standard"))</f>
        <v>Standard</v>
      </c>
      <c r="AG383" t="str">
        <f>IF(EV_Data4[[#This Row],[customer_rating]]&gt;=4.5,"Excellent",IF(EV_Data4[[#This Row],[customer_rating]]&gt;=3.5,"Good","Average"))</f>
        <v>Average</v>
      </c>
      <c r="AH38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84" spans="1:34" x14ac:dyDescent="0.3">
      <c r="A384" t="s">
        <v>83</v>
      </c>
      <c r="B384" t="s">
        <v>116</v>
      </c>
      <c r="C384">
        <v>2026</v>
      </c>
      <c r="D384" t="s">
        <v>61</v>
      </c>
      <c r="E384" s="3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34</v>
      </c>
      <c r="N384">
        <v>7</v>
      </c>
      <c r="O384" t="s">
        <v>51</v>
      </c>
      <c r="P384">
        <v>19.100000000000001</v>
      </c>
      <c r="Q384">
        <v>1618</v>
      </c>
      <c r="R384">
        <v>3</v>
      </c>
      <c r="S384">
        <v>2</v>
      </c>
      <c r="T384" t="s">
        <v>29</v>
      </c>
      <c r="U384" t="s">
        <v>33</v>
      </c>
      <c r="V384" s="3">
        <v>72987</v>
      </c>
      <c r="W384">
        <v>3.29</v>
      </c>
      <c r="X384">
        <v>7</v>
      </c>
      <c r="Y384" s="1">
        <f>EV_Data4[[#This Row],[range_miles]]/EV_Data4[[#This Row],[battery_capacity_kwh]]</f>
        <v>3.9573459715639809</v>
      </c>
      <c r="Z384" s="4">
        <f>EV_Data4[[#This Row],[price_usd]]/EV_Data4[[#This Row],[range_miles]]</f>
        <v>541.91425149700592</v>
      </c>
      <c r="AA384" s="2">
        <f>(EV_Data4[[#This Row],[customer_rating]]*EV_Data4[[#This Row],[safety_rating]]*1000)/EV_Data4[[#This Row],[price_usd]]</f>
        <v>0.10906115911128086</v>
      </c>
      <c r="AB384">
        <f>EV_Data4[[#This Row],[horsepower]]+EV_Data4[[#This Row],[torque_nm]]/EV_Data4[[#This Row],[acceleration_0_60_mph]]</f>
        <v>821.10262828535667</v>
      </c>
      <c r="AC384" t="str">
        <f>IF(EV_Data4[[#This Row],[price_usd]]&gt;=80000,"Luxury",IF(EV_Data4[[#This Row],[price_usd]]&gt;=40000,"Mid-Range","Budget"))</f>
        <v>Luxury</v>
      </c>
      <c r="AD384" t="str">
        <f>IF(EV_Data4[[#This Row],[range_miles]]&gt;=350,"Long-Range",IF(EV_Data4[[#This Row],[range_miles]]&gt;=250,"Medium-Range","Short-Range"))</f>
        <v>Short-Range</v>
      </c>
      <c r="AE384" t="str">
        <f>IF(EV_Data4[[#This Row],[charging_speed_kw]]&gt;=250,"Ultra-Fast",IF(EV_Data4[[#This Row],[charging_speed_kw]]&gt;=150,"Fast-Charging","Standard-Charging"))</f>
        <v>Standard-Charging</v>
      </c>
      <c r="AF384" t="str">
        <f>IF(EV_Data4[[#This Row],[acceleration_0_60_mph]]&lt;=3,"SportsPerformance",IF(EV_Data4[[#This Row],[acceleration_0_60_mph]]&lt;=5,"HighPerformance","Standard"))</f>
        <v>Standard</v>
      </c>
      <c r="AG384" t="str">
        <f>IF(EV_Data4[[#This Row],[customer_rating]]&gt;=4.5,"Excellent",IF(EV_Data4[[#This Row],[customer_rating]]&gt;=3.5,"Good","Average"))</f>
        <v>Average</v>
      </c>
      <c r="AH38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85" spans="1:34" x14ac:dyDescent="0.3">
      <c r="A385" t="s">
        <v>86</v>
      </c>
      <c r="B385" t="s">
        <v>108</v>
      </c>
      <c r="C385">
        <v>2024</v>
      </c>
      <c r="D385" t="s">
        <v>44</v>
      </c>
      <c r="E385" s="3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27</v>
      </c>
      <c r="N385">
        <v>7</v>
      </c>
      <c r="O385" t="s">
        <v>58</v>
      </c>
      <c r="P385">
        <v>37.700000000000003</v>
      </c>
      <c r="Q385">
        <v>1642</v>
      </c>
      <c r="R385">
        <v>4</v>
      </c>
      <c r="S385">
        <v>2</v>
      </c>
      <c r="T385" t="s">
        <v>29</v>
      </c>
      <c r="U385" t="s">
        <v>30</v>
      </c>
      <c r="V385" s="3">
        <v>36875</v>
      </c>
      <c r="W385">
        <v>3.63</v>
      </c>
      <c r="X385">
        <v>8</v>
      </c>
      <c r="Y385" s="1">
        <f>EV_Data4[[#This Row],[range_miles]]/EV_Data4[[#This Row],[battery_capacity_kwh]]</f>
        <v>3.4255319148936172</v>
      </c>
      <c r="Z385" s="4">
        <f>EV_Data4[[#This Row],[price_usd]]/EV_Data4[[#This Row],[range_miles]]</f>
        <v>404.13537267080744</v>
      </c>
      <c r="AA385" s="2">
        <f>(EV_Data4[[#This Row],[customer_rating]]*EV_Data4[[#This Row],[safety_rating]]*1000)/EV_Data4[[#This Row],[price_usd]]</f>
        <v>0.11157936362723302</v>
      </c>
      <c r="AB385">
        <f>EV_Data4[[#This Row],[horsepower]]+EV_Data4[[#This Row],[torque_nm]]/EV_Data4[[#This Row],[acceleration_0_60_mph]]</f>
        <v>1152.9411764705883</v>
      </c>
      <c r="AC385" t="str">
        <f>IF(EV_Data4[[#This Row],[price_usd]]&gt;=80000,"Luxury",IF(EV_Data4[[#This Row],[price_usd]]&gt;=40000,"Mid-Range","Budget"))</f>
        <v>Luxury</v>
      </c>
      <c r="AD385" t="str">
        <f>IF(EV_Data4[[#This Row],[range_miles]]&gt;=350,"Long-Range",IF(EV_Data4[[#This Row],[range_miles]]&gt;=250,"Medium-Range","Short-Range"))</f>
        <v>Medium-Range</v>
      </c>
      <c r="AE385" t="str">
        <f>IF(EV_Data4[[#This Row],[charging_speed_kw]]&gt;=250,"Ultra-Fast",IF(EV_Data4[[#This Row],[charging_speed_kw]]&gt;=150,"Fast-Charging","Standard-Charging"))</f>
        <v>Standard-Charging</v>
      </c>
      <c r="AF385" t="str">
        <f>IF(EV_Data4[[#This Row],[acceleration_0_60_mph]]&lt;=3,"SportsPerformance",IF(EV_Data4[[#This Row],[acceleration_0_60_mph]]&lt;=5,"HighPerformance","Standard"))</f>
        <v>Standard</v>
      </c>
      <c r="AG385" t="str">
        <f>IF(EV_Data4[[#This Row],[customer_rating]]&gt;=4.5,"Excellent",IF(EV_Data4[[#This Row],[customer_rating]]&gt;=3.5,"Good","Average"))</f>
        <v>Good</v>
      </c>
      <c r="AH38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86" spans="1:34" x14ac:dyDescent="0.3">
      <c r="A386" t="s">
        <v>38</v>
      </c>
      <c r="B386" t="s">
        <v>39</v>
      </c>
      <c r="C386">
        <v>2024</v>
      </c>
      <c r="D386" t="s">
        <v>44</v>
      </c>
      <c r="E386" s="3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27</v>
      </c>
      <c r="N386">
        <v>7</v>
      </c>
      <c r="O386" t="s">
        <v>51</v>
      </c>
      <c r="P386">
        <v>17.2</v>
      </c>
      <c r="Q386">
        <v>1500</v>
      </c>
      <c r="R386">
        <v>5</v>
      </c>
      <c r="S386">
        <v>0</v>
      </c>
      <c r="T386" t="s">
        <v>41</v>
      </c>
      <c r="U386" t="s">
        <v>37</v>
      </c>
      <c r="V386" s="3">
        <v>12802</v>
      </c>
      <c r="W386">
        <v>3.81</v>
      </c>
      <c r="X386">
        <v>4</v>
      </c>
      <c r="Y386" s="1">
        <f>EV_Data4[[#This Row],[range_miles]]/EV_Data4[[#This Row],[battery_capacity_kwh]]</f>
        <v>3.7182203389830506</v>
      </c>
      <c r="Z386" s="4">
        <f>EV_Data4[[#This Row],[price_usd]]/EV_Data4[[#This Row],[range_miles]]</f>
        <v>160.52435897435899</v>
      </c>
      <c r="AA386" s="2">
        <f>(EV_Data4[[#This Row],[customer_rating]]*EV_Data4[[#This Row],[safety_rating]]*1000)/EV_Data4[[#This Row],[price_usd]]</f>
        <v>0.33810136119075568</v>
      </c>
      <c r="AB386">
        <f>EV_Data4[[#This Row],[horsepower]]+EV_Data4[[#This Row],[torque_nm]]/EV_Data4[[#This Row],[acceleration_0_60_mph]]</f>
        <v>830.6611570247934</v>
      </c>
      <c r="AC386" t="str">
        <f>IF(EV_Data4[[#This Row],[price_usd]]&gt;=80000,"Luxury",IF(EV_Data4[[#This Row],[price_usd]]&gt;=40000,"Mid-Range","Budget"))</f>
        <v>Mid-Range</v>
      </c>
      <c r="AD386" t="str">
        <f>IF(EV_Data4[[#This Row],[range_miles]]&gt;=350,"Long-Range",IF(EV_Data4[[#This Row],[range_miles]]&gt;=250,"Medium-Range","Short-Range"))</f>
        <v>Long-Range</v>
      </c>
      <c r="AE386" t="str">
        <f>IF(EV_Data4[[#This Row],[charging_speed_kw]]&gt;=250,"Ultra-Fast",IF(EV_Data4[[#This Row],[charging_speed_kw]]&gt;=150,"Fast-Charging","Standard-Charging"))</f>
        <v>Standard-Charging</v>
      </c>
      <c r="AF386" t="str">
        <f>IF(EV_Data4[[#This Row],[acceleration_0_60_mph]]&lt;=3,"SportsPerformance",IF(EV_Data4[[#This Row],[acceleration_0_60_mph]]&lt;=5,"HighPerformance","Standard"))</f>
        <v>HighPerformance</v>
      </c>
      <c r="AG386" t="str">
        <f>IF(EV_Data4[[#This Row],[customer_rating]]&gt;=4.5,"Excellent",IF(EV_Data4[[#This Row],[customer_rating]]&gt;=3.5,"Good","Average"))</f>
        <v>Good</v>
      </c>
      <c r="AH38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87" spans="1:34" x14ac:dyDescent="0.3">
      <c r="A387" t="s">
        <v>76</v>
      </c>
      <c r="B387" t="s">
        <v>91</v>
      </c>
      <c r="C387">
        <v>2024</v>
      </c>
      <c r="D387" t="s">
        <v>61</v>
      </c>
      <c r="E387" s="3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34</v>
      </c>
      <c r="N387">
        <v>4</v>
      </c>
      <c r="O387" t="s">
        <v>28</v>
      </c>
      <c r="P387">
        <v>56</v>
      </c>
      <c r="Q387">
        <v>2692</v>
      </c>
      <c r="R387">
        <v>4</v>
      </c>
      <c r="S387">
        <v>0</v>
      </c>
      <c r="T387" t="s">
        <v>41</v>
      </c>
      <c r="U387" t="s">
        <v>37</v>
      </c>
      <c r="V387" s="3">
        <v>57357</v>
      </c>
      <c r="W387">
        <v>3.14</v>
      </c>
      <c r="X387">
        <v>4</v>
      </c>
      <c r="Y387" s="1">
        <f>EV_Data4[[#This Row],[range_miles]]/EV_Data4[[#This Row],[battery_capacity_kwh]]</f>
        <v>3.6853448275862069</v>
      </c>
      <c r="Z387" s="4">
        <f>EV_Data4[[#This Row],[price_usd]]/EV_Data4[[#This Row],[range_miles]]</f>
        <v>349.6934502923977</v>
      </c>
      <c r="AA387" s="2">
        <f>(EV_Data4[[#This Row],[customer_rating]]*EV_Data4[[#This Row],[safety_rating]]*1000)/EV_Data4[[#This Row],[price_usd]]</f>
        <v>0.21004194484124608</v>
      </c>
      <c r="AB387">
        <f>EV_Data4[[#This Row],[horsepower]]+EV_Data4[[#This Row],[torque_nm]]/EV_Data4[[#This Row],[acceleration_0_60_mph]]</f>
        <v>719.17647058823525</v>
      </c>
      <c r="AC387" t="str">
        <f>IF(EV_Data4[[#This Row],[price_usd]]&gt;=80000,"Luxury",IF(EV_Data4[[#This Row],[price_usd]]&gt;=40000,"Mid-Range","Budget"))</f>
        <v>Mid-Range</v>
      </c>
      <c r="AD387" t="str">
        <f>IF(EV_Data4[[#This Row],[range_miles]]&gt;=350,"Long-Range",IF(EV_Data4[[#This Row],[range_miles]]&gt;=250,"Medium-Range","Short-Range"))</f>
        <v>Short-Range</v>
      </c>
      <c r="AE387" t="str">
        <f>IF(EV_Data4[[#This Row],[charging_speed_kw]]&gt;=250,"Ultra-Fast",IF(EV_Data4[[#This Row],[charging_speed_kw]]&gt;=150,"Fast-Charging","Standard-Charging"))</f>
        <v>Standard-Charging</v>
      </c>
      <c r="AF387" t="str">
        <f>IF(EV_Data4[[#This Row],[acceleration_0_60_mph]]&lt;=3,"SportsPerformance",IF(EV_Data4[[#This Row],[acceleration_0_60_mph]]&lt;=5,"HighPerformance","Standard"))</f>
        <v>Standard</v>
      </c>
      <c r="AG387" t="str">
        <f>IF(EV_Data4[[#This Row],[customer_rating]]&gt;=4.5,"Excellent",IF(EV_Data4[[#This Row],[customer_rating]]&gt;=3.5,"Good","Average"))</f>
        <v>Average</v>
      </c>
      <c r="AH38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88" spans="1:34" x14ac:dyDescent="0.3">
      <c r="A388" t="s">
        <v>63</v>
      </c>
      <c r="B388" t="s">
        <v>82</v>
      </c>
      <c r="C388">
        <v>2023</v>
      </c>
      <c r="D388" t="s">
        <v>44</v>
      </c>
      <c r="E388" s="3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34</v>
      </c>
      <c r="N388">
        <v>5</v>
      </c>
      <c r="O388" t="s">
        <v>28</v>
      </c>
      <c r="P388">
        <v>67.7</v>
      </c>
      <c r="Q388">
        <v>2399</v>
      </c>
      <c r="R388">
        <v>4</v>
      </c>
      <c r="S388">
        <v>1</v>
      </c>
      <c r="T388" t="s">
        <v>65</v>
      </c>
      <c r="U388" t="s">
        <v>30</v>
      </c>
      <c r="V388" s="3">
        <v>107443</v>
      </c>
      <c r="W388">
        <v>3.79</v>
      </c>
      <c r="X388">
        <v>5</v>
      </c>
      <c r="Y388" s="1">
        <f>EV_Data4[[#This Row],[range_miles]]/EV_Data4[[#This Row],[battery_capacity_kwh]]</f>
        <v>3.4345351043643264</v>
      </c>
      <c r="Z388" s="4">
        <f>EV_Data4[[#This Row],[price_usd]]/EV_Data4[[#This Row],[range_miles]]</f>
        <v>276.67748618784532</v>
      </c>
      <c r="AA388" s="2">
        <f>(EV_Data4[[#This Row],[customer_rating]]*EV_Data4[[#This Row],[safety_rating]]*1000)/EV_Data4[[#This Row],[price_usd]]</f>
        <v>0.15136198328129016</v>
      </c>
      <c r="AB388">
        <f>EV_Data4[[#This Row],[horsepower]]+EV_Data4[[#This Row],[torque_nm]]/EV_Data4[[#This Row],[acceleration_0_60_mph]]</f>
        <v>1171.2092130518233</v>
      </c>
      <c r="AC388" t="str">
        <f>IF(EV_Data4[[#This Row],[price_usd]]&gt;=80000,"Luxury",IF(EV_Data4[[#This Row],[price_usd]]&gt;=40000,"Mid-Range","Budget"))</f>
        <v>Luxury</v>
      </c>
      <c r="AD388" t="str">
        <f>IF(EV_Data4[[#This Row],[range_miles]]&gt;=350,"Long-Range",IF(EV_Data4[[#This Row],[range_miles]]&gt;=250,"Medium-Range","Short-Range"))</f>
        <v>Long-Range</v>
      </c>
      <c r="AE388" t="str">
        <f>IF(EV_Data4[[#This Row],[charging_speed_kw]]&gt;=250,"Ultra-Fast",IF(EV_Data4[[#This Row],[charging_speed_kw]]&gt;=150,"Fast-Charging","Standard-Charging"))</f>
        <v>Standard-Charging</v>
      </c>
      <c r="AF388" t="str">
        <f>IF(EV_Data4[[#This Row],[acceleration_0_60_mph]]&lt;=3,"SportsPerformance",IF(EV_Data4[[#This Row],[acceleration_0_60_mph]]&lt;=5,"HighPerformance","Standard"))</f>
        <v>Standard</v>
      </c>
      <c r="AG388" t="str">
        <f>IF(EV_Data4[[#This Row],[customer_rating]]&gt;=4.5,"Excellent",IF(EV_Data4[[#This Row],[customer_rating]]&gt;=3.5,"Good","Average"))</f>
        <v>Good</v>
      </c>
      <c r="AH38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89" spans="1:34" x14ac:dyDescent="0.3">
      <c r="A389" t="s">
        <v>46</v>
      </c>
      <c r="B389" t="s">
        <v>49</v>
      </c>
      <c r="C389">
        <v>2023</v>
      </c>
      <c r="D389" t="s">
        <v>56</v>
      </c>
      <c r="E389" s="3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48</v>
      </c>
      <c r="N389">
        <v>5</v>
      </c>
      <c r="O389" t="s">
        <v>50</v>
      </c>
      <c r="P389">
        <v>16.3</v>
      </c>
      <c r="Q389">
        <v>1605</v>
      </c>
      <c r="R389">
        <v>5</v>
      </c>
      <c r="S389">
        <v>2</v>
      </c>
      <c r="T389" t="s">
        <v>41</v>
      </c>
      <c r="U389" t="s">
        <v>37</v>
      </c>
      <c r="V389" s="3">
        <v>449181</v>
      </c>
      <c r="W389">
        <v>3.75</v>
      </c>
      <c r="X389">
        <v>4</v>
      </c>
      <c r="Y389" s="1">
        <f>EV_Data4[[#This Row],[range_miles]]/EV_Data4[[#This Row],[battery_capacity_kwh]]</f>
        <v>3.6674816625916873</v>
      </c>
      <c r="Z389" s="4">
        <f>EV_Data4[[#This Row],[price_usd]]/EV_Data4[[#This Row],[range_miles]]</f>
        <v>368.66186666666664</v>
      </c>
      <c r="AA389" s="2">
        <f>(EV_Data4[[#This Row],[customer_rating]]*EV_Data4[[#This Row],[safety_rating]]*1000)/EV_Data4[[#This Row],[price_usd]]</f>
        <v>0.33906408908036417</v>
      </c>
      <c r="AB389">
        <f>EV_Data4[[#This Row],[horsepower]]+EV_Data4[[#This Row],[torque_nm]]/EV_Data4[[#This Row],[acceleration_0_60_mph]]</f>
        <v>423.66616989567808</v>
      </c>
      <c r="AC389" t="str">
        <f>IF(EV_Data4[[#This Row],[price_usd]]&gt;=80000,"Luxury",IF(EV_Data4[[#This Row],[price_usd]]&gt;=40000,"Mid-Range","Budget"))</f>
        <v>Mid-Range</v>
      </c>
      <c r="AD389" t="str">
        <f>IF(EV_Data4[[#This Row],[range_miles]]&gt;=350,"Long-Range",IF(EV_Data4[[#This Row],[range_miles]]&gt;=250,"Medium-Range","Short-Range"))</f>
        <v>Short-Range</v>
      </c>
      <c r="AE389" t="str">
        <f>IF(EV_Data4[[#This Row],[charging_speed_kw]]&gt;=250,"Ultra-Fast",IF(EV_Data4[[#This Row],[charging_speed_kw]]&gt;=150,"Fast-Charging","Standard-Charging"))</f>
        <v>Fast-Charging</v>
      </c>
      <c r="AF389" t="str">
        <f>IF(EV_Data4[[#This Row],[acceleration_0_60_mph]]&lt;=3,"SportsPerformance",IF(EV_Data4[[#This Row],[acceleration_0_60_mph]]&lt;=5,"HighPerformance","Standard"))</f>
        <v>Standard</v>
      </c>
      <c r="AG389" t="str">
        <f>IF(EV_Data4[[#This Row],[customer_rating]]&gt;=4.5,"Excellent",IF(EV_Data4[[#This Row],[customer_rating]]&gt;=3.5,"Good","Average"))</f>
        <v>Good</v>
      </c>
      <c r="AH38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90" spans="1:34" x14ac:dyDescent="0.3">
      <c r="A390" t="s">
        <v>38</v>
      </c>
      <c r="B390" t="s">
        <v>55</v>
      </c>
      <c r="C390">
        <v>2025</v>
      </c>
      <c r="D390" t="s">
        <v>44</v>
      </c>
      <c r="E390" s="3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48</v>
      </c>
      <c r="N390">
        <v>5</v>
      </c>
      <c r="O390" t="s">
        <v>50</v>
      </c>
      <c r="P390">
        <v>22.4</v>
      </c>
      <c r="Q390">
        <v>1636</v>
      </c>
      <c r="R390">
        <v>4</v>
      </c>
      <c r="S390">
        <v>0</v>
      </c>
      <c r="T390" t="s">
        <v>41</v>
      </c>
      <c r="U390" t="s">
        <v>37</v>
      </c>
      <c r="V390" s="3">
        <v>19461</v>
      </c>
      <c r="W390">
        <v>3.6</v>
      </c>
      <c r="X390">
        <v>4</v>
      </c>
      <c r="Y390" s="1">
        <f>EV_Data4[[#This Row],[range_miles]]/EV_Data4[[#This Row],[battery_capacity_kwh]]</f>
        <v>3.4372135655362057</v>
      </c>
      <c r="Z390" s="4">
        <f>EV_Data4[[#This Row],[price_usd]]/EV_Data4[[#This Row],[range_miles]]</f>
        <v>119.46205333333333</v>
      </c>
      <c r="AA390" s="2">
        <f>(EV_Data4[[#This Row],[customer_rating]]*EV_Data4[[#This Row],[safety_rating]]*1000)/EV_Data4[[#This Row],[price_usd]]</f>
        <v>0.32144098421657802</v>
      </c>
      <c r="AB390">
        <f>EV_Data4[[#This Row],[horsepower]]+EV_Data4[[#This Row],[torque_nm]]/EV_Data4[[#This Row],[acceleration_0_60_mph]]</f>
        <v>575.37547892720306</v>
      </c>
      <c r="AC390" t="str">
        <f>IF(EV_Data4[[#This Row],[price_usd]]&gt;=80000,"Luxury",IF(EV_Data4[[#This Row],[price_usd]]&gt;=40000,"Mid-Range","Budget"))</f>
        <v>Mid-Range</v>
      </c>
      <c r="AD390" t="str">
        <f>IF(EV_Data4[[#This Row],[range_miles]]&gt;=350,"Long-Range",IF(EV_Data4[[#This Row],[range_miles]]&gt;=250,"Medium-Range","Short-Range"))</f>
        <v>Long-Range</v>
      </c>
      <c r="AE390" t="str">
        <f>IF(EV_Data4[[#This Row],[charging_speed_kw]]&gt;=250,"Ultra-Fast",IF(EV_Data4[[#This Row],[charging_speed_kw]]&gt;=150,"Fast-Charging","Standard-Charging"))</f>
        <v>Standard-Charging</v>
      </c>
      <c r="AF390" t="str">
        <f>IF(EV_Data4[[#This Row],[acceleration_0_60_mph]]&lt;=3,"SportsPerformance",IF(EV_Data4[[#This Row],[acceleration_0_60_mph]]&lt;=5,"HighPerformance","Standard"))</f>
        <v>Standard</v>
      </c>
      <c r="AG390" t="str">
        <f>IF(EV_Data4[[#This Row],[customer_rating]]&gt;=4.5,"Excellent",IF(EV_Data4[[#This Row],[customer_rating]]&gt;=3.5,"Good","Average"))</f>
        <v>Good</v>
      </c>
      <c r="AH39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91" spans="1:34" x14ac:dyDescent="0.3">
      <c r="A391" t="s">
        <v>76</v>
      </c>
      <c r="B391" t="s">
        <v>81</v>
      </c>
      <c r="C391">
        <v>2024</v>
      </c>
      <c r="D391" t="s">
        <v>26</v>
      </c>
      <c r="E391" s="3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48</v>
      </c>
      <c r="N391">
        <v>7</v>
      </c>
      <c r="O391" t="s">
        <v>40</v>
      </c>
      <c r="P391">
        <v>69.400000000000006</v>
      </c>
      <c r="Q391">
        <v>1563</v>
      </c>
      <c r="R391">
        <v>4</v>
      </c>
      <c r="S391">
        <v>1</v>
      </c>
      <c r="T391" t="s">
        <v>41</v>
      </c>
      <c r="U391" t="s">
        <v>33</v>
      </c>
      <c r="V391" s="3">
        <v>47356</v>
      </c>
      <c r="W391">
        <v>3.62</v>
      </c>
      <c r="X391">
        <v>4</v>
      </c>
      <c r="Y391" s="1">
        <f>EV_Data4[[#This Row],[range_miles]]/EV_Data4[[#This Row],[battery_capacity_kwh]]</f>
        <v>3.3125778331257782</v>
      </c>
      <c r="Z391" s="4">
        <f>EV_Data4[[#This Row],[price_usd]]/EV_Data4[[#This Row],[range_miles]]</f>
        <v>368.8132330827068</v>
      </c>
      <c r="AA391" s="2">
        <f>(EV_Data4[[#This Row],[customer_rating]]*EV_Data4[[#This Row],[safety_rating]]*1000)/EV_Data4[[#This Row],[price_usd]]</f>
        <v>0.14759798549136266</v>
      </c>
      <c r="AB391">
        <f>EV_Data4[[#This Row],[horsepower]]+EV_Data4[[#This Row],[torque_nm]]/EV_Data4[[#This Row],[acceleration_0_60_mph]]</f>
        <v>1208.3532219570407</v>
      </c>
      <c r="AC391" t="str">
        <f>IF(EV_Data4[[#This Row],[price_usd]]&gt;=80000,"Luxury",IF(EV_Data4[[#This Row],[price_usd]]&gt;=40000,"Mid-Range","Budget"))</f>
        <v>Luxury</v>
      </c>
      <c r="AD391" t="str">
        <f>IF(EV_Data4[[#This Row],[range_miles]]&gt;=350,"Long-Range",IF(EV_Data4[[#This Row],[range_miles]]&gt;=250,"Medium-Range","Short-Range"))</f>
        <v>Medium-Range</v>
      </c>
      <c r="AE391" t="str">
        <f>IF(EV_Data4[[#This Row],[charging_speed_kw]]&gt;=250,"Ultra-Fast",IF(EV_Data4[[#This Row],[charging_speed_kw]]&gt;=150,"Fast-Charging","Standard-Charging"))</f>
        <v>Fast-Charging</v>
      </c>
      <c r="AF391" t="str">
        <f>IF(EV_Data4[[#This Row],[acceleration_0_60_mph]]&lt;=3,"SportsPerformance",IF(EV_Data4[[#This Row],[acceleration_0_60_mph]]&lt;=5,"HighPerformance","Standard"))</f>
        <v>HighPerformance</v>
      </c>
      <c r="AG391" t="str">
        <f>IF(EV_Data4[[#This Row],[customer_rating]]&gt;=4.5,"Excellent",IF(EV_Data4[[#This Row],[customer_rating]]&gt;=3.5,"Good","Average"))</f>
        <v>Good</v>
      </c>
      <c r="AH39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92" spans="1:34" x14ac:dyDescent="0.3">
      <c r="A392" t="s">
        <v>121</v>
      </c>
      <c r="B392" t="s">
        <v>122</v>
      </c>
      <c r="C392">
        <v>2025</v>
      </c>
      <c r="D392" t="s">
        <v>61</v>
      </c>
      <c r="E392" s="3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34</v>
      </c>
      <c r="N392">
        <v>5</v>
      </c>
      <c r="O392" t="s">
        <v>40</v>
      </c>
      <c r="P392">
        <v>65</v>
      </c>
      <c r="Q392">
        <v>1577</v>
      </c>
      <c r="R392">
        <v>5</v>
      </c>
      <c r="S392">
        <v>1</v>
      </c>
      <c r="T392" t="s">
        <v>123</v>
      </c>
      <c r="U392" t="s">
        <v>37</v>
      </c>
      <c r="V392" s="3">
        <v>15994</v>
      </c>
      <c r="W392">
        <v>3.31</v>
      </c>
      <c r="X392">
        <v>5</v>
      </c>
      <c r="Y392" s="1">
        <f>EV_Data4[[#This Row],[range_miles]]/EV_Data4[[#This Row],[battery_capacity_kwh]]</f>
        <v>3.699421965317919</v>
      </c>
      <c r="Z392" s="4">
        <f>EV_Data4[[#This Row],[price_usd]]/EV_Data4[[#This Row],[range_miles]]</f>
        <v>291.02651041666667</v>
      </c>
      <c r="AA392" s="2">
        <f>(EV_Data4[[#This Row],[customer_rating]]*EV_Data4[[#This Row],[safety_rating]]*1000)/EV_Data4[[#This Row],[price_usd]]</f>
        <v>0.29618578920269473</v>
      </c>
      <c r="AB392">
        <f>EV_Data4[[#This Row],[horsepower]]+EV_Data4[[#This Row],[torque_nm]]/EV_Data4[[#This Row],[acceleration_0_60_mph]]</f>
        <v>382.25291828793775</v>
      </c>
      <c r="AC392" t="str">
        <f>IF(EV_Data4[[#This Row],[price_usd]]&gt;=80000,"Luxury",IF(EV_Data4[[#This Row],[price_usd]]&gt;=40000,"Mid-Range","Budget"))</f>
        <v>Mid-Range</v>
      </c>
      <c r="AD392" t="str">
        <f>IF(EV_Data4[[#This Row],[range_miles]]&gt;=350,"Long-Range",IF(EV_Data4[[#This Row],[range_miles]]&gt;=250,"Medium-Range","Short-Range"))</f>
        <v>Short-Range</v>
      </c>
      <c r="AE392" t="str">
        <f>IF(EV_Data4[[#This Row],[charging_speed_kw]]&gt;=250,"Ultra-Fast",IF(EV_Data4[[#This Row],[charging_speed_kw]]&gt;=150,"Fast-Charging","Standard-Charging"))</f>
        <v>Standard-Charging</v>
      </c>
      <c r="AF392" t="str">
        <f>IF(EV_Data4[[#This Row],[acceleration_0_60_mph]]&lt;=3,"SportsPerformance",IF(EV_Data4[[#This Row],[acceleration_0_60_mph]]&lt;=5,"HighPerformance","Standard"))</f>
        <v>Standard</v>
      </c>
      <c r="AG392" t="str">
        <f>IF(EV_Data4[[#This Row],[customer_rating]]&gt;=4.5,"Excellent",IF(EV_Data4[[#This Row],[customer_rating]]&gt;=3.5,"Good","Average"))</f>
        <v>Average</v>
      </c>
      <c r="AH39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93" spans="1:34" x14ac:dyDescent="0.3">
      <c r="A393" t="s">
        <v>24</v>
      </c>
      <c r="B393" t="s">
        <v>85</v>
      </c>
      <c r="C393">
        <v>2024</v>
      </c>
      <c r="D393" t="s">
        <v>56</v>
      </c>
      <c r="E393" s="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48</v>
      </c>
      <c r="N393">
        <v>5</v>
      </c>
      <c r="O393" t="s">
        <v>28</v>
      </c>
      <c r="P393">
        <v>64.599999999999994</v>
      </c>
      <c r="Q393">
        <v>2243</v>
      </c>
      <c r="R393">
        <v>5</v>
      </c>
      <c r="S393">
        <v>1</v>
      </c>
      <c r="T393" t="s">
        <v>29</v>
      </c>
      <c r="U393" t="s">
        <v>66</v>
      </c>
      <c r="V393" s="3">
        <v>224478</v>
      </c>
      <c r="W393">
        <v>3.16</v>
      </c>
      <c r="X393">
        <v>3</v>
      </c>
      <c r="Y393" s="1">
        <f>EV_Data4[[#This Row],[range_miles]]/EV_Data4[[#This Row],[battery_capacity_kwh]]</f>
        <v>4.208037825059102</v>
      </c>
      <c r="Z393" s="4">
        <f>EV_Data4[[#This Row],[price_usd]]/EV_Data4[[#This Row],[range_miles]]</f>
        <v>184.00865168539326</v>
      </c>
      <c r="AA393" s="2">
        <f>(EV_Data4[[#This Row],[customer_rating]]*EV_Data4[[#This Row],[safety_rating]]*1000)/EV_Data4[[#This Row],[price_usd]]</f>
        <v>0.48239060571773307</v>
      </c>
      <c r="AB393">
        <f>EV_Data4[[#This Row],[horsepower]]+EV_Data4[[#This Row],[torque_nm]]/EV_Data4[[#This Row],[acceleration_0_60_mph]]</f>
        <v>212.36879432624113</v>
      </c>
      <c r="AC393" t="str">
        <f>IF(EV_Data4[[#This Row],[price_usd]]&gt;=80000,"Luxury",IF(EV_Data4[[#This Row],[price_usd]]&gt;=40000,"Mid-Range","Budget"))</f>
        <v>Budget</v>
      </c>
      <c r="AD393" t="str">
        <f>IF(EV_Data4[[#This Row],[range_miles]]&gt;=350,"Long-Range",IF(EV_Data4[[#This Row],[range_miles]]&gt;=250,"Medium-Range","Short-Range"))</f>
        <v>Short-Range</v>
      </c>
      <c r="AE393" t="str">
        <f>IF(EV_Data4[[#This Row],[charging_speed_kw]]&gt;=250,"Ultra-Fast",IF(EV_Data4[[#This Row],[charging_speed_kw]]&gt;=150,"Fast-Charging","Standard-Charging"))</f>
        <v>Standard-Charging</v>
      </c>
      <c r="AF393" t="str">
        <f>IF(EV_Data4[[#This Row],[acceleration_0_60_mph]]&lt;=3,"SportsPerformance",IF(EV_Data4[[#This Row],[acceleration_0_60_mph]]&lt;=5,"HighPerformance","Standard"))</f>
        <v>Standard</v>
      </c>
      <c r="AG393" t="str">
        <f>IF(EV_Data4[[#This Row],[customer_rating]]&gt;=4.5,"Excellent",IF(EV_Data4[[#This Row],[customer_rating]]&gt;=3.5,"Good","Average"))</f>
        <v>Average</v>
      </c>
      <c r="AH39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94" spans="1:34" x14ac:dyDescent="0.3">
      <c r="A394" t="s">
        <v>24</v>
      </c>
      <c r="B394" t="s">
        <v>85</v>
      </c>
      <c r="C394">
        <v>2022</v>
      </c>
      <c r="D394" t="s">
        <v>61</v>
      </c>
      <c r="E394" s="3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34</v>
      </c>
      <c r="N394">
        <v>7</v>
      </c>
      <c r="O394" t="s">
        <v>40</v>
      </c>
      <c r="P394">
        <v>60.7</v>
      </c>
      <c r="Q394">
        <v>1754</v>
      </c>
      <c r="R394">
        <v>4</v>
      </c>
      <c r="S394">
        <v>0</v>
      </c>
      <c r="T394" t="s">
        <v>29</v>
      </c>
      <c r="U394" t="s">
        <v>33</v>
      </c>
      <c r="V394" s="3">
        <v>251288</v>
      </c>
      <c r="W394">
        <v>3.32</v>
      </c>
      <c r="X394">
        <v>4</v>
      </c>
      <c r="Y394" s="1">
        <f>EV_Data4[[#This Row],[range_miles]]/EV_Data4[[#This Row],[battery_capacity_kwh]]</f>
        <v>3.609375</v>
      </c>
      <c r="Z394" s="4">
        <f>EV_Data4[[#This Row],[price_usd]]/EV_Data4[[#This Row],[range_miles]]</f>
        <v>319.92575757575759</v>
      </c>
      <c r="AA394" s="2">
        <f>(EV_Data4[[#This Row],[customer_rating]]*EV_Data4[[#This Row],[safety_rating]]*1000)/EV_Data4[[#This Row],[price_usd]]</f>
        <v>0.17969537034092731</v>
      </c>
      <c r="AB394">
        <f>EV_Data4[[#This Row],[horsepower]]+EV_Data4[[#This Row],[torque_nm]]/EV_Data4[[#This Row],[acceleration_0_60_mph]]</f>
        <v>967.08798646362095</v>
      </c>
      <c r="AC394" t="str">
        <f>IF(EV_Data4[[#This Row],[price_usd]]&gt;=80000,"Luxury",IF(EV_Data4[[#This Row],[price_usd]]&gt;=40000,"Mid-Range","Budget"))</f>
        <v>Mid-Range</v>
      </c>
      <c r="AD394" t="str">
        <f>IF(EV_Data4[[#This Row],[range_miles]]&gt;=350,"Long-Range",IF(EV_Data4[[#This Row],[range_miles]]&gt;=250,"Medium-Range","Short-Range"))</f>
        <v>Short-Range</v>
      </c>
      <c r="AE394" t="str">
        <f>IF(EV_Data4[[#This Row],[charging_speed_kw]]&gt;=250,"Ultra-Fast",IF(EV_Data4[[#This Row],[charging_speed_kw]]&gt;=150,"Fast-Charging","Standard-Charging"))</f>
        <v>Standard-Charging</v>
      </c>
      <c r="AF394" t="str">
        <f>IF(EV_Data4[[#This Row],[acceleration_0_60_mph]]&lt;=3,"SportsPerformance",IF(EV_Data4[[#This Row],[acceleration_0_60_mph]]&lt;=5,"HighPerformance","Standard"))</f>
        <v>Standard</v>
      </c>
      <c r="AG394" t="str">
        <f>IF(EV_Data4[[#This Row],[customer_rating]]&gt;=4.5,"Excellent",IF(EV_Data4[[#This Row],[customer_rating]]&gt;=3.5,"Good","Average"))</f>
        <v>Average</v>
      </c>
      <c r="AH39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95" spans="1:34" x14ac:dyDescent="0.3">
      <c r="A395" t="s">
        <v>76</v>
      </c>
      <c r="B395" t="s">
        <v>98</v>
      </c>
      <c r="C395">
        <v>2023</v>
      </c>
      <c r="D395" t="s">
        <v>56</v>
      </c>
      <c r="E395" s="3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48</v>
      </c>
      <c r="N395">
        <v>5</v>
      </c>
      <c r="O395" t="s">
        <v>40</v>
      </c>
      <c r="P395">
        <v>79.8</v>
      </c>
      <c r="Q395">
        <v>1632</v>
      </c>
      <c r="R395">
        <v>4</v>
      </c>
      <c r="S395">
        <v>1</v>
      </c>
      <c r="T395" t="s">
        <v>41</v>
      </c>
      <c r="U395" t="s">
        <v>37</v>
      </c>
      <c r="V395" s="3">
        <v>72053</v>
      </c>
      <c r="W395">
        <v>3.42</v>
      </c>
      <c r="X395">
        <v>3</v>
      </c>
      <c r="Y395" s="1">
        <f>EV_Data4[[#This Row],[range_miles]]/EV_Data4[[#This Row],[battery_capacity_kwh]]</f>
        <v>4.0585009140767818</v>
      </c>
      <c r="Z395" s="4">
        <f>EV_Data4[[#This Row],[price_usd]]/EV_Data4[[#This Row],[range_miles]]</f>
        <v>234.5963063063063</v>
      </c>
      <c r="AA395" s="2">
        <f>(EV_Data4[[#This Row],[customer_rating]]*EV_Data4[[#This Row],[safety_rating]]*1000)/EV_Data4[[#This Row],[price_usd]]</f>
        <v>0.26267089449040121</v>
      </c>
      <c r="AB395">
        <f>EV_Data4[[#This Row],[horsepower]]+EV_Data4[[#This Row],[torque_nm]]/EV_Data4[[#This Row],[acceleration_0_60_mph]]</f>
        <v>626.90670553935865</v>
      </c>
      <c r="AC395" t="str">
        <f>IF(EV_Data4[[#This Row],[price_usd]]&gt;=80000,"Luxury",IF(EV_Data4[[#This Row],[price_usd]]&gt;=40000,"Mid-Range","Budget"))</f>
        <v>Mid-Range</v>
      </c>
      <c r="AD395" t="str">
        <f>IF(EV_Data4[[#This Row],[range_miles]]&gt;=350,"Long-Range",IF(EV_Data4[[#This Row],[range_miles]]&gt;=250,"Medium-Range","Short-Range"))</f>
        <v>Short-Range</v>
      </c>
      <c r="AE395" t="str">
        <f>IF(EV_Data4[[#This Row],[charging_speed_kw]]&gt;=250,"Ultra-Fast",IF(EV_Data4[[#This Row],[charging_speed_kw]]&gt;=150,"Fast-Charging","Standard-Charging"))</f>
        <v>Standard-Charging</v>
      </c>
      <c r="AF395" t="str">
        <f>IF(EV_Data4[[#This Row],[acceleration_0_60_mph]]&lt;=3,"SportsPerformance",IF(EV_Data4[[#This Row],[acceleration_0_60_mph]]&lt;=5,"HighPerformance","Standard"))</f>
        <v>Standard</v>
      </c>
      <c r="AG395" t="str">
        <f>IF(EV_Data4[[#This Row],[customer_rating]]&gt;=4.5,"Excellent",IF(EV_Data4[[#This Row],[customer_rating]]&gt;=3.5,"Good","Average"))</f>
        <v>Average</v>
      </c>
      <c r="AH39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396" spans="1:34" x14ac:dyDescent="0.3">
      <c r="A396" t="s">
        <v>63</v>
      </c>
      <c r="B396" t="s">
        <v>96</v>
      </c>
      <c r="C396">
        <v>2025</v>
      </c>
      <c r="D396" t="s">
        <v>61</v>
      </c>
      <c r="E396" s="3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34</v>
      </c>
      <c r="N396">
        <v>7</v>
      </c>
      <c r="O396" t="s">
        <v>50</v>
      </c>
      <c r="P396">
        <v>22.8</v>
      </c>
      <c r="Q396">
        <v>1771</v>
      </c>
      <c r="R396">
        <v>5</v>
      </c>
      <c r="S396">
        <v>0</v>
      </c>
      <c r="T396" t="s">
        <v>65</v>
      </c>
      <c r="U396" t="s">
        <v>66</v>
      </c>
      <c r="V396" s="3">
        <v>131689</v>
      </c>
      <c r="W396">
        <v>3.16</v>
      </c>
      <c r="X396">
        <v>4</v>
      </c>
      <c r="Y396" s="1">
        <f>EV_Data4[[#This Row],[range_miles]]/EV_Data4[[#This Row],[battery_capacity_kwh]]</f>
        <v>3.0792227204783256</v>
      </c>
      <c r="Z396" s="4">
        <f>EV_Data4[[#This Row],[price_usd]]/EV_Data4[[#This Row],[range_miles]]</f>
        <v>109.70980582524273</v>
      </c>
      <c r="AA396" s="2">
        <f>(EV_Data4[[#This Row],[customer_rating]]*EV_Data4[[#This Row],[safety_rating]]*1000)/EV_Data4[[#This Row],[price_usd]]</f>
        <v>0.69910823876935713</v>
      </c>
      <c r="AB396">
        <f>EV_Data4[[#This Row],[horsepower]]+EV_Data4[[#This Row],[torque_nm]]/EV_Data4[[#This Row],[acceleration_0_60_mph]]</f>
        <v>205.89536621823618</v>
      </c>
      <c r="AC396" t="str">
        <f>IF(EV_Data4[[#This Row],[price_usd]]&gt;=80000,"Luxury",IF(EV_Data4[[#This Row],[price_usd]]&gt;=40000,"Mid-Range","Budget"))</f>
        <v>Budget</v>
      </c>
      <c r="AD396" t="str">
        <f>IF(EV_Data4[[#This Row],[range_miles]]&gt;=350,"Long-Range",IF(EV_Data4[[#This Row],[range_miles]]&gt;=250,"Medium-Range","Short-Range"))</f>
        <v>Short-Range</v>
      </c>
      <c r="AE396" t="str">
        <f>IF(EV_Data4[[#This Row],[charging_speed_kw]]&gt;=250,"Ultra-Fast",IF(EV_Data4[[#This Row],[charging_speed_kw]]&gt;=150,"Fast-Charging","Standard-Charging"))</f>
        <v>Standard-Charging</v>
      </c>
      <c r="AF396" t="str">
        <f>IF(EV_Data4[[#This Row],[acceleration_0_60_mph]]&lt;=3,"SportsPerformance",IF(EV_Data4[[#This Row],[acceleration_0_60_mph]]&lt;=5,"HighPerformance","Standard"))</f>
        <v>Standard</v>
      </c>
      <c r="AG396" t="str">
        <f>IF(EV_Data4[[#This Row],[customer_rating]]&gt;=4.5,"Excellent",IF(EV_Data4[[#This Row],[customer_rating]]&gt;=3.5,"Good","Average"))</f>
        <v>Average</v>
      </c>
      <c r="AH39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97" spans="1:34" x14ac:dyDescent="0.3">
      <c r="A397" t="s">
        <v>94</v>
      </c>
      <c r="B397" t="s">
        <v>128</v>
      </c>
      <c r="C397">
        <v>2024</v>
      </c>
      <c r="D397" t="s">
        <v>44</v>
      </c>
      <c r="E397" s="3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34</v>
      </c>
      <c r="N397">
        <v>5</v>
      </c>
      <c r="O397" t="s">
        <v>51</v>
      </c>
      <c r="P397">
        <v>38.200000000000003</v>
      </c>
      <c r="Q397">
        <v>1864</v>
      </c>
      <c r="R397">
        <v>5</v>
      </c>
      <c r="S397">
        <v>0</v>
      </c>
      <c r="T397" t="s">
        <v>41</v>
      </c>
      <c r="U397" t="s">
        <v>33</v>
      </c>
      <c r="V397" s="3">
        <v>10950</v>
      </c>
      <c r="W397">
        <v>3.77</v>
      </c>
      <c r="X397">
        <v>6</v>
      </c>
      <c r="Y397" s="1">
        <f>EV_Data4[[#This Row],[range_miles]]/EV_Data4[[#This Row],[battery_capacity_kwh]]</f>
        <v>3.7886597938144333</v>
      </c>
      <c r="Z397" s="4">
        <f>EV_Data4[[#This Row],[price_usd]]/EV_Data4[[#This Row],[range_miles]]</f>
        <v>336.87204081632655</v>
      </c>
      <c r="AA397" s="2">
        <f>(EV_Data4[[#This Row],[customer_rating]]*EV_Data4[[#This Row],[safety_rating]]*1000)/EV_Data4[[#This Row],[price_usd]]</f>
        <v>0.19032641029850653</v>
      </c>
      <c r="AB397">
        <f>EV_Data4[[#This Row],[horsepower]]+EV_Data4[[#This Row],[torque_nm]]/EV_Data4[[#This Row],[acceleration_0_60_mph]]</f>
        <v>1175.0972762645915</v>
      </c>
      <c r="AC397" t="str">
        <f>IF(EV_Data4[[#This Row],[price_usd]]&gt;=80000,"Luxury",IF(EV_Data4[[#This Row],[price_usd]]&gt;=40000,"Mid-Range","Budget"))</f>
        <v>Luxury</v>
      </c>
      <c r="AD397" t="str">
        <f>IF(EV_Data4[[#This Row],[range_miles]]&gt;=350,"Long-Range",IF(EV_Data4[[#This Row],[range_miles]]&gt;=250,"Medium-Range","Short-Range"))</f>
        <v>Medium-Range</v>
      </c>
      <c r="AE397" t="str">
        <f>IF(EV_Data4[[#This Row],[charging_speed_kw]]&gt;=250,"Ultra-Fast",IF(EV_Data4[[#This Row],[charging_speed_kw]]&gt;=150,"Fast-Charging","Standard-Charging"))</f>
        <v>Standard-Charging</v>
      </c>
      <c r="AF397" t="str">
        <f>IF(EV_Data4[[#This Row],[acceleration_0_60_mph]]&lt;=3,"SportsPerformance",IF(EV_Data4[[#This Row],[acceleration_0_60_mph]]&lt;=5,"HighPerformance","Standard"))</f>
        <v>Standard</v>
      </c>
      <c r="AG397" t="str">
        <f>IF(EV_Data4[[#This Row],[customer_rating]]&gt;=4.5,"Excellent",IF(EV_Data4[[#This Row],[customer_rating]]&gt;=3.5,"Good","Average"))</f>
        <v>Good</v>
      </c>
      <c r="AH39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398" spans="1:34" x14ac:dyDescent="0.3">
      <c r="A398" t="s">
        <v>52</v>
      </c>
      <c r="B398" t="s">
        <v>97</v>
      </c>
      <c r="C398">
        <v>2026</v>
      </c>
      <c r="D398" t="s">
        <v>26</v>
      </c>
      <c r="E398" s="3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27</v>
      </c>
      <c r="N398">
        <v>7</v>
      </c>
      <c r="O398" t="s">
        <v>50</v>
      </c>
      <c r="P398">
        <v>36.9</v>
      </c>
      <c r="Q398">
        <v>2011</v>
      </c>
      <c r="R398">
        <v>5</v>
      </c>
      <c r="S398">
        <v>2</v>
      </c>
      <c r="T398" t="s">
        <v>29</v>
      </c>
      <c r="U398" t="s">
        <v>30</v>
      </c>
      <c r="V398" s="3">
        <v>49733</v>
      </c>
      <c r="W398">
        <v>4.0199999999999996</v>
      </c>
      <c r="X398">
        <v>5</v>
      </c>
      <c r="Y398" s="1">
        <f>EV_Data4[[#This Row],[range_miles]]/EV_Data4[[#This Row],[battery_capacity_kwh]]</f>
        <v>3.5071942446043165</v>
      </c>
      <c r="Z398" s="4">
        <f>EV_Data4[[#This Row],[price_usd]]/EV_Data4[[#This Row],[range_miles]]</f>
        <v>277.05843589743586</v>
      </c>
      <c r="AA398" s="2">
        <f>(EV_Data4[[#This Row],[customer_rating]]*EV_Data4[[#This Row],[safety_rating]]*1000)/EV_Data4[[#This Row],[price_usd]]</f>
        <v>0.18602018513358146</v>
      </c>
      <c r="AB398">
        <f>EV_Data4[[#This Row],[horsepower]]+EV_Data4[[#This Row],[torque_nm]]/EV_Data4[[#This Row],[acceleration_0_60_mph]]</f>
        <v>648.8559556786704</v>
      </c>
      <c r="AC398" t="str">
        <f>IF(EV_Data4[[#This Row],[price_usd]]&gt;=80000,"Luxury",IF(EV_Data4[[#This Row],[price_usd]]&gt;=40000,"Mid-Range","Budget"))</f>
        <v>Luxury</v>
      </c>
      <c r="AD398" t="str">
        <f>IF(EV_Data4[[#This Row],[range_miles]]&gt;=350,"Long-Range",IF(EV_Data4[[#This Row],[range_miles]]&gt;=250,"Medium-Range","Short-Range"))</f>
        <v>Long-Range</v>
      </c>
      <c r="AE398" t="str">
        <f>IF(EV_Data4[[#This Row],[charging_speed_kw]]&gt;=250,"Ultra-Fast",IF(EV_Data4[[#This Row],[charging_speed_kw]]&gt;=150,"Fast-Charging","Standard-Charging"))</f>
        <v>Fast-Charging</v>
      </c>
      <c r="AF398" t="str">
        <f>IF(EV_Data4[[#This Row],[acceleration_0_60_mph]]&lt;=3,"SportsPerformance",IF(EV_Data4[[#This Row],[acceleration_0_60_mph]]&lt;=5,"HighPerformance","Standard"))</f>
        <v>HighPerformance</v>
      </c>
      <c r="AG398" t="str">
        <f>IF(EV_Data4[[#This Row],[customer_rating]]&gt;=4.5,"Excellent",IF(EV_Data4[[#This Row],[customer_rating]]&gt;=3.5,"Good","Average"))</f>
        <v>Good</v>
      </c>
      <c r="AH39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399" spans="1:34" x14ac:dyDescent="0.3">
      <c r="A399" t="s">
        <v>24</v>
      </c>
      <c r="B399" t="s">
        <v>25</v>
      </c>
      <c r="C399">
        <v>2023</v>
      </c>
      <c r="D399" t="s">
        <v>26</v>
      </c>
      <c r="E399" s="3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48</v>
      </c>
      <c r="N399">
        <v>7</v>
      </c>
      <c r="O399" t="s">
        <v>40</v>
      </c>
      <c r="P399">
        <v>77.400000000000006</v>
      </c>
      <c r="Q399">
        <v>1844</v>
      </c>
      <c r="R399">
        <v>4</v>
      </c>
      <c r="S399">
        <v>0</v>
      </c>
      <c r="T399" t="s">
        <v>29</v>
      </c>
      <c r="U399" t="s">
        <v>37</v>
      </c>
      <c r="V399" s="3">
        <v>238954</v>
      </c>
      <c r="W399">
        <v>3.69</v>
      </c>
      <c r="X399">
        <v>4</v>
      </c>
      <c r="Y399" s="1">
        <f>EV_Data4[[#This Row],[range_miles]]/EV_Data4[[#This Row],[battery_capacity_kwh]]</f>
        <v>3.4044823906083241</v>
      </c>
      <c r="Z399" s="4">
        <f>EV_Data4[[#This Row],[price_usd]]/EV_Data4[[#This Row],[range_miles]]</f>
        <v>157.0450156739812</v>
      </c>
      <c r="AA399" s="2">
        <f>(EV_Data4[[#This Row],[customer_rating]]*EV_Data4[[#This Row],[safety_rating]]*1000)/EV_Data4[[#This Row],[price_usd]]</f>
        <v>0.29462630366151032</v>
      </c>
      <c r="AB399">
        <f>EV_Data4[[#This Row],[horsepower]]+EV_Data4[[#This Row],[torque_nm]]/EV_Data4[[#This Row],[acceleration_0_60_mph]]</f>
        <v>483.78703703703707</v>
      </c>
      <c r="AC399" t="str">
        <f>IF(EV_Data4[[#This Row],[price_usd]]&gt;=80000,"Luxury",IF(EV_Data4[[#This Row],[price_usd]]&gt;=40000,"Mid-Range","Budget"))</f>
        <v>Mid-Range</v>
      </c>
      <c r="AD399" t="str">
        <f>IF(EV_Data4[[#This Row],[range_miles]]&gt;=350,"Long-Range",IF(EV_Data4[[#This Row],[range_miles]]&gt;=250,"Medium-Range","Short-Range"))</f>
        <v>Medium-Range</v>
      </c>
      <c r="AE399" t="str">
        <f>IF(EV_Data4[[#This Row],[charging_speed_kw]]&gt;=250,"Ultra-Fast",IF(EV_Data4[[#This Row],[charging_speed_kw]]&gt;=150,"Fast-Charging","Standard-Charging"))</f>
        <v>Fast-Charging</v>
      </c>
      <c r="AF399" t="str">
        <f>IF(EV_Data4[[#This Row],[acceleration_0_60_mph]]&lt;=3,"SportsPerformance",IF(EV_Data4[[#This Row],[acceleration_0_60_mph]]&lt;=5,"HighPerformance","Standard"))</f>
        <v>HighPerformance</v>
      </c>
      <c r="AG399" t="str">
        <f>IF(EV_Data4[[#This Row],[customer_rating]]&gt;=4.5,"Excellent",IF(EV_Data4[[#This Row],[customer_rating]]&gt;=3.5,"Good","Average"))</f>
        <v>Good</v>
      </c>
      <c r="AH39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00" spans="1:34" x14ac:dyDescent="0.3">
      <c r="A400" t="s">
        <v>38</v>
      </c>
      <c r="B400" t="s">
        <v>55</v>
      </c>
      <c r="C400">
        <v>2025</v>
      </c>
      <c r="D400" t="s">
        <v>61</v>
      </c>
      <c r="E400" s="3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34</v>
      </c>
      <c r="N400">
        <v>5</v>
      </c>
      <c r="O400" t="s">
        <v>35</v>
      </c>
      <c r="P400">
        <v>55.3</v>
      </c>
      <c r="Q400">
        <v>1752</v>
      </c>
      <c r="R400">
        <v>4</v>
      </c>
      <c r="S400">
        <v>1</v>
      </c>
      <c r="T400" t="s">
        <v>41</v>
      </c>
      <c r="U400" t="s">
        <v>37</v>
      </c>
      <c r="V400" s="3">
        <v>25503</v>
      </c>
      <c r="W400">
        <v>3.61</v>
      </c>
      <c r="X400">
        <v>4</v>
      </c>
      <c r="Y400" s="1">
        <f>EV_Data4[[#This Row],[range_miles]]/EV_Data4[[#This Row],[battery_capacity_kwh]]</f>
        <v>3.7254901960784315</v>
      </c>
      <c r="Z400" s="4">
        <f>EV_Data4[[#This Row],[price_usd]]/EV_Data4[[#This Row],[range_miles]]</f>
        <v>172.14976076555024</v>
      </c>
      <c r="AA400" s="2">
        <f>(EV_Data4[[#This Row],[customer_rating]]*EV_Data4[[#This Row],[safety_rating]]*1000)/EV_Data4[[#This Row],[price_usd]]</f>
        <v>0.40134188269365995</v>
      </c>
      <c r="AB400">
        <f>EV_Data4[[#This Row],[horsepower]]+EV_Data4[[#This Row],[torque_nm]]/EV_Data4[[#This Row],[acceleration_0_60_mph]]</f>
        <v>388.31812420785803</v>
      </c>
      <c r="AC400" t="str">
        <f>IF(EV_Data4[[#This Row],[price_usd]]&gt;=80000,"Luxury",IF(EV_Data4[[#This Row],[price_usd]]&gt;=40000,"Mid-Range","Budget"))</f>
        <v>Budget</v>
      </c>
      <c r="AD400" t="str">
        <f>IF(EV_Data4[[#This Row],[range_miles]]&gt;=350,"Long-Range",IF(EV_Data4[[#This Row],[range_miles]]&gt;=250,"Medium-Range","Short-Range"))</f>
        <v>Short-Range</v>
      </c>
      <c r="AE400" t="str">
        <f>IF(EV_Data4[[#This Row],[charging_speed_kw]]&gt;=250,"Ultra-Fast",IF(EV_Data4[[#This Row],[charging_speed_kw]]&gt;=150,"Fast-Charging","Standard-Charging"))</f>
        <v>Standard-Charging</v>
      </c>
      <c r="AF400" t="str">
        <f>IF(EV_Data4[[#This Row],[acceleration_0_60_mph]]&lt;=3,"SportsPerformance",IF(EV_Data4[[#This Row],[acceleration_0_60_mph]]&lt;=5,"HighPerformance","Standard"))</f>
        <v>Standard</v>
      </c>
      <c r="AG400" t="str">
        <f>IF(EV_Data4[[#This Row],[customer_rating]]&gt;=4.5,"Excellent",IF(EV_Data4[[#This Row],[customer_rating]]&gt;=3.5,"Good","Average"))</f>
        <v>Good</v>
      </c>
      <c r="AH40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01" spans="1:34" x14ac:dyDescent="0.3">
      <c r="A401" t="s">
        <v>38</v>
      </c>
      <c r="B401" t="s">
        <v>102</v>
      </c>
      <c r="C401">
        <v>2025</v>
      </c>
      <c r="D401" t="s">
        <v>26</v>
      </c>
      <c r="E401" s="3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48</v>
      </c>
      <c r="N401">
        <v>7</v>
      </c>
      <c r="O401" t="s">
        <v>35</v>
      </c>
      <c r="P401">
        <v>54.9</v>
      </c>
      <c r="Q401">
        <v>2113</v>
      </c>
      <c r="R401">
        <v>4</v>
      </c>
      <c r="S401">
        <v>1</v>
      </c>
      <c r="T401" t="s">
        <v>41</v>
      </c>
      <c r="U401" t="s">
        <v>37</v>
      </c>
      <c r="V401" s="3">
        <v>13660</v>
      </c>
      <c r="W401">
        <v>3.69</v>
      </c>
      <c r="X401">
        <v>4</v>
      </c>
      <c r="Y401" s="1">
        <f>EV_Data4[[#This Row],[range_miles]]/EV_Data4[[#This Row],[battery_capacity_kwh]]</f>
        <v>3.4888438133874242</v>
      </c>
      <c r="Z401" s="4">
        <f>EV_Data4[[#This Row],[price_usd]]/EV_Data4[[#This Row],[range_miles]]</f>
        <v>165.84686046511627</v>
      </c>
      <c r="AA401" s="2">
        <f>(EV_Data4[[#This Row],[customer_rating]]*EV_Data4[[#This Row],[safety_rating]]*1000)/EV_Data4[[#This Row],[price_usd]]</f>
        <v>0.25871443465287042</v>
      </c>
      <c r="AB401">
        <f>EV_Data4[[#This Row],[horsepower]]+EV_Data4[[#This Row],[torque_nm]]/EV_Data4[[#This Row],[acceleration_0_60_mph]]</f>
        <v>945.8907849829352</v>
      </c>
      <c r="AC401" t="str">
        <f>IF(EV_Data4[[#This Row],[price_usd]]&gt;=80000,"Luxury",IF(EV_Data4[[#This Row],[price_usd]]&gt;=40000,"Mid-Range","Budget"))</f>
        <v>Mid-Range</v>
      </c>
      <c r="AD401" t="str">
        <f>IF(EV_Data4[[#This Row],[range_miles]]&gt;=350,"Long-Range",IF(EV_Data4[[#This Row],[range_miles]]&gt;=250,"Medium-Range","Short-Range"))</f>
        <v>Medium-Range</v>
      </c>
      <c r="AE401" t="str">
        <f>IF(EV_Data4[[#This Row],[charging_speed_kw]]&gt;=250,"Ultra-Fast",IF(EV_Data4[[#This Row],[charging_speed_kw]]&gt;=150,"Fast-Charging","Standard-Charging"))</f>
        <v>Fast-Charging</v>
      </c>
      <c r="AF401" t="str">
        <f>IF(EV_Data4[[#This Row],[acceleration_0_60_mph]]&lt;=3,"SportsPerformance",IF(EV_Data4[[#This Row],[acceleration_0_60_mph]]&lt;=5,"HighPerformance","Standard"))</f>
        <v>SportsPerformance</v>
      </c>
      <c r="AG401" t="str">
        <f>IF(EV_Data4[[#This Row],[customer_rating]]&gt;=4.5,"Excellent",IF(EV_Data4[[#This Row],[customer_rating]]&gt;=3.5,"Good","Average"))</f>
        <v>Good</v>
      </c>
      <c r="AH40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02" spans="1:34" x14ac:dyDescent="0.3">
      <c r="A402" t="s">
        <v>46</v>
      </c>
      <c r="B402" t="s">
        <v>49</v>
      </c>
      <c r="C402">
        <v>2025</v>
      </c>
      <c r="D402" t="s">
        <v>56</v>
      </c>
      <c r="E402" s="3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48</v>
      </c>
      <c r="N402">
        <v>5</v>
      </c>
      <c r="O402" t="s">
        <v>51</v>
      </c>
      <c r="P402">
        <v>16.8</v>
      </c>
      <c r="Q402">
        <v>1709</v>
      </c>
      <c r="R402">
        <v>4</v>
      </c>
      <c r="S402">
        <v>3</v>
      </c>
      <c r="T402" t="s">
        <v>41</v>
      </c>
      <c r="U402" t="s">
        <v>30</v>
      </c>
      <c r="V402" s="3">
        <v>456748</v>
      </c>
      <c r="W402">
        <v>3.5</v>
      </c>
      <c r="X402">
        <v>6</v>
      </c>
      <c r="Y402" s="1">
        <f>EV_Data4[[#This Row],[range_miles]]/EV_Data4[[#This Row],[battery_capacity_kwh]]</f>
        <v>3.2333333333333334</v>
      </c>
      <c r="Z402" s="4">
        <f>EV_Data4[[#This Row],[price_usd]]/EV_Data4[[#This Row],[range_miles]]</f>
        <v>566.85608247422681</v>
      </c>
      <c r="AA402" s="2">
        <f>(EV_Data4[[#This Row],[customer_rating]]*EV_Data4[[#This Row],[safety_rating]]*1000)/EV_Data4[[#This Row],[price_usd]]</f>
        <v>0.12730735487325279</v>
      </c>
      <c r="AB402">
        <f>EV_Data4[[#This Row],[horsepower]]+EV_Data4[[#This Row],[torque_nm]]/EV_Data4[[#This Row],[acceleration_0_60_mph]]</f>
        <v>903.86759581881529</v>
      </c>
      <c r="AC402" t="str">
        <f>IF(EV_Data4[[#This Row],[price_usd]]&gt;=80000,"Luxury",IF(EV_Data4[[#This Row],[price_usd]]&gt;=40000,"Mid-Range","Budget"))</f>
        <v>Luxury</v>
      </c>
      <c r="AD402" t="str">
        <f>IF(EV_Data4[[#This Row],[range_miles]]&gt;=350,"Long-Range",IF(EV_Data4[[#This Row],[range_miles]]&gt;=250,"Medium-Range","Short-Range"))</f>
        <v>Short-Range</v>
      </c>
      <c r="AE402" t="str">
        <f>IF(EV_Data4[[#This Row],[charging_speed_kw]]&gt;=250,"Ultra-Fast",IF(EV_Data4[[#This Row],[charging_speed_kw]]&gt;=150,"Fast-Charging","Standard-Charging"))</f>
        <v>Fast-Charging</v>
      </c>
      <c r="AF402" t="str">
        <f>IF(EV_Data4[[#This Row],[acceleration_0_60_mph]]&lt;=3,"SportsPerformance",IF(EV_Data4[[#This Row],[acceleration_0_60_mph]]&lt;=5,"HighPerformance","Standard"))</f>
        <v>Standard</v>
      </c>
      <c r="AG402" t="str">
        <f>IF(EV_Data4[[#This Row],[customer_rating]]&gt;=4.5,"Excellent",IF(EV_Data4[[#This Row],[customer_rating]]&gt;=3.5,"Good","Average"))</f>
        <v>Good</v>
      </c>
      <c r="AH402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403" spans="1:34" x14ac:dyDescent="0.3">
      <c r="A403" t="s">
        <v>86</v>
      </c>
      <c r="B403" t="s">
        <v>108</v>
      </c>
      <c r="C403">
        <v>2024</v>
      </c>
      <c r="D403" t="s">
        <v>44</v>
      </c>
      <c r="E403" s="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48</v>
      </c>
      <c r="N403">
        <v>7</v>
      </c>
      <c r="O403" t="s">
        <v>50</v>
      </c>
      <c r="P403">
        <v>15.8</v>
      </c>
      <c r="Q403">
        <v>1511</v>
      </c>
      <c r="R403">
        <v>4</v>
      </c>
      <c r="S403">
        <v>1</v>
      </c>
      <c r="T403" t="s">
        <v>29</v>
      </c>
      <c r="U403" t="s">
        <v>33</v>
      </c>
      <c r="V403" s="3">
        <v>22988</v>
      </c>
      <c r="W403">
        <v>3.55</v>
      </c>
      <c r="X403">
        <v>6</v>
      </c>
      <c r="Y403" s="1">
        <f>EV_Data4[[#This Row],[range_miles]]/EV_Data4[[#This Row],[battery_capacity_kwh]]</f>
        <v>3.25</v>
      </c>
      <c r="Z403" s="4">
        <f>EV_Data4[[#This Row],[price_usd]]/EV_Data4[[#This Row],[range_miles]]</f>
        <v>356.84292307692311</v>
      </c>
      <c r="AA403" s="2">
        <f>(EV_Data4[[#This Row],[customer_rating]]*EV_Data4[[#This Row],[safety_rating]]*1000)/EV_Data4[[#This Row],[price_usd]]</f>
        <v>0.15305161202149276</v>
      </c>
      <c r="AB403">
        <f>EV_Data4[[#This Row],[horsepower]]+EV_Data4[[#This Row],[torque_nm]]/EV_Data4[[#This Row],[acceleration_0_60_mph]]</f>
        <v>748.69696969696975</v>
      </c>
      <c r="AC403" t="str">
        <f>IF(EV_Data4[[#This Row],[price_usd]]&gt;=80000,"Luxury",IF(EV_Data4[[#This Row],[price_usd]]&gt;=40000,"Mid-Range","Budget"))</f>
        <v>Luxury</v>
      </c>
      <c r="AD403" t="str">
        <f>IF(EV_Data4[[#This Row],[range_miles]]&gt;=350,"Long-Range",IF(EV_Data4[[#This Row],[range_miles]]&gt;=250,"Medium-Range","Short-Range"))</f>
        <v>Medium-Range</v>
      </c>
      <c r="AE403" t="str">
        <f>IF(EV_Data4[[#This Row],[charging_speed_kw]]&gt;=250,"Ultra-Fast",IF(EV_Data4[[#This Row],[charging_speed_kw]]&gt;=150,"Fast-Charging","Standard-Charging"))</f>
        <v>Standard-Charging</v>
      </c>
      <c r="AF403" t="str">
        <f>IF(EV_Data4[[#This Row],[acceleration_0_60_mph]]&lt;=3,"SportsPerformance",IF(EV_Data4[[#This Row],[acceleration_0_60_mph]]&lt;=5,"HighPerformance","Standard"))</f>
        <v>HighPerformance</v>
      </c>
      <c r="AG403" t="str">
        <f>IF(EV_Data4[[#This Row],[customer_rating]]&gt;=4.5,"Excellent",IF(EV_Data4[[#This Row],[customer_rating]]&gt;=3.5,"Good","Average"))</f>
        <v>Good</v>
      </c>
      <c r="AH40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04" spans="1:34" x14ac:dyDescent="0.3">
      <c r="A404" t="s">
        <v>68</v>
      </c>
      <c r="B404" t="s">
        <v>109</v>
      </c>
      <c r="C404">
        <v>2025</v>
      </c>
      <c r="D404" t="s">
        <v>61</v>
      </c>
      <c r="E404" s="3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34</v>
      </c>
      <c r="N404">
        <v>7</v>
      </c>
      <c r="O404" t="s">
        <v>50</v>
      </c>
      <c r="P404">
        <v>15.3</v>
      </c>
      <c r="Q404">
        <v>1717</v>
      </c>
      <c r="R404">
        <v>4</v>
      </c>
      <c r="S404">
        <v>1</v>
      </c>
      <c r="T404" t="s">
        <v>45</v>
      </c>
      <c r="U404" t="s">
        <v>33</v>
      </c>
      <c r="V404" s="3">
        <v>138781</v>
      </c>
      <c r="W404">
        <v>3.03</v>
      </c>
      <c r="X404">
        <v>4</v>
      </c>
      <c r="Y404" s="1">
        <f>EV_Data4[[#This Row],[range_miles]]/EV_Data4[[#This Row],[battery_capacity_kwh]]</f>
        <v>3.3936651583710407</v>
      </c>
      <c r="Z404" s="4">
        <f>EV_Data4[[#This Row],[price_usd]]/EV_Data4[[#This Row],[range_miles]]</f>
        <v>433.38380000000001</v>
      </c>
      <c r="AA404" s="2">
        <f>(EV_Data4[[#This Row],[customer_rating]]*EV_Data4[[#This Row],[safety_rating]]*1000)/EV_Data4[[#This Row],[price_usd]]</f>
        <v>0.18643982539264273</v>
      </c>
      <c r="AB404">
        <f>EV_Data4[[#This Row],[horsepower]]+EV_Data4[[#This Row],[torque_nm]]/EV_Data4[[#This Row],[acceleration_0_60_mph]]</f>
        <v>902.68391866913123</v>
      </c>
      <c r="AC404" t="str">
        <f>IF(EV_Data4[[#This Row],[price_usd]]&gt;=80000,"Luxury",IF(EV_Data4[[#This Row],[price_usd]]&gt;=40000,"Mid-Range","Budget"))</f>
        <v>Mid-Range</v>
      </c>
      <c r="AD404" t="str">
        <f>IF(EV_Data4[[#This Row],[range_miles]]&gt;=350,"Long-Range",IF(EV_Data4[[#This Row],[range_miles]]&gt;=250,"Medium-Range","Short-Range"))</f>
        <v>Short-Range</v>
      </c>
      <c r="AE404" t="str">
        <f>IF(EV_Data4[[#This Row],[charging_speed_kw]]&gt;=250,"Ultra-Fast",IF(EV_Data4[[#This Row],[charging_speed_kw]]&gt;=150,"Fast-Charging","Standard-Charging"))</f>
        <v>Standard-Charging</v>
      </c>
      <c r="AF404" t="str">
        <f>IF(EV_Data4[[#This Row],[acceleration_0_60_mph]]&lt;=3,"SportsPerformance",IF(EV_Data4[[#This Row],[acceleration_0_60_mph]]&lt;=5,"HighPerformance","Standard"))</f>
        <v>Standard</v>
      </c>
      <c r="AG404" t="str">
        <f>IF(EV_Data4[[#This Row],[customer_rating]]&gt;=4.5,"Excellent",IF(EV_Data4[[#This Row],[customer_rating]]&gt;=3.5,"Good","Average"))</f>
        <v>Average</v>
      </c>
      <c r="AH40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05" spans="1:34" x14ac:dyDescent="0.3">
      <c r="A405" t="s">
        <v>52</v>
      </c>
      <c r="B405" t="s">
        <v>53</v>
      </c>
      <c r="C405">
        <v>2023</v>
      </c>
      <c r="D405" t="s">
        <v>44</v>
      </c>
      <c r="E405" s="3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27</v>
      </c>
      <c r="N405">
        <v>7</v>
      </c>
      <c r="O405" t="s">
        <v>28</v>
      </c>
      <c r="P405">
        <v>54.4</v>
      </c>
      <c r="Q405">
        <v>2004</v>
      </c>
      <c r="R405">
        <v>5</v>
      </c>
      <c r="S405">
        <v>1</v>
      </c>
      <c r="T405" t="s">
        <v>29</v>
      </c>
      <c r="U405" t="s">
        <v>30</v>
      </c>
      <c r="V405" s="3">
        <v>65127</v>
      </c>
      <c r="W405">
        <v>3.77</v>
      </c>
      <c r="X405">
        <v>5</v>
      </c>
      <c r="Y405" s="1">
        <f>EV_Data4[[#This Row],[range_miles]]/EV_Data4[[#This Row],[battery_capacity_kwh]]</f>
        <v>3.2389162561576352</v>
      </c>
      <c r="Z405" s="4">
        <f>EV_Data4[[#This Row],[price_usd]]/EV_Data4[[#This Row],[range_miles]]</f>
        <v>468.20828897338401</v>
      </c>
      <c r="AA405" s="2">
        <f>(EV_Data4[[#This Row],[customer_rating]]*EV_Data4[[#This Row],[safety_rating]]*1000)/EV_Data4[[#This Row],[price_usd]]</f>
        <v>0.15307931425014931</v>
      </c>
      <c r="AB405">
        <f>EV_Data4[[#This Row],[horsepower]]+EV_Data4[[#This Row],[torque_nm]]/EV_Data4[[#This Row],[acceleration_0_60_mph]]</f>
        <v>779.42649727767696</v>
      </c>
      <c r="AC405" t="str">
        <f>IF(EV_Data4[[#This Row],[price_usd]]&gt;=80000,"Luxury",IF(EV_Data4[[#This Row],[price_usd]]&gt;=40000,"Mid-Range","Budget"))</f>
        <v>Luxury</v>
      </c>
      <c r="AD405" t="str">
        <f>IF(EV_Data4[[#This Row],[range_miles]]&gt;=350,"Long-Range",IF(EV_Data4[[#This Row],[range_miles]]&gt;=250,"Medium-Range","Short-Range"))</f>
        <v>Medium-Range</v>
      </c>
      <c r="AE405" t="str">
        <f>IF(EV_Data4[[#This Row],[charging_speed_kw]]&gt;=250,"Ultra-Fast",IF(EV_Data4[[#This Row],[charging_speed_kw]]&gt;=150,"Fast-Charging","Standard-Charging"))</f>
        <v>Standard-Charging</v>
      </c>
      <c r="AF405" t="str">
        <f>IF(EV_Data4[[#This Row],[acceleration_0_60_mph]]&lt;=3,"SportsPerformance",IF(EV_Data4[[#This Row],[acceleration_0_60_mph]]&lt;=5,"HighPerformance","Standard"))</f>
        <v>Standard</v>
      </c>
      <c r="AG405" t="str">
        <f>IF(EV_Data4[[#This Row],[customer_rating]]&gt;=4.5,"Excellent",IF(EV_Data4[[#This Row],[customer_rating]]&gt;=3.5,"Good","Average"))</f>
        <v>Good</v>
      </c>
      <c r="AH40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06" spans="1:34" x14ac:dyDescent="0.3">
      <c r="A406" t="s">
        <v>63</v>
      </c>
      <c r="B406" t="s">
        <v>67</v>
      </c>
      <c r="C406">
        <v>2020</v>
      </c>
      <c r="D406" t="s">
        <v>26</v>
      </c>
      <c r="E406" s="3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48</v>
      </c>
      <c r="N406">
        <v>5</v>
      </c>
      <c r="O406" t="s">
        <v>40</v>
      </c>
      <c r="P406">
        <v>70</v>
      </c>
      <c r="Q406">
        <v>1500</v>
      </c>
      <c r="R406">
        <v>4</v>
      </c>
      <c r="S406">
        <v>1</v>
      </c>
      <c r="T406" t="s">
        <v>65</v>
      </c>
      <c r="U406" t="s">
        <v>30</v>
      </c>
      <c r="V406" s="3">
        <v>117639</v>
      </c>
      <c r="W406">
        <v>3.79</v>
      </c>
      <c r="X406">
        <v>5</v>
      </c>
      <c r="Y406" s="1">
        <f>EV_Data4[[#This Row],[range_miles]]/EV_Data4[[#This Row],[battery_capacity_kwh]]</f>
        <v>3.4881209503239745</v>
      </c>
      <c r="Z406" s="4">
        <f>EV_Data4[[#This Row],[price_usd]]/EV_Data4[[#This Row],[range_miles]]</f>
        <v>318.22832817337462</v>
      </c>
      <c r="AA406" s="2">
        <f>(EV_Data4[[#This Row],[customer_rating]]*EV_Data4[[#This Row],[safety_rating]]*1000)/EV_Data4[[#This Row],[price_usd]]</f>
        <v>0.14748839234247271</v>
      </c>
      <c r="AB406">
        <f>EV_Data4[[#This Row],[horsepower]]+EV_Data4[[#This Row],[torque_nm]]/EV_Data4[[#This Row],[acceleration_0_60_mph]]</f>
        <v>1252.2099447513813</v>
      </c>
      <c r="AC406" t="str">
        <f>IF(EV_Data4[[#This Row],[price_usd]]&gt;=80000,"Luxury",IF(EV_Data4[[#This Row],[price_usd]]&gt;=40000,"Mid-Range","Budget"))</f>
        <v>Luxury</v>
      </c>
      <c r="AD406" t="str">
        <f>IF(EV_Data4[[#This Row],[range_miles]]&gt;=350,"Long-Range",IF(EV_Data4[[#This Row],[range_miles]]&gt;=250,"Medium-Range","Short-Range"))</f>
        <v>Medium-Range</v>
      </c>
      <c r="AE406" t="str">
        <f>IF(EV_Data4[[#This Row],[charging_speed_kw]]&gt;=250,"Ultra-Fast",IF(EV_Data4[[#This Row],[charging_speed_kw]]&gt;=150,"Fast-Charging","Standard-Charging"))</f>
        <v>Fast-Charging</v>
      </c>
      <c r="AF406" t="str">
        <f>IF(EV_Data4[[#This Row],[acceleration_0_60_mph]]&lt;=3,"SportsPerformance",IF(EV_Data4[[#This Row],[acceleration_0_60_mph]]&lt;=5,"HighPerformance","Standard"))</f>
        <v>HighPerformance</v>
      </c>
      <c r="AG406" t="str">
        <f>IF(EV_Data4[[#This Row],[customer_rating]]&gt;=4.5,"Excellent",IF(EV_Data4[[#This Row],[customer_rating]]&gt;=3.5,"Good","Average"))</f>
        <v>Good</v>
      </c>
      <c r="AH40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07" spans="1:34" x14ac:dyDescent="0.3">
      <c r="A407" t="s">
        <v>86</v>
      </c>
      <c r="B407" t="s">
        <v>108</v>
      </c>
      <c r="C407">
        <v>2025</v>
      </c>
      <c r="D407" t="s">
        <v>56</v>
      </c>
      <c r="E407" s="3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34</v>
      </c>
      <c r="N407">
        <v>5</v>
      </c>
      <c r="O407" t="s">
        <v>58</v>
      </c>
      <c r="P407">
        <v>32.700000000000003</v>
      </c>
      <c r="Q407">
        <v>1535</v>
      </c>
      <c r="R407">
        <v>4</v>
      </c>
      <c r="S407">
        <v>1</v>
      </c>
      <c r="T407" t="s">
        <v>29</v>
      </c>
      <c r="U407" t="s">
        <v>33</v>
      </c>
      <c r="V407" s="3">
        <v>62967</v>
      </c>
      <c r="W407">
        <v>3.57</v>
      </c>
      <c r="X407">
        <v>6</v>
      </c>
      <c r="Y407" s="1">
        <f>EV_Data4[[#This Row],[range_miles]]/EV_Data4[[#This Row],[battery_capacity_kwh]]</f>
        <v>3.6813922356091031</v>
      </c>
      <c r="Z407" s="4">
        <f>EV_Data4[[#This Row],[price_usd]]/EV_Data4[[#This Row],[range_miles]]</f>
        <v>287.98465454545453</v>
      </c>
      <c r="AA407" s="2">
        <f>(EV_Data4[[#This Row],[customer_rating]]*EV_Data4[[#This Row],[safety_rating]]*1000)/EV_Data4[[#This Row],[price_usd]]</f>
        <v>0.18031263787035118</v>
      </c>
      <c r="AB407">
        <f>EV_Data4[[#This Row],[horsepower]]+EV_Data4[[#This Row],[torque_nm]]/EV_Data4[[#This Row],[acceleration_0_60_mph]]</f>
        <v>535.74863387978144</v>
      </c>
      <c r="AC407" t="str">
        <f>IF(EV_Data4[[#This Row],[price_usd]]&gt;=80000,"Luxury",IF(EV_Data4[[#This Row],[price_usd]]&gt;=40000,"Mid-Range","Budget"))</f>
        <v>Mid-Range</v>
      </c>
      <c r="AD407" t="str">
        <f>IF(EV_Data4[[#This Row],[range_miles]]&gt;=350,"Long-Range",IF(EV_Data4[[#This Row],[range_miles]]&gt;=250,"Medium-Range","Short-Range"))</f>
        <v>Medium-Range</v>
      </c>
      <c r="AE407" t="str">
        <f>IF(EV_Data4[[#This Row],[charging_speed_kw]]&gt;=250,"Ultra-Fast",IF(EV_Data4[[#This Row],[charging_speed_kw]]&gt;=150,"Fast-Charging","Standard-Charging"))</f>
        <v>Standard-Charging</v>
      </c>
      <c r="AF407" t="str">
        <f>IF(EV_Data4[[#This Row],[acceleration_0_60_mph]]&lt;=3,"SportsPerformance",IF(EV_Data4[[#This Row],[acceleration_0_60_mph]]&lt;=5,"HighPerformance","Standard"))</f>
        <v>Standard</v>
      </c>
      <c r="AG407" t="str">
        <f>IF(EV_Data4[[#This Row],[customer_rating]]&gt;=4.5,"Excellent",IF(EV_Data4[[#This Row],[customer_rating]]&gt;=3.5,"Good","Average"))</f>
        <v>Good</v>
      </c>
      <c r="AH40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08" spans="1:34" x14ac:dyDescent="0.3">
      <c r="A408" t="s">
        <v>24</v>
      </c>
      <c r="B408" t="s">
        <v>70</v>
      </c>
      <c r="C408">
        <v>2024</v>
      </c>
      <c r="D408" t="s">
        <v>33</v>
      </c>
      <c r="E408" s="3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27</v>
      </c>
      <c r="N408">
        <v>5</v>
      </c>
      <c r="O408" t="s">
        <v>28</v>
      </c>
      <c r="P408">
        <v>78.3</v>
      </c>
      <c r="Q408">
        <v>2324</v>
      </c>
      <c r="R408">
        <v>5</v>
      </c>
      <c r="S408">
        <v>1</v>
      </c>
      <c r="T408" t="s">
        <v>29</v>
      </c>
      <c r="U408" t="s">
        <v>33</v>
      </c>
      <c r="V408" s="3">
        <v>264436</v>
      </c>
      <c r="W408">
        <v>3.26</v>
      </c>
      <c r="X408">
        <v>4</v>
      </c>
      <c r="Y408" s="1">
        <f>EV_Data4[[#This Row],[range_miles]]/EV_Data4[[#This Row],[battery_capacity_kwh]]</f>
        <v>3.6324786324786325</v>
      </c>
      <c r="Z408" s="4">
        <f>EV_Data4[[#This Row],[price_usd]]/EV_Data4[[#This Row],[range_miles]]</f>
        <v>364.76329411764704</v>
      </c>
      <c r="AA408" s="2">
        <f>(EV_Data4[[#This Row],[customer_rating]]*EV_Data4[[#This Row],[safety_rating]]*1000)/EV_Data4[[#This Row],[price_usd]]</f>
        <v>0.17524123084280063</v>
      </c>
      <c r="AB408">
        <f>EV_Data4[[#This Row],[horsepower]]+EV_Data4[[#This Row],[torque_nm]]/EV_Data4[[#This Row],[acceleration_0_60_mph]]</f>
        <v>1185.9683794466403</v>
      </c>
      <c r="AC408" t="str">
        <f>IF(EV_Data4[[#This Row],[price_usd]]&gt;=80000,"Luxury",IF(EV_Data4[[#This Row],[price_usd]]&gt;=40000,"Mid-Range","Budget"))</f>
        <v>Luxury</v>
      </c>
      <c r="AD408" t="str">
        <f>IF(EV_Data4[[#This Row],[range_miles]]&gt;=350,"Long-Range",IF(EV_Data4[[#This Row],[range_miles]]&gt;=250,"Medium-Range","Short-Range"))</f>
        <v>Medium-Range</v>
      </c>
      <c r="AE408" t="str">
        <f>IF(EV_Data4[[#This Row],[charging_speed_kw]]&gt;=250,"Ultra-Fast",IF(EV_Data4[[#This Row],[charging_speed_kw]]&gt;=150,"Fast-Charging","Standard-Charging"))</f>
        <v>Standard-Charging</v>
      </c>
      <c r="AF408" t="str">
        <f>IF(EV_Data4[[#This Row],[acceleration_0_60_mph]]&lt;=3,"SportsPerformance",IF(EV_Data4[[#This Row],[acceleration_0_60_mph]]&lt;=5,"HighPerformance","Standard"))</f>
        <v>Standard</v>
      </c>
      <c r="AG408" t="str">
        <f>IF(EV_Data4[[#This Row],[customer_rating]]&gt;=4.5,"Excellent",IF(EV_Data4[[#This Row],[customer_rating]]&gt;=3.5,"Good","Average"))</f>
        <v>Average</v>
      </c>
      <c r="AH40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09" spans="1:34" x14ac:dyDescent="0.3">
      <c r="A409" t="s">
        <v>46</v>
      </c>
      <c r="B409" t="s">
        <v>57</v>
      </c>
      <c r="C409">
        <v>2023</v>
      </c>
      <c r="D409" t="s">
        <v>33</v>
      </c>
      <c r="E409" s="3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48</v>
      </c>
      <c r="N409">
        <v>5</v>
      </c>
      <c r="O409" t="s">
        <v>35</v>
      </c>
      <c r="P409">
        <v>52.7</v>
      </c>
      <c r="Q409">
        <v>2015</v>
      </c>
      <c r="R409">
        <v>4</v>
      </c>
      <c r="S409">
        <v>2</v>
      </c>
      <c r="T409" t="s">
        <v>41</v>
      </c>
      <c r="U409" t="s">
        <v>30</v>
      </c>
      <c r="V409" s="3">
        <v>154508</v>
      </c>
      <c r="W409">
        <v>3.91</v>
      </c>
      <c r="X409">
        <v>4</v>
      </c>
      <c r="Y409" s="1">
        <f>EV_Data4[[#This Row],[range_miles]]/EV_Data4[[#This Row],[battery_capacity_kwh]]</f>
        <v>3.5757575757575757</v>
      </c>
      <c r="Z409" s="4">
        <f>EV_Data4[[#This Row],[price_usd]]/EV_Data4[[#This Row],[range_miles]]</f>
        <v>556.33203389830499</v>
      </c>
      <c r="AA409" s="2">
        <f>(EV_Data4[[#This Row],[customer_rating]]*EV_Data4[[#This Row],[safety_rating]]*1000)/EV_Data4[[#This Row],[price_usd]]</f>
        <v>0.11912164391524512</v>
      </c>
      <c r="AB409">
        <f>EV_Data4[[#This Row],[horsepower]]+EV_Data4[[#This Row],[torque_nm]]/EV_Data4[[#This Row],[acceleration_0_60_mph]]</f>
        <v>1073.3402225755167</v>
      </c>
      <c r="AC409" t="str">
        <f>IF(EV_Data4[[#This Row],[price_usd]]&gt;=80000,"Luxury",IF(EV_Data4[[#This Row],[price_usd]]&gt;=40000,"Mid-Range","Budget"))</f>
        <v>Luxury</v>
      </c>
      <c r="AD409" t="str">
        <f>IF(EV_Data4[[#This Row],[range_miles]]&gt;=350,"Long-Range",IF(EV_Data4[[#This Row],[range_miles]]&gt;=250,"Medium-Range","Short-Range"))</f>
        <v>Short-Range</v>
      </c>
      <c r="AE409" t="str">
        <f>IF(EV_Data4[[#This Row],[charging_speed_kw]]&gt;=250,"Ultra-Fast",IF(EV_Data4[[#This Row],[charging_speed_kw]]&gt;=150,"Fast-Charging","Standard-Charging"))</f>
        <v>Fast-Charging</v>
      </c>
      <c r="AF409" t="str">
        <f>IF(EV_Data4[[#This Row],[acceleration_0_60_mph]]&lt;=3,"SportsPerformance",IF(EV_Data4[[#This Row],[acceleration_0_60_mph]]&lt;=5,"HighPerformance","Standard"))</f>
        <v>Standard</v>
      </c>
      <c r="AG409" t="str">
        <f>IF(EV_Data4[[#This Row],[customer_rating]]&gt;=4.5,"Excellent",IF(EV_Data4[[#This Row],[customer_rating]]&gt;=3.5,"Good","Average"))</f>
        <v>Good</v>
      </c>
      <c r="AH40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10" spans="1:34" x14ac:dyDescent="0.3">
      <c r="A410" t="s">
        <v>86</v>
      </c>
      <c r="B410" t="s">
        <v>108</v>
      </c>
      <c r="C410">
        <v>2025</v>
      </c>
      <c r="D410" t="s">
        <v>56</v>
      </c>
      <c r="E410" s="3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27</v>
      </c>
      <c r="N410">
        <v>7</v>
      </c>
      <c r="O410" t="s">
        <v>35</v>
      </c>
      <c r="P410">
        <v>58.6</v>
      </c>
      <c r="Q410">
        <v>2209</v>
      </c>
      <c r="R410">
        <v>4</v>
      </c>
      <c r="S410">
        <v>1</v>
      </c>
      <c r="T410" t="s">
        <v>29</v>
      </c>
      <c r="U410" t="s">
        <v>33</v>
      </c>
      <c r="V410" s="3">
        <v>37226</v>
      </c>
      <c r="W410">
        <v>3.53</v>
      </c>
      <c r="X410">
        <v>5</v>
      </c>
      <c r="Y410" s="1">
        <f>EV_Data4[[#This Row],[range_miles]]/EV_Data4[[#This Row],[battery_capacity_kwh]]</f>
        <v>3.4375</v>
      </c>
      <c r="Z410" s="4">
        <f>EV_Data4[[#This Row],[price_usd]]/EV_Data4[[#This Row],[range_miles]]</f>
        <v>306.83894545454547</v>
      </c>
      <c r="AA410" s="2">
        <f>(EV_Data4[[#This Row],[customer_rating]]*EV_Data4[[#This Row],[safety_rating]]*1000)/EV_Data4[[#This Row],[price_usd]]</f>
        <v>0.16733682378354009</v>
      </c>
      <c r="AB410">
        <f>EV_Data4[[#This Row],[horsepower]]+EV_Data4[[#This Row],[torque_nm]]/EV_Data4[[#This Row],[acceleration_0_60_mph]]</f>
        <v>608.84711388455537</v>
      </c>
      <c r="AC410" t="str">
        <f>IF(EV_Data4[[#This Row],[price_usd]]&gt;=80000,"Luxury",IF(EV_Data4[[#This Row],[price_usd]]&gt;=40000,"Mid-Range","Budget"))</f>
        <v>Luxury</v>
      </c>
      <c r="AD410" t="str">
        <f>IF(EV_Data4[[#This Row],[range_miles]]&gt;=350,"Long-Range",IF(EV_Data4[[#This Row],[range_miles]]&gt;=250,"Medium-Range","Short-Range"))</f>
        <v>Medium-Range</v>
      </c>
      <c r="AE410" t="str">
        <f>IF(EV_Data4[[#This Row],[charging_speed_kw]]&gt;=250,"Ultra-Fast",IF(EV_Data4[[#This Row],[charging_speed_kw]]&gt;=150,"Fast-Charging","Standard-Charging"))</f>
        <v>Standard-Charging</v>
      </c>
      <c r="AF410" t="str">
        <f>IF(EV_Data4[[#This Row],[acceleration_0_60_mph]]&lt;=3,"SportsPerformance",IF(EV_Data4[[#This Row],[acceleration_0_60_mph]]&lt;=5,"HighPerformance","Standard"))</f>
        <v>Standard</v>
      </c>
      <c r="AG410" t="str">
        <f>IF(EV_Data4[[#This Row],[customer_rating]]&gt;=4.5,"Excellent",IF(EV_Data4[[#This Row],[customer_rating]]&gt;=3.5,"Good","Average"))</f>
        <v>Good</v>
      </c>
      <c r="AH41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11" spans="1:34" x14ac:dyDescent="0.3">
      <c r="A411" t="s">
        <v>46</v>
      </c>
      <c r="B411" t="s">
        <v>78</v>
      </c>
      <c r="C411">
        <v>2025</v>
      </c>
      <c r="D411" t="s">
        <v>61</v>
      </c>
      <c r="E411" s="3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48</v>
      </c>
      <c r="N411">
        <v>5</v>
      </c>
      <c r="O411" t="s">
        <v>35</v>
      </c>
      <c r="P411">
        <v>56.8</v>
      </c>
      <c r="Q411">
        <v>1709</v>
      </c>
      <c r="R411">
        <v>5</v>
      </c>
      <c r="S411">
        <v>2</v>
      </c>
      <c r="T411" t="s">
        <v>41</v>
      </c>
      <c r="U411" t="s">
        <v>33</v>
      </c>
      <c r="V411" s="3">
        <v>167458</v>
      </c>
      <c r="W411">
        <v>3.59</v>
      </c>
      <c r="X411">
        <v>5</v>
      </c>
      <c r="Y411" s="1">
        <f>EV_Data4[[#This Row],[range_miles]]/EV_Data4[[#This Row],[battery_capacity_kwh]]</f>
        <v>3.3185840707964598</v>
      </c>
      <c r="Z411" s="4">
        <f>EV_Data4[[#This Row],[price_usd]]/EV_Data4[[#This Row],[range_miles]]</f>
        <v>510.90333333333331</v>
      </c>
      <c r="AA411" s="2">
        <f>(EV_Data4[[#This Row],[customer_rating]]*EV_Data4[[#This Row],[safety_rating]]*1000)/EV_Data4[[#This Row],[price_usd]]</f>
        <v>0.23422565260225353</v>
      </c>
      <c r="AB411">
        <f>EV_Data4[[#This Row],[horsepower]]+EV_Data4[[#This Row],[torque_nm]]/EV_Data4[[#This Row],[acceleration_0_60_mph]]</f>
        <v>645.07871198568876</v>
      </c>
      <c r="AC411" t="str">
        <f>IF(EV_Data4[[#This Row],[price_usd]]&gt;=80000,"Luxury",IF(EV_Data4[[#This Row],[price_usd]]&gt;=40000,"Mid-Range","Budget"))</f>
        <v>Mid-Range</v>
      </c>
      <c r="AD411" t="str">
        <f>IF(EV_Data4[[#This Row],[range_miles]]&gt;=350,"Long-Range",IF(EV_Data4[[#This Row],[range_miles]]&gt;=250,"Medium-Range","Short-Range"))</f>
        <v>Short-Range</v>
      </c>
      <c r="AE411" t="str">
        <f>IF(EV_Data4[[#This Row],[charging_speed_kw]]&gt;=250,"Ultra-Fast",IF(EV_Data4[[#This Row],[charging_speed_kw]]&gt;=150,"Fast-Charging","Standard-Charging"))</f>
        <v>Ultra-Fast</v>
      </c>
      <c r="AF411" t="str">
        <f>IF(EV_Data4[[#This Row],[acceleration_0_60_mph]]&lt;=3,"SportsPerformance",IF(EV_Data4[[#This Row],[acceleration_0_60_mph]]&lt;=5,"HighPerformance","Standard"))</f>
        <v>Standard</v>
      </c>
      <c r="AG411" t="str">
        <f>IF(EV_Data4[[#This Row],[customer_rating]]&gt;=4.5,"Excellent",IF(EV_Data4[[#This Row],[customer_rating]]&gt;=3.5,"Good","Average"))</f>
        <v>Good</v>
      </c>
      <c r="AH41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12" spans="1:34" x14ac:dyDescent="0.3">
      <c r="A412" t="s">
        <v>63</v>
      </c>
      <c r="B412" t="s">
        <v>82</v>
      </c>
      <c r="C412">
        <v>2026</v>
      </c>
      <c r="D412" t="s">
        <v>33</v>
      </c>
      <c r="E412" s="3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48</v>
      </c>
      <c r="N412">
        <v>5</v>
      </c>
      <c r="O412" t="s">
        <v>51</v>
      </c>
      <c r="P412">
        <v>19.399999999999999</v>
      </c>
      <c r="Q412">
        <v>1729</v>
      </c>
      <c r="R412">
        <v>4</v>
      </c>
      <c r="S412">
        <v>1</v>
      </c>
      <c r="T412" t="s">
        <v>65</v>
      </c>
      <c r="U412" t="s">
        <v>37</v>
      </c>
      <c r="V412" s="3">
        <v>145412</v>
      </c>
      <c r="W412">
        <v>3.34</v>
      </c>
      <c r="X412">
        <v>4</v>
      </c>
      <c r="Y412" s="1">
        <f>EV_Data4[[#This Row],[range_miles]]/EV_Data4[[#This Row],[battery_capacity_kwh]]</f>
        <v>4.0137614678899078</v>
      </c>
      <c r="Z412" s="4">
        <f>EV_Data4[[#This Row],[price_usd]]/EV_Data4[[#This Row],[range_miles]]</f>
        <v>344.75137142857142</v>
      </c>
      <c r="AA412" s="2">
        <f>(EV_Data4[[#This Row],[customer_rating]]*EV_Data4[[#This Row],[safety_rating]]*1000)/EV_Data4[[#This Row],[price_usd]]</f>
        <v>0.2214432297296155</v>
      </c>
      <c r="AB412">
        <f>EV_Data4[[#This Row],[horsepower]]+EV_Data4[[#This Row],[torque_nm]]/EV_Data4[[#This Row],[acceleration_0_60_mph]]</f>
        <v>735.06214689265539</v>
      </c>
      <c r="AC412" t="str">
        <f>IF(EV_Data4[[#This Row],[price_usd]]&gt;=80000,"Luxury",IF(EV_Data4[[#This Row],[price_usd]]&gt;=40000,"Mid-Range","Budget"))</f>
        <v>Mid-Range</v>
      </c>
      <c r="AD412" t="str">
        <f>IF(EV_Data4[[#This Row],[range_miles]]&gt;=350,"Long-Range",IF(EV_Data4[[#This Row],[range_miles]]&gt;=250,"Medium-Range","Short-Range"))</f>
        <v>Short-Range</v>
      </c>
      <c r="AE412" t="str">
        <f>IF(EV_Data4[[#This Row],[charging_speed_kw]]&gt;=250,"Ultra-Fast",IF(EV_Data4[[#This Row],[charging_speed_kw]]&gt;=150,"Fast-Charging","Standard-Charging"))</f>
        <v>Standard-Charging</v>
      </c>
      <c r="AF412" t="str">
        <f>IF(EV_Data4[[#This Row],[acceleration_0_60_mph]]&lt;=3,"SportsPerformance",IF(EV_Data4[[#This Row],[acceleration_0_60_mph]]&lt;=5,"HighPerformance","Standard"))</f>
        <v>Standard</v>
      </c>
      <c r="AG412" t="str">
        <f>IF(EV_Data4[[#This Row],[customer_rating]]&gt;=4.5,"Excellent",IF(EV_Data4[[#This Row],[customer_rating]]&gt;=3.5,"Good","Average"))</f>
        <v>Average</v>
      </c>
      <c r="AH41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13" spans="1:34" x14ac:dyDescent="0.3">
      <c r="A413" t="s">
        <v>31</v>
      </c>
      <c r="B413" t="s">
        <v>32</v>
      </c>
      <c r="C413">
        <v>2022</v>
      </c>
      <c r="D413" t="s">
        <v>56</v>
      </c>
      <c r="E413" s="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48</v>
      </c>
      <c r="N413">
        <v>5</v>
      </c>
      <c r="O413" t="s">
        <v>35</v>
      </c>
      <c r="P413">
        <v>41.3</v>
      </c>
      <c r="Q413">
        <v>2240</v>
      </c>
      <c r="R413">
        <v>4</v>
      </c>
      <c r="S413">
        <v>0</v>
      </c>
      <c r="T413" t="s">
        <v>36</v>
      </c>
      <c r="U413" t="s">
        <v>37</v>
      </c>
      <c r="V413" s="3">
        <v>18789</v>
      </c>
      <c r="W413">
        <v>3.47</v>
      </c>
      <c r="X413">
        <v>4</v>
      </c>
      <c r="Y413" s="1">
        <f>EV_Data4[[#This Row],[range_miles]]/EV_Data4[[#This Row],[battery_capacity_kwh]]</f>
        <v>3.8088445078459348</v>
      </c>
      <c r="Z413" s="4">
        <f>EV_Data4[[#This Row],[price_usd]]/EV_Data4[[#This Row],[range_miles]]</f>
        <v>221.875468164794</v>
      </c>
      <c r="AA413" s="2">
        <f>(EV_Data4[[#This Row],[customer_rating]]*EV_Data4[[#This Row],[safety_rating]]*1000)/EV_Data4[[#This Row],[price_usd]]</f>
        <v>0.23429818157265059</v>
      </c>
      <c r="AB413">
        <f>EV_Data4[[#This Row],[horsepower]]+EV_Data4[[#This Row],[torque_nm]]/EV_Data4[[#This Row],[acceleration_0_60_mph]]</f>
        <v>741.72881355932202</v>
      </c>
      <c r="AC413" t="str">
        <f>IF(EV_Data4[[#This Row],[price_usd]]&gt;=80000,"Luxury",IF(EV_Data4[[#This Row],[price_usd]]&gt;=40000,"Mid-Range","Budget"))</f>
        <v>Mid-Range</v>
      </c>
      <c r="AD413" t="str">
        <f>IF(EV_Data4[[#This Row],[range_miles]]&gt;=350,"Long-Range",IF(EV_Data4[[#This Row],[range_miles]]&gt;=250,"Medium-Range","Short-Range"))</f>
        <v>Medium-Range</v>
      </c>
      <c r="AE413" t="str">
        <f>IF(EV_Data4[[#This Row],[charging_speed_kw]]&gt;=250,"Ultra-Fast",IF(EV_Data4[[#This Row],[charging_speed_kw]]&gt;=150,"Fast-Charging","Standard-Charging"))</f>
        <v>Standard-Charging</v>
      </c>
      <c r="AF413" t="str">
        <f>IF(EV_Data4[[#This Row],[acceleration_0_60_mph]]&lt;=3,"SportsPerformance",IF(EV_Data4[[#This Row],[acceleration_0_60_mph]]&lt;=5,"HighPerformance","Standard"))</f>
        <v>Standard</v>
      </c>
      <c r="AG413" t="str">
        <f>IF(EV_Data4[[#This Row],[customer_rating]]&gt;=4.5,"Excellent",IF(EV_Data4[[#This Row],[customer_rating]]&gt;=3.5,"Good","Average"))</f>
        <v>Average</v>
      </c>
      <c r="AH41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14" spans="1:34" x14ac:dyDescent="0.3">
      <c r="A414" t="s">
        <v>31</v>
      </c>
      <c r="B414" t="s">
        <v>32</v>
      </c>
      <c r="C414">
        <v>2024</v>
      </c>
      <c r="D414" t="s">
        <v>61</v>
      </c>
      <c r="E414" s="3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27</v>
      </c>
      <c r="N414">
        <v>5</v>
      </c>
      <c r="O414" t="s">
        <v>35</v>
      </c>
      <c r="P414">
        <v>55.5</v>
      </c>
      <c r="Q414">
        <v>2079</v>
      </c>
      <c r="R414">
        <v>3</v>
      </c>
      <c r="S414">
        <v>1</v>
      </c>
      <c r="T414" t="s">
        <v>36</v>
      </c>
      <c r="U414" t="s">
        <v>37</v>
      </c>
      <c r="V414" s="3">
        <v>25820</v>
      </c>
      <c r="W414">
        <v>3.36</v>
      </c>
      <c r="X414">
        <v>4</v>
      </c>
      <c r="Y414" s="1">
        <f>EV_Data4[[#This Row],[range_miles]]/EV_Data4[[#This Row],[battery_capacity_kwh]]</f>
        <v>3.4975369458128078</v>
      </c>
      <c r="Z414" s="4">
        <f>EV_Data4[[#This Row],[price_usd]]/EV_Data4[[#This Row],[range_miles]]</f>
        <v>292.48474178403757</v>
      </c>
      <c r="AA414" s="2">
        <f>(EV_Data4[[#This Row],[customer_rating]]*EV_Data4[[#This Row],[safety_rating]]*1000)/EV_Data4[[#This Row],[price_usd]]</f>
        <v>0.1617997006384507</v>
      </c>
      <c r="AB414">
        <f>EV_Data4[[#This Row],[horsepower]]+EV_Data4[[#This Row],[torque_nm]]/EV_Data4[[#This Row],[acceleration_0_60_mph]]</f>
        <v>782.21052631578948</v>
      </c>
      <c r="AC414" t="str">
        <f>IF(EV_Data4[[#This Row],[price_usd]]&gt;=80000,"Luxury",IF(EV_Data4[[#This Row],[price_usd]]&gt;=40000,"Mid-Range","Budget"))</f>
        <v>Mid-Range</v>
      </c>
      <c r="AD414" t="str">
        <f>IF(EV_Data4[[#This Row],[range_miles]]&gt;=350,"Long-Range",IF(EV_Data4[[#This Row],[range_miles]]&gt;=250,"Medium-Range","Short-Range"))</f>
        <v>Short-Range</v>
      </c>
      <c r="AE414" t="str">
        <f>IF(EV_Data4[[#This Row],[charging_speed_kw]]&gt;=250,"Ultra-Fast",IF(EV_Data4[[#This Row],[charging_speed_kw]]&gt;=150,"Fast-Charging","Standard-Charging"))</f>
        <v>Standard-Charging</v>
      </c>
      <c r="AF414" t="str">
        <f>IF(EV_Data4[[#This Row],[acceleration_0_60_mph]]&lt;=3,"SportsPerformance",IF(EV_Data4[[#This Row],[acceleration_0_60_mph]]&lt;=5,"HighPerformance","Standard"))</f>
        <v>Standard</v>
      </c>
      <c r="AG414" t="str">
        <f>IF(EV_Data4[[#This Row],[customer_rating]]&gt;=4.5,"Excellent",IF(EV_Data4[[#This Row],[customer_rating]]&gt;=3.5,"Good","Average"))</f>
        <v>Average</v>
      </c>
      <c r="AH41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15" spans="1:34" x14ac:dyDescent="0.3">
      <c r="A415" t="s">
        <v>42</v>
      </c>
      <c r="B415" t="s">
        <v>71</v>
      </c>
      <c r="C415">
        <v>2025</v>
      </c>
      <c r="D415" t="s">
        <v>56</v>
      </c>
      <c r="E415" s="3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27</v>
      </c>
      <c r="N415">
        <v>5</v>
      </c>
      <c r="O415" t="s">
        <v>28</v>
      </c>
      <c r="P415">
        <v>78.400000000000006</v>
      </c>
      <c r="Q415">
        <v>2736</v>
      </c>
      <c r="R415">
        <v>5</v>
      </c>
      <c r="S415">
        <v>0</v>
      </c>
      <c r="T415" t="s">
        <v>45</v>
      </c>
      <c r="U415" t="s">
        <v>37</v>
      </c>
      <c r="V415" s="3">
        <v>124417</v>
      </c>
      <c r="W415">
        <v>3.31</v>
      </c>
      <c r="X415">
        <v>5</v>
      </c>
      <c r="Y415" s="1">
        <f>EV_Data4[[#This Row],[range_miles]]/EV_Data4[[#This Row],[battery_capacity_kwh]]</f>
        <v>3.8602941176470589</v>
      </c>
      <c r="Z415" s="4">
        <f>EV_Data4[[#This Row],[price_usd]]/EV_Data4[[#This Row],[range_miles]]</f>
        <v>196.68023809523808</v>
      </c>
      <c r="AA415" s="2">
        <f>(EV_Data4[[#This Row],[customer_rating]]*EV_Data4[[#This Row],[safety_rating]]*1000)/EV_Data4[[#This Row],[price_usd]]</f>
        <v>0.40069874112803355</v>
      </c>
      <c r="AB415">
        <f>EV_Data4[[#This Row],[horsepower]]+EV_Data4[[#This Row],[torque_nm]]/EV_Data4[[#This Row],[acceleration_0_60_mph]]</f>
        <v>410.30808729139926</v>
      </c>
      <c r="AC415" t="str">
        <f>IF(EV_Data4[[#This Row],[price_usd]]&gt;=80000,"Luxury",IF(EV_Data4[[#This Row],[price_usd]]&gt;=40000,"Mid-Range","Budget"))</f>
        <v>Mid-Range</v>
      </c>
      <c r="AD415" t="str">
        <f>IF(EV_Data4[[#This Row],[range_miles]]&gt;=350,"Long-Range",IF(EV_Data4[[#This Row],[range_miles]]&gt;=250,"Medium-Range","Short-Range"))</f>
        <v>Short-Range</v>
      </c>
      <c r="AE415" t="str">
        <f>IF(EV_Data4[[#This Row],[charging_speed_kw]]&gt;=250,"Ultra-Fast",IF(EV_Data4[[#This Row],[charging_speed_kw]]&gt;=150,"Fast-Charging","Standard-Charging"))</f>
        <v>Standard-Charging</v>
      </c>
      <c r="AF415" t="str">
        <f>IF(EV_Data4[[#This Row],[acceleration_0_60_mph]]&lt;=3,"SportsPerformance",IF(EV_Data4[[#This Row],[acceleration_0_60_mph]]&lt;=5,"HighPerformance","Standard"))</f>
        <v>Standard</v>
      </c>
      <c r="AG415" t="str">
        <f>IF(EV_Data4[[#This Row],[customer_rating]]&gt;=4.5,"Excellent",IF(EV_Data4[[#This Row],[customer_rating]]&gt;=3.5,"Good","Average"))</f>
        <v>Average</v>
      </c>
      <c r="AH41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16" spans="1:34" x14ac:dyDescent="0.3">
      <c r="A416" t="s">
        <v>83</v>
      </c>
      <c r="B416" t="s">
        <v>104</v>
      </c>
      <c r="C416">
        <v>2026</v>
      </c>
      <c r="D416" t="s">
        <v>61</v>
      </c>
      <c r="E416" s="3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48</v>
      </c>
      <c r="N416">
        <v>5</v>
      </c>
      <c r="O416" t="s">
        <v>40</v>
      </c>
      <c r="P416">
        <v>71.8</v>
      </c>
      <c r="Q416">
        <v>1551</v>
      </c>
      <c r="R416">
        <v>4</v>
      </c>
      <c r="S416">
        <v>1</v>
      </c>
      <c r="T416" t="s">
        <v>29</v>
      </c>
      <c r="U416" t="s">
        <v>30</v>
      </c>
      <c r="V416" s="3">
        <v>22266</v>
      </c>
      <c r="W416">
        <v>3.33</v>
      </c>
      <c r="X416">
        <v>5</v>
      </c>
      <c r="Y416" s="1">
        <f>EV_Data4[[#This Row],[range_miles]]/EV_Data4[[#This Row],[battery_capacity_kwh]]</f>
        <v>3.3936651583710407</v>
      </c>
      <c r="Z416" s="4">
        <f>EV_Data4[[#This Row],[price_usd]]/EV_Data4[[#This Row],[range_miles]]</f>
        <v>743.17086666666671</v>
      </c>
      <c r="AA416" s="2">
        <f>(EV_Data4[[#This Row],[customer_rating]]*EV_Data4[[#This Row],[safety_rating]]*1000)/EV_Data4[[#This Row],[price_usd]]</f>
        <v>0.11948799930531902</v>
      </c>
      <c r="AB416">
        <f>EV_Data4[[#This Row],[horsepower]]+EV_Data4[[#This Row],[torque_nm]]/EV_Data4[[#This Row],[acceleration_0_60_mph]]</f>
        <v>1101.0545746388443</v>
      </c>
      <c r="AC416" t="str">
        <f>IF(EV_Data4[[#This Row],[price_usd]]&gt;=80000,"Luxury",IF(EV_Data4[[#This Row],[price_usd]]&gt;=40000,"Mid-Range","Budget"))</f>
        <v>Luxury</v>
      </c>
      <c r="AD416" t="str">
        <f>IF(EV_Data4[[#This Row],[range_miles]]&gt;=350,"Long-Range",IF(EV_Data4[[#This Row],[range_miles]]&gt;=250,"Medium-Range","Short-Range"))</f>
        <v>Short-Range</v>
      </c>
      <c r="AE416" t="str">
        <f>IF(EV_Data4[[#This Row],[charging_speed_kw]]&gt;=250,"Ultra-Fast",IF(EV_Data4[[#This Row],[charging_speed_kw]]&gt;=150,"Fast-Charging","Standard-Charging"))</f>
        <v>Standard-Charging</v>
      </c>
      <c r="AF416" t="str">
        <f>IF(EV_Data4[[#This Row],[acceleration_0_60_mph]]&lt;=3,"SportsPerformance",IF(EV_Data4[[#This Row],[acceleration_0_60_mph]]&lt;=5,"HighPerformance","Standard"))</f>
        <v>Standard</v>
      </c>
      <c r="AG416" t="str">
        <f>IF(EV_Data4[[#This Row],[customer_rating]]&gt;=4.5,"Excellent",IF(EV_Data4[[#This Row],[customer_rating]]&gt;=3.5,"Good","Average"))</f>
        <v>Average</v>
      </c>
      <c r="AH41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17" spans="1:34" x14ac:dyDescent="0.3">
      <c r="A417" t="s">
        <v>24</v>
      </c>
      <c r="B417" t="s">
        <v>70</v>
      </c>
      <c r="C417">
        <v>2023</v>
      </c>
      <c r="D417" t="s">
        <v>33</v>
      </c>
      <c r="E417" s="3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48</v>
      </c>
      <c r="N417">
        <v>5</v>
      </c>
      <c r="O417" t="s">
        <v>58</v>
      </c>
      <c r="P417">
        <v>18.399999999999999</v>
      </c>
      <c r="Q417">
        <v>1500</v>
      </c>
      <c r="R417">
        <v>3</v>
      </c>
      <c r="S417">
        <v>2</v>
      </c>
      <c r="T417" t="s">
        <v>29</v>
      </c>
      <c r="U417" t="s">
        <v>37</v>
      </c>
      <c r="V417" s="3">
        <v>264149</v>
      </c>
      <c r="W417">
        <v>3.6</v>
      </c>
      <c r="X417">
        <v>5</v>
      </c>
      <c r="Y417" s="1">
        <f>EV_Data4[[#This Row],[range_miles]]/EV_Data4[[#This Row],[battery_capacity_kwh]]</f>
        <v>3.5774647887323945</v>
      </c>
      <c r="Z417" s="4">
        <f>EV_Data4[[#This Row],[price_usd]]/EV_Data4[[#This Row],[range_miles]]</f>
        <v>176.64779527559057</v>
      </c>
      <c r="AA417" s="2">
        <f>(EV_Data4[[#This Row],[customer_rating]]*EV_Data4[[#This Row],[safety_rating]]*1000)/EV_Data4[[#This Row],[price_usd]]</f>
        <v>0.24070317420624784</v>
      </c>
      <c r="AB417">
        <f>EV_Data4[[#This Row],[horsepower]]+EV_Data4[[#This Row],[torque_nm]]/EV_Data4[[#This Row],[acceleration_0_60_mph]]</f>
        <v>422.54470426409904</v>
      </c>
      <c r="AC417" t="str">
        <f>IF(EV_Data4[[#This Row],[price_usd]]&gt;=80000,"Luxury",IF(EV_Data4[[#This Row],[price_usd]]&gt;=40000,"Mid-Range","Budget"))</f>
        <v>Mid-Range</v>
      </c>
      <c r="AD417" t="str">
        <f>IF(EV_Data4[[#This Row],[range_miles]]&gt;=350,"Long-Range",IF(EV_Data4[[#This Row],[range_miles]]&gt;=250,"Medium-Range","Short-Range"))</f>
        <v>Medium-Range</v>
      </c>
      <c r="AE417" t="str">
        <f>IF(EV_Data4[[#This Row],[charging_speed_kw]]&gt;=250,"Ultra-Fast",IF(EV_Data4[[#This Row],[charging_speed_kw]]&gt;=150,"Fast-Charging","Standard-Charging"))</f>
        <v>Standard-Charging</v>
      </c>
      <c r="AF417" t="str">
        <f>IF(EV_Data4[[#This Row],[acceleration_0_60_mph]]&lt;=3,"SportsPerformance",IF(EV_Data4[[#This Row],[acceleration_0_60_mph]]&lt;=5,"HighPerformance","Standard"))</f>
        <v>Standard</v>
      </c>
      <c r="AG417" t="str">
        <f>IF(EV_Data4[[#This Row],[customer_rating]]&gt;=4.5,"Excellent",IF(EV_Data4[[#This Row],[customer_rating]]&gt;=3.5,"Good","Average"))</f>
        <v>Good</v>
      </c>
      <c r="AH41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18" spans="1:34" x14ac:dyDescent="0.3">
      <c r="A418" t="s">
        <v>63</v>
      </c>
      <c r="B418" t="s">
        <v>67</v>
      </c>
      <c r="C418">
        <v>2026</v>
      </c>
      <c r="D418" t="s">
        <v>44</v>
      </c>
      <c r="E418" s="3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34</v>
      </c>
      <c r="N418">
        <v>5</v>
      </c>
      <c r="O418" t="s">
        <v>58</v>
      </c>
      <c r="P418">
        <v>26.6</v>
      </c>
      <c r="Q418">
        <v>1641</v>
      </c>
      <c r="R418">
        <v>4</v>
      </c>
      <c r="S418">
        <v>0</v>
      </c>
      <c r="T418" t="s">
        <v>65</v>
      </c>
      <c r="U418" t="s">
        <v>33</v>
      </c>
      <c r="V418" s="3">
        <v>102350</v>
      </c>
      <c r="W418">
        <v>3.66</v>
      </c>
      <c r="X418">
        <v>4</v>
      </c>
      <c r="Y418" s="1">
        <f>EV_Data4[[#This Row],[range_miles]]/EV_Data4[[#This Row],[battery_capacity_kwh]]</f>
        <v>3.5764944275582571</v>
      </c>
      <c r="Z418" s="4">
        <f>EV_Data4[[#This Row],[price_usd]]/EV_Data4[[#This Row],[range_miles]]</f>
        <v>191.01113314447591</v>
      </c>
      <c r="AA418" s="2">
        <f>(EV_Data4[[#This Row],[customer_rating]]*EV_Data4[[#This Row],[safety_rating]]*1000)/EV_Data4[[#This Row],[price_usd]]</f>
        <v>0.21712392956345486</v>
      </c>
      <c r="AB418">
        <f>EV_Data4[[#This Row],[horsepower]]+EV_Data4[[#This Row],[torque_nm]]/EV_Data4[[#This Row],[acceleration_0_60_mph]]</f>
        <v>856.08967851099828</v>
      </c>
      <c r="AC418" t="str">
        <f>IF(EV_Data4[[#This Row],[price_usd]]&gt;=80000,"Luxury",IF(EV_Data4[[#This Row],[price_usd]]&gt;=40000,"Mid-Range","Budget"))</f>
        <v>Mid-Range</v>
      </c>
      <c r="AD418" t="str">
        <f>IF(EV_Data4[[#This Row],[range_miles]]&gt;=350,"Long-Range",IF(EV_Data4[[#This Row],[range_miles]]&gt;=250,"Medium-Range","Short-Range"))</f>
        <v>Long-Range</v>
      </c>
      <c r="AE418" t="str">
        <f>IF(EV_Data4[[#This Row],[charging_speed_kw]]&gt;=250,"Ultra-Fast",IF(EV_Data4[[#This Row],[charging_speed_kw]]&gt;=150,"Fast-Charging","Standard-Charging"))</f>
        <v>Standard-Charging</v>
      </c>
      <c r="AF418" t="str">
        <f>IF(EV_Data4[[#This Row],[acceleration_0_60_mph]]&lt;=3,"SportsPerformance",IF(EV_Data4[[#This Row],[acceleration_0_60_mph]]&lt;=5,"HighPerformance","Standard"))</f>
        <v>Standard</v>
      </c>
      <c r="AG418" t="str">
        <f>IF(EV_Data4[[#This Row],[customer_rating]]&gt;=4.5,"Excellent",IF(EV_Data4[[#This Row],[customer_rating]]&gt;=3.5,"Good","Average"))</f>
        <v>Good</v>
      </c>
      <c r="AH41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19" spans="1:34" x14ac:dyDescent="0.3">
      <c r="A419" t="s">
        <v>63</v>
      </c>
      <c r="B419" t="s">
        <v>96</v>
      </c>
      <c r="C419">
        <v>2025</v>
      </c>
      <c r="D419" t="s">
        <v>26</v>
      </c>
      <c r="E419" s="3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48</v>
      </c>
      <c r="N419">
        <v>5</v>
      </c>
      <c r="O419" t="s">
        <v>58</v>
      </c>
      <c r="P419">
        <v>16</v>
      </c>
      <c r="Q419">
        <v>1500</v>
      </c>
      <c r="R419">
        <v>4</v>
      </c>
      <c r="S419">
        <v>0</v>
      </c>
      <c r="T419" t="s">
        <v>65</v>
      </c>
      <c r="U419" t="s">
        <v>37</v>
      </c>
      <c r="V419" s="3">
        <v>120007</v>
      </c>
      <c r="W419">
        <v>3.46</v>
      </c>
      <c r="X419">
        <v>4</v>
      </c>
      <c r="Y419" s="1">
        <f>EV_Data4[[#This Row],[range_miles]]/EV_Data4[[#This Row],[battery_capacity_kwh]]</f>
        <v>3.3891625615763545</v>
      </c>
      <c r="Z419" s="4">
        <f>EV_Data4[[#This Row],[price_usd]]/EV_Data4[[#This Row],[range_miles]]</f>
        <v>155.02311046511628</v>
      </c>
      <c r="AA419" s="2">
        <f>(EV_Data4[[#This Row],[customer_rating]]*EV_Data4[[#This Row],[safety_rating]]*1000)/EV_Data4[[#This Row],[price_usd]]</f>
        <v>0.25952619592540122</v>
      </c>
      <c r="AB419">
        <f>EV_Data4[[#This Row],[horsepower]]+EV_Data4[[#This Row],[torque_nm]]/EV_Data4[[#This Row],[acceleration_0_60_mph]]</f>
        <v>669.51990632318507</v>
      </c>
      <c r="AC419" t="str">
        <f>IF(EV_Data4[[#This Row],[price_usd]]&gt;=80000,"Luxury",IF(EV_Data4[[#This Row],[price_usd]]&gt;=40000,"Mid-Range","Budget"))</f>
        <v>Mid-Range</v>
      </c>
      <c r="AD419" t="str">
        <f>IF(EV_Data4[[#This Row],[range_miles]]&gt;=350,"Long-Range",IF(EV_Data4[[#This Row],[range_miles]]&gt;=250,"Medium-Range","Short-Range"))</f>
        <v>Medium-Range</v>
      </c>
      <c r="AE419" t="str">
        <f>IF(EV_Data4[[#This Row],[charging_speed_kw]]&gt;=250,"Ultra-Fast",IF(EV_Data4[[#This Row],[charging_speed_kw]]&gt;=150,"Fast-Charging","Standard-Charging"))</f>
        <v>Fast-Charging</v>
      </c>
      <c r="AF419" t="str">
        <f>IF(EV_Data4[[#This Row],[acceleration_0_60_mph]]&lt;=3,"SportsPerformance",IF(EV_Data4[[#This Row],[acceleration_0_60_mph]]&lt;=5,"HighPerformance","Standard"))</f>
        <v>HighPerformance</v>
      </c>
      <c r="AG419" t="str">
        <f>IF(EV_Data4[[#This Row],[customer_rating]]&gt;=4.5,"Excellent",IF(EV_Data4[[#This Row],[customer_rating]]&gt;=3.5,"Good","Average"))</f>
        <v>Average</v>
      </c>
      <c r="AH41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20" spans="1:34" x14ac:dyDescent="0.3">
      <c r="A420" t="s">
        <v>83</v>
      </c>
      <c r="B420" t="s">
        <v>84</v>
      </c>
      <c r="C420">
        <v>2022</v>
      </c>
      <c r="D420" t="s">
        <v>61</v>
      </c>
      <c r="E420" s="3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34</v>
      </c>
      <c r="N420">
        <v>5</v>
      </c>
      <c r="O420" t="s">
        <v>50</v>
      </c>
      <c r="P420">
        <v>39.1</v>
      </c>
      <c r="Q420">
        <v>1591</v>
      </c>
      <c r="R420">
        <v>5</v>
      </c>
      <c r="S420">
        <v>1</v>
      </c>
      <c r="T420" t="s">
        <v>29</v>
      </c>
      <c r="U420" t="s">
        <v>33</v>
      </c>
      <c r="V420" s="3">
        <v>52868</v>
      </c>
      <c r="W420">
        <v>3.54</v>
      </c>
      <c r="X420">
        <v>7</v>
      </c>
      <c r="Y420" s="1">
        <f>EV_Data4[[#This Row],[range_miles]]/EV_Data4[[#This Row],[battery_capacity_kwh]]</f>
        <v>3.716417910447761</v>
      </c>
      <c r="Z420" s="4">
        <f>EV_Data4[[#This Row],[price_usd]]/EV_Data4[[#This Row],[range_miles]]</f>
        <v>280.85313253012043</v>
      </c>
      <c r="AA420" s="2">
        <f>(EV_Data4[[#This Row],[customer_rating]]*EV_Data4[[#This Row],[safety_rating]]*1000)/EV_Data4[[#This Row],[price_usd]]</f>
        <v>0.25310145807889134</v>
      </c>
      <c r="AB420">
        <f>EV_Data4[[#This Row],[horsepower]]+EV_Data4[[#This Row],[torque_nm]]/EV_Data4[[#This Row],[acceleration_0_60_mph]]</f>
        <v>460.42480211081795</v>
      </c>
      <c r="AC420" t="str">
        <f>IF(EV_Data4[[#This Row],[price_usd]]&gt;=80000,"Luxury",IF(EV_Data4[[#This Row],[price_usd]]&gt;=40000,"Mid-Range","Budget"))</f>
        <v>Mid-Range</v>
      </c>
      <c r="AD420" t="str">
        <f>IF(EV_Data4[[#This Row],[range_miles]]&gt;=350,"Long-Range",IF(EV_Data4[[#This Row],[range_miles]]&gt;=250,"Medium-Range","Short-Range"))</f>
        <v>Short-Range</v>
      </c>
      <c r="AE420" t="str">
        <f>IF(EV_Data4[[#This Row],[charging_speed_kw]]&gt;=250,"Ultra-Fast",IF(EV_Data4[[#This Row],[charging_speed_kw]]&gt;=150,"Fast-Charging","Standard-Charging"))</f>
        <v>Standard-Charging</v>
      </c>
      <c r="AF420" t="str">
        <f>IF(EV_Data4[[#This Row],[acceleration_0_60_mph]]&lt;=3,"SportsPerformance",IF(EV_Data4[[#This Row],[acceleration_0_60_mph]]&lt;=5,"HighPerformance","Standard"))</f>
        <v>Standard</v>
      </c>
      <c r="AG420" t="str">
        <f>IF(EV_Data4[[#This Row],[customer_rating]]&gt;=4.5,"Excellent",IF(EV_Data4[[#This Row],[customer_rating]]&gt;=3.5,"Good","Average"))</f>
        <v>Good</v>
      </c>
      <c r="AH42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21" spans="1:34" x14ac:dyDescent="0.3">
      <c r="A421" t="s">
        <v>38</v>
      </c>
      <c r="B421" t="s">
        <v>118</v>
      </c>
      <c r="C421">
        <v>2025</v>
      </c>
      <c r="D421" t="s">
        <v>26</v>
      </c>
      <c r="E421" s="3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48</v>
      </c>
      <c r="N421">
        <v>7</v>
      </c>
      <c r="O421" t="s">
        <v>58</v>
      </c>
      <c r="P421">
        <v>33.4</v>
      </c>
      <c r="Q421">
        <v>1500</v>
      </c>
      <c r="R421">
        <v>5</v>
      </c>
      <c r="S421">
        <v>2</v>
      </c>
      <c r="T421" t="s">
        <v>41</v>
      </c>
      <c r="U421" t="s">
        <v>37</v>
      </c>
      <c r="V421" s="3">
        <v>17861</v>
      </c>
      <c r="W421">
        <v>3.54</v>
      </c>
      <c r="X421">
        <v>3</v>
      </c>
      <c r="Y421" s="1">
        <f>EV_Data4[[#This Row],[range_miles]]/EV_Data4[[#This Row],[battery_capacity_kwh]]</f>
        <v>3.1053203040173725</v>
      </c>
      <c r="Z421" s="4">
        <f>EV_Data4[[#This Row],[price_usd]]/EV_Data4[[#This Row],[range_miles]]</f>
        <v>175.0041958041958</v>
      </c>
      <c r="AA421" s="2">
        <f>(EV_Data4[[#This Row],[customer_rating]]*EV_Data4[[#This Row],[safety_rating]]*1000)/EV_Data4[[#This Row],[price_usd]]</f>
        <v>0.35363787481618825</v>
      </c>
      <c r="AB421">
        <f>EV_Data4[[#This Row],[horsepower]]+EV_Data4[[#This Row],[torque_nm]]/EV_Data4[[#This Row],[acceleration_0_60_mph]]</f>
        <v>718.87209302325584</v>
      </c>
      <c r="AC421" t="str">
        <f>IF(EV_Data4[[#This Row],[price_usd]]&gt;=80000,"Luxury",IF(EV_Data4[[#This Row],[price_usd]]&gt;=40000,"Mid-Range","Budget"))</f>
        <v>Mid-Range</v>
      </c>
      <c r="AD421" t="str">
        <f>IF(EV_Data4[[#This Row],[range_miles]]&gt;=350,"Long-Range",IF(EV_Data4[[#This Row],[range_miles]]&gt;=250,"Medium-Range","Short-Range"))</f>
        <v>Medium-Range</v>
      </c>
      <c r="AE421" t="str">
        <f>IF(EV_Data4[[#This Row],[charging_speed_kw]]&gt;=250,"Ultra-Fast",IF(EV_Data4[[#This Row],[charging_speed_kw]]&gt;=150,"Fast-Charging","Standard-Charging"))</f>
        <v>Fast-Charging</v>
      </c>
      <c r="AF421" t="str">
        <f>IF(EV_Data4[[#This Row],[acceleration_0_60_mph]]&lt;=3,"SportsPerformance",IF(EV_Data4[[#This Row],[acceleration_0_60_mph]]&lt;=5,"HighPerformance","Standard"))</f>
        <v>HighPerformance</v>
      </c>
      <c r="AG421" t="str">
        <f>IF(EV_Data4[[#This Row],[customer_rating]]&gt;=4.5,"Excellent",IF(EV_Data4[[#This Row],[customer_rating]]&gt;=3.5,"Good","Average"))</f>
        <v>Good</v>
      </c>
      <c r="AH42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22" spans="1:34" x14ac:dyDescent="0.3">
      <c r="A422" t="s">
        <v>76</v>
      </c>
      <c r="B422" t="s">
        <v>81</v>
      </c>
      <c r="C422">
        <v>2026</v>
      </c>
      <c r="D422" t="s">
        <v>26</v>
      </c>
      <c r="E422" s="3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48</v>
      </c>
      <c r="N422">
        <v>7</v>
      </c>
      <c r="O422" t="s">
        <v>50</v>
      </c>
      <c r="P422">
        <v>29.2</v>
      </c>
      <c r="Q422">
        <v>1844</v>
      </c>
      <c r="R422">
        <v>4</v>
      </c>
      <c r="S422">
        <v>1</v>
      </c>
      <c r="T422" t="s">
        <v>41</v>
      </c>
      <c r="U422" t="s">
        <v>37</v>
      </c>
      <c r="V422" s="3">
        <v>32288</v>
      </c>
      <c r="W422">
        <v>3.72</v>
      </c>
      <c r="X422">
        <v>4</v>
      </c>
      <c r="Y422" s="1">
        <f>EV_Data4[[#This Row],[range_miles]]/EV_Data4[[#This Row],[battery_capacity_kwh]]</f>
        <v>3.7970353477765109</v>
      </c>
      <c r="Z422" s="4">
        <f>EV_Data4[[#This Row],[price_usd]]/EV_Data4[[#This Row],[range_miles]]</f>
        <v>146.66969969969972</v>
      </c>
      <c r="AA422" s="2">
        <f>(EV_Data4[[#This Row],[customer_rating]]*EV_Data4[[#This Row],[safety_rating]]*1000)/EV_Data4[[#This Row],[price_usd]]</f>
        <v>0.30466200432792029</v>
      </c>
      <c r="AB422">
        <f>EV_Data4[[#This Row],[horsepower]]+EV_Data4[[#This Row],[torque_nm]]/EV_Data4[[#This Row],[acceleration_0_60_mph]]</f>
        <v>457.37209302325584</v>
      </c>
      <c r="AC422" t="str">
        <f>IF(EV_Data4[[#This Row],[price_usd]]&gt;=80000,"Luxury",IF(EV_Data4[[#This Row],[price_usd]]&gt;=40000,"Mid-Range","Budget"))</f>
        <v>Mid-Range</v>
      </c>
      <c r="AD422" t="str">
        <f>IF(EV_Data4[[#This Row],[range_miles]]&gt;=350,"Long-Range",IF(EV_Data4[[#This Row],[range_miles]]&gt;=250,"Medium-Range","Short-Range"))</f>
        <v>Medium-Range</v>
      </c>
      <c r="AE422" t="str">
        <f>IF(EV_Data4[[#This Row],[charging_speed_kw]]&gt;=250,"Ultra-Fast",IF(EV_Data4[[#This Row],[charging_speed_kw]]&gt;=150,"Fast-Charging","Standard-Charging"))</f>
        <v>Fast-Charging</v>
      </c>
      <c r="AF422" t="str">
        <f>IF(EV_Data4[[#This Row],[acceleration_0_60_mph]]&lt;=3,"SportsPerformance",IF(EV_Data4[[#This Row],[acceleration_0_60_mph]]&lt;=5,"HighPerformance","Standard"))</f>
        <v>HighPerformance</v>
      </c>
      <c r="AG422" t="str">
        <f>IF(EV_Data4[[#This Row],[customer_rating]]&gt;=4.5,"Excellent",IF(EV_Data4[[#This Row],[customer_rating]]&gt;=3.5,"Good","Average"))</f>
        <v>Good</v>
      </c>
      <c r="AH42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23" spans="1:34" x14ac:dyDescent="0.3">
      <c r="A423" t="s">
        <v>76</v>
      </c>
      <c r="B423" t="s">
        <v>98</v>
      </c>
      <c r="C423">
        <v>2021</v>
      </c>
      <c r="D423" t="s">
        <v>44</v>
      </c>
      <c r="E423" s="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34</v>
      </c>
      <c r="N423">
        <v>5</v>
      </c>
      <c r="O423" t="s">
        <v>50</v>
      </c>
      <c r="P423">
        <v>26.2</v>
      </c>
      <c r="Q423">
        <v>1721</v>
      </c>
      <c r="R423">
        <v>4</v>
      </c>
      <c r="S423">
        <v>1</v>
      </c>
      <c r="T423" t="s">
        <v>41</v>
      </c>
      <c r="U423" t="s">
        <v>33</v>
      </c>
      <c r="V423" s="3">
        <v>27293</v>
      </c>
      <c r="W423">
        <v>3.54</v>
      </c>
      <c r="X423">
        <v>3</v>
      </c>
      <c r="Y423" s="1">
        <f>EV_Data4[[#This Row],[range_miles]]/EV_Data4[[#This Row],[battery_capacity_kwh]]</f>
        <v>3.3397312859884836</v>
      </c>
      <c r="Z423" s="4">
        <f>EV_Data4[[#This Row],[price_usd]]/EV_Data4[[#This Row],[range_miles]]</f>
        <v>222.88034482758621</v>
      </c>
      <c r="AA423" s="2">
        <f>(EV_Data4[[#This Row],[customer_rating]]*EV_Data4[[#This Row],[safety_rating]]*1000)/EV_Data4[[#This Row],[price_usd]]</f>
        <v>0.18256277916247005</v>
      </c>
      <c r="AB423">
        <f>EV_Data4[[#This Row],[horsepower]]+EV_Data4[[#This Row],[torque_nm]]/EV_Data4[[#This Row],[acceleration_0_60_mph]]</f>
        <v>1017.5765765765766</v>
      </c>
      <c r="AC423" t="str">
        <f>IF(EV_Data4[[#This Row],[price_usd]]&gt;=80000,"Luxury",IF(EV_Data4[[#This Row],[price_usd]]&gt;=40000,"Mid-Range","Budget"))</f>
        <v>Mid-Range</v>
      </c>
      <c r="AD423" t="str">
        <f>IF(EV_Data4[[#This Row],[range_miles]]&gt;=350,"Long-Range",IF(EV_Data4[[#This Row],[range_miles]]&gt;=250,"Medium-Range","Short-Range"))</f>
        <v>Medium-Range</v>
      </c>
      <c r="AE423" t="str">
        <f>IF(EV_Data4[[#This Row],[charging_speed_kw]]&gt;=250,"Ultra-Fast",IF(EV_Data4[[#This Row],[charging_speed_kw]]&gt;=150,"Fast-Charging","Standard-Charging"))</f>
        <v>Standard-Charging</v>
      </c>
      <c r="AF423" t="str">
        <f>IF(EV_Data4[[#This Row],[acceleration_0_60_mph]]&lt;=3,"SportsPerformance",IF(EV_Data4[[#This Row],[acceleration_0_60_mph]]&lt;=5,"HighPerformance","Standard"))</f>
        <v>Standard</v>
      </c>
      <c r="AG423" t="str">
        <f>IF(EV_Data4[[#This Row],[customer_rating]]&gt;=4.5,"Excellent",IF(EV_Data4[[#This Row],[customer_rating]]&gt;=3.5,"Good","Average"))</f>
        <v>Good</v>
      </c>
      <c r="AH42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24" spans="1:34" x14ac:dyDescent="0.3">
      <c r="A424" t="s">
        <v>46</v>
      </c>
      <c r="B424" t="s">
        <v>72</v>
      </c>
      <c r="C424">
        <v>2025</v>
      </c>
      <c r="D424" t="s">
        <v>56</v>
      </c>
      <c r="E424" s="3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48</v>
      </c>
      <c r="N424">
        <v>5</v>
      </c>
      <c r="O424" t="s">
        <v>28</v>
      </c>
      <c r="P424">
        <v>69.900000000000006</v>
      </c>
      <c r="Q424">
        <v>2266</v>
      </c>
      <c r="R424">
        <v>4</v>
      </c>
      <c r="S424">
        <v>3</v>
      </c>
      <c r="T424" t="s">
        <v>41</v>
      </c>
      <c r="U424" t="s">
        <v>33</v>
      </c>
      <c r="V424" s="3">
        <v>214270</v>
      </c>
      <c r="W424">
        <v>3.74</v>
      </c>
      <c r="X424">
        <v>5</v>
      </c>
      <c r="Y424" s="1">
        <f>EV_Data4[[#This Row],[range_miles]]/EV_Data4[[#This Row],[battery_capacity_kwh]]</f>
        <v>3.5251798561151078</v>
      </c>
      <c r="Z424" s="4">
        <f>EV_Data4[[#This Row],[price_usd]]/EV_Data4[[#This Row],[range_miles]]</f>
        <v>354.32035714285712</v>
      </c>
      <c r="AA424" s="2">
        <f>(EV_Data4[[#This Row],[customer_rating]]*EV_Data4[[#This Row],[safety_rating]]*1000)/EV_Data4[[#This Row],[price_usd]]</f>
        <v>0.21541672408472734</v>
      </c>
      <c r="AB424">
        <f>EV_Data4[[#This Row],[horsepower]]+EV_Data4[[#This Row],[torque_nm]]/EV_Data4[[#This Row],[acceleration_0_60_mph]]</f>
        <v>545.48</v>
      </c>
      <c r="AC424" t="str">
        <f>IF(EV_Data4[[#This Row],[price_usd]]&gt;=80000,"Luxury",IF(EV_Data4[[#This Row],[price_usd]]&gt;=40000,"Mid-Range","Budget"))</f>
        <v>Mid-Range</v>
      </c>
      <c r="AD424" t="str">
        <f>IF(EV_Data4[[#This Row],[range_miles]]&gt;=350,"Long-Range",IF(EV_Data4[[#This Row],[range_miles]]&gt;=250,"Medium-Range","Short-Range"))</f>
        <v>Short-Range</v>
      </c>
      <c r="AE424" t="str">
        <f>IF(EV_Data4[[#This Row],[charging_speed_kw]]&gt;=250,"Ultra-Fast",IF(EV_Data4[[#This Row],[charging_speed_kw]]&gt;=150,"Fast-Charging","Standard-Charging"))</f>
        <v>Ultra-Fast</v>
      </c>
      <c r="AF424" t="str">
        <f>IF(EV_Data4[[#This Row],[acceleration_0_60_mph]]&lt;=3,"SportsPerformance",IF(EV_Data4[[#This Row],[acceleration_0_60_mph]]&lt;=5,"HighPerformance","Standard"))</f>
        <v>Standard</v>
      </c>
      <c r="AG424" t="str">
        <f>IF(EV_Data4[[#This Row],[customer_rating]]&gt;=4.5,"Excellent",IF(EV_Data4[[#This Row],[customer_rating]]&gt;=3.5,"Good","Average"))</f>
        <v>Good</v>
      </c>
      <c r="AH42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425" spans="1:34" x14ac:dyDescent="0.3">
      <c r="A425" t="s">
        <v>68</v>
      </c>
      <c r="B425" t="s">
        <v>106</v>
      </c>
      <c r="C425">
        <v>2023</v>
      </c>
      <c r="D425" t="s">
        <v>61</v>
      </c>
      <c r="E425" s="3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34</v>
      </c>
      <c r="N425">
        <v>5</v>
      </c>
      <c r="O425" t="s">
        <v>28</v>
      </c>
      <c r="P425">
        <v>56</v>
      </c>
      <c r="Q425">
        <v>2701</v>
      </c>
      <c r="R425">
        <v>4</v>
      </c>
      <c r="S425">
        <v>0</v>
      </c>
      <c r="T425" t="s">
        <v>45</v>
      </c>
      <c r="U425" t="s">
        <v>33</v>
      </c>
      <c r="V425" s="3">
        <v>73761</v>
      </c>
      <c r="W425">
        <v>3.77</v>
      </c>
      <c r="X425">
        <v>4</v>
      </c>
      <c r="Y425" s="1">
        <f>EV_Data4[[#This Row],[range_miles]]/EV_Data4[[#This Row],[battery_capacity_kwh]]</f>
        <v>3.5269709543568468</v>
      </c>
      <c r="Z425" s="4">
        <f>EV_Data4[[#This Row],[price_usd]]/EV_Data4[[#This Row],[range_miles]]</f>
        <v>267.09835294117647</v>
      </c>
      <c r="AA425" s="2">
        <f>(EV_Data4[[#This Row],[customer_rating]]*EV_Data4[[#This Row],[safety_rating]]*1000)/EV_Data4[[#This Row],[price_usd]]</f>
        <v>0.22140628817349794</v>
      </c>
      <c r="AB425">
        <f>EV_Data4[[#This Row],[horsepower]]+EV_Data4[[#This Row],[torque_nm]]/EV_Data4[[#This Row],[acceleration_0_60_mph]]</f>
        <v>956.11411411411416</v>
      </c>
      <c r="AC425" t="str">
        <f>IF(EV_Data4[[#This Row],[price_usd]]&gt;=80000,"Luxury",IF(EV_Data4[[#This Row],[price_usd]]&gt;=40000,"Mid-Range","Budget"))</f>
        <v>Mid-Range</v>
      </c>
      <c r="AD425" t="str">
        <f>IF(EV_Data4[[#This Row],[range_miles]]&gt;=350,"Long-Range",IF(EV_Data4[[#This Row],[range_miles]]&gt;=250,"Medium-Range","Short-Range"))</f>
        <v>Medium-Range</v>
      </c>
      <c r="AE425" t="str">
        <f>IF(EV_Data4[[#This Row],[charging_speed_kw]]&gt;=250,"Ultra-Fast",IF(EV_Data4[[#This Row],[charging_speed_kw]]&gt;=150,"Fast-Charging","Standard-Charging"))</f>
        <v>Standard-Charging</v>
      </c>
      <c r="AF425" t="str">
        <f>IF(EV_Data4[[#This Row],[acceleration_0_60_mph]]&lt;=3,"SportsPerformance",IF(EV_Data4[[#This Row],[acceleration_0_60_mph]]&lt;=5,"HighPerformance","Standard"))</f>
        <v>Standard</v>
      </c>
      <c r="AG425" t="str">
        <f>IF(EV_Data4[[#This Row],[customer_rating]]&gt;=4.5,"Excellent",IF(EV_Data4[[#This Row],[customer_rating]]&gt;=3.5,"Good","Average"))</f>
        <v>Good</v>
      </c>
      <c r="AH42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26" spans="1:34" x14ac:dyDescent="0.3">
      <c r="A426" t="s">
        <v>46</v>
      </c>
      <c r="B426" t="s">
        <v>49</v>
      </c>
      <c r="C426">
        <v>2023</v>
      </c>
      <c r="D426" t="s">
        <v>56</v>
      </c>
      <c r="E426" s="3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48</v>
      </c>
      <c r="N426">
        <v>5</v>
      </c>
      <c r="O426" t="s">
        <v>35</v>
      </c>
      <c r="P426">
        <v>43</v>
      </c>
      <c r="Q426">
        <v>2272</v>
      </c>
      <c r="R426">
        <v>5</v>
      </c>
      <c r="S426">
        <v>3</v>
      </c>
      <c r="T426" t="s">
        <v>41</v>
      </c>
      <c r="U426" t="s">
        <v>33</v>
      </c>
      <c r="V426" s="3">
        <v>491547</v>
      </c>
      <c r="W426">
        <v>3.57</v>
      </c>
      <c r="X426">
        <v>5</v>
      </c>
      <c r="Y426" s="1">
        <f>EV_Data4[[#This Row],[range_miles]]/EV_Data4[[#This Row],[battery_capacity_kwh]]</f>
        <v>3.3935483870967742</v>
      </c>
      <c r="Z426" s="4">
        <f>EV_Data4[[#This Row],[price_usd]]/EV_Data4[[#This Row],[range_miles]]</f>
        <v>353.42338403041828</v>
      </c>
      <c r="AA426" s="2">
        <f>(EV_Data4[[#This Row],[customer_rating]]*EV_Data4[[#This Row],[safety_rating]]*1000)/EV_Data4[[#This Row],[price_usd]]</f>
        <v>0.19203800738781507</v>
      </c>
      <c r="AB426">
        <f>EV_Data4[[#This Row],[horsepower]]+EV_Data4[[#This Row],[torque_nm]]/EV_Data4[[#This Row],[acceleration_0_60_mph]]</f>
        <v>834.13285457809695</v>
      </c>
      <c r="AC426" t="str">
        <f>IF(EV_Data4[[#This Row],[price_usd]]&gt;=80000,"Luxury",IF(EV_Data4[[#This Row],[price_usd]]&gt;=40000,"Mid-Range","Budget"))</f>
        <v>Luxury</v>
      </c>
      <c r="AD426" t="str">
        <f>IF(EV_Data4[[#This Row],[range_miles]]&gt;=350,"Long-Range",IF(EV_Data4[[#This Row],[range_miles]]&gt;=250,"Medium-Range","Short-Range"))</f>
        <v>Medium-Range</v>
      </c>
      <c r="AE426" t="str">
        <f>IF(EV_Data4[[#This Row],[charging_speed_kw]]&gt;=250,"Ultra-Fast",IF(EV_Data4[[#This Row],[charging_speed_kw]]&gt;=150,"Fast-Charging","Standard-Charging"))</f>
        <v>Ultra-Fast</v>
      </c>
      <c r="AF426" t="str">
        <f>IF(EV_Data4[[#This Row],[acceleration_0_60_mph]]&lt;=3,"SportsPerformance",IF(EV_Data4[[#This Row],[acceleration_0_60_mph]]&lt;=5,"HighPerformance","Standard"))</f>
        <v>Standard</v>
      </c>
      <c r="AG426" t="str">
        <f>IF(EV_Data4[[#This Row],[customer_rating]]&gt;=4.5,"Excellent",IF(EV_Data4[[#This Row],[customer_rating]]&gt;=3.5,"Good","Average"))</f>
        <v>Good</v>
      </c>
      <c r="AH426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427" spans="1:34" x14ac:dyDescent="0.3">
      <c r="A427" t="s">
        <v>42</v>
      </c>
      <c r="B427" t="s">
        <v>80</v>
      </c>
      <c r="C427">
        <v>2022</v>
      </c>
      <c r="D427" t="s">
        <v>26</v>
      </c>
      <c r="E427" s="3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48</v>
      </c>
      <c r="N427">
        <v>5</v>
      </c>
      <c r="O427" t="s">
        <v>35</v>
      </c>
      <c r="P427">
        <v>50.4</v>
      </c>
      <c r="Q427">
        <v>1973</v>
      </c>
      <c r="R427">
        <v>5</v>
      </c>
      <c r="S427">
        <v>2</v>
      </c>
      <c r="T427" t="s">
        <v>45</v>
      </c>
      <c r="U427" t="s">
        <v>33</v>
      </c>
      <c r="V427" s="3">
        <v>91349</v>
      </c>
      <c r="W427">
        <v>3.46</v>
      </c>
      <c r="X427">
        <v>4</v>
      </c>
      <c r="Y427" s="1">
        <f>EV_Data4[[#This Row],[range_miles]]/EV_Data4[[#This Row],[battery_capacity_kwh]]</f>
        <v>3.6835278858625164</v>
      </c>
      <c r="Z427" s="4">
        <f>EV_Data4[[#This Row],[price_usd]]/EV_Data4[[#This Row],[range_miles]]</f>
        <v>237.07947183098594</v>
      </c>
      <c r="AA427" s="2">
        <f>(EV_Data4[[#This Row],[customer_rating]]*EV_Data4[[#This Row],[safety_rating]]*1000)/EV_Data4[[#This Row],[price_usd]]</f>
        <v>0.2569412378359488</v>
      </c>
      <c r="AB427">
        <f>EV_Data4[[#This Row],[horsepower]]+EV_Data4[[#This Row],[torque_nm]]/EV_Data4[[#This Row],[acceleration_0_60_mph]]</f>
        <v>890.92086330935251</v>
      </c>
      <c r="AC427" t="str">
        <f>IF(EV_Data4[[#This Row],[price_usd]]&gt;=80000,"Luxury",IF(EV_Data4[[#This Row],[price_usd]]&gt;=40000,"Mid-Range","Budget"))</f>
        <v>Mid-Range</v>
      </c>
      <c r="AD427" t="str">
        <f>IF(EV_Data4[[#This Row],[range_miles]]&gt;=350,"Long-Range",IF(EV_Data4[[#This Row],[range_miles]]&gt;=250,"Medium-Range","Short-Range"))</f>
        <v>Medium-Range</v>
      </c>
      <c r="AE427" t="str">
        <f>IF(EV_Data4[[#This Row],[charging_speed_kw]]&gt;=250,"Ultra-Fast",IF(EV_Data4[[#This Row],[charging_speed_kw]]&gt;=150,"Fast-Charging","Standard-Charging"))</f>
        <v>Fast-Charging</v>
      </c>
      <c r="AF427" t="str">
        <f>IF(EV_Data4[[#This Row],[acceleration_0_60_mph]]&lt;=3,"SportsPerformance",IF(EV_Data4[[#This Row],[acceleration_0_60_mph]]&lt;=5,"HighPerformance","Standard"))</f>
        <v>HighPerformance</v>
      </c>
      <c r="AG427" t="str">
        <f>IF(EV_Data4[[#This Row],[customer_rating]]&gt;=4.5,"Excellent",IF(EV_Data4[[#This Row],[customer_rating]]&gt;=3.5,"Good","Average"))</f>
        <v>Average</v>
      </c>
      <c r="AH42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28" spans="1:34" x14ac:dyDescent="0.3">
      <c r="A428" t="s">
        <v>24</v>
      </c>
      <c r="B428" t="s">
        <v>75</v>
      </c>
      <c r="C428">
        <v>2025</v>
      </c>
      <c r="D428" t="s">
        <v>33</v>
      </c>
      <c r="E428" s="3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27</v>
      </c>
      <c r="N428">
        <v>5</v>
      </c>
      <c r="O428" t="s">
        <v>28</v>
      </c>
      <c r="P428">
        <v>50.6</v>
      </c>
      <c r="Q428">
        <v>3000</v>
      </c>
      <c r="R428">
        <v>4</v>
      </c>
      <c r="S428">
        <v>1</v>
      </c>
      <c r="T428" t="s">
        <v>29</v>
      </c>
      <c r="U428" t="s">
        <v>33</v>
      </c>
      <c r="V428" s="3">
        <v>222817</v>
      </c>
      <c r="W428">
        <v>3.39</v>
      </c>
      <c r="X428">
        <v>4</v>
      </c>
      <c r="Y428" s="1">
        <f>EV_Data4[[#This Row],[range_miles]]/EV_Data4[[#This Row],[battery_capacity_kwh]]</f>
        <v>3.7608318890814556</v>
      </c>
      <c r="Z428" s="4">
        <f>EV_Data4[[#This Row],[price_usd]]/EV_Data4[[#This Row],[range_miles]]</f>
        <v>411.90368663594472</v>
      </c>
      <c r="AA428" s="2">
        <f>(EV_Data4[[#This Row],[customer_rating]]*EV_Data4[[#This Row],[safety_rating]]*1000)/EV_Data4[[#This Row],[price_usd]]</f>
        <v>0.15170653065288628</v>
      </c>
      <c r="AB428">
        <f>EV_Data4[[#This Row],[horsepower]]+EV_Data4[[#This Row],[torque_nm]]/EV_Data4[[#This Row],[acceleration_0_60_mph]]</f>
        <v>1132.4850299401198</v>
      </c>
      <c r="AC428" t="str">
        <f>IF(EV_Data4[[#This Row],[price_usd]]&gt;=80000,"Luxury",IF(EV_Data4[[#This Row],[price_usd]]&gt;=40000,"Mid-Range","Budget"))</f>
        <v>Luxury</v>
      </c>
      <c r="AD428" t="str">
        <f>IF(EV_Data4[[#This Row],[range_miles]]&gt;=350,"Long-Range",IF(EV_Data4[[#This Row],[range_miles]]&gt;=250,"Medium-Range","Short-Range"))</f>
        <v>Short-Range</v>
      </c>
      <c r="AE428" t="str">
        <f>IF(EV_Data4[[#This Row],[charging_speed_kw]]&gt;=250,"Ultra-Fast",IF(EV_Data4[[#This Row],[charging_speed_kw]]&gt;=150,"Fast-Charging","Standard-Charging"))</f>
        <v>Standard-Charging</v>
      </c>
      <c r="AF428" t="str">
        <f>IF(EV_Data4[[#This Row],[acceleration_0_60_mph]]&lt;=3,"SportsPerformance",IF(EV_Data4[[#This Row],[acceleration_0_60_mph]]&lt;=5,"HighPerformance","Standard"))</f>
        <v>Standard</v>
      </c>
      <c r="AG428" t="str">
        <f>IF(EV_Data4[[#This Row],[customer_rating]]&gt;=4.5,"Excellent",IF(EV_Data4[[#This Row],[customer_rating]]&gt;=3.5,"Good","Average"))</f>
        <v>Average</v>
      </c>
      <c r="AH42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29" spans="1:34" x14ac:dyDescent="0.3">
      <c r="A429" t="s">
        <v>86</v>
      </c>
      <c r="B429" t="s">
        <v>117</v>
      </c>
      <c r="C429">
        <v>2024</v>
      </c>
      <c r="D429" t="s">
        <v>56</v>
      </c>
      <c r="E429" s="3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48</v>
      </c>
      <c r="N429">
        <v>5</v>
      </c>
      <c r="O429" t="s">
        <v>28</v>
      </c>
      <c r="P429">
        <v>63.1</v>
      </c>
      <c r="Q429">
        <v>2606</v>
      </c>
      <c r="R429">
        <v>5</v>
      </c>
      <c r="S429">
        <v>1</v>
      </c>
      <c r="T429" t="s">
        <v>29</v>
      </c>
      <c r="U429" t="s">
        <v>30</v>
      </c>
      <c r="V429" s="3">
        <v>75960</v>
      </c>
      <c r="W429">
        <v>3.64</v>
      </c>
      <c r="X429">
        <v>6</v>
      </c>
      <c r="Y429" s="1">
        <f>EV_Data4[[#This Row],[range_miles]]/EV_Data4[[#This Row],[battery_capacity_kwh]]</f>
        <v>3.5273159144893111</v>
      </c>
      <c r="Z429" s="4">
        <f>EV_Data4[[#This Row],[price_usd]]/EV_Data4[[#This Row],[range_miles]]</f>
        <v>364.6291919191919</v>
      </c>
      <c r="AA429" s="2">
        <f>(EV_Data4[[#This Row],[customer_rating]]*EV_Data4[[#This Row],[safety_rating]]*1000)/EV_Data4[[#This Row],[price_usd]]</f>
        <v>0.16805966893907348</v>
      </c>
      <c r="AB429">
        <f>EV_Data4[[#This Row],[horsepower]]+EV_Data4[[#This Row],[torque_nm]]/EV_Data4[[#This Row],[acceleration_0_60_mph]]</f>
        <v>899.12817089452608</v>
      </c>
      <c r="AC429" t="str">
        <f>IF(EV_Data4[[#This Row],[price_usd]]&gt;=80000,"Luxury",IF(EV_Data4[[#This Row],[price_usd]]&gt;=40000,"Mid-Range","Budget"))</f>
        <v>Luxury</v>
      </c>
      <c r="AD429" t="str">
        <f>IF(EV_Data4[[#This Row],[range_miles]]&gt;=350,"Long-Range",IF(EV_Data4[[#This Row],[range_miles]]&gt;=250,"Medium-Range","Short-Range"))</f>
        <v>Medium-Range</v>
      </c>
      <c r="AE429" t="str">
        <f>IF(EV_Data4[[#This Row],[charging_speed_kw]]&gt;=250,"Ultra-Fast",IF(EV_Data4[[#This Row],[charging_speed_kw]]&gt;=150,"Fast-Charging","Standard-Charging"))</f>
        <v>Standard-Charging</v>
      </c>
      <c r="AF429" t="str">
        <f>IF(EV_Data4[[#This Row],[acceleration_0_60_mph]]&lt;=3,"SportsPerformance",IF(EV_Data4[[#This Row],[acceleration_0_60_mph]]&lt;=5,"HighPerformance","Standard"))</f>
        <v>Standard</v>
      </c>
      <c r="AG429" t="str">
        <f>IF(EV_Data4[[#This Row],[customer_rating]]&gt;=4.5,"Excellent",IF(EV_Data4[[#This Row],[customer_rating]]&gt;=3.5,"Good","Average"))</f>
        <v>Good</v>
      </c>
      <c r="AH42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30" spans="1:34" x14ac:dyDescent="0.3">
      <c r="A430" t="s">
        <v>63</v>
      </c>
      <c r="B430" t="s">
        <v>88</v>
      </c>
      <c r="C430">
        <v>2025</v>
      </c>
      <c r="D430" t="s">
        <v>26</v>
      </c>
      <c r="E430" s="3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48</v>
      </c>
      <c r="N430">
        <v>7</v>
      </c>
      <c r="O430" t="s">
        <v>35</v>
      </c>
      <c r="P430">
        <v>36.9</v>
      </c>
      <c r="Q430">
        <v>1909</v>
      </c>
      <c r="R430">
        <v>5</v>
      </c>
      <c r="S430">
        <v>0</v>
      </c>
      <c r="T430" t="s">
        <v>65</v>
      </c>
      <c r="U430" t="s">
        <v>33</v>
      </c>
      <c r="V430" s="3">
        <v>235698</v>
      </c>
      <c r="W430">
        <v>3.58</v>
      </c>
      <c r="X430">
        <v>4</v>
      </c>
      <c r="Y430" s="1">
        <f>EV_Data4[[#This Row],[range_miles]]/EV_Data4[[#This Row],[battery_capacity_kwh]]</f>
        <v>3.4629404617253949</v>
      </c>
      <c r="Z430" s="4">
        <f>EV_Data4[[#This Row],[price_usd]]/EV_Data4[[#This Row],[range_miles]]</f>
        <v>325.71894736842103</v>
      </c>
      <c r="AA430" s="2">
        <f>(EV_Data4[[#This Row],[customer_rating]]*EV_Data4[[#This Row],[safety_rating]]*1000)/EV_Data4[[#This Row],[price_usd]]</f>
        <v>0.19282580289324885</v>
      </c>
      <c r="AB430">
        <f>EV_Data4[[#This Row],[horsepower]]+EV_Data4[[#This Row],[torque_nm]]/EV_Data4[[#This Row],[acceleration_0_60_mph]]</f>
        <v>1292.9765886287626</v>
      </c>
      <c r="AC430" t="str">
        <f>IF(EV_Data4[[#This Row],[price_usd]]&gt;=80000,"Luxury",IF(EV_Data4[[#This Row],[price_usd]]&gt;=40000,"Mid-Range","Budget"))</f>
        <v>Luxury</v>
      </c>
      <c r="AD430" t="str">
        <f>IF(EV_Data4[[#This Row],[range_miles]]&gt;=350,"Long-Range",IF(EV_Data4[[#This Row],[range_miles]]&gt;=250,"Medium-Range","Short-Range"))</f>
        <v>Medium-Range</v>
      </c>
      <c r="AE430" t="str">
        <f>IF(EV_Data4[[#This Row],[charging_speed_kw]]&gt;=250,"Ultra-Fast",IF(EV_Data4[[#This Row],[charging_speed_kw]]&gt;=150,"Fast-Charging","Standard-Charging"))</f>
        <v>Fast-Charging</v>
      </c>
      <c r="AF430" t="str">
        <f>IF(EV_Data4[[#This Row],[acceleration_0_60_mph]]&lt;=3,"SportsPerformance",IF(EV_Data4[[#This Row],[acceleration_0_60_mph]]&lt;=5,"HighPerformance","Standard"))</f>
        <v>SportsPerformance</v>
      </c>
      <c r="AG430" t="str">
        <f>IF(EV_Data4[[#This Row],[customer_rating]]&gt;=4.5,"Excellent",IF(EV_Data4[[#This Row],[customer_rating]]&gt;=3.5,"Good","Average"))</f>
        <v>Good</v>
      </c>
      <c r="AH43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31" spans="1:34" x14ac:dyDescent="0.3">
      <c r="A431" t="s">
        <v>46</v>
      </c>
      <c r="B431" t="s">
        <v>72</v>
      </c>
      <c r="C431">
        <v>2025</v>
      </c>
      <c r="D431" t="s">
        <v>33</v>
      </c>
      <c r="E431" s="3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27</v>
      </c>
      <c r="N431">
        <v>5</v>
      </c>
      <c r="O431" t="s">
        <v>28</v>
      </c>
      <c r="P431">
        <v>51.5</v>
      </c>
      <c r="Q431">
        <v>2427</v>
      </c>
      <c r="R431">
        <v>4</v>
      </c>
      <c r="S431">
        <v>2</v>
      </c>
      <c r="T431" t="s">
        <v>41</v>
      </c>
      <c r="U431" t="s">
        <v>37</v>
      </c>
      <c r="V431" s="3">
        <v>169730</v>
      </c>
      <c r="W431">
        <v>3.71</v>
      </c>
      <c r="X431">
        <v>6</v>
      </c>
      <c r="Y431" s="1">
        <f>EV_Data4[[#This Row],[range_miles]]/EV_Data4[[#This Row],[battery_capacity_kwh]]</f>
        <v>3.5973597359735972</v>
      </c>
      <c r="Z431" s="4">
        <f>EV_Data4[[#This Row],[price_usd]]/EV_Data4[[#This Row],[range_miles]]</f>
        <v>165.10045871559635</v>
      </c>
      <c r="AA431" s="2">
        <f>(EV_Data4[[#This Row],[customer_rating]]*EV_Data4[[#This Row],[safety_rating]]*1000)/EV_Data4[[#This Row],[price_usd]]</f>
        <v>0.41231499309566871</v>
      </c>
      <c r="AB431">
        <f>EV_Data4[[#This Row],[horsepower]]+EV_Data4[[#This Row],[torque_nm]]/EV_Data4[[#This Row],[acceleration_0_60_mph]]</f>
        <v>271.74603174603175</v>
      </c>
      <c r="AC431" t="str">
        <f>IF(EV_Data4[[#This Row],[price_usd]]&gt;=80000,"Luxury",IF(EV_Data4[[#This Row],[price_usd]]&gt;=40000,"Mid-Range","Budget"))</f>
        <v>Budget</v>
      </c>
      <c r="AD431" t="str">
        <f>IF(EV_Data4[[#This Row],[range_miles]]&gt;=350,"Long-Range",IF(EV_Data4[[#This Row],[range_miles]]&gt;=250,"Medium-Range","Short-Range"))</f>
        <v>Short-Range</v>
      </c>
      <c r="AE431" t="str">
        <f>IF(EV_Data4[[#This Row],[charging_speed_kw]]&gt;=250,"Ultra-Fast",IF(EV_Data4[[#This Row],[charging_speed_kw]]&gt;=150,"Fast-Charging","Standard-Charging"))</f>
        <v>Fast-Charging</v>
      </c>
      <c r="AF431" t="str">
        <f>IF(EV_Data4[[#This Row],[acceleration_0_60_mph]]&lt;=3,"SportsPerformance",IF(EV_Data4[[#This Row],[acceleration_0_60_mph]]&lt;=5,"HighPerformance","Standard"))</f>
        <v>Standard</v>
      </c>
      <c r="AG431" t="str">
        <f>IF(EV_Data4[[#This Row],[customer_rating]]&gt;=4.5,"Excellent",IF(EV_Data4[[#This Row],[customer_rating]]&gt;=3.5,"Good","Average"))</f>
        <v>Good</v>
      </c>
      <c r="AH43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32" spans="1:34" x14ac:dyDescent="0.3">
      <c r="A432" t="s">
        <v>46</v>
      </c>
      <c r="B432" t="s">
        <v>47</v>
      </c>
      <c r="C432">
        <v>2025</v>
      </c>
      <c r="D432" t="s">
        <v>56</v>
      </c>
      <c r="E432" s="3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27</v>
      </c>
      <c r="N432">
        <v>7</v>
      </c>
      <c r="O432" t="s">
        <v>40</v>
      </c>
      <c r="P432">
        <v>60.6</v>
      </c>
      <c r="Q432">
        <v>1570</v>
      </c>
      <c r="R432">
        <v>5</v>
      </c>
      <c r="S432">
        <v>3</v>
      </c>
      <c r="T432" t="s">
        <v>41</v>
      </c>
      <c r="U432" t="s">
        <v>33</v>
      </c>
      <c r="V432" s="3">
        <v>124700</v>
      </c>
      <c r="W432">
        <v>3.61</v>
      </c>
      <c r="X432">
        <v>5</v>
      </c>
      <c r="Y432" s="1">
        <f>EV_Data4[[#This Row],[range_miles]]/EV_Data4[[#This Row],[battery_capacity_kwh]]</f>
        <v>3.8997821350762529</v>
      </c>
      <c r="Z432" s="4">
        <f>EV_Data4[[#This Row],[price_usd]]/EV_Data4[[#This Row],[range_miles]]</f>
        <v>494.95011173184361</v>
      </c>
      <c r="AA432" s="2">
        <f>(EV_Data4[[#This Row],[customer_rating]]*EV_Data4[[#This Row],[safety_rating]]*1000)/EV_Data4[[#This Row],[price_usd]]</f>
        <v>0.20373364190984994</v>
      </c>
      <c r="AB432">
        <f>EV_Data4[[#This Row],[horsepower]]+EV_Data4[[#This Row],[torque_nm]]/EV_Data4[[#This Row],[acceleration_0_60_mph]]</f>
        <v>788.58730158730157</v>
      </c>
      <c r="AC432" t="str">
        <f>IF(EV_Data4[[#This Row],[price_usd]]&gt;=80000,"Luxury",IF(EV_Data4[[#This Row],[price_usd]]&gt;=40000,"Mid-Range","Budget"))</f>
        <v>Luxury</v>
      </c>
      <c r="AD432" t="str">
        <f>IF(EV_Data4[[#This Row],[range_miles]]&gt;=350,"Long-Range",IF(EV_Data4[[#This Row],[range_miles]]&gt;=250,"Medium-Range","Short-Range"))</f>
        <v>Short-Range</v>
      </c>
      <c r="AE432" t="str">
        <f>IF(EV_Data4[[#This Row],[charging_speed_kw]]&gt;=250,"Ultra-Fast",IF(EV_Data4[[#This Row],[charging_speed_kw]]&gt;=150,"Fast-Charging","Standard-Charging"))</f>
        <v>Ultra-Fast</v>
      </c>
      <c r="AF432" t="str">
        <f>IF(EV_Data4[[#This Row],[acceleration_0_60_mph]]&lt;=3,"SportsPerformance",IF(EV_Data4[[#This Row],[acceleration_0_60_mph]]&lt;=5,"HighPerformance","Standard"))</f>
        <v>Standard</v>
      </c>
      <c r="AG432" t="str">
        <f>IF(EV_Data4[[#This Row],[customer_rating]]&gt;=4.5,"Excellent",IF(EV_Data4[[#This Row],[customer_rating]]&gt;=3.5,"Good","Average"))</f>
        <v>Good</v>
      </c>
      <c r="AH432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433" spans="1:34" x14ac:dyDescent="0.3">
      <c r="A433" t="s">
        <v>76</v>
      </c>
      <c r="B433" t="s">
        <v>98</v>
      </c>
      <c r="C433">
        <v>2023</v>
      </c>
      <c r="D433" t="s">
        <v>61</v>
      </c>
      <c r="E433" s="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48</v>
      </c>
      <c r="N433">
        <v>5</v>
      </c>
      <c r="O433" t="s">
        <v>51</v>
      </c>
      <c r="P433">
        <v>29.9</v>
      </c>
      <c r="Q433">
        <v>1500</v>
      </c>
      <c r="R433">
        <v>5</v>
      </c>
      <c r="S433">
        <v>0</v>
      </c>
      <c r="T433" t="s">
        <v>41</v>
      </c>
      <c r="U433" t="s">
        <v>33</v>
      </c>
      <c r="V433" s="3">
        <v>59218</v>
      </c>
      <c r="W433">
        <v>3.38</v>
      </c>
      <c r="X433">
        <v>3</v>
      </c>
      <c r="Y433" s="1">
        <f>EV_Data4[[#This Row],[range_miles]]/EV_Data4[[#This Row],[battery_capacity_kwh]]</f>
        <v>3.1958762886597936</v>
      </c>
      <c r="Z433" s="4">
        <f>EV_Data4[[#This Row],[price_usd]]/EV_Data4[[#This Row],[range_miles]]</f>
        <v>394.99903225806457</v>
      </c>
      <c r="AA433" s="2">
        <f>(EV_Data4[[#This Row],[customer_rating]]*EV_Data4[[#This Row],[safety_rating]]*1000)/EV_Data4[[#This Row],[price_usd]]</f>
        <v>0.23002642445564722</v>
      </c>
      <c r="AB433">
        <f>EV_Data4[[#This Row],[horsepower]]+EV_Data4[[#This Row],[torque_nm]]/EV_Data4[[#This Row],[acceleration_0_60_mph]]</f>
        <v>960.05124835742447</v>
      </c>
      <c r="AC433" t="str">
        <f>IF(EV_Data4[[#This Row],[price_usd]]&gt;=80000,"Luxury",IF(EV_Data4[[#This Row],[price_usd]]&gt;=40000,"Mid-Range","Budget"))</f>
        <v>Mid-Range</v>
      </c>
      <c r="AD433" t="str">
        <f>IF(EV_Data4[[#This Row],[range_miles]]&gt;=350,"Long-Range",IF(EV_Data4[[#This Row],[range_miles]]&gt;=250,"Medium-Range","Short-Range"))</f>
        <v>Short-Range</v>
      </c>
      <c r="AE433" t="str">
        <f>IF(EV_Data4[[#This Row],[charging_speed_kw]]&gt;=250,"Ultra-Fast",IF(EV_Data4[[#This Row],[charging_speed_kw]]&gt;=150,"Fast-Charging","Standard-Charging"))</f>
        <v>Standard-Charging</v>
      </c>
      <c r="AF433" t="str">
        <f>IF(EV_Data4[[#This Row],[acceleration_0_60_mph]]&lt;=3,"SportsPerformance",IF(EV_Data4[[#This Row],[acceleration_0_60_mph]]&lt;=5,"HighPerformance","Standard"))</f>
        <v>Standard</v>
      </c>
      <c r="AG433" t="str">
        <f>IF(EV_Data4[[#This Row],[customer_rating]]&gt;=4.5,"Excellent",IF(EV_Data4[[#This Row],[customer_rating]]&gt;=3.5,"Good","Average"))</f>
        <v>Average</v>
      </c>
      <c r="AH43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34" spans="1:34" x14ac:dyDescent="0.3">
      <c r="A434" t="s">
        <v>42</v>
      </c>
      <c r="B434" t="s">
        <v>54</v>
      </c>
      <c r="C434">
        <v>2026</v>
      </c>
      <c r="D434" t="s">
        <v>61</v>
      </c>
      <c r="E434" s="3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34</v>
      </c>
      <c r="N434">
        <v>7</v>
      </c>
      <c r="O434" t="s">
        <v>35</v>
      </c>
      <c r="P434">
        <v>55.2</v>
      </c>
      <c r="Q434">
        <v>1981</v>
      </c>
      <c r="R434">
        <v>4</v>
      </c>
      <c r="S434">
        <v>0</v>
      </c>
      <c r="T434" t="s">
        <v>45</v>
      </c>
      <c r="U434" t="s">
        <v>33</v>
      </c>
      <c r="V434" s="3">
        <v>69075</v>
      </c>
      <c r="W434">
        <v>3.22</v>
      </c>
      <c r="X434">
        <v>5</v>
      </c>
      <c r="Y434" s="1">
        <f>EV_Data4[[#This Row],[range_miles]]/EV_Data4[[#This Row],[battery_capacity_kwh]]</f>
        <v>3.3389544688026982</v>
      </c>
      <c r="Z434" s="4">
        <f>EV_Data4[[#This Row],[price_usd]]/EV_Data4[[#This Row],[range_miles]]</f>
        <v>365.40186868686874</v>
      </c>
      <c r="AA434" s="2">
        <f>(EV_Data4[[#This Row],[customer_rating]]*EV_Data4[[#This Row],[safety_rating]]*1000)/EV_Data4[[#This Row],[price_usd]]</f>
        <v>0.17802455494897895</v>
      </c>
      <c r="AB434">
        <f>EV_Data4[[#This Row],[horsepower]]+EV_Data4[[#This Row],[torque_nm]]/EV_Data4[[#This Row],[acceleration_0_60_mph]]</f>
        <v>947.14603616133513</v>
      </c>
      <c r="AC434" t="str">
        <f>IF(EV_Data4[[#This Row],[price_usd]]&gt;=80000,"Luxury",IF(EV_Data4[[#This Row],[price_usd]]&gt;=40000,"Mid-Range","Budget"))</f>
        <v>Mid-Range</v>
      </c>
      <c r="AD434" t="str">
        <f>IF(EV_Data4[[#This Row],[range_miles]]&gt;=350,"Long-Range",IF(EV_Data4[[#This Row],[range_miles]]&gt;=250,"Medium-Range","Short-Range"))</f>
        <v>Short-Range</v>
      </c>
      <c r="AE434" t="str">
        <f>IF(EV_Data4[[#This Row],[charging_speed_kw]]&gt;=250,"Ultra-Fast",IF(EV_Data4[[#This Row],[charging_speed_kw]]&gt;=150,"Fast-Charging","Standard-Charging"))</f>
        <v>Standard-Charging</v>
      </c>
      <c r="AF434" t="str">
        <f>IF(EV_Data4[[#This Row],[acceleration_0_60_mph]]&lt;=3,"SportsPerformance",IF(EV_Data4[[#This Row],[acceleration_0_60_mph]]&lt;=5,"HighPerformance","Standard"))</f>
        <v>Standard</v>
      </c>
      <c r="AG434" t="str">
        <f>IF(EV_Data4[[#This Row],[customer_rating]]&gt;=4.5,"Excellent",IF(EV_Data4[[#This Row],[customer_rating]]&gt;=3.5,"Good","Average"))</f>
        <v>Average</v>
      </c>
      <c r="AH43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35" spans="1:34" x14ac:dyDescent="0.3">
      <c r="A435" t="s">
        <v>46</v>
      </c>
      <c r="B435" t="s">
        <v>78</v>
      </c>
      <c r="C435">
        <v>2023</v>
      </c>
      <c r="D435" t="s">
        <v>26</v>
      </c>
      <c r="E435" s="3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27</v>
      </c>
      <c r="N435">
        <v>7</v>
      </c>
      <c r="O435" t="s">
        <v>35</v>
      </c>
      <c r="P435">
        <v>35.4</v>
      </c>
      <c r="Q435">
        <v>2085</v>
      </c>
      <c r="R435">
        <v>5</v>
      </c>
      <c r="S435">
        <v>3</v>
      </c>
      <c r="T435" t="s">
        <v>41</v>
      </c>
      <c r="U435" t="s">
        <v>33</v>
      </c>
      <c r="V435" s="3">
        <v>138082</v>
      </c>
      <c r="W435">
        <v>3.74</v>
      </c>
      <c r="X435">
        <v>5</v>
      </c>
      <c r="Y435" s="1">
        <f>EV_Data4[[#This Row],[range_miles]]/EV_Data4[[#This Row],[battery_capacity_kwh]]</f>
        <v>3.4655775962660442</v>
      </c>
      <c r="Z435" s="4">
        <f>EV_Data4[[#This Row],[price_usd]]/EV_Data4[[#This Row],[range_miles]]</f>
        <v>314.45188552188552</v>
      </c>
      <c r="AA435" s="2">
        <f>(EV_Data4[[#This Row],[customer_rating]]*EV_Data4[[#This Row],[safety_rating]]*1000)/EV_Data4[[#This Row],[price_usd]]</f>
        <v>0.20023083295705288</v>
      </c>
      <c r="AB435">
        <f>EV_Data4[[#This Row],[horsepower]]+EV_Data4[[#This Row],[torque_nm]]/EV_Data4[[#This Row],[acceleration_0_60_mph]]</f>
        <v>877.625</v>
      </c>
      <c r="AC435" t="str">
        <f>IF(EV_Data4[[#This Row],[price_usd]]&gt;=80000,"Luxury",IF(EV_Data4[[#This Row],[price_usd]]&gt;=40000,"Mid-Range","Budget"))</f>
        <v>Luxury</v>
      </c>
      <c r="AD435" t="str">
        <f>IF(EV_Data4[[#This Row],[range_miles]]&gt;=350,"Long-Range",IF(EV_Data4[[#This Row],[range_miles]]&gt;=250,"Medium-Range","Short-Range"))</f>
        <v>Medium-Range</v>
      </c>
      <c r="AE435" t="str">
        <f>IF(EV_Data4[[#This Row],[charging_speed_kw]]&gt;=250,"Ultra-Fast",IF(EV_Data4[[#This Row],[charging_speed_kw]]&gt;=150,"Fast-Charging","Standard-Charging"))</f>
        <v>Ultra-Fast</v>
      </c>
      <c r="AF435" t="str">
        <f>IF(EV_Data4[[#This Row],[acceleration_0_60_mph]]&lt;=3,"SportsPerformance",IF(EV_Data4[[#This Row],[acceleration_0_60_mph]]&lt;=5,"HighPerformance","Standard"))</f>
        <v>HighPerformance</v>
      </c>
      <c r="AG435" t="str">
        <f>IF(EV_Data4[[#This Row],[customer_rating]]&gt;=4.5,"Excellent",IF(EV_Data4[[#This Row],[customer_rating]]&gt;=3.5,"Good","Average"))</f>
        <v>Good</v>
      </c>
      <c r="AH435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436" spans="1:34" x14ac:dyDescent="0.3">
      <c r="A436" t="s">
        <v>46</v>
      </c>
      <c r="B436" t="s">
        <v>57</v>
      </c>
      <c r="C436">
        <v>2023</v>
      </c>
      <c r="D436" t="s">
        <v>33</v>
      </c>
      <c r="E436" s="3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34</v>
      </c>
      <c r="N436">
        <v>5</v>
      </c>
      <c r="O436" t="s">
        <v>50</v>
      </c>
      <c r="P436">
        <v>22.4</v>
      </c>
      <c r="Q436">
        <v>1577</v>
      </c>
      <c r="R436">
        <v>5</v>
      </c>
      <c r="S436">
        <v>2</v>
      </c>
      <c r="T436" t="s">
        <v>41</v>
      </c>
      <c r="U436" t="s">
        <v>30</v>
      </c>
      <c r="V436" s="3">
        <v>113179</v>
      </c>
      <c r="W436">
        <v>3.59</v>
      </c>
      <c r="X436">
        <v>5</v>
      </c>
      <c r="Y436" s="1">
        <f>EV_Data4[[#This Row],[range_miles]]/EV_Data4[[#This Row],[battery_capacity_kwh]]</f>
        <v>3.8197424892703862</v>
      </c>
      <c r="Z436" s="4">
        <f>EV_Data4[[#This Row],[price_usd]]/EV_Data4[[#This Row],[range_miles]]</f>
        <v>612.44966292134825</v>
      </c>
      <c r="AA436" s="2">
        <f>(EV_Data4[[#This Row],[customer_rating]]*EV_Data4[[#This Row],[safety_rating]]*1000)/EV_Data4[[#This Row],[price_usd]]</f>
        <v>0.16465466916611537</v>
      </c>
      <c r="AB436">
        <f>EV_Data4[[#This Row],[horsepower]]+EV_Data4[[#This Row],[torque_nm]]/EV_Data4[[#This Row],[acceleration_0_60_mph]]</f>
        <v>843.48936170212767</v>
      </c>
      <c r="AC436" t="str">
        <f>IF(EV_Data4[[#This Row],[price_usd]]&gt;=80000,"Luxury",IF(EV_Data4[[#This Row],[price_usd]]&gt;=40000,"Mid-Range","Budget"))</f>
        <v>Luxury</v>
      </c>
      <c r="AD436" t="str">
        <f>IF(EV_Data4[[#This Row],[range_miles]]&gt;=350,"Long-Range",IF(EV_Data4[[#This Row],[range_miles]]&gt;=250,"Medium-Range","Short-Range"))</f>
        <v>Short-Range</v>
      </c>
      <c r="AE436" t="str">
        <f>IF(EV_Data4[[#This Row],[charging_speed_kw]]&gt;=250,"Ultra-Fast",IF(EV_Data4[[#This Row],[charging_speed_kw]]&gt;=150,"Fast-Charging","Standard-Charging"))</f>
        <v>Ultra-Fast</v>
      </c>
      <c r="AF436" t="str">
        <f>IF(EV_Data4[[#This Row],[acceleration_0_60_mph]]&lt;=3,"SportsPerformance",IF(EV_Data4[[#This Row],[acceleration_0_60_mph]]&lt;=5,"HighPerformance","Standard"))</f>
        <v>Standard</v>
      </c>
      <c r="AG436" t="str">
        <f>IF(EV_Data4[[#This Row],[customer_rating]]&gt;=4.5,"Excellent",IF(EV_Data4[[#This Row],[customer_rating]]&gt;=3.5,"Good","Average"))</f>
        <v>Good</v>
      </c>
      <c r="AH43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37" spans="1:34" x14ac:dyDescent="0.3">
      <c r="A437" t="s">
        <v>38</v>
      </c>
      <c r="B437" t="s">
        <v>39</v>
      </c>
      <c r="C437">
        <v>2024</v>
      </c>
      <c r="D437" t="s">
        <v>61</v>
      </c>
      <c r="E437" s="3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34</v>
      </c>
      <c r="N437">
        <v>7</v>
      </c>
      <c r="O437" t="s">
        <v>51</v>
      </c>
      <c r="P437">
        <v>26.9</v>
      </c>
      <c r="Q437">
        <v>1673</v>
      </c>
      <c r="R437">
        <v>5</v>
      </c>
      <c r="S437">
        <v>0</v>
      </c>
      <c r="T437" t="s">
        <v>41</v>
      </c>
      <c r="U437" t="s">
        <v>37</v>
      </c>
      <c r="V437" s="3">
        <v>24616</v>
      </c>
      <c r="W437">
        <v>3.08</v>
      </c>
      <c r="X437">
        <v>4</v>
      </c>
      <c r="Y437" s="1">
        <f>EV_Data4[[#This Row],[range_miles]]/EV_Data4[[#This Row],[battery_capacity_kwh]]</f>
        <v>3.2692307692307692</v>
      </c>
      <c r="Z437" s="4">
        <f>EV_Data4[[#This Row],[price_usd]]/EV_Data4[[#This Row],[range_miles]]</f>
        <v>238.43729411764704</v>
      </c>
      <c r="AA437" s="2">
        <f>(EV_Data4[[#This Row],[customer_rating]]*EV_Data4[[#This Row],[safety_rating]]*1000)/EV_Data4[[#This Row],[price_usd]]</f>
        <v>0.37992477489457088</v>
      </c>
      <c r="AB437">
        <f>EV_Data4[[#This Row],[horsepower]]+EV_Data4[[#This Row],[torque_nm]]/EV_Data4[[#This Row],[acceleration_0_60_mph]]</f>
        <v>455.5875706214689</v>
      </c>
      <c r="AC437" t="str">
        <f>IF(EV_Data4[[#This Row],[price_usd]]&gt;=80000,"Luxury",IF(EV_Data4[[#This Row],[price_usd]]&gt;=40000,"Mid-Range","Budget"))</f>
        <v>Mid-Range</v>
      </c>
      <c r="AD437" t="str">
        <f>IF(EV_Data4[[#This Row],[range_miles]]&gt;=350,"Long-Range",IF(EV_Data4[[#This Row],[range_miles]]&gt;=250,"Medium-Range","Short-Range"))</f>
        <v>Short-Range</v>
      </c>
      <c r="AE437" t="str">
        <f>IF(EV_Data4[[#This Row],[charging_speed_kw]]&gt;=250,"Ultra-Fast",IF(EV_Data4[[#This Row],[charging_speed_kw]]&gt;=150,"Fast-Charging","Standard-Charging"))</f>
        <v>Standard-Charging</v>
      </c>
      <c r="AF437" t="str">
        <f>IF(EV_Data4[[#This Row],[acceleration_0_60_mph]]&lt;=3,"SportsPerformance",IF(EV_Data4[[#This Row],[acceleration_0_60_mph]]&lt;=5,"HighPerformance","Standard"))</f>
        <v>Standard</v>
      </c>
      <c r="AG437" t="str">
        <f>IF(EV_Data4[[#This Row],[customer_rating]]&gt;=4.5,"Excellent",IF(EV_Data4[[#This Row],[customer_rating]]&gt;=3.5,"Good","Average"))</f>
        <v>Average</v>
      </c>
      <c r="AH43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38" spans="1:34" x14ac:dyDescent="0.3">
      <c r="A438" t="s">
        <v>46</v>
      </c>
      <c r="B438" t="s">
        <v>49</v>
      </c>
      <c r="C438">
        <v>2024</v>
      </c>
      <c r="D438" t="s">
        <v>33</v>
      </c>
      <c r="E438" s="3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48</v>
      </c>
      <c r="N438">
        <v>5</v>
      </c>
      <c r="O438" t="s">
        <v>58</v>
      </c>
      <c r="P438">
        <v>25</v>
      </c>
      <c r="Q438">
        <v>1500</v>
      </c>
      <c r="R438">
        <v>5</v>
      </c>
      <c r="S438">
        <v>3</v>
      </c>
      <c r="T438" t="s">
        <v>41</v>
      </c>
      <c r="U438" t="s">
        <v>37</v>
      </c>
      <c r="V438" s="3">
        <v>423769</v>
      </c>
      <c r="W438">
        <v>3.45</v>
      </c>
      <c r="X438">
        <v>4</v>
      </c>
      <c r="Y438" s="1">
        <f>EV_Data4[[#This Row],[range_miles]]/EV_Data4[[#This Row],[battery_capacity_kwh]]</f>
        <v>3.7748344370860929</v>
      </c>
      <c r="Z438" s="4">
        <f>EV_Data4[[#This Row],[price_usd]]/EV_Data4[[#This Row],[range_miles]]</f>
        <v>279.32894736842104</v>
      </c>
      <c r="AA438" s="2">
        <f>(EV_Data4[[#This Row],[customer_rating]]*EV_Data4[[#This Row],[safety_rating]]*1000)/EV_Data4[[#This Row],[price_usd]]</f>
        <v>0.36114120621162876</v>
      </c>
      <c r="AB438">
        <f>EV_Data4[[#This Row],[horsepower]]+EV_Data4[[#This Row],[torque_nm]]/EV_Data4[[#This Row],[acceleration_0_60_mph]]</f>
        <v>356.88</v>
      </c>
      <c r="AC438" t="str">
        <f>IF(EV_Data4[[#This Row],[price_usd]]&gt;=80000,"Luxury",IF(EV_Data4[[#This Row],[price_usd]]&gt;=40000,"Mid-Range","Budget"))</f>
        <v>Mid-Range</v>
      </c>
      <c r="AD438" t="str">
        <f>IF(EV_Data4[[#This Row],[range_miles]]&gt;=350,"Long-Range",IF(EV_Data4[[#This Row],[range_miles]]&gt;=250,"Medium-Range","Short-Range"))</f>
        <v>Short-Range</v>
      </c>
      <c r="AE438" t="str">
        <f>IF(EV_Data4[[#This Row],[charging_speed_kw]]&gt;=250,"Ultra-Fast",IF(EV_Data4[[#This Row],[charging_speed_kw]]&gt;=150,"Fast-Charging","Standard-Charging"))</f>
        <v>Ultra-Fast</v>
      </c>
      <c r="AF438" t="str">
        <f>IF(EV_Data4[[#This Row],[acceleration_0_60_mph]]&lt;=3,"SportsPerformance",IF(EV_Data4[[#This Row],[acceleration_0_60_mph]]&lt;=5,"HighPerformance","Standard"))</f>
        <v>Standard</v>
      </c>
      <c r="AG438" t="str">
        <f>IF(EV_Data4[[#This Row],[customer_rating]]&gt;=4.5,"Excellent",IF(EV_Data4[[#This Row],[customer_rating]]&gt;=3.5,"Good","Average"))</f>
        <v>Average</v>
      </c>
      <c r="AH43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439" spans="1:34" x14ac:dyDescent="0.3">
      <c r="A439" t="s">
        <v>76</v>
      </c>
      <c r="B439" t="s">
        <v>77</v>
      </c>
      <c r="C439">
        <v>2024</v>
      </c>
      <c r="D439" t="s">
        <v>26</v>
      </c>
      <c r="E439" s="3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48</v>
      </c>
      <c r="N439">
        <v>7</v>
      </c>
      <c r="O439" t="s">
        <v>40</v>
      </c>
      <c r="P439">
        <v>71.5</v>
      </c>
      <c r="Q439">
        <v>1569</v>
      </c>
      <c r="R439">
        <v>4</v>
      </c>
      <c r="S439">
        <v>0</v>
      </c>
      <c r="T439" t="s">
        <v>41</v>
      </c>
      <c r="U439" t="s">
        <v>33</v>
      </c>
      <c r="V439" s="3">
        <v>52532</v>
      </c>
      <c r="W439">
        <v>3.34</v>
      </c>
      <c r="X439">
        <v>5</v>
      </c>
      <c r="Y439" s="1">
        <f>EV_Data4[[#This Row],[range_miles]]/EV_Data4[[#This Row],[battery_capacity_kwh]]</f>
        <v>3.5893854748603355</v>
      </c>
      <c r="Z439" s="4">
        <f>EV_Data4[[#This Row],[price_usd]]/EV_Data4[[#This Row],[range_miles]]</f>
        <v>360.83638132295721</v>
      </c>
      <c r="AA439" s="2">
        <f>(EV_Data4[[#This Row],[customer_rating]]*EV_Data4[[#This Row],[safety_rating]]*1000)/EV_Data4[[#This Row],[price_usd]]</f>
        <v>0.14406650351350814</v>
      </c>
      <c r="AB439">
        <f>EV_Data4[[#This Row],[horsepower]]+EV_Data4[[#This Row],[torque_nm]]/EV_Data4[[#This Row],[acceleration_0_60_mph]]</f>
        <v>1217.2985781990521</v>
      </c>
      <c r="AC439" t="str">
        <f>IF(EV_Data4[[#This Row],[price_usd]]&gt;=80000,"Luxury",IF(EV_Data4[[#This Row],[price_usd]]&gt;=40000,"Mid-Range","Budget"))</f>
        <v>Luxury</v>
      </c>
      <c r="AD439" t="str">
        <f>IF(EV_Data4[[#This Row],[range_miles]]&gt;=350,"Long-Range",IF(EV_Data4[[#This Row],[range_miles]]&gt;=250,"Medium-Range","Short-Range"))</f>
        <v>Medium-Range</v>
      </c>
      <c r="AE439" t="str">
        <f>IF(EV_Data4[[#This Row],[charging_speed_kw]]&gt;=250,"Ultra-Fast",IF(EV_Data4[[#This Row],[charging_speed_kw]]&gt;=150,"Fast-Charging","Standard-Charging"))</f>
        <v>Fast-Charging</v>
      </c>
      <c r="AF439" t="str">
        <f>IF(EV_Data4[[#This Row],[acceleration_0_60_mph]]&lt;=3,"SportsPerformance",IF(EV_Data4[[#This Row],[acceleration_0_60_mph]]&lt;=5,"HighPerformance","Standard"))</f>
        <v>HighPerformance</v>
      </c>
      <c r="AG439" t="str">
        <f>IF(EV_Data4[[#This Row],[customer_rating]]&gt;=4.5,"Excellent",IF(EV_Data4[[#This Row],[customer_rating]]&gt;=3.5,"Good","Average"))</f>
        <v>Average</v>
      </c>
      <c r="AH43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40" spans="1:34" x14ac:dyDescent="0.3">
      <c r="A440" t="s">
        <v>38</v>
      </c>
      <c r="B440" t="s">
        <v>101</v>
      </c>
      <c r="C440">
        <v>2024</v>
      </c>
      <c r="D440" t="s">
        <v>61</v>
      </c>
      <c r="E440" s="3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48</v>
      </c>
      <c r="N440">
        <v>5</v>
      </c>
      <c r="O440" t="s">
        <v>35</v>
      </c>
      <c r="P440">
        <v>44.5</v>
      </c>
      <c r="Q440">
        <v>2061</v>
      </c>
      <c r="R440">
        <v>4</v>
      </c>
      <c r="S440">
        <v>1</v>
      </c>
      <c r="T440" t="s">
        <v>41</v>
      </c>
      <c r="U440" t="s">
        <v>37</v>
      </c>
      <c r="V440" s="3">
        <v>25295</v>
      </c>
      <c r="W440">
        <v>3.72</v>
      </c>
      <c r="X440">
        <v>5</v>
      </c>
      <c r="Y440" s="1">
        <f>EV_Data4[[#This Row],[range_miles]]/EV_Data4[[#This Row],[battery_capacity_kwh]]</f>
        <v>3.6771844660194173</v>
      </c>
      <c r="Z440" s="4">
        <f>EV_Data4[[#This Row],[price_usd]]/EV_Data4[[#This Row],[range_miles]]</f>
        <v>174.94194719471949</v>
      </c>
      <c r="AA440" s="2">
        <f>(EV_Data4[[#This Row],[customer_rating]]*EV_Data4[[#This Row],[safety_rating]]*1000)/EV_Data4[[#This Row],[price_usd]]</f>
        <v>0.28071546978054573</v>
      </c>
      <c r="AB440">
        <f>EV_Data4[[#This Row],[horsepower]]+EV_Data4[[#This Row],[torque_nm]]/EV_Data4[[#This Row],[acceleration_0_60_mph]]</f>
        <v>695.02702702702697</v>
      </c>
      <c r="AC440" t="str">
        <f>IF(EV_Data4[[#This Row],[price_usd]]&gt;=80000,"Luxury",IF(EV_Data4[[#This Row],[price_usd]]&gt;=40000,"Mid-Range","Budget"))</f>
        <v>Mid-Range</v>
      </c>
      <c r="AD440" t="str">
        <f>IF(EV_Data4[[#This Row],[range_miles]]&gt;=350,"Long-Range",IF(EV_Data4[[#This Row],[range_miles]]&gt;=250,"Medium-Range","Short-Range"))</f>
        <v>Medium-Range</v>
      </c>
      <c r="AE440" t="str">
        <f>IF(EV_Data4[[#This Row],[charging_speed_kw]]&gt;=250,"Ultra-Fast",IF(EV_Data4[[#This Row],[charging_speed_kw]]&gt;=150,"Fast-Charging","Standard-Charging"))</f>
        <v>Standard-Charging</v>
      </c>
      <c r="AF440" t="str">
        <f>IF(EV_Data4[[#This Row],[acceleration_0_60_mph]]&lt;=3,"SportsPerformance",IF(EV_Data4[[#This Row],[acceleration_0_60_mph]]&lt;=5,"HighPerformance","Standard"))</f>
        <v>Standard</v>
      </c>
      <c r="AG440" t="str">
        <f>IF(EV_Data4[[#This Row],[customer_rating]]&gt;=4.5,"Excellent",IF(EV_Data4[[#This Row],[customer_rating]]&gt;=3.5,"Good","Average"))</f>
        <v>Good</v>
      </c>
      <c r="AH44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41" spans="1:34" x14ac:dyDescent="0.3">
      <c r="A441" t="s">
        <v>46</v>
      </c>
      <c r="B441" t="s">
        <v>47</v>
      </c>
      <c r="C441">
        <v>2024</v>
      </c>
      <c r="D441" t="s">
        <v>44</v>
      </c>
      <c r="E441" s="3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27</v>
      </c>
      <c r="N441">
        <v>7</v>
      </c>
      <c r="O441" t="s">
        <v>58</v>
      </c>
      <c r="P441">
        <v>25.1</v>
      </c>
      <c r="Q441">
        <v>1610</v>
      </c>
      <c r="R441">
        <v>5</v>
      </c>
      <c r="S441">
        <v>3</v>
      </c>
      <c r="T441" t="s">
        <v>41</v>
      </c>
      <c r="U441" t="s">
        <v>33</v>
      </c>
      <c r="V441" s="3">
        <v>155185</v>
      </c>
      <c r="W441">
        <v>4.1399999999999997</v>
      </c>
      <c r="X441">
        <v>5</v>
      </c>
      <c r="Y441" s="1">
        <f>EV_Data4[[#This Row],[range_miles]]/EV_Data4[[#This Row],[battery_capacity_kwh]]</f>
        <v>3.7124183006535949</v>
      </c>
      <c r="Z441" s="4">
        <f>EV_Data4[[#This Row],[price_usd]]/EV_Data4[[#This Row],[range_miles]]</f>
        <v>263.26214788732392</v>
      </c>
      <c r="AA441" s="2">
        <f>(EV_Data4[[#This Row],[customer_rating]]*EV_Data4[[#This Row],[safety_rating]]*1000)/EV_Data4[[#This Row],[price_usd]]</f>
        <v>0.27686214873114878</v>
      </c>
      <c r="AB441">
        <f>EV_Data4[[#This Row],[horsepower]]+EV_Data4[[#This Row],[torque_nm]]/EV_Data4[[#This Row],[acceleration_0_60_mph]]</f>
        <v>574.956204379562</v>
      </c>
      <c r="AC441" t="str">
        <f>IF(EV_Data4[[#This Row],[price_usd]]&gt;=80000,"Luxury",IF(EV_Data4[[#This Row],[price_usd]]&gt;=40000,"Mid-Range","Budget"))</f>
        <v>Mid-Range</v>
      </c>
      <c r="AD441" t="str">
        <f>IF(EV_Data4[[#This Row],[range_miles]]&gt;=350,"Long-Range",IF(EV_Data4[[#This Row],[range_miles]]&gt;=250,"Medium-Range","Short-Range"))</f>
        <v>Medium-Range</v>
      </c>
      <c r="AE441" t="str">
        <f>IF(EV_Data4[[#This Row],[charging_speed_kw]]&gt;=250,"Ultra-Fast",IF(EV_Data4[[#This Row],[charging_speed_kw]]&gt;=150,"Fast-Charging","Standard-Charging"))</f>
        <v>Ultra-Fast</v>
      </c>
      <c r="AF441" t="str">
        <f>IF(EV_Data4[[#This Row],[acceleration_0_60_mph]]&lt;=3,"SportsPerformance",IF(EV_Data4[[#This Row],[acceleration_0_60_mph]]&lt;=5,"HighPerformance","Standard"))</f>
        <v>Standard</v>
      </c>
      <c r="AG441" t="str">
        <f>IF(EV_Data4[[#This Row],[customer_rating]]&gt;=4.5,"Excellent",IF(EV_Data4[[#This Row],[customer_rating]]&gt;=3.5,"Good","Average"))</f>
        <v>Good</v>
      </c>
      <c r="AH441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442" spans="1:34" x14ac:dyDescent="0.3">
      <c r="A442" t="s">
        <v>46</v>
      </c>
      <c r="B442" t="s">
        <v>57</v>
      </c>
      <c r="C442">
        <v>2025</v>
      </c>
      <c r="D442" t="s">
        <v>56</v>
      </c>
      <c r="E442" s="3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34</v>
      </c>
      <c r="N442">
        <v>7</v>
      </c>
      <c r="O442" t="s">
        <v>35</v>
      </c>
      <c r="P442">
        <v>50.8</v>
      </c>
      <c r="Q442">
        <v>1663</v>
      </c>
      <c r="R442">
        <v>5</v>
      </c>
      <c r="S442">
        <v>2</v>
      </c>
      <c r="T442" t="s">
        <v>41</v>
      </c>
      <c r="U442" t="s">
        <v>37</v>
      </c>
      <c r="V442" s="3">
        <v>118264</v>
      </c>
      <c r="W442">
        <v>3.47</v>
      </c>
      <c r="X442">
        <v>6</v>
      </c>
      <c r="Y442" s="1">
        <f>EV_Data4[[#This Row],[range_miles]]/EV_Data4[[#This Row],[battery_capacity_kwh]]</f>
        <v>3.5891647855530477</v>
      </c>
      <c r="Z442" s="4">
        <f>EV_Data4[[#This Row],[price_usd]]/EV_Data4[[#This Row],[range_miles]]</f>
        <v>270.54433962264153</v>
      </c>
      <c r="AA442" s="2">
        <f>(EV_Data4[[#This Row],[customer_rating]]*EV_Data4[[#This Row],[safety_rating]]*1000)/EV_Data4[[#This Row],[price_usd]]</f>
        <v>0.4033331357349671</v>
      </c>
      <c r="AB442">
        <f>EV_Data4[[#This Row],[horsepower]]+EV_Data4[[#This Row],[torque_nm]]/EV_Data4[[#This Row],[acceleration_0_60_mph]]</f>
        <v>371.79717813051144</v>
      </c>
      <c r="AC442" t="str">
        <f>IF(EV_Data4[[#This Row],[price_usd]]&gt;=80000,"Luxury",IF(EV_Data4[[#This Row],[price_usd]]&gt;=40000,"Mid-Range","Budget"))</f>
        <v>Mid-Range</v>
      </c>
      <c r="AD442" t="str">
        <f>IF(EV_Data4[[#This Row],[range_miles]]&gt;=350,"Long-Range",IF(EV_Data4[[#This Row],[range_miles]]&gt;=250,"Medium-Range","Short-Range"))</f>
        <v>Short-Range</v>
      </c>
      <c r="AE442" t="str">
        <f>IF(EV_Data4[[#This Row],[charging_speed_kw]]&gt;=250,"Ultra-Fast",IF(EV_Data4[[#This Row],[charging_speed_kw]]&gt;=150,"Fast-Charging","Standard-Charging"))</f>
        <v>Ultra-Fast</v>
      </c>
      <c r="AF442" t="str">
        <f>IF(EV_Data4[[#This Row],[acceleration_0_60_mph]]&lt;=3,"SportsPerformance",IF(EV_Data4[[#This Row],[acceleration_0_60_mph]]&lt;=5,"HighPerformance","Standard"))</f>
        <v>Standard</v>
      </c>
      <c r="AG442" t="str">
        <f>IF(EV_Data4[[#This Row],[customer_rating]]&gt;=4.5,"Excellent",IF(EV_Data4[[#This Row],[customer_rating]]&gt;=3.5,"Good","Average"))</f>
        <v>Average</v>
      </c>
      <c r="AH44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43" spans="1:34" x14ac:dyDescent="0.3">
      <c r="A443" t="s">
        <v>99</v>
      </c>
      <c r="B443" t="s">
        <v>113</v>
      </c>
      <c r="C443">
        <v>2023</v>
      </c>
      <c r="D443" t="s">
        <v>56</v>
      </c>
      <c r="E443" s="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48</v>
      </c>
      <c r="N443">
        <v>5</v>
      </c>
      <c r="O443" t="s">
        <v>50</v>
      </c>
      <c r="P443">
        <v>17.8</v>
      </c>
      <c r="Q443">
        <v>1755</v>
      </c>
      <c r="R443">
        <v>4</v>
      </c>
      <c r="S443">
        <v>2</v>
      </c>
      <c r="T443" t="s">
        <v>29</v>
      </c>
      <c r="U443" t="s">
        <v>30</v>
      </c>
      <c r="V443" s="3">
        <v>24347</v>
      </c>
      <c r="W443">
        <v>3.55</v>
      </c>
      <c r="X443">
        <v>7</v>
      </c>
      <c r="Y443" s="1">
        <f>EV_Data4[[#This Row],[range_miles]]/EV_Data4[[#This Row],[battery_capacity_kwh]]</f>
        <v>3.7535410764872523</v>
      </c>
      <c r="Z443" s="4">
        <f>EV_Data4[[#This Row],[price_usd]]/EV_Data4[[#This Row],[range_miles]]</f>
        <v>548.16143396226414</v>
      </c>
      <c r="AA443" s="2">
        <f>(EV_Data4[[#This Row],[customer_rating]]*EV_Data4[[#This Row],[safety_rating]]*1000)/EV_Data4[[#This Row],[price_usd]]</f>
        <v>9.7753877490159555E-2</v>
      </c>
      <c r="AB443">
        <f>EV_Data4[[#This Row],[horsepower]]+EV_Data4[[#This Row],[torque_nm]]/EV_Data4[[#This Row],[acceleration_0_60_mph]]</f>
        <v>699.45844504021443</v>
      </c>
      <c r="AC443" t="str">
        <f>IF(EV_Data4[[#This Row],[price_usd]]&gt;=80000,"Luxury",IF(EV_Data4[[#This Row],[price_usd]]&gt;=40000,"Mid-Range","Budget"))</f>
        <v>Luxury</v>
      </c>
      <c r="AD443" t="str">
        <f>IF(EV_Data4[[#This Row],[range_miles]]&gt;=350,"Long-Range",IF(EV_Data4[[#This Row],[range_miles]]&gt;=250,"Medium-Range","Short-Range"))</f>
        <v>Medium-Range</v>
      </c>
      <c r="AE443" t="str">
        <f>IF(EV_Data4[[#This Row],[charging_speed_kw]]&gt;=250,"Ultra-Fast",IF(EV_Data4[[#This Row],[charging_speed_kw]]&gt;=150,"Fast-Charging","Standard-Charging"))</f>
        <v>Ultra-Fast</v>
      </c>
      <c r="AF443" t="str">
        <f>IF(EV_Data4[[#This Row],[acceleration_0_60_mph]]&lt;=3,"SportsPerformance",IF(EV_Data4[[#This Row],[acceleration_0_60_mph]]&lt;=5,"HighPerformance","Standard"))</f>
        <v>Standard</v>
      </c>
      <c r="AG443" t="str">
        <f>IF(EV_Data4[[#This Row],[customer_rating]]&gt;=4.5,"Excellent",IF(EV_Data4[[#This Row],[customer_rating]]&gt;=3.5,"Good","Average"))</f>
        <v>Good</v>
      </c>
      <c r="AH44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44" spans="1:34" x14ac:dyDescent="0.3">
      <c r="A444" t="s">
        <v>24</v>
      </c>
      <c r="B444" t="s">
        <v>70</v>
      </c>
      <c r="C444">
        <v>2022</v>
      </c>
      <c r="D444" t="s">
        <v>26</v>
      </c>
      <c r="E444" s="3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48</v>
      </c>
      <c r="N444">
        <v>7</v>
      </c>
      <c r="O444" t="s">
        <v>28</v>
      </c>
      <c r="P444">
        <v>65.3</v>
      </c>
      <c r="Q444">
        <v>2347</v>
      </c>
      <c r="R444">
        <v>5</v>
      </c>
      <c r="S444">
        <v>1</v>
      </c>
      <c r="T444" t="s">
        <v>29</v>
      </c>
      <c r="U444" t="s">
        <v>30</v>
      </c>
      <c r="V444" s="3">
        <v>252835</v>
      </c>
      <c r="W444">
        <v>3.37</v>
      </c>
      <c r="X444">
        <v>5</v>
      </c>
      <c r="Y444" s="1">
        <f>EV_Data4[[#This Row],[range_miles]]/EV_Data4[[#This Row],[battery_capacity_kwh]]</f>
        <v>3.6211340206185572</v>
      </c>
      <c r="Z444" s="4">
        <f>EV_Data4[[#This Row],[price_usd]]/EV_Data4[[#This Row],[range_miles]]</f>
        <v>364.65010676156584</v>
      </c>
      <c r="AA444" s="2">
        <f>(EV_Data4[[#This Row],[customer_rating]]*EV_Data4[[#This Row],[safety_rating]]*1000)/EV_Data4[[#This Row],[price_usd]]</f>
        <v>0.16444370013744958</v>
      </c>
      <c r="AB444">
        <f>EV_Data4[[#This Row],[horsepower]]+EV_Data4[[#This Row],[torque_nm]]/EV_Data4[[#This Row],[acceleration_0_60_mph]]</f>
        <v>1215.0485436893205</v>
      </c>
      <c r="AC444" t="str">
        <f>IF(EV_Data4[[#This Row],[price_usd]]&gt;=80000,"Luxury",IF(EV_Data4[[#This Row],[price_usd]]&gt;=40000,"Mid-Range","Budget"))</f>
        <v>Luxury</v>
      </c>
      <c r="AD444" t="str">
        <f>IF(EV_Data4[[#This Row],[range_miles]]&gt;=350,"Long-Range",IF(EV_Data4[[#This Row],[range_miles]]&gt;=250,"Medium-Range","Short-Range"))</f>
        <v>Medium-Range</v>
      </c>
      <c r="AE444" t="str">
        <f>IF(EV_Data4[[#This Row],[charging_speed_kw]]&gt;=250,"Ultra-Fast",IF(EV_Data4[[#This Row],[charging_speed_kw]]&gt;=150,"Fast-Charging","Standard-Charging"))</f>
        <v>Fast-Charging</v>
      </c>
      <c r="AF444" t="str">
        <f>IF(EV_Data4[[#This Row],[acceleration_0_60_mph]]&lt;=3,"SportsPerformance",IF(EV_Data4[[#This Row],[acceleration_0_60_mph]]&lt;=5,"HighPerformance","Standard"))</f>
        <v>HighPerformance</v>
      </c>
      <c r="AG444" t="str">
        <f>IF(EV_Data4[[#This Row],[customer_rating]]&gt;=4.5,"Excellent",IF(EV_Data4[[#This Row],[customer_rating]]&gt;=3.5,"Good","Average"))</f>
        <v>Average</v>
      </c>
      <c r="AH44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45" spans="1:34" x14ac:dyDescent="0.3">
      <c r="A445" t="s">
        <v>24</v>
      </c>
      <c r="B445" t="s">
        <v>70</v>
      </c>
      <c r="C445">
        <v>2025</v>
      </c>
      <c r="D445" t="s">
        <v>26</v>
      </c>
      <c r="E445" s="3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48</v>
      </c>
      <c r="N445">
        <v>7</v>
      </c>
      <c r="O445" t="s">
        <v>58</v>
      </c>
      <c r="P445">
        <v>23.8</v>
      </c>
      <c r="Q445">
        <v>1721</v>
      </c>
      <c r="R445">
        <v>4</v>
      </c>
      <c r="S445">
        <v>0</v>
      </c>
      <c r="T445" t="s">
        <v>29</v>
      </c>
      <c r="U445" t="s">
        <v>33</v>
      </c>
      <c r="V445" s="3">
        <v>296982</v>
      </c>
      <c r="W445">
        <v>3.45</v>
      </c>
      <c r="X445">
        <v>3</v>
      </c>
      <c r="Y445" s="1">
        <f>EV_Data4[[#This Row],[range_miles]]/EV_Data4[[#This Row],[battery_capacity_kwh]]</f>
        <v>3.2989690721649487</v>
      </c>
      <c r="Z445" s="4">
        <f>EV_Data4[[#This Row],[price_usd]]/EV_Data4[[#This Row],[range_miles]]</f>
        <v>258.82488281249999</v>
      </c>
      <c r="AA445" s="2">
        <f>(EV_Data4[[#This Row],[customer_rating]]*EV_Data4[[#This Row],[safety_rating]]*1000)/EV_Data4[[#This Row],[price_usd]]</f>
        <v>0.20827305865739038</v>
      </c>
      <c r="AB445">
        <f>EV_Data4[[#This Row],[horsepower]]+EV_Data4[[#This Row],[torque_nm]]/EV_Data4[[#This Row],[acceleration_0_60_mph]]</f>
        <v>881.5797101449275</v>
      </c>
      <c r="AC445" t="str">
        <f>IF(EV_Data4[[#This Row],[price_usd]]&gt;=80000,"Luxury",IF(EV_Data4[[#This Row],[price_usd]]&gt;=40000,"Mid-Range","Budget"))</f>
        <v>Mid-Range</v>
      </c>
      <c r="AD445" t="str">
        <f>IF(EV_Data4[[#This Row],[range_miles]]&gt;=350,"Long-Range",IF(EV_Data4[[#This Row],[range_miles]]&gt;=250,"Medium-Range","Short-Range"))</f>
        <v>Medium-Range</v>
      </c>
      <c r="AE445" t="str">
        <f>IF(EV_Data4[[#This Row],[charging_speed_kw]]&gt;=250,"Ultra-Fast",IF(EV_Data4[[#This Row],[charging_speed_kw]]&gt;=150,"Fast-Charging","Standard-Charging"))</f>
        <v>Fast-Charging</v>
      </c>
      <c r="AF445" t="str">
        <f>IF(EV_Data4[[#This Row],[acceleration_0_60_mph]]&lt;=3,"SportsPerformance",IF(EV_Data4[[#This Row],[acceleration_0_60_mph]]&lt;=5,"HighPerformance","Standard"))</f>
        <v>SportsPerformance</v>
      </c>
      <c r="AG445" t="str">
        <f>IF(EV_Data4[[#This Row],[customer_rating]]&gt;=4.5,"Excellent",IF(EV_Data4[[#This Row],[customer_rating]]&gt;=3.5,"Good","Average"))</f>
        <v>Average</v>
      </c>
      <c r="AH44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46" spans="1:34" x14ac:dyDescent="0.3">
      <c r="A446" t="s">
        <v>76</v>
      </c>
      <c r="B446" t="s">
        <v>98</v>
      </c>
      <c r="C446">
        <v>2026</v>
      </c>
      <c r="D446" t="s">
        <v>61</v>
      </c>
      <c r="E446" s="3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34</v>
      </c>
      <c r="N446">
        <v>5</v>
      </c>
      <c r="O446" t="s">
        <v>35</v>
      </c>
      <c r="P446">
        <v>37.700000000000003</v>
      </c>
      <c r="Q446">
        <v>2080</v>
      </c>
      <c r="R446">
        <v>3</v>
      </c>
      <c r="S446">
        <v>2</v>
      </c>
      <c r="T446" t="s">
        <v>41</v>
      </c>
      <c r="U446" t="s">
        <v>33</v>
      </c>
      <c r="V446" s="3">
        <v>61663</v>
      </c>
      <c r="W446">
        <v>3.2</v>
      </c>
      <c r="X446">
        <v>4</v>
      </c>
      <c r="Y446" s="1">
        <f>EV_Data4[[#This Row],[range_miles]]/EV_Data4[[#This Row],[battery_capacity_kwh]]</f>
        <v>3.6278195488721803</v>
      </c>
      <c r="Z446" s="4">
        <f>EV_Data4[[#This Row],[price_usd]]/EV_Data4[[#This Row],[range_miles]]</f>
        <v>358.22041450777198</v>
      </c>
      <c r="AA446" s="2">
        <f>(EV_Data4[[#This Row],[customer_rating]]*EV_Data4[[#This Row],[safety_rating]]*1000)/EV_Data4[[#This Row],[price_usd]]</f>
        <v>0.13885566156478185</v>
      </c>
      <c r="AB446">
        <f>EV_Data4[[#This Row],[horsepower]]+EV_Data4[[#This Row],[torque_nm]]/EV_Data4[[#This Row],[acceleration_0_60_mph]]</f>
        <v>868</v>
      </c>
      <c r="AC446" t="str">
        <f>IF(EV_Data4[[#This Row],[price_usd]]&gt;=80000,"Luxury",IF(EV_Data4[[#This Row],[price_usd]]&gt;=40000,"Mid-Range","Budget"))</f>
        <v>Mid-Range</v>
      </c>
      <c r="AD446" t="str">
        <f>IF(EV_Data4[[#This Row],[range_miles]]&gt;=350,"Long-Range",IF(EV_Data4[[#This Row],[range_miles]]&gt;=250,"Medium-Range","Short-Range"))</f>
        <v>Short-Range</v>
      </c>
      <c r="AE446" t="str">
        <f>IF(EV_Data4[[#This Row],[charging_speed_kw]]&gt;=250,"Ultra-Fast",IF(EV_Data4[[#This Row],[charging_speed_kw]]&gt;=150,"Fast-Charging","Standard-Charging"))</f>
        <v>Standard-Charging</v>
      </c>
      <c r="AF446" t="str">
        <f>IF(EV_Data4[[#This Row],[acceleration_0_60_mph]]&lt;=3,"SportsPerformance",IF(EV_Data4[[#This Row],[acceleration_0_60_mph]]&lt;=5,"HighPerformance","Standard"))</f>
        <v>Standard</v>
      </c>
      <c r="AG446" t="str">
        <f>IF(EV_Data4[[#This Row],[customer_rating]]&gt;=4.5,"Excellent",IF(EV_Data4[[#This Row],[customer_rating]]&gt;=3.5,"Good","Average"))</f>
        <v>Average</v>
      </c>
      <c r="AH44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47" spans="1:34" x14ac:dyDescent="0.3">
      <c r="A447" t="s">
        <v>31</v>
      </c>
      <c r="B447" t="s">
        <v>32</v>
      </c>
      <c r="C447">
        <v>2024</v>
      </c>
      <c r="D447" t="s">
        <v>44</v>
      </c>
      <c r="E447" s="3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34</v>
      </c>
      <c r="N447">
        <v>7</v>
      </c>
      <c r="O447" t="s">
        <v>35</v>
      </c>
      <c r="P447">
        <v>61.7</v>
      </c>
      <c r="Q447">
        <v>1886</v>
      </c>
      <c r="R447">
        <v>4</v>
      </c>
      <c r="S447">
        <v>0</v>
      </c>
      <c r="T447" t="s">
        <v>36</v>
      </c>
      <c r="U447" t="s">
        <v>33</v>
      </c>
      <c r="V447" s="3">
        <v>24507</v>
      </c>
      <c r="W447">
        <v>3.51</v>
      </c>
      <c r="X447">
        <v>4</v>
      </c>
      <c r="Y447" s="1">
        <f>EV_Data4[[#This Row],[range_miles]]/EV_Data4[[#This Row],[battery_capacity_kwh]]</f>
        <v>3.6015831134564644</v>
      </c>
      <c r="Z447" s="4">
        <f>EV_Data4[[#This Row],[price_usd]]/EV_Data4[[#This Row],[range_miles]]</f>
        <v>320.57003663003661</v>
      </c>
      <c r="AA447" s="2">
        <f>(EV_Data4[[#This Row],[customer_rating]]*EV_Data4[[#This Row],[safety_rating]]*1000)/EV_Data4[[#This Row],[price_usd]]</f>
        <v>0.16042850407732928</v>
      </c>
      <c r="AB447">
        <f>EV_Data4[[#This Row],[horsepower]]+EV_Data4[[#This Row],[torque_nm]]/EV_Data4[[#This Row],[acceleration_0_60_mph]]</f>
        <v>1187.746170678337</v>
      </c>
      <c r="AC447" t="str">
        <f>IF(EV_Data4[[#This Row],[price_usd]]&gt;=80000,"Luxury",IF(EV_Data4[[#This Row],[price_usd]]&gt;=40000,"Mid-Range","Budget"))</f>
        <v>Luxury</v>
      </c>
      <c r="AD447" t="str">
        <f>IF(EV_Data4[[#This Row],[range_miles]]&gt;=350,"Long-Range",IF(EV_Data4[[#This Row],[range_miles]]&gt;=250,"Medium-Range","Short-Range"))</f>
        <v>Medium-Range</v>
      </c>
      <c r="AE447" t="str">
        <f>IF(EV_Data4[[#This Row],[charging_speed_kw]]&gt;=250,"Ultra-Fast",IF(EV_Data4[[#This Row],[charging_speed_kw]]&gt;=150,"Fast-Charging","Standard-Charging"))</f>
        <v>Standard-Charging</v>
      </c>
      <c r="AF447" t="str">
        <f>IF(EV_Data4[[#This Row],[acceleration_0_60_mph]]&lt;=3,"SportsPerformance",IF(EV_Data4[[#This Row],[acceleration_0_60_mph]]&lt;=5,"HighPerformance","Standard"))</f>
        <v>HighPerformance</v>
      </c>
      <c r="AG447" t="str">
        <f>IF(EV_Data4[[#This Row],[customer_rating]]&gt;=4.5,"Excellent",IF(EV_Data4[[#This Row],[customer_rating]]&gt;=3.5,"Good","Average"))</f>
        <v>Good</v>
      </c>
      <c r="AH44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48" spans="1:34" x14ac:dyDescent="0.3">
      <c r="A448" t="s">
        <v>99</v>
      </c>
      <c r="B448" t="s">
        <v>113</v>
      </c>
      <c r="C448">
        <v>2026</v>
      </c>
      <c r="D448" t="s">
        <v>44</v>
      </c>
      <c r="E448" s="3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48</v>
      </c>
      <c r="N448">
        <v>5</v>
      </c>
      <c r="O448" t="s">
        <v>35</v>
      </c>
      <c r="P448">
        <v>42.7</v>
      </c>
      <c r="Q448">
        <v>2169</v>
      </c>
      <c r="R448">
        <v>5</v>
      </c>
      <c r="S448">
        <v>0</v>
      </c>
      <c r="T448" t="s">
        <v>29</v>
      </c>
      <c r="U448" t="s">
        <v>30</v>
      </c>
      <c r="V448" s="3">
        <v>5345</v>
      </c>
      <c r="W448">
        <v>3.64</v>
      </c>
      <c r="X448">
        <v>6</v>
      </c>
      <c r="Y448" s="1">
        <f>EV_Data4[[#This Row],[range_miles]]/EV_Data4[[#This Row],[battery_capacity_kwh]]</f>
        <v>3.4866828087167074</v>
      </c>
      <c r="Z448" s="4">
        <f>EV_Data4[[#This Row],[price_usd]]/EV_Data4[[#This Row],[range_miles]]</f>
        <v>766.44777777777779</v>
      </c>
      <c r="AA448" s="2">
        <f>(EV_Data4[[#This Row],[customer_rating]]*EV_Data4[[#This Row],[safety_rating]]*1000)/EV_Data4[[#This Row],[price_usd]]</f>
        <v>8.2451076611728277E-2</v>
      </c>
      <c r="AB448">
        <f>EV_Data4[[#This Row],[horsepower]]+EV_Data4[[#This Row],[torque_nm]]/EV_Data4[[#This Row],[acceleration_0_60_mph]]</f>
        <v>1155.0847457627119</v>
      </c>
      <c r="AC448" t="str">
        <f>IF(EV_Data4[[#This Row],[price_usd]]&gt;=80000,"Luxury",IF(EV_Data4[[#This Row],[price_usd]]&gt;=40000,"Mid-Range","Budget"))</f>
        <v>Luxury</v>
      </c>
      <c r="AD448" t="str">
        <f>IF(EV_Data4[[#This Row],[range_miles]]&gt;=350,"Long-Range",IF(EV_Data4[[#This Row],[range_miles]]&gt;=250,"Medium-Range","Short-Range"))</f>
        <v>Medium-Range</v>
      </c>
      <c r="AE448" t="str">
        <f>IF(EV_Data4[[#This Row],[charging_speed_kw]]&gt;=250,"Ultra-Fast",IF(EV_Data4[[#This Row],[charging_speed_kw]]&gt;=150,"Fast-Charging","Standard-Charging"))</f>
        <v>Ultra-Fast</v>
      </c>
      <c r="AF448" t="str">
        <f>IF(EV_Data4[[#This Row],[acceleration_0_60_mph]]&lt;=3,"SportsPerformance",IF(EV_Data4[[#This Row],[acceleration_0_60_mph]]&lt;=5,"HighPerformance","Standard"))</f>
        <v>Standard</v>
      </c>
      <c r="AG448" t="str">
        <f>IF(EV_Data4[[#This Row],[customer_rating]]&gt;=4.5,"Excellent",IF(EV_Data4[[#This Row],[customer_rating]]&gt;=3.5,"Good","Average"))</f>
        <v>Good</v>
      </c>
      <c r="AH44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49" spans="1:34" x14ac:dyDescent="0.3">
      <c r="A449" t="s">
        <v>38</v>
      </c>
      <c r="B449" t="s">
        <v>39</v>
      </c>
      <c r="C449">
        <v>2025</v>
      </c>
      <c r="D449" t="s">
        <v>33</v>
      </c>
      <c r="E449" s="3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48</v>
      </c>
      <c r="N449">
        <v>7</v>
      </c>
      <c r="O449" t="s">
        <v>58</v>
      </c>
      <c r="P449">
        <v>16.100000000000001</v>
      </c>
      <c r="Q449">
        <v>1500</v>
      </c>
      <c r="R449">
        <v>5</v>
      </c>
      <c r="S449">
        <v>1</v>
      </c>
      <c r="T449" t="s">
        <v>41</v>
      </c>
      <c r="U449" t="s">
        <v>33</v>
      </c>
      <c r="V449" s="3">
        <v>20002</v>
      </c>
      <c r="W449">
        <v>3.74</v>
      </c>
      <c r="X449">
        <v>4</v>
      </c>
      <c r="Y449" s="1">
        <f>EV_Data4[[#This Row],[range_miles]]/EV_Data4[[#This Row],[battery_capacity_kwh]]</f>
        <v>3.5139573070607555</v>
      </c>
      <c r="Z449" s="4">
        <f>EV_Data4[[#This Row],[price_usd]]/EV_Data4[[#This Row],[range_miles]]</f>
        <v>435.28971962616822</v>
      </c>
      <c r="AA449" s="2">
        <f>(EV_Data4[[#This Row],[customer_rating]]*EV_Data4[[#This Row],[safety_rating]]*1000)/EV_Data4[[#This Row],[price_usd]]</f>
        <v>0.2007471659223635</v>
      </c>
      <c r="AB449">
        <f>EV_Data4[[#This Row],[horsepower]]+EV_Data4[[#This Row],[torque_nm]]/EV_Data4[[#This Row],[acceleration_0_60_mph]]</f>
        <v>1122.1264367816093</v>
      </c>
      <c r="AC449" t="str">
        <f>IF(EV_Data4[[#This Row],[price_usd]]&gt;=80000,"Luxury",IF(EV_Data4[[#This Row],[price_usd]]&gt;=40000,"Mid-Range","Budget"))</f>
        <v>Luxury</v>
      </c>
      <c r="AD449" t="str">
        <f>IF(EV_Data4[[#This Row],[range_miles]]&gt;=350,"Long-Range",IF(EV_Data4[[#This Row],[range_miles]]&gt;=250,"Medium-Range","Short-Range"))</f>
        <v>Short-Range</v>
      </c>
      <c r="AE449" t="str">
        <f>IF(EV_Data4[[#This Row],[charging_speed_kw]]&gt;=250,"Ultra-Fast",IF(EV_Data4[[#This Row],[charging_speed_kw]]&gt;=150,"Fast-Charging","Standard-Charging"))</f>
        <v>Standard-Charging</v>
      </c>
      <c r="AF449" t="str">
        <f>IF(EV_Data4[[#This Row],[acceleration_0_60_mph]]&lt;=3,"SportsPerformance",IF(EV_Data4[[#This Row],[acceleration_0_60_mph]]&lt;=5,"HighPerformance","Standard"))</f>
        <v>Standard</v>
      </c>
      <c r="AG449" t="str">
        <f>IF(EV_Data4[[#This Row],[customer_rating]]&gt;=4.5,"Excellent",IF(EV_Data4[[#This Row],[customer_rating]]&gt;=3.5,"Good","Average"))</f>
        <v>Good</v>
      </c>
      <c r="AH44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50" spans="1:34" x14ac:dyDescent="0.3">
      <c r="A450" t="s">
        <v>24</v>
      </c>
      <c r="B450" t="s">
        <v>75</v>
      </c>
      <c r="C450">
        <v>2026</v>
      </c>
      <c r="D450" t="s">
        <v>61</v>
      </c>
      <c r="E450" s="3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34</v>
      </c>
      <c r="N450">
        <v>7</v>
      </c>
      <c r="O450" t="s">
        <v>50</v>
      </c>
      <c r="P450">
        <v>18</v>
      </c>
      <c r="Q450">
        <v>1597</v>
      </c>
      <c r="R450">
        <v>5</v>
      </c>
      <c r="S450">
        <v>1</v>
      </c>
      <c r="T450" t="s">
        <v>29</v>
      </c>
      <c r="U450" t="s">
        <v>37</v>
      </c>
      <c r="V450" s="3">
        <v>241049</v>
      </c>
      <c r="W450">
        <v>3.54</v>
      </c>
      <c r="X450">
        <v>3</v>
      </c>
      <c r="Y450" s="1">
        <f>EV_Data4[[#This Row],[range_miles]]/EV_Data4[[#This Row],[battery_capacity_kwh]]</f>
        <v>4.1941747572815533</v>
      </c>
      <c r="Z450" s="4">
        <f>EV_Data4[[#This Row],[price_usd]]/EV_Data4[[#This Row],[range_miles]]</f>
        <v>166.68453703703705</v>
      </c>
      <c r="AA450" s="2">
        <f>(EV_Data4[[#This Row],[customer_rating]]*EV_Data4[[#This Row],[safety_rating]]*1000)/EV_Data4[[#This Row],[price_usd]]</f>
        <v>0.49161395472596547</v>
      </c>
      <c r="AB450">
        <f>EV_Data4[[#This Row],[horsepower]]+EV_Data4[[#This Row],[torque_nm]]/EV_Data4[[#This Row],[acceleration_0_60_mph]]</f>
        <v>245.59552495697073</v>
      </c>
      <c r="AC450" t="str">
        <f>IF(EV_Data4[[#This Row],[price_usd]]&gt;=80000,"Luxury",IF(EV_Data4[[#This Row],[price_usd]]&gt;=40000,"Mid-Range","Budget"))</f>
        <v>Budget</v>
      </c>
      <c r="AD450" t="str">
        <f>IF(EV_Data4[[#This Row],[range_miles]]&gt;=350,"Long-Range",IF(EV_Data4[[#This Row],[range_miles]]&gt;=250,"Medium-Range","Short-Range"))</f>
        <v>Short-Range</v>
      </c>
      <c r="AE450" t="str">
        <f>IF(EV_Data4[[#This Row],[charging_speed_kw]]&gt;=250,"Ultra-Fast",IF(EV_Data4[[#This Row],[charging_speed_kw]]&gt;=150,"Fast-Charging","Standard-Charging"))</f>
        <v>Standard-Charging</v>
      </c>
      <c r="AF450" t="str">
        <f>IF(EV_Data4[[#This Row],[acceleration_0_60_mph]]&lt;=3,"SportsPerformance",IF(EV_Data4[[#This Row],[acceleration_0_60_mph]]&lt;=5,"HighPerformance","Standard"))</f>
        <v>Standard</v>
      </c>
      <c r="AG450" t="str">
        <f>IF(EV_Data4[[#This Row],[customer_rating]]&gt;=4.5,"Excellent",IF(EV_Data4[[#This Row],[customer_rating]]&gt;=3.5,"Good","Average"))</f>
        <v>Good</v>
      </c>
      <c r="AH45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51" spans="1:34" x14ac:dyDescent="0.3">
      <c r="A451" t="s">
        <v>46</v>
      </c>
      <c r="B451" t="s">
        <v>57</v>
      </c>
      <c r="C451">
        <v>2022</v>
      </c>
      <c r="D451" t="s">
        <v>44</v>
      </c>
      <c r="E451" s="3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48</v>
      </c>
      <c r="N451">
        <v>5</v>
      </c>
      <c r="O451" t="s">
        <v>28</v>
      </c>
      <c r="P451">
        <v>73.099999999999994</v>
      </c>
      <c r="Q451">
        <v>2165</v>
      </c>
      <c r="R451">
        <v>5</v>
      </c>
      <c r="S451">
        <v>2</v>
      </c>
      <c r="T451" t="s">
        <v>41</v>
      </c>
      <c r="U451" t="s">
        <v>30</v>
      </c>
      <c r="V451" s="3">
        <v>124340</v>
      </c>
      <c r="W451">
        <v>3.98</v>
      </c>
      <c r="X451">
        <v>6</v>
      </c>
      <c r="Y451" s="1">
        <f>EV_Data4[[#This Row],[range_miles]]/EV_Data4[[#This Row],[battery_capacity_kwh]]</f>
        <v>3.4507897934386391</v>
      </c>
      <c r="Z451" s="4">
        <f>EV_Data4[[#This Row],[price_usd]]/EV_Data4[[#This Row],[range_miles]]</f>
        <v>419.29580985915493</v>
      </c>
      <c r="AA451" s="2">
        <f>(EV_Data4[[#This Row],[customer_rating]]*EV_Data4[[#This Row],[safety_rating]]*1000)/EV_Data4[[#This Row],[price_usd]]</f>
        <v>0.16711453080999911</v>
      </c>
      <c r="AB451">
        <f>EV_Data4[[#This Row],[horsepower]]+EV_Data4[[#This Row],[torque_nm]]/EV_Data4[[#This Row],[acceleration_0_60_mph]]</f>
        <v>1070.4870848708488</v>
      </c>
      <c r="AC451" t="str">
        <f>IF(EV_Data4[[#This Row],[price_usd]]&gt;=80000,"Luxury",IF(EV_Data4[[#This Row],[price_usd]]&gt;=40000,"Mid-Range","Budget"))</f>
        <v>Luxury</v>
      </c>
      <c r="AD451" t="str">
        <f>IF(EV_Data4[[#This Row],[range_miles]]&gt;=350,"Long-Range",IF(EV_Data4[[#This Row],[range_miles]]&gt;=250,"Medium-Range","Short-Range"))</f>
        <v>Medium-Range</v>
      </c>
      <c r="AE451" t="str">
        <f>IF(EV_Data4[[#This Row],[charging_speed_kw]]&gt;=250,"Ultra-Fast",IF(EV_Data4[[#This Row],[charging_speed_kw]]&gt;=150,"Fast-Charging","Standard-Charging"))</f>
        <v>Ultra-Fast</v>
      </c>
      <c r="AF451" t="str">
        <f>IF(EV_Data4[[#This Row],[acceleration_0_60_mph]]&lt;=3,"SportsPerformance",IF(EV_Data4[[#This Row],[acceleration_0_60_mph]]&lt;=5,"HighPerformance","Standard"))</f>
        <v>Standard</v>
      </c>
      <c r="AG451" t="str">
        <f>IF(EV_Data4[[#This Row],[customer_rating]]&gt;=4.5,"Excellent",IF(EV_Data4[[#This Row],[customer_rating]]&gt;=3.5,"Good","Average"))</f>
        <v>Good</v>
      </c>
      <c r="AH45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52" spans="1:34" x14ac:dyDescent="0.3">
      <c r="A452" t="s">
        <v>76</v>
      </c>
      <c r="B452" t="s">
        <v>81</v>
      </c>
      <c r="C452">
        <v>2023</v>
      </c>
      <c r="D452" t="s">
        <v>56</v>
      </c>
      <c r="E452" s="3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48</v>
      </c>
      <c r="N452">
        <v>5</v>
      </c>
      <c r="O452" t="s">
        <v>51</v>
      </c>
      <c r="P452">
        <v>16.899999999999999</v>
      </c>
      <c r="Q452">
        <v>1639</v>
      </c>
      <c r="R452">
        <v>5</v>
      </c>
      <c r="S452">
        <v>0</v>
      </c>
      <c r="T452" t="s">
        <v>41</v>
      </c>
      <c r="U452" t="s">
        <v>37</v>
      </c>
      <c r="V452" s="3">
        <v>59730</v>
      </c>
      <c r="W452">
        <v>3.53</v>
      </c>
      <c r="X452">
        <v>4</v>
      </c>
      <c r="Y452" s="1">
        <f>EV_Data4[[#This Row],[range_miles]]/EV_Data4[[#This Row],[battery_capacity_kwh]]</f>
        <v>3.3333333333333335</v>
      </c>
      <c r="Z452" s="4">
        <f>EV_Data4[[#This Row],[price_usd]]/EV_Data4[[#This Row],[range_miles]]</f>
        <v>194.87358778625952</v>
      </c>
      <c r="AA452" s="2">
        <f>(EV_Data4[[#This Row],[customer_rating]]*EV_Data4[[#This Row],[safety_rating]]*1000)/EV_Data4[[#This Row],[price_usd]]</f>
        <v>0.34569288213459187</v>
      </c>
      <c r="AB452">
        <f>EV_Data4[[#This Row],[horsepower]]+EV_Data4[[#This Row],[torque_nm]]/EV_Data4[[#This Row],[acceleration_0_60_mph]]</f>
        <v>570.85889570552149</v>
      </c>
      <c r="AC452" t="str">
        <f>IF(EV_Data4[[#This Row],[price_usd]]&gt;=80000,"Luxury",IF(EV_Data4[[#This Row],[price_usd]]&gt;=40000,"Mid-Range","Budget"))</f>
        <v>Mid-Range</v>
      </c>
      <c r="AD452" t="str">
        <f>IF(EV_Data4[[#This Row],[range_miles]]&gt;=350,"Long-Range",IF(EV_Data4[[#This Row],[range_miles]]&gt;=250,"Medium-Range","Short-Range"))</f>
        <v>Medium-Range</v>
      </c>
      <c r="AE452" t="str">
        <f>IF(EV_Data4[[#This Row],[charging_speed_kw]]&gt;=250,"Ultra-Fast",IF(EV_Data4[[#This Row],[charging_speed_kw]]&gt;=150,"Fast-Charging","Standard-Charging"))</f>
        <v>Standard-Charging</v>
      </c>
      <c r="AF452" t="str">
        <f>IF(EV_Data4[[#This Row],[acceleration_0_60_mph]]&lt;=3,"SportsPerformance",IF(EV_Data4[[#This Row],[acceleration_0_60_mph]]&lt;=5,"HighPerformance","Standard"))</f>
        <v>Standard</v>
      </c>
      <c r="AG452" t="str">
        <f>IF(EV_Data4[[#This Row],[customer_rating]]&gt;=4.5,"Excellent",IF(EV_Data4[[#This Row],[customer_rating]]&gt;=3.5,"Good","Average"))</f>
        <v>Good</v>
      </c>
      <c r="AH45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53" spans="1:34" x14ac:dyDescent="0.3">
      <c r="A453" t="s">
        <v>42</v>
      </c>
      <c r="B453" t="s">
        <v>54</v>
      </c>
      <c r="C453">
        <v>2020</v>
      </c>
      <c r="D453" t="s">
        <v>56</v>
      </c>
      <c r="E453" s="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48</v>
      </c>
      <c r="N453">
        <v>7</v>
      </c>
      <c r="O453" t="s">
        <v>40</v>
      </c>
      <c r="P453">
        <v>72.8</v>
      </c>
      <c r="Q453">
        <v>1762</v>
      </c>
      <c r="R453">
        <v>4</v>
      </c>
      <c r="S453">
        <v>0</v>
      </c>
      <c r="T453" t="s">
        <v>45</v>
      </c>
      <c r="U453" t="s">
        <v>37</v>
      </c>
      <c r="V453" s="3">
        <v>63258</v>
      </c>
      <c r="W453">
        <v>3.48</v>
      </c>
      <c r="X453">
        <v>4</v>
      </c>
      <c r="Y453" s="1">
        <f>EV_Data4[[#This Row],[range_miles]]/EV_Data4[[#This Row],[battery_capacity_kwh]]</f>
        <v>3.4255599472990776</v>
      </c>
      <c r="Z453" s="4">
        <f>EV_Data4[[#This Row],[price_usd]]/EV_Data4[[#This Row],[range_miles]]</f>
        <v>178.97303846153847</v>
      </c>
      <c r="AA453" s="2">
        <f>(EV_Data4[[#This Row],[customer_rating]]*EV_Data4[[#This Row],[safety_rating]]*1000)/EV_Data4[[#This Row],[price_usd]]</f>
        <v>0.29914260828715283</v>
      </c>
      <c r="AB453">
        <f>EV_Data4[[#This Row],[horsepower]]+EV_Data4[[#This Row],[torque_nm]]/EV_Data4[[#This Row],[acceleration_0_60_mph]]</f>
        <v>484.20270270270271</v>
      </c>
      <c r="AC453" t="str">
        <f>IF(EV_Data4[[#This Row],[price_usd]]&gt;=80000,"Luxury",IF(EV_Data4[[#This Row],[price_usd]]&gt;=40000,"Mid-Range","Budget"))</f>
        <v>Mid-Range</v>
      </c>
      <c r="AD453" t="str">
        <f>IF(EV_Data4[[#This Row],[range_miles]]&gt;=350,"Long-Range",IF(EV_Data4[[#This Row],[range_miles]]&gt;=250,"Medium-Range","Short-Range"))</f>
        <v>Medium-Range</v>
      </c>
      <c r="AE453" t="str">
        <f>IF(EV_Data4[[#This Row],[charging_speed_kw]]&gt;=250,"Ultra-Fast",IF(EV_Data4[[#This Row],[charging_speed_kw]]&gt;=150,"Fast-Charging","Standard-Charging"))</f>
        <v>Standard-Charging</v>
      </c>
      <c r="AF453" t="str">
        <f>IF(EV_Data4[[#This Row],[acceleration_0_60_mph]]&lt;=3,"SportsPerformance",IF(EV_Data4[[#This Row],[acceleration_0_60_mph]]&lt;=5,"HighPerformance","Standard"))</f>
        <v>Standard</v>
      </c>
      <c r="AG453" t="str">
        <f>IF(EV_Data4[[#This Row],[customer_rating]]&gt;=4.5,"Excellent",IF(EV_Data4[[#This Row],[customer_rating]]&gt;=3.5,"Good","Average"))</f>
        <v>Average</v>
      </c>
      <c r="AH45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54" spans="1:34" x14ac:dyDescent="0.3">
      <c r="A454" t="s">
        <v>24</v>
      </c>
      <c r="B454" t="s">
        <v>70</v>
      </c>
      <c r="C454">
        <v>2024</v>
      </c>
      <c r="D454" t="s">
        <v>33</v>
      </c>
      <c r="E454" s="3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48</v>
      </c>
      <c r="N454">
        <v>5</v>
      </c>
      <c r="O454" t="s">
        <v>50</v>
      </c>
      <c r="P454">
        <v>31.4</v>
      </c>
      <c r="Q454">
        <v>1812</v>
      </c>
      <c r="R454">
        <v>5</v>
      </c>
      <c r="S454">
        <v>0</v>
      </c>
      <c r="T454" t="s">
        <v>29</v>
      </c>
      <c r="U454" t="s">
        <v>30</v>
      </c>
      <c r="V454" s="3">
        <v>233971</v>
      </c>
      <c r="W454">
        <v>3.16</v>
      </c>
      <c r="X454">
        <v>5</v>
      </c>
      <c r="Y454" s="1">
        <f>EV_Data4[[#This Row],[range_miles]]/EV_Data4[[#This Row],[battery_capacity_kwh]]</f>
        <v>3.3407079646017697</v>
      </c>
      <c r="Z454" s="4">
        <f>EV_Data4[[#This Row],[price_usd]]/EV_Data4[[#This Row],[range_miles]]</f>
        <v>757.38324503311253</v>
      </c>
      <c r="AA454" s="2">
        <f>(EV_Data4[[#This Row],[customer_rating]]*EV_Data4[[#This Row],[safety_rating]]*1000)/EV_Data4[[#This Row],[price_usd]]</f>
        <v>0.13815431259616701</v>
      </c>
      <c r="AB454">
        <f>EV_Data4[[#This Row],[horsepower]]+EV_Data4[[#This Row],[torque_nm]]/EV_Data4[[#This Row],[acceleration_0_60_mph]]</f>
        <v>1139.0839694656488</v>
      </c>
      <c r="AC454" t="str">
        <f>IF(EV_Data4[[#This Row],[price_usd]]&gt;=80000,"Luxury",IF(EV_Data4[[#This Row],[price_usd]]&gt;=40000,"Mid-Range","Budget"))</f>
        <v>Luxury</v>
      </c>
      <c r="AD454" t="str">
        <f>IF(EV_Data4[[#This Row],[range_miles]]&gt;=350,"Long-Range",IF(EV_Data4[[#This Row],[range_miles]]&gt;=250,"Medium-Range","Short-Range"))</f>
        <v>Short-Range</v>
      </c>
      <c r="AE454" t="str">
        <f>IF(EV_Data4[[#This Row],[charging_speed_kw]]&gt;=250,"Ultra-Fast",IF(EV_Data4[[#This Row],[charging_speed_kw]]&gt;=150,"Fast-Charging","Standard-Charging"))</f>
        <v>Standard-Charging</v>
      </c>
      <c r="AF454" t="str">
        <f>IF(EV_Data4[[#This Row],[acceleration_0_60_mph]]&lt;=3,"SportsPerformance",IF(EV_Data4[[#This Row],[acceleration_0_60_mph]]&lt;=5,"HighPerformance","Standard"))</f>
        <v>Standard</v>
      </c>
      <c r="AG454" t="str">
        <f>IF(EV_Data4[[#This Row],[customer_rating]]&gt;=4.5,"Excellent",IF(EV_Data4[[#This Row],[customer_rating]]&gt;=3.5,"Good","Average"))</f>
        <v>Average</v>
      </c>
      <c r="AH45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55" spans="1:34" x14ac:dyDescent="0.3">
      <c r="A455" t="s">
        <v>86</v>
      </c>
      <c r="B455" t="s">
        <v>87</v>
      </c>
      <c r="C455">
        <v>2025</v>
      </c>
      <c r="D455" t="s">
        <v>61</v>
      </c>
      <c r="E455" s="3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34</v>
      </c>
      <c r="N455">
        <v>5</v>
      </c>
      <c r="O455" t="s">
        <v>58</v>
      </c>
      <c r="P455">
        <v>39.6</v>
      </c>
      <c r="Q455">
        <v>1514</v>
      </c>
      <c r="R455">
        <v>5</v>
      </c>
      <c r="S455">
        <v>1</v>
      </c>
      <c r="T455" t="s">
        <v>29</v>
      </c>
      <c r="U455" t="s">
        <v>30</v>
      </c>
      <c r="V455" s="3">
        <v>73358</v>
      </c>
      <c r="W455">
        <v>3.54</v>
      </c>
      <c r="X455">
        <v>8</v>
      </c>
      <c r="Y455" s="1">
        <f>EV_Data4[[#This Row],[range_miles]]/EV_Data4[[#This Row],[battery_capacity_kwh]]</f>
        <v>3.6513157894736845</v>
      </c>
      <c r="Z455" s="4">
        <f>EV_Data4[[#This Row],[price_usd]]/EV_Data4[[#This Row],[range_miles]]</f>
        <v>494.66747747747746</v>
      </c>
      <c r="AA455" s="2">
        <f>(EV_Data4[[#This Row],[customer_rating]]*EV_Data4[[#This Row],[safety_rating]]*1000)/EV_Data4[[#This Row],[price_usd]]</f>
        <v>0.16117843472610321</v>
      </c>
      <c r="AB455">
        <f>EV_Data4[[#This Row],[horsepower]]+EV_Data4[[#This Row],[torque_nm]]/EV_Data4[[#This Row],[acceleration_0_60_mph]]</f>
        <v>916.94555112881801</v>
      </c>
      <c r="AC455" t="str">
        <f>IF(EV_Data4[[#This Row],[price_usd]]&gt;=80000,"Luxury",IF(EV_Data4[[#This Row],[price_usd]]&gt;=40000,"Mid-Range","Budget"))</f>
        <v>Luxury</v>
      </c>
      <c r="AD455" t="str">
        <f>IF(EV_Data4[[#This Row],[range_miles]]&gt;=350,"Long-Range",IF(EV_Data4[[#This Row],[range_miles]]&gt;=250,"Medium-Range","Short-Range"))</f>
        <v>Short-Range</v>
      </c>
      <c r="AE455" t="str">
        <f>IF(EV_Data4[[#This Row],[charging_speed_kw]]&gt;=250,"Ultra-Fast",IF(EV_Data4[[#This Row],[charging_speed_kw]]&gt;=150,"Fast-Charging","Standard-Charging"))</f>
        <v>Standard-Charging</v>
      </c>
      <c r="AF455" t="str">
        <f>IF(EV_Data4[[#This Row],[acceleration_0_60_mph]]&lt;=3,"SportsPerformance",IF(EV_Data4[[#This Row],[acceleration_0_60_mph]]&lt;=5,"HighPerformance","Standard"))</f>
        <v>Standard</v>
      </c>
      <c r="AG455" t="str">
        <f>IF(EV_Data4[[#This Row],[customer_rating]]&gt;=4.5,"Excellent",IF(EV_Data4[[#This Row],[customer_rating]]&gt;=3.5,"Good","Average"))</f>
        <v>Good</v>
      </c>
      <c r="AH45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56" spans="1:34" x14ac:dyDescent="0.3">
      <c r="A456" t="s">
        <v>46</v>
      </c>
      <c r="B456" t="s">
        <v>49</v>
      </c>
      <c r="C456">
        <v>2026</v>
      </c>
      <c r="D456" t="s">
        <v>61</v>
      </c>
      <c r="E456" s="3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34</v>
      </c>
      <c r="N456">
        <v>7</v>
      </c>
      <c r="O456" t="s">
        <v>28</v>
      </c>
      <c r="P456">
        <v>64.2</v>
      </c>
      <c r="Q456">
        <v>2397</v>
      </c>
      <c r="R456">
        <v>4</v>
      </c>
      <c r="S456">
        <v>2</v>
      </c>
      <c r="T456" t="s">
        <v>41</v>
      </c>
      <c r="U456" t="s">
        <v>37</v>
      </c>
      <c r="V456" s="3">
        <v>488644</v>
      </c>
      <c r="W456">
        <v>3.74</v>
      </c>
      <c r="X456">
        <v>4</v>
      </c>
      <c r="Y456" s="1">
        <f>EV_Data4[[#This Row],[range_miles]]/EV_Data4[[#This Row],[battery_capacity_kwh]]</f>
        <v>3.7715179968701098</v>
      </c>
      <c r="Z456" s="4">
        <f>EV_Data4[[#This Row],[price_usd]]/EV_Data4[[#This Row],[range_miles]]</f>
        <v>166.00294605809128</v>
      </c>
      <c r="AA456" s="2">
        <f>(EV_Data4[[#This Row],[customer_rating]]*EV_Data4[[#This Row],[safety_rating]]*1000)/EV_Data4[[#This Row],[price_usd]]</f>
        <v>0.37393727202261823</v>
      </c>
      <c r="AB456">
        <f>EV_Data4[[#This Row],[horsepower]]+EV_Data4[[#This Row],[torque_nm]]/EV_Data4[[#This Row],[acceleration_0_60_mph]]</f>
        <v>296.27166882276845</v>
      </c>
      <c r="AC456" t="str">
        <f>IF(EV_Data4[[#This Row],[price_usd]]&gt;=80000,"Luxury",IF(EV_Data4[[#This Row],[price_usd]]&gt;=40000,"Mid-Range","Budget"))</f>
        <v>Mid-Range</v>
      </c>
      <c r="AD456" t="str">
        <f>IF(EV_Data4[[#This Row],[range_miles]]&gt;=350,"Long-Range",IF(EV_Data4[[#This Row],[range_miles]]&gt;=250,"Medium-Range","Short-Range"))</f>
        <v>Short-Range</v>
      </c>
      <c r="AE456" t="str">
        <f>IF(EV_Data4[[#This Row],[charging_speed_kw]]&gt;=250,"Ultra-Fast",IF(EV_Data4[[#This Row],[charging_speed_kw]]&gt;=150,"Fast-Charging","Standard-Charging"))</f>
        <v>Ultra-Fast</v>
      </c>
      <c r="AF456" t="str">
        <f>IF(EV_Data4[[#This Row],[acceleration_0_60_mph]]&lt;=3,"SportsPerformance",IF(EV_Data4[[#This Row],[acceleration_0_60_mph]]&lt;=5,"HighPerformance","Standard"))</f>
        <v>Standard</v>
      </c>
      <c r="AG456" t="str">
        <f>IF(EV_Data4[[#This Row],[customer_rating]]&gt;=4.5,"Excellent",IF(EV_Data4[[#This Row],[customer_rating]]&gt;=3.5,"Good","Average"))</f>
        <v>Good</v>
      </c>
      <c r="AH45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57" spans="1:34" x14ac:dyDescent="0.3">
      <c r="A457" t="s">
        <v>68</v>
      </c>
      <c r="B457" t="s">
        <v>79</v>
      </c>
      <c r="C457">
        <v>2025</v>
      </c>
      <c r="D457" t="s">
        <v>61</v>
      </c>
      <c r="E457" s="3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34</v>
      </c>
      <c r="N457">
        <v>5</v>
      </c>
      <c r="O457" t="s">
        <v>28</v>
      </c>
      <c r="P457">
        <v>53.7</v>
      </c>
      <c r="Q457">
        <v>2077</v>
      </c>
      <c r="R457">
        <v>4</v>
      </c>
      <c r="S457">
        <v>0</v>
      </c>
      <c r="T457" t="s">
        <v>45</v>
      </c>
      <c r="U457" t="s">
        <v>37</v>
      </c>
      <c r="V457" s="3">
        <v>139571</v>
      </c>
      <c r="W457">
        <v>3.2</v>
      </c>
      <c r="X457">
        <v>4</v>
      </c>
      <c r="Y457" s="1">
        <f>EV_Data4[[#This Row],[range_miles]]/EV_Data4[[#This Row],[battery_capacity_kwh]]</f>
        <v>3.7220843672456576</v>
      </c>
      <c r="Z457" s="4">
        <f>EV_Data4[[#This Row],[price_usd]]/EV_Data4[[#This Row],[range_miles]]</f>
        <v>424.26666666666665</v>
      </c>
      <c r="AA457" s="2">
        <f>(EV_Data4[[#This Row],[customer_rating]]*EV_Data4[[#This Row],[safety_rating]]*1000)/EV_Data4[[#This Row],[price_usd]]</f>
        <v>0.2011313639220616</v>
      </c>
      <c r="AB457">
        <f>EV_Data4[[#This Row],[horsepower]]+EV_Data4[[#This Row],[torque_nm]]/EV_Data4[[#This Row],[acceleration_0_60_mph]]</f>
        <v>843.32487309644671</v>
      </c>
      <c r="AC457" t="str">
        <f>IF(EV_Data4[[#This Row],[price_usd]]&gt;=80000,"Luxury",IF(EV_Data4[[#This Row],[price_usd]]&gt;=40000,"Mid-Range","Budget"))</f>
        <v>Mid-Range</v>
      </c>
      <c r="AD457" t="str">
        <f>IF(EV_Data4[[#This Row],[range_miles]]&gt;=350,"Long-Range",IF(EV_Data4[[#This Row],[range_miles]]&gt;=250,"Medium-Range","Short-Range"))</f>
        <v>Short-Range</v>
      </c>
      <c r="AE457" t="str">
        <f>IF(EV_Data4[[#This Row],[charging_speed_kw]]&gt;=250,"Ultra-Fast",IF(EV_Data4[[#This Row],[charging_speed_kw]]&gt;=150,"Fast-Charging","Standard-Charging"))</f>
        <v>Standard-Charging</v>
      </c>
      <c r="AF457" t="str">
        <f>IF(EV_Data4[[#This Row],[acceleration_0_60_mph]]&lt;=3,"SportsPerformance",IF(EV_Data4[[#This Row],[acceleration_0_60_mph]]&lt;=5,"HighPerformance","Standard"))</f>
        <v>Standard</v>
      </c>
      <c r="AG457" t="str">
        <f>IF(EV_Data4[[#This Row],[customer_rating]]&gt;=4.5,"Excellent",IF(EV_Data4[[#This Row],[customer_rating]]&gt;=3.5,"Good","Average"))</f>
        <v>Average</v>
      </c>
      <c r="AH45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58" spans="1:34" x14ac:dyDescent="0.3">
      <c r="A458" t="s">
        <v>46</v>
      </c>
      <c r="B458" t="s">
        <v>49</v>
      </c>
      <c r="C458">
        <v>2025</v>
      </c>
      <c r="D458" t="s">
        <v>44</v>
      </c>
      <c r="E458" s="3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27</v>
      </c>
      <c r="N458">
        <v>7</v>
      </c>
      <c r="O458" t="s">
        <v>51</v>
      </c>
      <c r="P458">
        <v>33</v>
      </c>
      <c r="Q458">
        <v>1641</v>
      </c>
      <c r="R458">
        <v>4</v>
      </c>
      <c r="S458">
        <v>2</v>
      </c>
      <c r="T458" t="s">
        <v>41</v>
      </c>
      <c r="U458" t="s">
        <v>30</v>
      </c>
      <c r="V458" s="3">
        <v>404800</v>
      </c>
      <c r="W458">
        <v>4.22</v>
      </c>
      <c r="X458">
        <v>5</v>
      </c>
      <c r="Y458" s="1">
        <f>EV_Data4[[#This Row],[range_miles]]/EV_Data4[[#This Row],[battery_capacity_kwh]]</f>
        <v>3.7550607287449393</v>
      </c>
      <c r="Z458" s="4">
        <f>EV_Data4[[#This Row],[price_usd]]/EV_Data4[[#This Row],[range_miles]]</f>
        <v>434.2653369272237</v>
      </c>
      <c r="AA458" s="2">
        <f>(EV_Data4[[#This Row],[customer_rating]]*EV_Data4[[#This Row],[safety_rating]]*1000)/EV_Data4[[#This Row],[price_usd]]</f>
        <v>0.10477154960845977</v>
      </c>
      <c r="AB458">
        <f>EV_Data4[[#This Row],[horsepower]]+EV_Data4[[#This Row],[torque_nm]]/EV_Data4[[#This Row],[acceleration_0_60_mph]]</f>
        <v>1157.3741007194244</v>
      </c>
      <c r="AC458" t="str">
        <f>IF(EV_Data4[[#This Row],[price_usd]]&gt;=80000,"Luxury",IF(EV_Data4[[#This Row],[price_usd]]&gt;=40000,"Mid-Range","Budget"))</f>
        <v>Luxury</v>
      </c>
      <c r="AD458" t="str">
        <f>IF(EV_Data4[[#This Row],[range_miles]]&gt;=350,"Long-Range",IF(EV_Data4[[#This Row],[range_miles]]&gt;=250,"Medium-Range","Short-Range"))</f>
        <v>Long-Range</v>
      </c>
      <c r="AE458" t="str">
        <f>IF(EV_Data4[[#This Row],[charging_speed_kw]]&gt;=250,"Ultra-Fast",IF(EV_Data4[[#This Row],[charging_speed_kw]]&gt;=150,"Fast-Charging","Standard-Charging"))</f>
        <v>Ultra-Fast</v>
      </c>
      <c r="AF458" t="str">
        <f>IF(EV_Data4[[#This Row],[acceleration_0_60_mph]]&lt;=3,"SportsPerformance",IF(EV_Data4[[#This Row],[acceleration_0_60_mph]]&lt;=5,"HighPerformance","Standard"))</f>
        <v>Standard</v>
      </c>
      <c r="AG458" t="str">
        <f>IF(EV_Data4[[#This Row],[customer_rating]]&gt;=4.5,"Excellent",IF(EV_Data4[[#This Row],[customer_rating]]&gt;=3.5,"Good","Average"))</f>
        <v>Good</v>
      </c>
      <c r="AH45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59" spans="1:34" x14ac:dyDescent="0.3">
      <c r="A459" t="s">
        <v>68</v>
      </c>
      <c r="B459" t="s">
        <v>79</v>
      </c>
      <c r="C459">
        <v>2025</v>
      </c>
      <c r="D459" t="s">
        <v>33</v>
      </c>
      <c r="E459" s="3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48</v>
      </c>
      <c r="N459">
        <v>5</v>
      </c>
      <c r="O459" t="s">
        <v>51</v>
      </c>
      <c r="P459">
        <v>24.7</v>
      </c>
      <c r="Q459">
        <v>1680</v>
      </c>
      <c r="R459">
        <v>4</v>
      </c>
      <c r="S459">
        <v>0</v>
      </c>
      <c r="T459" t="s">
        <v>45</v>
      </c>
      <c r="U459" t="s">
        <v>37</v>
      </c>
      <c r="V459" s="3">
        <v>98434</v>
      </c>
      <c r="W459">
        <v>3.53</v>
      </c>
      <c r="X459">
        <v>3</v>
      </c>
      <c r="Y459" s="1">
        <f>EV_Data4[[#This Row],[range_miles]]/EV_Data4[[#This Row],[battery_capacity_kwh]]</f>
        <v>3.6266349583828776</v>
      </c>
      <c r="Z459" s="4">
        <f>EV_Data4[[#This Row],[price_usd]]/EV_Data4[[#This Row],[range_miles]]</f>
        <v>147.08698360655737</v>
      </c>
      <c r="AA459" s="2">
        <f>(EV_Data4[[#This Row],[customer_rating]]*EV_Data4[[#This Row],[safety_rating]]*1000)/EV_Data4[[#This Row],[price_usd]]</f>
        <v>0.31474628707491697</v>
      </c>
      <c r="AB459">
        <f>EV_Data4[[#This Row],[horsepower]]+EV_Data4[[#This Row],[torque_nm]]/EV_Data4[[#This Row],[acceleration_0_60_mph]]</f>
        <v>456.98418972332013</v>
      </c>
      <c r="AC459" t="str">
        <f>IF(EV_Data4[[#This Row],[price_usd]]&gt;=80000,"Luxury",IF(EV_Data4[[#This Row],[price_usd]]&gt;=40000,"Mid-Range","Budget"))</f>
        <v>Mid-Range</v>
      </c>
      <c r="AD459" t="str">
        <f>IF(EV_Data4[[#This Row],[range_miles]]&gt;=350,"Long-Range",IF(EV_Data4[[#This Row],[range_miles]]&gt;=250,"Medium-Range","Short-Range"))</f>
        <v>Medium-Range</v>
      </c>
      <c r="AE459" t="str">
        <f>IF(EV_Data4[[#This Row],[charging_speed_kw]]&gt;=250,"Ultra-Fast",IF(EV_Data4[[#This Row],[charging_speed_kw]]&gt;=150,"Fast-Charging","Standard-Charging"))</f>
        <v>Standard-Charging</v>
      </c>
      <c r="AF459" t="str">
        <f>IF(EV_Data4[[#This Row],[acceleration_0_60_mph]]&lt;=3,"SportsPerformance",IF(EV_Data4[[#This Row],[acceleration_0_60_mph]]&lt;=5,"HighPerformance","Standard"))</f>
        <v>Standard</v>
      </c>
      <c r="AG459" t="str">
        <f>IF(EV_Data4[[#This Row],[customer_rating]]&gt;=4.5,"Excellent",IF(EV_Data4[[#This Row],[customer_rating]]&gt;=3.5,"Good","Average"))</f>
        <v>Good</v>
      </c>
      <c r="AH45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60" spans="1:34" x14ac:dyDescent="0.3">
      <c r="A460" t="s">
        <v>46</v>
      </c>
      <c r="B460" t="s">
        <v>57</v>
      </c>
      <c r="C460">
        <v>2023</v>
      </c>
      <c r="D460" t="s">
        <v>33</v>
      </c>
      <c r="E460" s="3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27</v>
      </c>
      <c r="N460">
        <v>5</v>
      </c>
      <c r="O460" t="s">
        <v>51</v>
      </c>
      <c r="P460">
        <v>27.8</v>
      </c>
      <c r="Q460">
        <v>1530</v>
      </c>
      <c r="R460">
        <v>4</v>
      </c>
      <c r="S460">
        <v>2</v>
      </c>
      <c r="T460" t="s">
        <v>41</v>
      </c>
      <c r="U460" t="s">
        <v>30</v>
      </c>
      <c r="V460" s="3">
        <v>167952</v>
      </c>
      <c r="W460">
        <v>3.72</v>
      </c>
      <c r="X460">
        <v>6</v>
      </c>
      <c r="Y460" s="1">
        <f>EV_Data4[[#This Row],[range_miles]]/EV_Data4[[#This Row],[battery_capacity_kwh]]</f>
        <v>3.2804232804232805</v>
      </c>
      <c r="Z460" s="4">
        <f>EV_Data4[[#This Row],[price_usd]]/EV_Data4[[#This Row],[range_miles]]</f>
        <v>740.10537634408604</v>
      </c>
      <c r="AA460" s="2">
        <f>(EV_Data4[[#This Row],[customer_rating]]*EV_Data4[[#This Row],[safety_rating]]*1000)/EV_Data4[[#This Row],[price_usd]]</f>
        <v>0.10809271565513774</v>
      </c>
      <c r="AB460">
        <f>EV_Data4[[#This Row],[horsepower]]+EV_Data4[[#This Row],[torque_nm]]/EV_Data4[[#This Row],[acceleration_0_60_mph]]</f>
        <v>1128.6524822695035</v>
      </c>
      <c r="AC460" t="str">
        <f>IF(EV_Data4[[#This Row],[price_usd]]&gt;=80000,"Luxury",IF(EV_Data4[[#This Row],[price_usd]]&gt;=40000,"Mid-Range","Budget"))</f>
        <v>Luxury</v>
      </c>
      <c r="AD460" t="str">
        <f>IF(EV_Data4[[#This Row],[range_miles]]&gt;=350,"Long-Range",IF(EV_Data4[[#This Row],[range_miles]]&gt;=250,"Medium-Range","Short-Range"))</f>
        <v>Short-Range</v>
      </c>
      <c r="AE460" t="str">
        <f>IF(EV_Data4[[#This Row],[charging_speed_kw]]&gt;=250,"Ultra-Fast",IF(EV_Data4[[#This Row],[charging_speed_kw]]&gt;=150,"Fast-Charging","Standard-Charging"))</f>
        <v>Fast-Charging</v>
      </c>
      <c r="AF460" t="str">
        <f>IF(EV_Data4[[#This Row],[acceleration_0_60_mph]]&lt;=3,"SportsPerformance",IF(EV_Data4[[#This Row],[acceleration_0_60_mph]]&lt;=5,"HighPerformance","Standard"))</f>
        <v>Standard</v>
      </c>
      <c r="AG460" t="str">
        <f>IF(EV_Data4[[#This Row],[customer_rating]]&gt;=4.5,"Excellent",IF(EV_Data4[[#This Row],[customer_rating]]&gt;=3.5,"Good","Average"))</f>
        <v>Good</v>
      </c>
      <c r="AH46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61" spans="1:34" x14ac:dyDescent="0.3">
      <c r="A461" t="s">
        <v>46</v>
      </c>
      <c r="B461" t="s">
        <v>47</v>
      </c>
      <c r="C461">
        <v>2024</v>
      </c>
      <c r="D461" t="s">
        <v>56</v>
      </c>
      <c r="E461" s="3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34</v>
      </c>
      <c r="N461">
        <v>5</v>
      </c>
      <c r="O461" t="s">
        <v>51</v>
      </c>
      <c r="P461">
        <v>18.8</v>
      </c>
      <c r="Q461">
        <v>1625</v>
      </c>
      <c r="R461">
        <v>4</v>
      </c>
      <c r="S461">
        <v>2</v>
      </c>
      <c r="T461" t="s">
        <v>41</v>
      </c>
      <c r="U461" t="s">
        <v>66</v>
      </c>
      <c r="V461" s="3">
        <v>245170</v>
      </c>
      <c r="W461">
        <v>3.53</v>
      </c>
      <c r="X461">
        <v>5</v>
      </c>
      <c r="Y461" s="1">
        <f>EV_Data4[[#This Row],[range_miles]]/EV_Data4[[#This Row],[battery_capacity_kwh]]</f>
        <v>3.9338235294117649</v>
      </c>
      <c r="Z461" s="4">
        <f>EV_Data4[[#This Row],[price_usd]]/EV_Data4[[#This Row],[range_miles]]</f>
        <v>150.02691588785046</v>
      </c>
      <c r="AA461" s="2">
        <f>(EV_Data4[[#This Row],[customer_rating]]*EV_Data4[[#This Row],[safety_rating]]*1000)/EV_Data4[[#This Row],[price_usd]]</f>
        <v>0.43979647265786576</v>
      </c>
      <c r="AB461">
        <f>EV_Data4[[#This Row],[horsepower]]+EV_Data4[[#This Row],[torque_nm]]/EV_Data4[[#This Row],[acceleration_0_60_mph]]</f>
        <v>255.78100263852244</v>
      </c>
      <c r="AC461" t="str">
        <f>IF(EV_Data4[[#This Row],[price_usd]]&gt;=80000,"Luxury",IF(EV_Data4[[#This Row],[price_usd]]&gt;=40000,"Mid-Range","Budget"))</f>
        <v>Budget</v>
      </c>
      <c r="AD461" t="str">
        <f>IF(EV_Data4[[#This Row],[range_miles]]&gt;=350,"Long-Range",IF(EV_Data4[[#This Row],[range_miles]]&gt;=250,"Medium-Range","Short-Range"))</f>
        <v>Short-Range</v>
      </c>
      <c r="AE461" t="str">
        <f>IF(EV_Data4[[#This Row],[charging_speed_kw]]&gt;=250,"Ultra-Fast",IF(EV_Data4[[#This Row],[charging_speed_kw]]&gt;=150,"Fast-Charging","Standard-Charging"))</f>
        <v>Fast-Charging</v>
      </c>
      <c r="AF461" t="str">
        <f>IF(EV_Data4[[#This Row],[acceleration_0_60_mph]]&lt;=3,"SportsPerformance",IF(EV_Data4[[#This Row],[acceleration_0_60_mph]]&lt;=5,"HighPerformance","Standard"))</f>
        <v>Standard</v>
      </c>
      <c r="AG461" t="str">
        <f>IF(EV_Data4[[#This Row],[customer_rating]]&gt;=4.5,"Excellent",IF(EV_Data4[[#This Row],[customer_rating]]&gt;=3.5,"Good","Average"))</f>
        <v>Good</v>
      </c>
      <c r="AH46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62" spans="1:34" x14ac:dyDescent="0.3">
      <c r="A462" t="s">
        <v>46</v>
      </c>
      <c r="B462" t="s">
        <v>47</v>
      </c>
      <c r="C462">
        <v>2025</v>
      </c>
      <c r="D462" t="s">
        <v>26</v>
      </c>
      <c r="E462" s="3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34</v>
      </c>
      <c r="N462">
        <v>7</v>
      </c>
      <c r="O462" t="s">
        <v>28</v>
      </c>
      <c r="P462">
        <v>57.3</v>
      </c>
      <c r="Q462">
        <v>2532</v>
      </c>
      <c r="R462">
        <v>5</v>
      </c>
      <c r="S462">
        <v>2</v>
      </c>
      <c r="T462" t="s">
        <v>41</v>
      </c>
      <c r="U462" t="s">
        <v>37</v>
      </c>
      <c r="V462" s="3">
        <v>230471</v>
      </c>
      <c r="W462">
        <v>4.32</v>
      </c>
      <c r="X462">
        <v>5</v>
      </c>
      <c r="Y462" s="1">
        <f>EV_Data4[[#This Row],[range_miles]]/EV_Data4[[#This Row],[battery_capacity_kwh]]</f>
        <v>3.5700575815738964</v>
      </c>
      <c r="Z462" s="4">
        <f>EV_Data4[[#This Row],[price_usd]]/EV_Data4[[#This Row],[range_miles]]</f>
        <v>114.08970430107527</v>
      </c>
      <c r="AA462" s="2">
        <f>(EV_Data4[[#This Row],[customer_rating]]*EV_Data4[[#This Row],[safety_rating]]*1000)/EV_Data4[[#This Row],[price_usd]]</f>
        <v>0.50893738821343415</v>
      </c>
      <c r="AB462">
        <f>EV_Data4[[#This Row],[horsepower]]+EV_Data4[[#This Row],[torque_nm]]/EV_Data4[[#This Row],[acceleration_0_60_mph]]</f>
        <v>352.578125</v>
      </c>
      <c r="AC462" t="str">
        <f>IF(EV_Data4[[#This Row],[price_usd]]&gt;=80000,"Luxury",IF(EV_Data4[[#This Row],[price_usd]]&gt;=40000,"Mid-Range","Budget"))</f>
        <v>Mid-Range</v>
      </c>
      <c r="AD462" t="str">
        <f>IF(EV_Data4[[#This Row],[range_miles]]&gt;=350,"Long-Range",IF(EV_Data4[[#This Row],[range_miles]]&gt;=250,"Medium-Range","Short-Range"))</f>
        <v>Long-Range</v>
      </c>
      <c r="AE462" t="str">
        <f>IF(EV_Data4[[#This Row],[charging_speed_kw]]&gt;=250,"Ultra-Fast",IF(EV_Data4[[#This Row],[charging_speed_kw]]&gt;=150,"Fast-Charging","Standard-Charging"))</f>
        <v>Ultra-Fast</v>
      </c>
      <c r="AF462" t="str">
        <f>IF(EV_Data4[[#This Row],[acceleration_0_60_mph]]&lt;=3,"SportsPerformance",IF(EV_Data4[[#This Row],[acceleration_0_60_mph]]&lt;=5,"HighPerformance","Standard"))</f>
        <v>SportsPerformance</v>
      </c>
      <c r="AG462" t="str">
        <f>IF(EV_Data4[[#This Row],[customer_rating]]&gt;=4.5,"Excellent",IF(EV_Data4[[#This Row],[customer_rating]]&gt;=3.5,"Good","Average"))</f>
        <v>Good</v>
      </c>
      <c r="AH46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63" spans="1:34" x14ac:dyDescent="0.3">
      <c r="A463" t="s">
        <v>83</v>
      </c>
      <c r="B463" t="s">
        <v>104</v>
      </c>
      <c r="C463">
        <v>2022</v>
      </c>
      <c r="D463" t="s">
        <v>56</v>
      </c>
      <c r="E463" s="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27</v>
      </c>
      <c r="N463">
        <v>5</v>
      </c>
      <c r="O463" t="s">
        <v>35</v>
      </c>
      <c r="P463">
        <v>58.7</v>
      </c>
      <c r="Q463">
        <v>1890</v>
      </c>
      <c r="R463">
        <v>5</v>
      </c>
      <c r="S463">
        <v>2</v>
      </c>
      <c r="T463" t="s">
        <v>29</v>
      </c>
      <c r="U463" t="s">
        <v>37</v>
      </c>
      <c r="V463" s="3">
        <v>21575</v>
      </c>
      <c r="W463">
        <v>3.67</v>
      </c>
      <c r="X463">
        <v>6</v>
      </c>
      <c r="Y463" s="1">
        <f>EV_Data4[[#This Row],[range_miles]]/EV_Data4[[#This Row],[battery_capacity_kwh]]</f>
        <v>3.4167709637046304</v>
      </c>
      <c r="Z463" s="4">
        <f>EV_Data4[[#This Row],[price_usd]]/EV_Data4[[#This Row],[range_miles]]</f>
        <v>225.8513186813187</v>
      </c>
      <c r="AA463" s="2">
        <f>(EV_Data4[[#This Row],[customer_rating]]*EV_Data4[[#This Row],[safety_rating]]*1000)/EV_Data4[[#This Row],[price_usd]]</f>
        <v>0.29761224157810068</v>
      </c>
      <c r="AB463">
        <f>EV_Data4[[#This Row],[horsepower]]+EV_Data4[[#This Row],[torque_nm]]/EV_Data4[[#This Row],[acceleration_0_60_mph]]</f>
        <v>347.87356321839081</v>
      </c>
      <c r="AC463" t="str">
        <f>IF(EV_Data4[[#This Row],[price_usd]]&gt;=80000,"Luxury",IF(EV_Data4[[#This Row],[price_usd]]&gt;=40000,"Mid-Range","Budget"))</f>
        <v>Mid-Range</v>
      </c>
      <c r="AD463" t="str">
        <f>IF(EV_Data4[[#This Row],[range_miles]]&gt;=350,"Long-Range",IF(EV_Data4[[#This Row],[range_miles]]&gt;=250,"Medium-Range","Short-Range"))</f>
        <v>Medium-Range</v>
      </c>
      <c r="AE463" t="str">
        <f>IF(EV_Data4[[#This Row],[charging_speed_kw]]&gt;=250,"Ultra-Fast",IF(EV_Data4[[#This Row],[charging_speed_kw]]&gt;=150,"Fast-Charging","Standard-Charging"))</f>
        <v>Standard-Charging</v>
      </c>
      <c r="AF463" t="str">
        <f>IF(EV_Data4[[#This Row],[acceleration_0_60_mph]]&lt;=3,"SportsPerformance",IF(EV_Data4[[#This Row],[acceleration_0_60_mph]]&lt;=5,"HighPerformance","Standard"))</f>
        <v>Standard</v>
      </c>
      <c r="AG463" t="str">
        <f>IF(EV_Data4[[#This Row],[customer_rating]]&gt;=4.5,"Excellent",IF(EV_Data4[[#This Row],[customer_rating]]&gt;=3.5,"Good","Average"))</f>
        <v>Good</v>
      </c>
      <c r="AH46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64" spans="1:34" x14ac:dyDescent="0.3">
      <c r="A464" t="s">
        <v>38</v>
      </c>
      <c r="B464" t="s">
        <v>102</v>
      </c>
      <c r="C464">
        <v>2023</v>
      </c>
      <c r="D464" t="s">
        <v>56</v>
      </c>
      <c r="E464" s="3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27</v>
      </c>
      <c r="N464">
        <v>7</v>
      </c>
      <c r="O464" t="s">
        <v>35</v>
      </c>
      <c r="P464">
        <v>47.5</v>
      </c>
      <c r="Q464">
        <v>1971</v>
      </c>
      <c r="R464">
        <v>5</v>
      </c>
      <c r="S464">
        <v>0</v>
      </c>
      <c r="T464" t="s">
        <v>41</v>
      </c>
      <c r="U464" t="s">
        <v>37</v>
      </c>
      <c r="V464" s="3">
        <v>12182</v>
      </c>
      <c r="W464">
        <v>3.71</v>
      </c>
      <c r="X464">
        <v>5</v>
      </c>
      <c r="Y464" s="1">
        <f>EV_Data4[[#This Row],[range_miles]]/EV_Data4[[#This Row],[battery_capacity_kwh]]</f>
        <v>3.7112010796221324</v>
      </c>
      <c r="Z464" s="4">
        <f>EV_Data4[[#This Row],[price_usd]]/EV_Data4[[#This Row],[range_miles]]</f>
        <v>136.17621818181817</v>
      </c>
      <c r="AA464" s="2">
        <f>(EV_Data4[[#This Row],[customer_rating]]*EV_Data4[[#This Row],[safety_rating]]*1000)/EV_Data4[[#This Row],[price_usd]]</f>
        <v>0.49534747223250303</v>
      </c>
      <c r="AB464">
        <f>EV_Data4[[#This Row],[horsepower]]+EV_Data4[[#This Row],[torque_nm]]/EV_Data4[[#This Row],[acceleration_0_60_mph]]</f>
        <v>411.29597197898426</v>
      </c>
      <c r="AC464" t="str">
        <f>IF(EV_Data4[[#This Row],[price_usd]]&gt;=80000,"Luxury",IF(EV_Data4[[#This Row],[price_usd]]&gt;=40000,"Mid-Range","Budget"))</f>
        <v>Budget</v>
      </c>
      <c r="AD464" t="str">
        <f>IF(EV_Data4[[#This Row],[range_miles]]&gt;=350,"Long-Range",IF(EV_Data4[[#This Row],[range_miles]]&gt;=250,"Medium-Range","Short-Range"))</f>
        <v>Medium-Range</v>
      </c>
      <c r="AE464" t="str">
        <f>IF(EV_Data4[[#This Row],[charging_speed_kw]]&gt;=250,"Ultra-Fast",IF(EV_Data4[[#This Row],[charging_speed_kw]]&gt;=150,"Fast-Charging","Standard-Charging"))</f>
        <v>Standard-Charging</v>
      </c>
      <c r="AF464" t="str">
        <f>IF(EV_Data4[[#This Row],[acceleration_0_60_mph]]&lt;=3,"SportsPerformance",IF(EV_Data4[[#This Row],[acceleration_0_60_mph]]&lt;=5,"HighPerformance","Standard"))</f>
        <v>Standard</v>
      </c>
      <c r="AG464" t="str">
        <f>IF(EV_Data4[[#This Row],[customer_rating]]&gt;=4.5,"Excellent",IF(EV_Data4[[#This Row],[customer_rating]]&gt;=3.5,"Good","Average"))</f>
        <v>Good</v>
      </c>
      <c r="AH46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65" spans="1:34" x14ac:dyDescent="0.3">
      <c r="A465" t="s">
        <v>42</v>
      </c>
      <c r="B465" t="s">
        <v>80</v>
      </c>
      <c r="C465">
        <v>2023</v>
      </c>
      <c r="D465" t="s">
        <v>61</v>
      </c>
      <c r="E465" s="3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27</v>
      </c>
      <c r="N465">
        <v>5</v>
      </c>
      <c r="O465" t="s">
        <v>35</v>
      </c>
      <c r="P465">
        <v>41.6</v>
      </c>
      <c r="Q465">
        <v>2004</v>
      </c>
      <c r="R465">
        <v>4</v>
      </c>
      <c r="S465">
        <v>1</v>
      </c>
      <c r="T465" t="s">
        <v>45</v>
      </c>
      <c r="U465" t="s">
        <v>37</v>
      </c>
      <c r="V465" s="3">
        <v>113695</v>
      </c>
      <c r="W465">
        <v>3.55</v>
      </c>
      <c r="X465">
        <v>5</v>
      </c>
      <c r="Y465" s="1">
        <f>EV_Data4[[#This Row],[range_miles]]/EV_Data4[[#This Row],[battery_capacity_kwh]]</f>
        <v>3.5155279503105592</v>
      </c>
      <c r="Z465" s="4">
        <f>EV_Data4[[#This Row],[price_usd]]/EV_Data4[[#This Row],[range_miles]]</f>
        <v>196.43802120141342</v>
      </c>
      <c r="AA465" s="2">
        <f>(EV_Data4[[#This Row],[customer_rating]]*EV_Data4[[#This Row],[safety_rating]]*1000)/EV_Data4[[#This Row],[price_usd]]</f>
        <v>0.25543262011269258</v>
      </c>
      <c r="AB465">
        <f>EV_Data4[[#This Row],[horsepower]]+EV_Data4[[#This Row],[torque_nm]]/EV_Data4[[#This Row],[acceleration_0_60_mph]]</f>
        <v>611.90499194847018</v>
      </c>
      <c r="AC465" t="str">
        <f>IF(EV_Data4[[#This Row],[price_usd]]&gt;=80000,"Luxury",IF(EV_Data4[[#This Row],[price_usd]]&gt;=40000,"Mid-Range","Budget"))</f>
        <v>Mid-Range</v>
      </c>
      <c r="AD465" t="str">
        <f>IF(EV_Data4[[#This Row],[range_miles]]&gt;=350,"Long-Range",IF(EV_Data4[[#This Row],[range_miles]]&gt;=250,"Medium-Range","Short-Range"))</f>
        <v>Medium-Range</v>
      </c>
      <c r="AE465" t="str">
        <f>IF(EV_Data4[[#This Row],[charging_speed_kw]]&gt;=250,"Ultra-Fast",IF(EV_Data4[[#This Row],[charging_speed_kw]]&gt;=150,"Fast-Charging","Standard-Charging"))</f>
        <v>Standard-Charging</v>
      </c>
      <c r="AF465" t="str">
        <f>IF(EV_Data4[[#This Row],[acceleration_0_60_mph]]&lt;=3,"SportsPerformance",IF(EV_Data4[[#This Row],[acceleration_0_60_mph]]&lt;=5,"HighPerformance","Standard"))</f>
        <v>Standard</v>
      </c>
      <c r="AG465" t="str">
        <f>IF(EV_Data4[[#This Row],[customer_rating]]&gt;=4.5,"Excellent",IF(EV_Data4[[#This Row],[customer_rating]]&gt;=3.5,"Good","Average"))</f>
        <v>Good</v>
      </c>
      <c r="AH46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66" spans="1:34" x14ac:dyDescent="0.3">
      <c r="A466" t="s">
        <v>31</v>
      </c>
      <c r="B466" t="s">
        <v>112</v>
      </c>
      <c r="C466">
        <v>2024</v>
      </c>
      <c r="D466" t="s">
        <v>44</v>
      </c>
      <c r="E466" s="3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34</v>
      </c>
      <c r="N466">
        <v>5</v>
      </c>
      <c r="O466" t="s">
        <v>40</v>
      </c>
      <c r="P466">
        <v>64.2</v>
      </c>
      <c r="Q466">
        <v>1570</v>
      </c>
      <c r="R466">
        <v>5</v>
      </c>
      <c r="S466">
        <v>1</v>
      </c>
      <c r="T466" t="s">
        <v>36</v>
      </c>
      <c r="U466" t="s">
        <v>37</v>
      </c>
      <c r="V466" s="3">
        <v>18558</v>
      </c>
      <c r="W466">
        <v>3.6</v>
      </c>
      <c r="X466">
        <v>4</v>
      </c>
      <c r="Y466" s="1">
        <f>EV_Data4[[#This Row],[range_miles]]/EV_Data4[[#This Row],[battery_capacity_kwh]]</f>
        <v>3.5332606324972735</v>
      </c>
      <c r="Z466" s="4">
        <f>EV_Data4[[#This Row],[price_usd]]/EV_Data4[[#This Row],[range_miles]]</f>
        <v>171.87101851851853</v>
      </c>
      <c r="AA466" s="2">
        <f>(EV_Data4[[#This Row],[customer_rating]]*EV_Data4[[#This Row],[safety_rating]]*1000)/EV_Data4[[#This Row],[price_usd]]</f>
        <v>0.32323981107710509</v>
      </c>
      <c r="AB466">
        <f>EV_Data4[[#This Row],[horsepower]]+EV_Data4[[#This Row],[torque_nm]]/EV_Data4[[#This Row],[acceleration_0_60_mph]]</f>
        <v>663.48360655737702</v>
      </c>
      <c r="AC466" t="str">
        <f>IF(EV_Data4[[#This Row],[price_usd]]&gt;=80000,"Luxury",IF(EV_Data4[[#This Row],[price_usd]]&gt;=40000,"Mid-Range","Budget"))</f>
        <v>Mid-Range</v>
      </c>
      <c r="AD466" t="str">
        <f>IF(EV_Data4[[#This Row],[range_miles]]&gt;=350,"Long-Range",IF(EV_Data4[[#This Row],[range_miles]]&gt;=250,"Medium-Range","Short-Range"))</f>
        <v>Medium-Range</v>
      </c>
      <c r="AE466" t="str">
        <f>IF(EV_Data4[[#This Row],[charging_speed_kw]]&gt;=250,"Ultra-Fast",IF(EV_Data4[[#This Row],[charging_speed_kw]]&gt;=150,"Fast-Charging","Standard-Charging"))</f>
        <v>Standard-Charging</v>
      </c>
      <c r="AF466" t="str">
        <f>IF(EV_Data4[[#This Row],[acceleration_0_60_mph]]&lt;=3,"SportsPerformance",IF(EV_Data4[[#This Row],[acceleration_0_60_mph]]&lt;=5,"HighPerformance","Standard"))</f>
        <v>HighPerformance</v>
      </c>
      <c r="AG466" t="str">
        <f>IF(EV_Data4[[#This Row],[customer_rating]]&gt;=4.5,"Excellent",IF(EV_Data4[[#This Row],[customer_rating]]&gt;=3.5,"Good","Average"))</f>
        <v>Good</v>
      </c>
      <c r="AH46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67" spans="1:34" x14ac:dyDescent="0.3">
      <c r="A467" t="s">
        <v>24</v>
      </c>
      <c r="B467" t="s">
        <v>70</v>
      </c>
      <c r="C467">
        <v>2025</v>
      </c>
      <c r="D467" t="s">
        <v>44</v>
      </c>
      <c r="E467" s="3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34</v>
      </c>
      <c r="N467">
        <v>5</v>
      </c>
      <c r="O467" t="s">
        <v>58</v>
      </c>
      <c r="P467">
        <v>17.8</v>
      </c>
      <c r="Q467">
        <v>1870</v>
      </c>
      <c r="R467">
        <v>4</v>
      </c>
      <c r="S467">
        <v>1</v>
      </c>
      <c r="T467" t="s">
        <v>29</v>
      </c>
      <c r="U467" t="s">
        <v>37</v>
      </c>
      <c r="V467" s="3">
        <v>243761</v>
      </c>
      <c r="W467">
        <v>3.63</v>
      </c>
      <c r="X467">
        <v>5</v>
      </c>
      <c r="Y467" s="1">
        <f>EV_Data4[[#This Row],[range_miles]]/EV_Data4[[#This Row],[battery_capacity_kwh]]</f>
        <v>3.333333333333333</v>
      </c>
      <c r="Z467" s="4">
        <f>EV_Data4[[#This Row],[price_usd]]/EV_Data4[[#This Row],[range_miles]]</f>
        <v>136.06283667621776</v>
      </c>
      <c r="AA467" s="2">
        <f>(EV_Data4[[#This Row],[customer_rating]]*EV_Data4[[#This Row],[safety_rating]]*1000)/EV_Data4[[#This Row],[price_usd]]</f>
        <v>0.30577478423608845</v>
      </c>
      <c r="AB467">
        <f>EV_Data4[[#This Row],[horsepower]]+EV_Data4[[#This Row],[torque_nm]]/EV_Data4[[#This Row],[acceleration_0_60_mph]]</f>
        <v>502.56521739130437</v>
      </c>
      <c r="AC467" t="str">
        <f>IF(EV_Data4[[#This Row],[price_usd]]&gt;=80000,"Luxury",IF(EV_Data4[[#This Row],[price_usd]]&gt;=40000,"Mid-Range","Budget"))</f>
        <v>Mid-Range</v>
      </c>
      <c r="AD467" t="str">
        <f>IF(EV_Data4[[#This Row],[range_miles]]&gt;=350,"Long-Range",IF(EV_Data4[[#This Row],[range_miles]]&gt;=250,"Medium-Range","Short-Range"))</f>
        <v>Medium-Range</v>
      </c>
      <c r="AE467" t="str">
        <f>IF(EV_Data4[[#This Row],[charging_speed_kw]]&gt;=250,"Ultra-Fast",IF(EV_Data4[[#This Row],[charging_speed_kw]]&gt;=150,"Fast-Charging","Standard-Charging"))</f>
        <v>Standard-Charging</v>
      </c>
      <c r="AF467" t="str">
        <f>IF(EV_Data4[[#This Row],[acceleration_0_60_mph]]&lt;=3,"SportsPerformance",IF(EV_Data4[[#This Row],[acceleration_0_60_mph]]&lt;=5,"HighPerformance","Standard"))</f>
        <v>Standard</v>
      </c>
      <c r="AG467" t="str">
        <f>IF(EV_Data4[[#This Row],[customer_rating]]&gt;=4.5,"Excellent",IF(EV_Data4[[#This Row],[customer_rating]]&gt;=3.5,"Good","Average"))</f>
        <v>Good</v>
      </c>
      <c r="AH46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68" spans="1:34" x14ac:dyDescent="0.3">
      <c r="A468" t="s">
        <v>63</v>
      </c>
      <c r="B468" t="s">
        <v>96</v>
      </c>
      <c r="C468">
        <v>2025</v>
      </c>
      <c r="D468" t="s">
        <v>26</v>
      </c>
      <c r="E468" s="3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34</v>
      </c>
      <c r="N468">
        <v>7</v>
      </c>
      <c r="O468" t="s">
        <v>35</v>
      </c>
      <c r="P468">
        <v>67.3</v>
      </c>
      <c r="Q468">
        <v>1923</v>
      </c>
      <c r="R468">
        <v>5</v>
      </c>
      <c r="S468">
        <v>0</v>
      </c>
      <c r="T468" t="s">
        <v>65</v>
      </c>
      <c r="U468" t="s">
        <v>37</v>
      </c>
      <c r="V468" s="3">
        <v>141126</v>
      </c>
      <c r="W468">
        <v>4.1900000000000004</v>
      </c>
      <c r="X468">
        <v>3</v>
      </c>
      <c r="Y468" s="1">
        <f>EV_Data4[[#This Row],[range_miles]]/EV_Data4[[#This Row],[battery_capacity_kwh]]</f>
        <v>3.6936936936936937</v>
      </c>
      <c r="Z468" s="4">
        <f>EV_Data4[[#This Row],[price_usd]]/EV_Data4[[#This Row],[range_miles]]</f>
        <v>130.11241463414632</v>
      </c>
      <c r="AA468" s="2">
        <f>(EV_Data4[[#This Row],[customer_rating]]*EV_Data4[[#This Row],[safety_rating]]*1000)/EV_Data4[[#This Row],[price_usd]]</f>
        <v>0.39271856662784482</v>
      </c>
      <c r="AB468">
        <f>EV_Data4[[#This Row],[horsepower]]+EV_Data4[[#This Row],[torque_nm]]/EV_Data4[[#This Row],[acceleration_0_60_mph]]</f>
        <v>661.45771144278604</v>
      </c>
      <c r="AC468" t="str">
        <f>IF(EV_Data4[[#This Row],[price_usd]]&gt;=80000,"Luxury",IF(EV_Data4[[#This Row],[price_usd]]&gt;=40000,"Mid-Range","Budget"))</f>
        <v>Mid-Range</v>
      </c>
      <c r="AD468" t="str">
        <f>IF(EV_Data4[[#This Row],[range_miles]]&gt;=350,"Long-Range",IF(EV_Data4[[#This Row],[range_miles]]&gt;=250,"Medium-Range","Short-Range"))</f>
        <v>Long-Range</v>
      </c>
      <c r="AE468" t="str">
        <f>IF(EV_Data4[[#This Row],[charging_speed_kw]]&gt;=250,"Ultra-Fast",IF(EV_Data4[[#This Row],[charging_speed_kw]]&gt;=150,"Fast-Charging","Standard-Charging"))</f>
        <v>Fast-Charging</v>
      </c>
      <c r="AF468" t="str">
        <f>IF(EV_Data4[[#This Row],[acceleration_0_60_mph]]&lt;=3,"SportsPerformance",IF(EV_Data4[[#This Row],[acceleration_0_60_mph]]&lt;=5,"HighPerformance","Standard"))</f>
        <v>HighPerformance</v>
      </c>
      <c r="AG468" t="str">
        <f>IF(EV_Data4[[#This Row],[customer_rating]]&gt;=4.5,"Excellent",IF(EV_Data4[[#This Row],[customer_rating]]&gt;=3.5,"Good","Average"))</f>
        <v>Good</v>
      </c>
      <c r="AH46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69" spans="1:34" x14ac:dyDescent="0.3">
      <c r="A469" t="s">
        <v>52</v>
      </c>
      <c r="B469" t="s">
        <v>97</v>
      </c>
      <c r="C469">
        <v>2025</v>
      </c>
      <c r="D469" t="s">
        <v>44</v>
      </c>
      <c r="E469" s="3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27</v>
      </c>
      <c r="N469">
        <v>5</v>
      </c>
      <c r="O469" t="s">
        <v>58</v>
      </c>
      <c r="P469">
        <v>33.4</v>
      </c>
      <c r="Q469">
        <v>1500</v>
      </c>
      <c r="R469">
        <v>5</v>
      </c>
      <c r="S469">
        <v>1</v>
      </c>
      <c r="T469" t="s">
        <v>29</v>
      </c>
      <c r="U469" t="s">
        <v>30</v>
      </c>
      <c r="V469" s="3">
        <v>68195</v>
      </c>
      <c r="W469">
        <v>4.28</v>
      </c>
      <c r="X469">
        <v>6</v>
      </c>
      <c r="Y469" s="1">
        <f>EV_Data4[[#This Row],[range_miles]]/EV_Data4[[#This Row],[battery_capacity_kwh]]</f>
        <v>3.5721703011422639</v>
      </c>
      <c r="Z469" s="4">
        <f>EV_Data4[[#This Row],[price_usd]]/EV_Data4[[#This Row],[range_miles]]</f>
        <v>473.11366279069767</v>
      </c>
      <c r="AA469" s="2">
        <f>(EV_Data4[[#This Row],[customer_rating]]*EV_Data4[[#This Row],[safety_rating]]*1000)/EV_Data4[[#This Row],[price_usd]]</f>
        <v>0.13148912664799195</v>
      </c>
      <c r="AB469">
        <f>EV_Data4[[#This Row],[horsepower]]+EV_Data4[[#This Row],[torque_nm]]/EV_Data4[[#This Row],[acceleration_0_60_mph]]</f>
        <v>1204.367816091954</v>
      </c>
      <c r="AC469" t="str">
        <f>IF(EV_Data4[[#This Row],[price_usd]]&gt;=80000,"Luxury",IF(EV_Data4[[#This Row],[price_usd]]&gt;=40000,"Mid-Range","Budget"))</f>
        <v>Luxury</v>
      </c>
      <c r="AD469" t="str">
        <f>IF(EV_Data4[[#This Row],[range_miles]]&gt;=350,"Long-Range",IF(EV_Data4[[#This Row],[range_miles]]&gt;=250,"Medium-Range","Short-Range"))</f>
        <v>Medium-Range</v>
      </c>
      <c r="AE469" t="str">
        <f>IF(EV_Data4[[#This Row],[charging_speed_kw]]&gt;=250,"Ultra-Fast",IF(EV_Data4[[#This Row],[charging_speed_kw]]&gt;=150,"Fast-Charging","Standard-Charging"))</f>
        <v>Standard-Charging</v>
      </c>
      <c r="AF469" t="str">
        <f>IF(EV_Data4[[#This Row],[acceleration_0_60_mph]]&lt;=3,"SportsPerformance",IF(EV_Data4[[#This Row],[acceleration_0_60_mph]]&lt;=5,"HighPerformance","Standard"))</f>
        <v>HighPerformance</v>
      </c>
      <c r="AG469" t="str">
        <f>IF(EV_Data4[[#This Row],[customer_rating]]&gt;=4.5,"Excellent",IF(EV_Data4[[#This Row],[customer_rating]]&gt;=3.5,"Good","Average"))</f>
        <v>Good</v>
      </c>
      <c r="AH46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70" spans="1:34" x14ac:dyDescent="0.3">
      <c r="A470" t="s">
        <v>63</v>
      </c>
      <c r="B470" t="s">
        <v>96</v>
      </c>
      <c r="C470">
        <v>2020</v>
      </c>
      <c r="D470" t="s">
        <v>61</v>
      </c>
      <c r="E470" s="3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27</v>
      </c>
      <c r="N470">
        <v>5</v>
      </c>
      <c r="O470" t="s">
        <v>40</v>
      </c>
      <c r="P470">
        <v>67.2</v>
      </c>
      <c r="Q470">
        <v>1731</v>
      </c>
      <c r="R470">
        <v>3</v>
      </c>
      <c r="S470">
        <v>2</v>
      </c>
      <c r="T470" t="s">
        <v>65</v>
      </c>
      <c r="U470" t="s">
        <v>33</v>
      </c>
      <c r="V470" s="3">
        <v>199656</v>
      </c>
      <c r="W470">
        <v>3.4</v>
      </c>
      <c r="X470">
        <v>4</v>
      </c>
      <c r="Y470" s="1">
        <f>EV_Data4[[#This Row],[range_miles]]/EV_Data4[[#This Row],[battery_capacity_kwh]]</f>
        <v>3.6349924585218703</v>
      </c>
      <c r="Z470" s="4">
        <f>EV_Data4[[#This Row],[price_usd]]/EV_Data4[[#This Row],[range_miles]]</f>
        <v>292.41804979253112</v>
      </c>
      <c r="AA470" s="2">
        <f>(EV_Data4[[#This Row],[customer_rating]]*EV_Data4[[#This Row],[safety_rating]]*1000)/EV_Data4[[#This Row],[price_usd]]</f>
        <v>0.14473679542802004</v>
      </c>
      <c r="AB470">
        <f>EV_Data4[[#This Row],[horsepower]]+EV_Data4[[#This Row],[torque_nm]]/EV_Data4[[#This Row],[acceleration_0_60_mph]]</f>
        <v>824.33198380566796</v>
      </c>
      <c r="AC470" t="str">
        <f>IF(EV_Data4[[#This Row],[price_usd]]&gt;=80000,"Luxury",IF(EV_Data4[[#This Row],[price_usd]]&gt;=40000,"Mid-Range","Budget"))</f>
        <v>Mid-Range</v>
      </c>
      <c r="AD470" t="str">
        <f>IF(EV_Data4[[#This Row],[range_miles]]&gt;=350,"Long-Range",IF(EV_Data4[[#This Row],[range_miles]]&gt;=250,"Medium-Range","Short-Range"))</f>
        <v>Short-Range</v>
      </c>
      <c r="AE470" t="str">
        <f>IF(EV_Data4[[#This Row],[charging_speed_kw]]&gt;=250,"Ultra-Fast",IF(EV_Data4[[#This Row],[charging_speed_kw]]&gt;=150,"Fast-Charging","Standard-Charging"))</f>
        <v>Standard-Charging</v>
      </c>
      <c r="AF470" t="str">
        <f>IF(EV_Data4[[#This Row],[acceleration_0_60_mph]]&lt;=3,"SportsPerformance",IF(EV_Data4[[#This Row],[acceleration_0_60_mph]]&lt;=5,"HighPerformance","Standard"))</f>
        <v>Standard</v>
      </c>
      <c r="AG470" t="str">
        <f>IF(EV_Data4[[#This Row],[customer_rating]]&gt;=4.5,"Excellent",IF(EV_Data4[[#This Row],[customer_rating]]&gt;=3.5,"Good","Average"))</f>
        <v>Average</v>
      </c>
      <c r="AH47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71" spans="1:34" x14ac:dyDescent="0.3">
      <c r="A471" t="s">
        <v>31</v>
      </c>
      <c r="B471" t="s">
        <v>112</v>
      </c>
      <c r="C471">
        <v>2024</v>
      </c>
      <c r="D471" t="s">
        <v>56</v>
      </c>
      <c r="E471" s="3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34</v>
      </c>
      <c r="N471">
        <v>5</v>
      </c>
      <c r="O471" t="s">
        <v>51</v>
      </c>
      <c r="P471">
        <v>29.8</v>
      </c>
      <c r="Q471">
        <v>1500</v>
      </c>
      <c r="R471">
        <v>4</v>
      </c>
      <c r="S471">
        <v>1</v>
      </c>
      <c r="T471" t="s">
        <v>36</v>
      </c>
      <c r="U471" t="s">
        <v>37</v>
      </c>
      <c r="V471" s="3">
        <v>5267</v>
      </c>
      <c r="W471">
        <v>3.41</v>
      </c>
      <c r="X471">
        <v>3</v>
      </c>
      <c r="Y471" s="1">
        <f>EV_Data4[[#This Row],[range_miles]]/EV_Data4[[#This Row],[battery_capacity_kwh]]</f>
        <v>3.5428571428571427</v>
      </c>
      <c r="Z471" s="4">
        <f>EV_Data4[[#This Row],[price_usd]]/EV_Data4[[#This Row],[range_miles]]</f>
        <v>193.62473118279567</v>
      </c>
      <c r="AA471" s="2">
        <f>(EV_Data4[[#This Row],[customer_rating]]*EV_Data4[[#This Row],[safety_rating]]*1000)/EV_Data4[[#This Row],[price_usd]]</f>
        <v>0.37873949719832734</v>
      </c>
      <c r="AB471">
        <f>EV_Data4[[#This Row],[horsepower]]+EV_Data4[[#This Row],[torque_nm]]/EV_Data4[[#This Row],[acceleration_0_60_mph]]</f>
        <v>240.61302681992339</v>
      </c>
      <c r="AC471" t="str">
        <f>IF(EV_Data4[[#This Row],[price_usd]]&gt;=80000,"Luxury",IF(EV_Data4[[#This Row],[price_usd]]&gt;=40000,"Mid-Range","Budget"))</f>
        <v>Budget</v>
      </c>
      <c r="AD471" t="str">
        <f>IF(EV_Data4[[#This Row],[range_miles]]&gt;=350,"Long-Range",IF(EV_Data4[[#This Row],[range_miles]]&gt;=250,"Medium-Range","Short-Range"))</f>
        <v>Short-Range</v>
      </c>
      <c r="AE471" t="str">
        <f>IF(EV_Data4[[#This Row],[charging_speed_kw]]&gt;=250,"Ultra-Fast",IF(EV_Data4[[#This Row],[charging_speed_kw]]&gt;=150,"Fast-Charging","Standard-Charging"))</f>
        <v>Standard-Charging</v>
      </c>
      <c r="AF471" t="str">
        <f>IF(EV_Data4[[#This Row],[acceleration_0_60_mph]]&lt;=3,"SportsPerformance",IF(EV_Data4[[#This Row],[acceleration_0_60_mph]]&lt;=5,"HighPerformance","Standard"))</f>
        <v>Standard</v>
      </c>
      <c r="AG471" t="str">
        <f>IF(EV_Data4[[#This Row],[customer_rating]]&gt;=4.5,"Excellent",IF(EV_Data4[[#This Row],[customer_rating]]&gt;=3.5,"Good","Average"))</f>
        <v>Average</v>
      </c>
      <c r="AH47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72" spans="1:34" x14ac:dyDescent="0.3">
      <c r="A472" t="s">
        <v>46</v>
      </c>
      <c r="B472" t="s">
        <v>49</v>
      </c>
      <c r="C472">
        <v>2026</v>
      </c>
      <c r="D472" t="s">
        <v>56</v>
      </c>
      <c r="E472" s="3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48</v>
      </c>
      <c r="N472">
        <v>5</v>
      </c>
      <c r="O472" t="s">
        <v>40</v>
      </c>
      <c r="P472">
        <v>69.8</v>
      </c>
      <c r="Q472">
        <v>1501</v>
      </c>
      <c r="R472">
        <v>4</v>
      </c>
      <c r="S472">
        <v>2</v>
      </c>
      <c r="T472" t="s">
        <v>41</v>
      </c>
      <c r="U472" t="s">
        <v>37</v>
      </c>
      <c r="V472" s="3">
        <v>407336</v>
      </c>
      <c r="W472">
        <v>3.8</v>
      </c>
      <c r="X472">
        <v>4</v>
      </c>
      <c r="Y472" s="1">
        <f>EV_Data4[[#This Row],[range_miles]]/EV_Data4[[#This Row],[battery_capacity_kwh]]</f>
        <v>3.548850574712644</v>
      </c>
      <c r="Z472" s="4">
        <f>EV_Data4[[#This Row],[price_usd]]/EV_Data4[[#This Row],[range_miles]]</f>
        <v>167.43097165991901</v>
      </c>
      <c r="AA472" s="2">
        <f>(EV_Data4[[#This Row],[customer_rating]]*EV_Data4[[#This Row],[safety_rating]]*1000)/EV_Data4[[#This Row],[price_usd]]</f>
        <v>0.36754526912414209</v>
      </c>
      <c r="AB472">
        <f>EV_Data4[[#This Row],[horsepower]]+EV_Data4[[#This Row],[torque_nm]]/EV_Data4[[#This Row],[acceleration_0_60_mph]]</f>
        <v>343.64939550949913</v>
      </c>
      <c r="AC472" t="str">
        <f>IF(EV_Data4[[#This Row],[price_usd]]&gt;=80000,"Luxury",IF(EV_Data4[[#This Row],[price_usd]]&gt;=40000,"Mid-Range","Budget"))</f>
        <v>Mid-Range</v>
      </c>
      <c r="AD472" t="str">
        <f>IF(EV_Data4[[#This Row],[range_miles]]&gt;=350,"Long-Range",IF(EV_Data4[[#This Row],[range_miles]]&gt;=250,"Medium-Range","Short-Range"))</f>
        <v>Short-Range</v>
      </c>
      <c r="AE472" t="str">
        <f>IF(EV_Data4[[#This Row],[charging_speed_kw]]&gt;=250,"Ultra-Fast",IF(EV_Data4[[#This Row],[charging_speed_kw]]&gt;=150,"Fast-Charging","Standard-Charging"))</f>
        <v>Ultra-Fast</v>
      </c>
      <c r="AF472" t="str">
        <f>IF(EV_Data4[[#This Row],[acceleration_0_60_mph]]&lt;=3,"SportsPerformance",IF(EV_Data4[[#This Row],[acceleration_0_60_mph]]&lt;=5,"HighPerformance","Standard"))</f>
        <v>Standard</v>
      </c>
      <c r="AG472" t="str">
        <f>IF(EV_Data4[[#This Row],[customer_rating]]&gt;=4.5,"Excellent",IF(EV_Data4[[#This Row],[customer_rating]]&gt;=3.5,"Good","Average"))</f>
        <v>Good</v>
      </c>
      <c r="AH47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73" spans="1:34" x14ac:dyDescent="0.3">
      <c r="A473" t="s">
        <v>59</v>
      </c>
      <c r="B473" t="s">
        <v>60</v>
      </c>
      <c r="C473">
        <v>2024</v>
      </c>
      <c r="D473" t="s">
        <v>56</v>
      </c>
      <c r="E473" s="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48</v>
      </c>
      <c r="N473">
        <v>7</v>
      </c>
      <c r="O473" t="s">
        <v>40</v>
      </c>
      <c r="P473">
        <v>70.599999999999994</v>
      </c>
      <c r="Q473">
        <v>1500</v>
      </c>
      <c r="R473">
        <v>5</v>
      </c>
      <c r="S473">
        <v>1</v>
      </c>
      <c r="T473" t="s">
        <v>41</v>
      </c>
      <c r="U473" t="s">
        <v>33</v>
      </c>
      <c r="V473" s="3">
        <v>2927</v>
      </c>
      <c r="W473">
        <v>3.38</v>
      </c>
      <c r="X473">
        <v>4</v>
      </c>
      <c r="Y473" s="1">
        <f>EV_Data4[[#This Row],[range_miles]]/EV_Data4[[#This Row],[battery_capacity_kwh]]</f>
        <v>3.5208711433756803</v>
      </c>
      <c r="Z473" s="4">
        <f>EV_Data4[[#This Row],[price_usd]]/EV_Data4[[#This Row],[range_miles]]</f>
        <v>337.91953608247422</v>
      </c>
      <c r="AA473" s="2">
        <f>(EV_Data4[[#This Row],[customer_rating]]*EV_Data4[[#This Row],[safety_rating]]*1000)/EV_Data4[[#This Row],[price_usd]]</f>
        <v>0.25779332876627281</v>
      </c>
      <c r="AB473">
        <f>EV_Data4[[#This Row],[horsepower]]+EV_Data4[[#This Row],[torque_nm]]/EV_Data4[[#This Row],[acceleration_0_60_mph]]</f>
        <v>527.55555555555554</v>
      </c>
      <c r="AC473" t="str">
        <f>IF(EV_Data4[[#This Row],[price_usd]]&gt;=80000,"Luxury",IF(EV_Data4[[#This Row],[price_usd]]&gt;=40000,"Mid-Range","Budget"))</f>
        <v>Mid-Range</v>
      </c>
      <c r="AD473" t="str">
        <f>IF(EV_Data4[[#This Row],[range_miles]]&gt;=350,"Long-Range",IF(EV_Data4[[#This Row],[range_miles]]&gt;=250,"Medium-Range","Short-Range"))</f>
        <v>Short-Range</v>
      </c>
      <c r="AE473" t="str">
        <f>IF(EV_Data4[[#This Row],[charging_speed_kw]]&gt;=250,"Ultra-Fast",IF(EV_Data4[[#This Row],[charging_speed_kw]]&gt;=150,"Fast-Charging","Standard-Charging"))</f>
        <v>Standard-Charging</v>
      </c>
      <c r="AF473" t="str">
        <f>IF(EV_Data4[[#This Row],[acceleration_0_60_mph]]&lt;=3,"SportsPerformance",IF(EV_Data4[[#This Row],[acceleration_0_60_mph]]&lt;=5,"HighPerformance","Standard"))</f>
        <v>Standard</v>
      </c>
      <c r="AG473" t="str">
        <f>IF(EV_Data4[[#This Row],[customer_rating]]&gt;=4.5,"Excellent",IF(EV_Data4[[#This Row],[customer_rating]]&gt;=3.5,"Good","Average"))</f>
        <v>Average</v>
      </c>
      <c r="AH47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74" spans="1:34" x14ac:dyDescent="0.3">
      <c r="A474" t="s">
        <v>46</v>
      </c>
      <c r="B474" t="s">
        <v>57</v>
      </c>
      <c r="C474">
        <v>2026</v>
      </c>
      <c r="D474" t="s">
        <v>56</v>
      </c>
      <c r="E474" s="3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34</v>
      </c>
      <c r="N474">
        <v>7</v>
      </c>
      <c r="O474" t="s">
        <v>51</v>
      </c>
      <c r="P474">
        <v>24.3</v>
      </c>
      <c r="Q474">
        <v>1583</v>
      </c>
      <c r="R474">
        <v>5</v>
      </c>
      <c r="S474">
        <v>2</v>
      </c>
      <c r="T474" t="s">
        <v>41</v>
      </c>
      <c r="U474" t="s">
        <v>33</v>
      </c>
      <c r="V474" s="3">
        <v>238605</v>
      </c>
      <c r="W474">
        <v>3.46</v>
      </c>
      <c r="X474">
        <v>4</v>
      </c>
      <c r="Y474" s="1">
        <f>EV_Data4[[#This Row],[range_miles]]/EV_Data4[[#This Row],[battery_capacity_kwh]]</f>
        <v>3.165322580645161</v>
      </c>
      <c r="Z474" s="4">
        <f>EV_Data4[[#This Row],[price_usd]]/EV_Data4[[#This Row],[range_miles]]</f>
        <v>565.81197452229299</v>
      </c>
      <c r="AA474" s="2">
        <f>(EV_Data4[[#This Row],[customer_rating]]*EV_Data4[[#This Row],[safety_rating]]*1000)/EV_Data4[[#This Row],[price_usd]]</f>
        <v>0.19474858745359805</v>
      </c>
      <c r="AB474">
        <f>EV_Data4[[#This Row],[horsepower]]+EV_Data4[[#This Row],[torque_nm]]/EV_Data4[[#This Row],[acceleration_0_60_mph]]</f>
        <v>667.90216010165182</v>
      </c>
      <c r="AC474" t="str">
        <f>IF(EV_Data4[[#This Row],[price_usd]]&gt;=80000,"Luxury",IF(EV_Data4[[#This Row],[price_usd]]&gt;=40000,"Mid-Range","Budget"))</f>
        <v>Luxury</v>
      </c>
      <c r="AD474" t="str">
        <f>IF(EV_Data4[[#This Row],[range_miles]]&gt;=350,"Long-Range",IF(EV_Data4[[#This Row],[range_miles]]&gt;=250,"Medium-Range","Short-Range"))</f>
        <v>Short-Range</v>
      </c>
      <c r="AE474" t="str">
        <f>IF(EV_Data4[[#This Row],[charging_speed_kw]]&gt;=250,"Ultra-Fast",IF(EV_Data4[[#This Row],[charging_speed_kw]]&gt;=150,"Fast-Charging","Standard-Charging"))</f>
        <v>Ultra-Fast</v>
      </c>
      <c r="AF474" t="str">
        <f>IF(EV_Data4[[#This Row],[acceleration_0_60_mph]]&lt;=3,"SportsPerformance",IF(EV_Data4[[#This Row],[acceleration_0_60_mph]]&lt;=5,"HighPerformance","Standard"))</f>
        <v>Standard</v>
      </c>
      <c r="AG474" t="str">
        <f>IF(EV_Data4[[#This Row],[customer_rating]]&gt;=4.5,"Excellent",IF(EV_Data4[[#This Row],[customer_rating]]&gt;=3.5,"Good","Average"))</f>
        <v>Average</v>
      </c>
      <c r="AH47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75" spans="1:34" x14ac:dyDescent="0.3">
      <c r="A475" t="s">
        <v>86</v>
      </c>
      <c r="B475" t="s">
        <v>117</v>
      </c>
      <c r="C475">
        <v>2026</v>
      </c>
      <c r="D475" t="s">
        <v>44</v>
      </c>
      <c r="E475" s="3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34</v>
      </c>
      <c r="N475">
        <v>7</v>
      </c>
      <c r="O475" t="s">
        <v>50</v>
      </c>
      <c r="P475">
        <v>34.1</v>
      </c>
      <c r="Q475">
        <v>1500</v>
      </c>
      <c r="R475">
        <v>3</v>
      </c>
      <c r="S475">
        <v>1</v>
      </c>
      <c r="T475" t="s">
        <v>29</v>
      </c>
      <c r="U475" t="s">
        <v>33</v>
      </c>
      <c r="V475" s="3">
        <v>45647</v>
      </c>
      <c r="W475">
        <v>3.96</v>
      </c>
      <c r="X475">
        <v>6</v>
      </c>
      <c r="Y475" s="1">
        <f>EV_Data4[[#This Row],[range_miles]]/EV_Data4[[#This Row],[battery_capacity_kwh]]</f>
        <v>3.5566037735849059</v>
      </c>
      <c r="Z475" s="4">
        <f>EV_Data4[[#This Row],[price_usd]]/EV_Data4[[#This Row],[range_miles]]</f>
        <v>189.48368700265254</v>
      </c>
      <c r="AA475" s="2">
        <f>(EV_Data4[[#This Row],[customer_rating]]*EV_Data4[[#This Row],[safety_rating]]*1000)/EV_Data4[[#This Row],[price_usd]]</f>
        <v>0.16630421772973741</v>
      </c>
      <c r="AB475">
        <f>EV_Data4[[#This Row],[horsepower]]+EV_Data4[[#This Row],[torque_nm]]/EV_Data4[[#This Row],[acceleration_0_60_mph]]</f>
        <v>481.7844990548204</v>
      </c>
      <c r="AC475" t="str">
        <f>IF(EV_Data4[[#This Row],[price_usd]]&gt;=80000,"Luxury",IF(EV_Data4[[#This Row],[price_usd]]&gt;=40000,"Mid-Range","Budget"))</f>
        <v>Mid-Range</v>
      </c>
      <c r="AD475" t="str">
        <f>IF(EV_Data4[[#This Row],[range_miles]]&gt;=350,"Long-Range",IF(EV_Data4[[#This Row],[range_miles]]&gt;=250,"Medium-Range","Short-Range"))</f>
        <v>Long-Range</v>
      </c>
      <c r="AE475" t="str">
        <f>IF(EV_Data4[[#This Row],[charging_speed_kw]]&gt;=250,"Ultra-Fast",IF(EV_Data4[[#This Row],[charging_speed_kw]]&gt;=150,"Fast-Charging","Standard-Charging"))</f>
        <v>Standard-Charging</v>
      </c>
      <c r="AF475" t="str">
        <f>IF(EV_Data4[[#This Row],[acceleration_0_60_mph]]&lt;=3,"SportsPerformance",IF(EV_Data4[[#This Row],[acceleration_0_60_mph]]&lt;=5,"HighPerformance","Standard"))</f>
        <v>Standard</v>
      </c>
      <c r="AG475" t="str">
        <f>IF(EV_Data4[[#This Row],[customer_rating]]&gt;=4.5,"Excellent",IF(EV_Data4[[#This Row],[customer_rating]]&gt;=3.5,"Good","Average"))</f>
        <v>Good</v>
      </c>
      <c r="AH47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76" spans="1:34" x14ac:dyDescent="0.3">
      <c r="A476" t="s">
        <v>68</v>
      </c>
      <c r="B476" t="s">
        <v>109</v>
      </c>
      <c r="C476">
        <v>2025</v>
      </c>
      <c r="D476" t="s">
        <v>61</v>
      </c>
      <c r="E476" s="3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34</v>
      </c>
      <c r="N476">
        <v>7</v>
      </c>
      <c r="O476" t="s">
        <v>50</v>
      </c>
      <c r="P476">
        <v>21.8</v>
      </c>
      <c r="Q476">
        <v>1688</v>
      </c>
      <c r="R476">
        <v>4</v>
      </c>
      <c r="S476">
        <v>1</v>
      </c>
      <c r="T476" t="s">
        <v>45</v>
      </c>
      <c r="U476" t="s">
        <v>37</v>
      </c>
      <c r="V476" s="3">
        <v>111448</v>
      </c>
      <c r="W476">
        <v>3.65</v>
      </c>
      <c r="X476">
        <v>4</v>
      </c>
      <c r="Y476" s="1">
        <f>EV_Data4[[#This Row],[range_miles]]/EV_Data4[[#This Row],[battery_capacity_kwh]]</f>
        <v>3.970037453183521</v>
      </c>
      <c r="Z476" s="4">
        <f>EV_Data4[[#This Row],[price_usd]]/EV_Data4[[#This Row],[range_miles]]</f>
        <v>131.61632075471698</v>
      </c>
      <c r="AA476" s="2">
        <f>(EV_Data4[[#This Row],[customer_rating]]*EV_Data4[[#This Row],[safety_rating]]*1000)/EV_Data4[[#This Row],[price_usd]]</f>
        <v>0.34883173623351083</v>
      </c>
      <c r="AB476">
        <f>EV_Data4[[#This Row],[horsepower]]+EV_Data4[[#This Row],[torque_nm]]/EV_Data4[[#This Row],[acceleration_0_60_mph]]</f>
        <v>450</v>
      </c>
      <c r="AC476" t="str">
        <f>IF(EV_Data4[[#This Row],[price_usd]]&gt;=80000,"Luxury",IF(EV_Data4[[#This Row],[price_usd]]&gt;=40000,"Mid-Range","Budget"))</f>
        <v>Mid-Range</v>
      </c>
      <c r="AD476" t="str">
        <f>IF(EV_Data4[[#This Row],[range_miles]]&gt;=350,"Long-Range",IF(EV_Data4[[#This Row],[range_miles]]&gt;=250,"Medium-Range","Short-Range"))</f>
        <v>Medium-Range</v>
      </c>
      <c r="AE476" t="str">
        <f>IF(EV_Data4[[#This Row],[charging_speed_kw]]&gt;=250,"Ultra-Fast",IF(EV_Data4[[#This Row],[charging_speed_kw]]&gt;=150,"Fast-Charging","Standard-Charging"))</f>
        <v>Standard-Charging</v>
      </c>
      <c r="AF476" t="str">
        <f>IF(EV_Data4[[#This Row],[acceleration_0_60_mph]]&lt;=3,"SportsPerformance",IF(EV_Data4[[#This Row],[acceleration_0_60_mph]]&lt;=5,"HighPerformance","Standard"))</f>
        <v>Standard</v>
      </c>
      <c r="AG476" t="str">
        <f>IF(EV_Data4[[#This Row],[customer_rating]]&gt;=4.5,"Excellent",IF(EV_Data4[[#This Row],[customer_rating]]&gt;=3.5,"Good","Average"))</f>
        <v>Good</v>
      </c>
      <c r="AH47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77" spans="1:34" x14ac:dyDescent="0.3">
      <c r="A477" t="s">
        <v>121</v>
      </c>
      <c r="B477" t="s">
        <v>122</v>
      </c>
      <c r="C477">
        <v>2025</v>
      </c>
      <c r="D477" t="s">
        <v>33</v>
      </c>
      <c r="E477" s="3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34</v>
      </c>
      <c r="N477">
        <v>7</v>
      </c>
      <c r="O477" t="s">
        <v>40</v>
      </c>
      <c r="P477">
        <v>63.9</v>
      </c>
      <c r="Q477">
        <v>1615</v>
      </c>
      <c r="R477">
        <v>5</v>
      </c>
      <c r="S477">
        <v>2</v>
      </c>
      <c r="T477" t="s">
        <v>123</v>
      </c>
      <c r="U477" t="s">
        <v>33</v>
      </c>
      <c r="V477" s="3">
        <v>10606</v>
      </c>
      <c r="W477">
        <v>3.2</v>
      </c>
      <c r="X477">
        <v>3</v>
      </c>
      <c r="Y477" s="1">
        <f>EV_Data4[[#This Row],[range_miles]]/EV_Data4[[#This Row],[battery_capacity_kwh]]</f>
        <v>3.694581280788177</v>
      </c>
      <c r="Z477" s="4">
        <f>EV_Data4[[#This Row],[price_usd]]/EV_Data4[[#This Row],[range_miles]]</f>
        <v>645.42473333333339</v>
      </c>
      <c r="AA477" s="2">
        <f>(EV_Data4[[#This Row],[customer_rating]]*EV_Data4[[#This Row],[safety_rating]]*1000)/EV_Data4[[#This Row],[price_usd]]</f>
        <v>0.165265849227346</v>
      </c>
      <c r="AB477">
        <f>EV_Data4[[#This Row],[horsepower]]+EV_Data4[[#This Row],[torque_nm]]/EV_Data4[[#This Row],[acceleration_0_60_mph]]</f>
        <v>1003.296875</v>
      </c>
      <c r="AC477" t="str">
        <f>IF(EV_Data4[[#This Row],[price_usd]]&gt;=80000,"Luxury",IF(EV_Data4[[#This Row],[price_usd]]&gt;=40000,"Mid-Range","Budget"))</f>
        <v>Luxury</v>
      </c>
      <c r="AD477" t="str">
        <f>IF(EV_Data4[[#This Row],[range_miles]]&gt;=350,"Long-Range",IF(EV_Data4[[#This Row],[range_miles]]&gt;=250,"Medium-Range","Short-Range"))</f>
        <v>Short-Range</v>
      </c>
      <c r="AE477" t="str">
        <f>IF(EV_Data4[[#This Row],[charging_speed_kw]]&gt;=250,"Ultra-Fast",IF(EV_Data4[[#This Row],[charging_speed_kw]]&gt;=150,"Fast-Charging","Standard-Charging"))</f>
        <v>Standard-Charging</v>
      </c>
      <c r="AF477" t="str">
        <f>IF(EV_Data4[[#This Row],[acceleration_0_60_mph]]&lt;=3,"SportsPerformance",IF(EV_Data4[[#This Row],[acceleration_0_60_mph]]&lt;=5,"HighPerformance","Standard"))</f>
        <v>Standard</v>
      </c>
      <c r="AG477" t="str">
        <f>IF(EV_Data4[[#This Row],[customer_rating]]&gt;=4.5,"Excellent",IF(EV_Data4[[#This Row],[customer_rating]]&gt;=3.5,"Good","Average"))</f>
        <v>Average</v>
      </c>
      <c r="AH47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78" spans="1:34" x14ac:dyDescent="0.3">
      <c r="A478" t="s">
        <v>46</v>
      </c>
      <c r="B478" t="s">
        <v>49</v>
      </c>
      <c r="C478">
        <v>2025</v>
      </c>
      <c r="D478" t="s">
        <v>33</v>
      </c>
      <c r="E478" s="3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27</v>
      </c>
      <c r="N478">
        <v>5</v>
      </c>
      <c r="O478" t="s">
        <v>28</v>
      </c>
      <c r="P478">
        <v>75.599999999999994</v>
      </c>
      <c r="Q478">
        <v>2337</v>
      </c>
      <c r="R478">
        <v>5</v>
      </c>
      <c r="S478">
        <v>2</v>
      </c>
      <c r="T478" t="s">
        <v>41</v>
      </c>
      <c r="U478" t="s">
        <v>30</v>
      </c>
      <c r="V478" s="3">
        <v>481115</v>
      </c>
      <c r="W478">
        <v>3.49</v>
      </c>
      <c r="X478">
        <v>5</v>
      </c>
      <c r="Y478" s="1">
        <f>EV_Data4[[#This Row],[range_miles]]/EV_Data4[[#This Row],[battery_capacity_kwh]]</f>
        <v>3.8461538461538463</v>
      </c>
      <c r="Z478" s="4">
        <f>EV_Data4[[#This Row],[price_usd]]/EV_Data4[[#This Row],[range_miles]]</f>
        <v>617.25590476190473</v>
      </c>
      <c r="AA478" s="2">
        <f>(EV_Data4[[#This Row],[customer_rating]]*EV_Data4[[#This Row],[safety_rating]]*1000)/EV_Data4[[#This Row],[price_usd]]</f>
        <v>0.13462040209609755</v>
      </c>
      <c r="AB478">
        <f>EV_Data4[[#This Row],[horsepower]]+EV_Data4[[#This Row],[torque_nm]]/EV_Data4[[#This Row],[acceleration_0_60_mph]]</f>
        <v>1074.1129032258063</v>
      </c>
      <c r="AC478" t="str">
        <f>IF(EV_Data4[[#This Row],[price_usd]]&gt;=80000,"Luxury",IF(EV_Data4[[#This Row],[price_usd]]&gt;=40000,"Mid-Range","Budget"))</f>
        <v>Luxury</v>
      </c>
      <c r="AD478" t="str">
        <f>IF(EV_Data4[[#This Row],[range_miles]]&gt;=350,"Long-Range",IF(EV_Data4[[#This Row],[range_miles]]&gt;=250,"Medium-Range","Short-Range"))</f>
        <v>Short-Range</v>
      </c>
      <c r="AE478" t="str">
        <f>IF(EV_Data4[[#This Row],[charging_speed_kw]]&gt;=250,"Ultra-Fast",IF(EV_Data4[[#This Row],[charging_speed_kw]]&gt;=150,"Fast-Charging","Standard-Charging"))</f>
        <v>Ultra-Fast</v>
      </c>
      <c r="AF478" t="str">
        <f>IF(EV_Data4[[#This Row],[acceleration_0_60_mph]]&lt;=3,"SportsPerformance",IF(EV_Data4[[#This Row],[acceleration_0_60_mph]]&lt;=5,"HighPerformance","Standard"))</f>
        <v>Standard</v>
      </c>
      <c r="AG478" t="str">
        <f>IF(EV_Data4[[#This Row],[customer_rating]]&gt;=4.5,"Excellent",IF(EV_Data4[[#This Row],[customer_rating]]&gt;=3.5,"Good","Average"))</f>
        <v>Average</v>
      </c>
      <c r="AH47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79" spans="1:34" x14ac:dyDescent="0.3">
      <c r="A479" t="s">
        <v>42</v>
      </c>
      <c r="B479" t="s">
        <v>80</v>
      </c>
      <c r="C479">
        <v>2024</v>
      </c>
      <c r="D479" t="s">
        <v>61</v>
      </c>
      <c r="E479" s="3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27</v>
      </c>
      <c r="N479">
        <v>7</v>
      </c>
      <c r="O479" t="s">
        <v>35</v>
      </c>
      <c r="P479">
        <v>36.799999999999997</v>
      </c>
      <c r="Q479">
        <v>1704</v>
      </c>
      <c r="R479">
        <v>4</v>
      </c>
      <c r="S479">
        <v>2</v>
      </c>
      <c r="T479" t="s">
        <v>45</v>
      </c>
      <c r="U479" t="s">
        <v>33</v>
      </c>
      <c r="V479" s="3">
        <v>125092</v>
      </c>
      <c r="W479">
        <v>3.1</v>
      </c>
      <c r="X479">
        <v>3</v>
      </c>
      <c r="Y479" s="1">
        <f>EV_Data4[[#This Row],[range_miles]]/EV_Data4[[#This Row],[battery_capacity_kwh]]</f>
        <v>3.3695652173913042</v>
      </c>
      <c r="Z479" s="4">
        <f>EV_Data4[[#This Row],[price_usd]]/EV_Data4[[#This Row],[range_miles]]</f>
        <v>376.70220430107526</v>
      </c>
      <c r="AA479" s="2">
        <f>(EV_Data4[[#This Row],[customer_rating]]*EV_Data4[[#This Row],[safety_rating]]*1000)/EV_Data4[[#This Row],[price_usd]]</f>
        <v>0.17697445330950076</v>
      </c>
      <c r="AB479">
        <f>EV_Data4[[#This Row],[horsepower]]+EV_Data4[[#This Row],[torque_nm]]/EV_Data4[[#This Row],[acceleration_0_60_mph]]</f>
        <v>917.98168498168502</v>
      </c>
      <c r="AC479" t="str">
        <f>IF(EV_Data4[[#This Row],[price_usd]]&gt;=80000,"Luxury",IF(EV_Data4[[#This Row],[price_usd]]&gt;=40000,"Mid-Range","Budget"))</f>
        <v>Mid-Range</v>
      </c>
      <c r="AD479" t="str">
        <f>IF(EV_Data4[[#This Row],[range_miles]]&gt;=350,"Long-Range",IF(EV_Data4[[#This Row],[range_miles]]&gt;=250,"Medium-Range","Short-Range"))</f>
        <v>Short-Range</v>
      </c>
      <c r="AE479" t="str">
        <f>IF(EV_Data4[[#This Row],[charging_speed_kw]]&gt;=250,"Ultra-Fast",IF(EV_Data4[[#This Row],[charging_speed_kw]]&gt;=150,"Fast-Charging","Standard-Charging"))</f>
        <v>Standard-Charging</v>
      </c>
      <c r="AF479" t="str">
        <f>IF(EV_Data4[[#This Row],[acceleration_0_60_mph]]&lt;=3,"SportsPerformance",IF(EV_Data4[[#This Row],[acceleration_0_60_mph]]&lt;=5,"HighPerformance","Standard"))</f>
        <v>Standard</v>
      </c>
      <c r="AG479" t="str">
        <f>IF(EV_Data4[[#This Row],[customer_rating]]&gt;=4.5,"Excellent",IF(EV_Data4[[#This Row],[customer_rating]]&gt;=3.5,"Good","Average"))</f>
        <v>Average</v>
      </c>
      <c r="AH47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80" spans="1:34" x14ac:dyDescent="0.3">
      <c r="A480" t="s">
        <v>59</v>
      </c>
      <c r="B480" t="s">
        <v>111</v>
      </c>
      <c r="C480">
        <v>2025</v>
      </c>
      <c r="D480" t="s">
        <v>33</v>
      </c>
      <c r="E480" s="3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27</v>
      </c>
      <c r="N480">
        <v>7</v>
      </c>
      <c r="O480" t="s">
        <v>58</v>
      </c>
      <c r="P480">
        <v>32.1</v>
      </c>
      <c r="Q480">
        <v>1626</v>
      </c>
      <c r="R480">
        <v>5</v>
      </c>
      <c r="S480">
        <v>1</v>
      </c>
      <c r="T480" t="s">
        <v>41</v>
      </c>
      <c r="U480" t="s">
        <v>30</v>
      </c>
      <c r="V480" s="3">
        <v>11123</v>
      </c>
      <c r="W480">
        <v>3.38</v>
      </c>
      <c r="X480">
        <v>4</v>
      </c>
      <c r="Y480" s="1">
        <f>EV_Data4[[#This Row],[range_miles]]/EV_Data4[[#This Row],[battery_capacity_kwh]]</f>
        <v>3.512014787430684</v>
      </c>
      <c r="Z480" s="4">
        <f>EV_Data4[[#This Row],[price_usd]]/EV_Data4[[#This Row],[range_miles]]</f>
        <v>742.24736842105267</v>
      </c>
      <c r="AA480" s="2">
        <f>(EV_Data4[[#This Row],[customer_rating]]*EV_Data4[[#This Row],[safety_rating]]*1000)/EV_Data4[[#This Row],[price_usd]]</f>
        <v>0.11983520886071461</v>
      </c>
      <c r="AB480">
        <f>EV_Data4[[#This Row],[horsepower]]+EV_Data4[[#This Row],[torque_nm]]/EV_Data4[[#This Row],[acceleration_0_60_mph]]</f>
        <v>1137.6766091051804</v>
      </c>
      <c r="AC480" t="str">
        <f>IF(EV_Data4[[#This Row],[price_usd]]&gt;=80000,"Luxury",IF(EV_Data4[[#This Row],[price_usd]]&gt;=40000,"Mid-Range","Budget"))</f>
        <v>Luxury</v>
      </c>
      <c r="AD480" t="str">
        <f>IF(EV_Data4[[#This Row],[range_miles]]&gt;=350,"Long-Range",IF(EV_Data4[[#This Row],[range_miles]]&gt;=250,"Medium-Range","Short-Range"))</f>
        <v>Short-Range</v>
      </c>
      <c r="AE480" t="str">
        <f>IF(EV_Data4[[#This Row],[charging_speed_kw]]&gt;=250,"Ultra-Fast",IF(EV_Data4[[#This Row],[charging_speed_kw]]&gt;=150,"Fast-Charging","Standard-Charging"))</f>
        <v>Standard-Charging</v>
      </c>
      <c r="AF480" t="str">
        <f>IF(EV_Data4[[#This Row],[acceleration_0_60_mph]]&lt;=3,"SportsPerformance",IF(EV_Data4[[#This Row],[acceleration_0_60_mph]]&lt;=5,"HighPerformance","Standard"))</f>
        <v>Standard</v>
      </c>
      <c r="AG480" t="str">
        <f>IF(EV_Data4[[#This Row],[customer_rating]]&gt;=4.5,"Excellent",IF(EV_Data4[[#This Row],[customer_rating]]&gt;=3.5,"Good","Average"))</f>
        <v>Average</v>
      </c>
      <c r="AH48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81" spans="1:34" x14ac:dyDescent="0.3">
      <c r="A481" t="s">
        <v>68</v>
      </c>
      <c r="B481" t="s">
        <v>106</v>
      </c>
      <c r="C481">
        <v>2020</v>
      </c>
      <c r="D481" t="s">
        <v>61</v>
      </c>
      <c r="E481" s="3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34</v>
      </c>
      <c r="N481">
        <v>5</v>
      </c>
      <c r="O481" t="s">
        <v>50</v>
      </c>
      <c r="P481">
        <v>31.4</v>
      </c>
      <c r="Q481">
        <v>1560</v>
      </c>
      <c r="R481">
        <v>5</v>
      </c>
      <c r="S481">
        <v>0</v>
      </c>
      <c r="T481" t="s">
        <v>45</v>
      </c>
      <c r="U481" t="s">
        <v>37</v>
      </c>
      <c r="V481" s="3">
        <v>60112</v>
      </c>
      <c r="W481">
        <v>3.39</v>
      </c>
      <c r="X481">
        <v>3</v>
      </c>
      <c r="Y481" s="1">
        <f>EV_Data4[[#This Row],[range_miles]]/EV_Data4[[#This Row],[battery_capacity_kwh]]</f>
        <v>3.171875</v>
      </c>
      <c r="Z481" s="4">
        <f>EV_Data4[[#This Row],[price_usd]]/EV_Data4[[#This Row],[range_miles]]</f>
        <v>249.41206896551725</v>
      </c>
      <c r="AA481" s="2">
        <f>(EV_Data4[[#This Row],[customer_rating]]*EV_Data4[[#This Row],[safety_rating]]*1000)/EV_Data4[[#This Row],[price_usd]]</f>
        <v>0.33477745199794984</v>
      </c>
      <c r="AB481">
        <f>EV_Data4[[#This Row],[horsepower]]+EV_Data4[[#This Row],[torque_nm]]/EV_Data4[[#This Row],[acceleration_0_60_mph]]</f>
        <v>626.14901256732492</v>
      </c>
      <c r="AC481" t="str">
        <f>IF(EV_Data4[[#This Row],[price_usd]]&gt;=80000,"Luxury",IF(EV_Data4[[#This Row],[price_usd]]&gt;=40000,"Mid-Range","Budget"))</f>
        <v>Mid-Range</v>
      </c>
      <c r="AD481" t="str">
        <f>IF(EV_Data4[[#This Row],[range_miles]]&gt;=350,"Long-Range",IF(EV_Data4[[#This Row],[range_miles]]&gt;=250,"Medium-Range","Short-Range"))</f>
        <v>Short-Range</v>
      </c>
      <c r="AE481" t="str">
        <f>IF(EV_Data4[[#This Row],[charging_speed_kw]]&gt;=250,"Ultra-Fast",IF(EV_Data4[[#This Row],[charging_speed_kw]]&gt;=150,"Fast-Charging","Standard-Charging"))</f>
        <v>Standard-Charging</v>
      </c>
      <c r="AF481" t="str">
        <f>IF(EV_Data4[[#This Row],[acceleration_0_60_mph]]&lt;=3,"SportsPerformance",IF(EV_Data4[[#This Row],[acceleration_0_60_mph]]&lt;=5,"HighPerformance","Standard"))</f>
        <v>Standard</v>
      </c>
      <c r="AG481" t="str">
        <f>IF(EV_Data4[[#This Row],[customer_rating]]&gt;=4.5,"Excellent",IF(EV_Data4[[#This Row],[customer_rating]]&gt;=3.5,"Good","Average"))</f>
        <v>Average</v>
      </c>
      <c r="AH48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82" spans="1:34" x14ac:dyDescent="0.3">
      <c r="A482" t="s">
        <v>83</v>
      </c>
      <c r="B482" t="s">
        <v>116</v>
      </c>
      <c r="C482">
        <v>2025</v>
      </c>
      <c r="D482" t="s">
        <v>33</v>
      </c>
      <c r="E482" s="3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34</v>
      </c>
      <c r="N482">
        <v>7</v>
      </c>
      <c r="O482" t="s">
        <v>35</v>
      </c>
      <c r="P482">
        <v>37.200000000000003</v>
      </c>
      <c r="Q482">
        <v>1950</v>
      </c>
      <c r="R482">
        <v>4</v>
      </c>
      <c r="S482">
        <v>1</v>
      </c>
      <c r="T482" t="s">
        <v>29</v>
      </c>
      <c r="U482" t="s">
        <v>30</v>
      </c>
      <c r="V482" s="3">
        <v>42535</v>
      </c>
      <c r="W482">
        <v>3.47</v>
      </c>
      <c r="X482">
        <v>8</v>
      </c>
      <c r="Y482" s="1">
        <f>EV_Data4[[#This Row],[range_miles]]/EV_Data4[[#This Row],[battery_capacity_kwh]]</f>
        <v>3.5384615384615383</v>
      </c>
      <c r="Z482" s="4">
        <f>EV_Data4[[#This Row],[price_usd]]/EV_Data4[[#This Row],[range_miles]]</f>
        <v>449.94731225296442</v>
      </c>
      <c r="AA482" s="2">
        <f>(EV_Data4[[#This Row],[customer_rating]]*EV_Data4[[#This Row],[safety_rating]]*1000)/EV_Data4[[#This Row],[price_usd]]</f>
        <v>0.12192907610526556</v>
      </c>
      <c r="AB482">
        <f>EV_Data4[[#This Row],[horsepower]]+EV_Data4[[#This Row],[torque_nm]]/EV_Data4[[#This Row],[acceleration_0_60_mph]]</f>
        <v>1125.48435171386</v>
      </c>
      <c r="AC482" t="str">
        <f>IF(EV_Data4[[#This Row],[price_usd]]&gt;=80000,"Luxury",IF(EV_Data4[[#This Row],[price_usd]]&gt;=40000,"Mid-Range","Budget"))</f>
        <v>Luxury</v>
      </c>
      <c r="AD482" t="str">
        <f>IF(EV_Data4[[#This Row],[range_miles]]&gt;=350,"Long-Range",IF(EV_Data4[[#This Row],[range_miles]]&gt;=250,"Medium-Range","Short-Range"))</f>
        <v>Medium-Range</v>
      </c>
      <c r="AE482" t="str">
        <f>IF(EV_Data4[[#This Row],[charging_speed_kw]]&gt;=250,"Ultra-Fast",IF(EV_Data4[[#This Row],[charging_speed_kw]]&gt;=150,"Fast-Charging","Standard-Charging"))</f>
        <v>Standard-Charging</v>
      </c>
      <c r="AF482" t="str">
        <f>IF(EV_Data4[[#This Row],[acceleration_0_60_mph]]&lt;=3,"SportsPerformance",IF(EV_Data4[[#This Row],[acceleration_0_60_mph]]&lt;=5,"HighPerformance","Standard"))</f>
        <v>Standard</v>
      </c>
      <c r="AG482" t="str">
        <f>IF(EV_Data4[[#This Row],[customer_rating]]&gt;=4.5,"Excellent",IF(EV_Data4[[#This Row],[customer_rating]]&gt;=3.5,"Good","Average"))</f>
        <v>Average</v>
      </c>
      <c r="AH48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83" spans="1:34" x14ac:dyDescent="0.3">
      <c r="A483" t="s">
        <v>38</v>
      </c>
      <c r="B483" t="s">
        <v>118</v>
      </c>
      <c r="C483">
        <v>2025</v>
      </c>
      <c r="D483" t="s">
        <v>61</v>
      </c>
      <c r="E483" s="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34</v>
      </c>
      <c r="N483">
        <v>7</v>
      </c>
      <c r="O483" t="s">
        <v>40</v>
      </c>
      <c r="P483">
        <v>60.3</v>
      </c>
      <c r="Q483">
        <v>1514</v>
      </c>
      <c r="R483">
        <v>4</v>
      </c>
      <c r="S483">
        <v>0</v>
      </c>
      <c r="T483" t="s">
        <v>41</v>
      </c>
      <c r="U483" t="s">
        <v>37</v>
      </c>
      <c r="V483" s="3">
        <v>14323</v>
      </c>
      <c r="W483">
        <v>3.34</v>
      </c>
      <c r="X483">
        <v>4</v>
      </c>
      <c r="Y483" s="1">
        <f>EV_Data4[[#This Row],[range_miles]]/EV_Data4[[#This Row],[battery_capacity_kwh]]</f>
        <v>3.1982942430703627</v>
      </c>
      <c r="Z483" s="4">
        <f>EV_Data4[[#This Row],[price_usd]]/EV_Data4[[#This Row],[range_miles]]</f>
        <v>341.18119999999999</v>
      </c>
      <c r="AA483" s="2">
        <f>(EV_Data4[[#This Row],[customer_rating]]*EV_Data4[[#This Row],[safety_rating]]*1000)/EV_Data4[[#This Row],[price_usd]]</f>
        <v>0.26105385251786051</v>
      </c>
      <c r="AB483">
        <f>EV_Data4[[#This Row],[horsepower]]+EV_Data4[[#This Row],[torque_nm]]/EV_Data4[[#This Row],[acceleration_0_60_mph]]</f>
        <v>666.65240641711227</v>
      </c>
      <c r="AC483" t="str">
        <f>IF(EV_Data4[[#This Row],[price_usd]]&gt;=80000,"Luxury",IF(EV_Data4[[#This Row],[price_usd]]&gt;=40000,"Mid-Range","Budget"))</f>
        <v>Mid-Range</v>
      </c>
      <c r="AD483" t="str">
        <f>IF(EV_Data4[[#This Row],[range_miles]]&gt;=350,"Long-Range",IF(EV_Data4[[#This Row],[range_miles]]&gt;=250,"Medium-Range","Short-Range"))</f>
        <v>Short-Range</v>
      </c>
      <c r="AE483" t="str">
        <f>IF(EV_Data4[[#This Row],[charging_speed_kw]]&gt;=250,"Ultra-Fast",IF(EV_Data4[[#This Row],[charging_speed_kw]]&gt;=150,"Fast-Charging","Standard-Charging"))</f>
        <v>Standard-Charging</v>
      </c>
      <c r="AF483" t="str">
        <f>IF(EV_Data4[[#This Row],[acceleration_0_60_mph]]&lt;=3,"SportsPerformance",IF(EV_Data4[[#This Row],[acceleration_0_60_mph]]&lt;=5,"HighPerformance","Standard"))</f>
        <v>Standard</v>
      </c>
      <c r="AG483" t="str">
        <f>IF(EV_Data4[[#This Row],[customer_rating]]&gt;=4.5,"Excellent",IF(EV_Data4[[#This Row],[customer_rating]]&gt;=3.5,"Good","Average"))</f>
        <v>Average</v>
      </c>
      <c r="AH48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84" spans="1:34" x14ac:dyDescent="0.3">
      <c r="A484" t="s">
        <v>24</v>
      </c>
      <c r="B484" t="s">
        <v>85</v>
      </c>
      <c r="C484">
        <v>2026</v>
      </c>
      <c r="D484" t="s">
        <v>44</v>
      </c>
      <c r="E484" s="3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34</v>
      </c>
      <c r="N484">
        <v>7</v>
      </c>
      <c r="O484" t="s">
        <v>28</v>
      </c>
      <c r="P484">
        <v>56.1</v>
      </c>
      <c r="Q484">
        <v>2583</v>
      </c>
      <c r="R484">
        <v>5</v>
      </c>
      <c r="S484">
        <v>0</v>
      </c>
      <c r="T484" t="s">
        <v>29</v>
      </c>
      <c r="U484" t="s">
        <v>33</v>
      </c>
      <c r="V484" s="3">
        <v>243081</v>
      </c>
      <c r="W484">
        <v>3.92</v>
      </c>
      <c r="X484">
        <v>3</v>
      </c>
      <c r="Y484" s="1">
        <f>EV_Data4[[#This Row],[range_miles]]/EV_Data4[[#This Row],[battery_capacity_kwh]]</f>
        <v>3.4001823154056519</v>
      </c>
      <c r="Z484" s="4">
        <f>EV_Data4[[#This Row],[price_usd]]/EV_Data4[[#This Row],[range_miles]]</f>
        <v>248.35504021447719</v>
      </c>
      <c r="AA484" s="2">
        <f>(EV_Data4[[#This Row],[customer_rating]]*EV_Data4[[#This Row],[safety_rating]]*1000)/EV_Data4[[#This Row],[price_usd]]</f>
        <v>0.21157982879953385</v>
      </c>
      <c r="AB484">
        <f>EV_Data4[[#This Row],[horsepower]]+EV_Data4[[#This Row],[torque_nm]]/EV_Data4[[#This Row],[acceleration_0_60_mph]]</f>
        <v>1195.2702702702702</v>
      </c>
      <c r="AC484" t="str">
        <f>IF(EV_Data4[[#This Row],[price_usd]]&gt;=80000,"Luxury",IF(EV_Data4[[#This Row],[price_usd]]&gt;=40000,"Mid-Range","Budget"))</f>
        <v>Luxury</v>
      </c>
      <c r="AD484" t="str">
        <f>IF(EV_Data4[[#This Row],[range_miles]]&gt;=350,"Long-Range",IF(EV_Data4[[#This Row],[range_miles]]&gt;=250,"Medium-Range","Short-Range"))</f>
        <v>Long-Range</v>
      </c>
      <c r="AE484" t="str">
        <f>IF(EV_Data4[[#This Row],[charging_speed_kw]]&gt;=250,"Ultra-Fast",IF(EV_Data4[[#This Row],[charging_speed_kw]]&gt;=150,"Fast-Charging","Standard-Charging"))</f>
        <v>Standard-Charging</v>
      </c>
      <c r="AF484" t="str">
        <f>IF(EV_Data4[[#This Row],[acceleration_0_60_mph]]&lt;=3,"SportsPerformance",IF(EV_Data4[[#This Row],[acceleration_0_60_mph]]&lt;=5,"HighPerformance","Standard"))</f>
        <v>HighPerformance</v>
      </c>
      <c r="AG484" t="str">
        <f>IF(EV_Data4[[#This Row],[customer_rating]]&gt;=4.5,"Excellent",IF(EV_Data4[[#This Row],[customer_rating]]&gt;=3.5,"Good","Average"))</f>
        <v>Good</v>
      </c>
      <c r="AH48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85" spans="1:34" x14ac:dyDescent="0.3">
      <c r="A485" t="s">
        <v>83</v>
      </c>
      <c r="B485" t="s">
        <v>84</v>
      </c>
      <c r="C485">
        <v>2024</v>
      </c>
      <c r="D485" t="s">
        <v>61</v>
      </c>
      <c r="E485" s="3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48</v>
      </c>
      <c r="N485">
        <v>5</v>
      </c>
      <c r="O485" t="s">
        <v>35</v>
      </c>
      <c r="P485">
        <v>38.299999999999997</v>
      </c>
      <c r="Q485">
        <v>2130</v>
      </c>
      <c r="R485">
        <v>4</v>
      </c>
      <c r="S485">
        <v>2</v>
      </c>
      <c r="T485" t="s">
        <v>29</v>
      </c>
      <c r="U485" t="s">
        <v>37</v>
      </c>
      <c r="V485" s="3">
        <v>69279</v>
      </c>
      <c r="W485">
        <v>3.23</v>
      </c>
      <c r="X485">
        <v>7</v>
      </c>
      <c r="Y485" s="1">
        <f>EV_Data4[[#This Row],[range_miles]]/EV_Data4[[#This Row],[battery_capacity_kwh]]</f>
        <v>3.4965034965034967</v>
      </c>
      <c r="Z485" s="4">
        <f>EV_Data4[[#This Row],[price_usd]]/EV_Data4[[#This Row],[range_miles]]</f>
        <v>432.18553333333335</v>
      </c>
      <c r="AA485" s="2">
        <f>(EV_Data4[[#This Row],[customer_rating]]*EV_Data4[[#This Row],[safety_rating]]*1000)/EV_Data4[[#This Row],[price_usd]]</f>
        <v>0.19929712285603265</v>
      </c>
      <c r="AB485">
        <f>EV_Data4[[#This Row],[horsepower]]+EV_Data4[[#This Row],[torque_nm]]/EV_Data4[[#This Row],[acceleration_0_60_mph]]</f>
        <v>428.11560693641616</v>
      </c>
      <c r="AC485" t="str">
        <f>IF(EV_Data4[[#This Row],[price_usd]]&gt;=80000,"Luxury",IF(EV_Data4[[#This Row],[price_usd]]&gt;=40000,"Mid-Range","Budget"))</f>
        <v>Mid-Range</v>
      </c>
      <c r="AD485" t="str">
        <f>IF(EV_Data4[[#This Row],[range_miles]]&gt;=350,"Long-Range",IF(EV_Data4[[#This Row],[range_miles]]&gt;=250,"Medium-Range","Short-Range"))</f>
        <v>Short-Range</v>
      </c>
      <c r="AE485" t="str">
        <f>IF(EV_Data4[[#This Row],[charging_speed_kw]]&gt;=250,"Ultra-Fast",IF(EV_Data4[[#This Row],[charging_speed_kw]]&gt;=150,"Fast-Charging","Standard-Charging"))</f>
        <v>Standard-Charging</v>
      </c>
      <c r="AF485" t="str">
        <f>IF(EV_Data4[[#This Row],[acceleration_0_60_mph]]&lt;=3,"SportsPerformance",IF(EV_Data4[[#This Row],[acceleration_0_60_mph]]&lt;=5,"HighPerformance","Standard"))</f>
        <v>Standard</v>
      </c>
      <c r="AG485" t="str">
        <f>IF(EV_Data4[[#This Row],[customer_rating]]&gt;=4.5,"Excellent",IF(EV_Data4[[#This Row],[customer_rating]]&gt;=3.5,"Good","Average"))</f>
        <v>Average</v>
      </c>
      <c r="AH48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86" spans="1:34" x14ac:dyDescent="0.3">
      <c r="A486" t="s">
        <v>42</v>
      </c>
      <c r="B486" t="s">
        <v>54</v>
      </c>
      <c r="C486">
        <v>2025</v>
      </c>
      <c r="D486" t="s">
        <v>26</v>
      </c>
      <c r="E486" s="3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27</v>
      </c>
      <c r="N486">
        <v>7</v>
      </c>
      <c r="O486" t="s">
        <v>58</v>
      </c>
      <c r="P486">
        <v>22.4</v>
      </c>
      <c r="Q486">
        <v>1649</v>
      </c>
      <c r="R486">
        <v>5</v>
      </c>
      <c r="S486">
        <v>0</v>
      </c>
      <c r="T486" t="s">
        <v>45</v>
      </c>
      <c r="U486" t="s">
        <v>37</v>
      </c>
      <c r="V486" s="3">
        <v>96451</v>
      </c>
      <c r="W486">
        <v>3.9</v>
      </c>
      <c r="X486">
        <v>5</v>
      </c>
      <c r="Y486" s="1">
        <f>EV_Data4[[#This Row],[range_miles]]/EV_Data4[[#This Row],[battery_capacity_kwh]]</f>
        <v>3.5150925024342743</v>
      </c>
      <c r="Z486" s="4">
        <f>EV_Data4[[#This Row],[price_usd]]/EV_Data4[[#This Row],[range_miles]]</f>
        <v>155.13936288088641</v>
      </c>
      <c r="AA486" s="2">
        <f>(EV_Data4[[#This Row],[customer_rating]]*EV_Data4[[#This Row],[safety_rating]]*1000)/EV_Data4[[#This Row],[price_usd]]</f>
        <v>0.34818127066879911</v>
      </c>
      <c r="AB486">
        <f>EV_Data4[[#This Row],[horsepower]]+EV_Data4[[#This Row],[torque_nm]]/EV_Data4[[#This Row],[acceleration_0_60_mph]]</f>
        <v>710.82086167800458</v>
      </c>
      <c r="AC486" t="str">
        <f>IF(EV_Data4[[#This Row],[price_usd]]&gt;=80000,"Luxury",IF(EV_Data4[[#This Row],[price_usd]]&gt;=40000,"Mid-Range","Budget"))</f>
        <v>Mid-Range</v>
      </c>
      <c r="AD486" t="str">
        <f>IF(EV_Data4[[#This Row],[range_miles]]&gt;=350,"Long-Range",IF(EV_Data4[[#This Row],[range_miles]]&gt;=250,"Medium-Range","Short-Range"))</f>
        <v>Long-Range</v>
      </c>
      <c r="AE486" t="str">
        <f>IF(EV_Data4[[#This Row],[charging_speed_kw]]&gt;=250,"Ultra-Fast",IF(EV_Data4[[#This Row],[charging_speed_kw]]&gt;=150,"Fast-Charging","Standard-Charging"))</f>
        <v>Fast-Charging</v>
      </c>
      <c r="AF486" t="str">
        <f>IF(EV_Data4[[#This Row],[acceleration_0_60_mph]]&lt;=3,"SportsPerformance",IF(EV_Data4[[#This Row],[acceleration_0_60_mph]]&lt;=5,"HighPerformance","Standard"))</f>
        <v>HighPerformance</v>
      </c>
      <c r="AG486" t="str">
        <f>IF(EV_Data4[[#This Row],[customer_rating]]&gt;=4.5,"Excellent",IF(EV_Data4[[#This Row],[customer_rating]]&gt;=3.5,"Good","Average"))</f>
        <v>Good</v>
      </c>
      <c r="AH48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87" spans="1:34" x14ac:dyDescent="0.3">
      <c r="A487" t="s">
        <v>86</v>
      </c>
      <c r="B487" t="s">
        <v>105</v>
      </c>
      <c r="C487">
        <v>2020</v>
      </c>
      <c r="D487" t="s">
        <v>61</v>
      </c>
      <c r="E487" s="3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34</v>
      </c>
      <c r="N487">
        <v>5</v>
      </c>
      <c r="O487" t="s">
        <v>51</v>
      </c>
      <c r="P487">
        <v>31.5</v>
      </c>
      <c r="Q487">
        <v>1500</v>
      </c>
      <c r="R487">
        <v>3</v>
      </c>
      <c r="S487">
        <v>1</v>
      </c>
      <c r="T487" t="s">
        <v>29</v>
      </c>
      <c r="U487" t="s">
        <v>30</v>
      </c>
      <c r="V487" s="3">
        <v>45569</v>
      </c>
      <c r="W487">
        <v>3.67</v>
      </c>
      <c r="X487">
        <v>8</v>
      </c>
      <c r="Y487" s="1">
        <f>EV_Data4[[#This Row],[range_miles]]/EV_Data4[[#This Row],[battery_capacity_kwh]]</f>
        <v>3.3055885850178361</v>
      </c>
      <c r="Z487" s="4">
        <f>EV_Data4[[#This Row],[price_usd]]/EV_Data4[[#This Row],[range_miles]]</f>
        <v>369.04758992805756</v>
      </c>
      <c r="AA487" s="2">
        <f>(EV_Data4[[#This Row],[customer_rating]]*EV_Data4[[#This Row],[safety_rating]]*1000)/EV_Data4[[#This Row],[price_usd]]</f>
        <v>0.10731493072338744</v>
      </c>
      <c r="AB487">
        <f>EV_Data4[[#This Row],[horsepower]]+EV_Data4[[#This Row],[torque_nm]]/EV_Data4[[#This Row],[acceleration_0_60_mph]]</f>
        <v>854.29770992366412</v>
      </c>
      <c r="AC487" t="str">
        <f>IF(EV_Data4[[#This Row],[price_usd]]&gt;=80000,"Luxury",IF(EV_Data4[[#This Row],[price_usd]]&gt;=40000,"Mid-Range","Budget"))</f>
        <v>Luxury</v>
      </c>
      <c r="AD487" t="str">
        <f>IF(EV_Data4[[#This Row],[range_miles]]&gt;=350,"Long-Range",IF(EV_Data4[[#This Row],[range_miles]]&gt;=250,"Medium-Range","Short-Range"))</f>
        <v>Medium-Range</v>
      </c>
      <c r="AE487" t="str">
        <f>IF(EV_Data4[[#This Row],[charging_speed_kw]]&gt;=250,"Ultra-Fast",IF(EV_Data4[[#This Row],[charging_speed_kw]]&gt;=150,"Fast-Charging","Standard-Charging"))</f>
        <v>Standard-Charging</v>
      </c>
      <c r="AF487" t="str">
        <f>IF(EV_Data4[[#This Row],[acceleration_0_60_mph]]&lt;=3,"SportsPerformance",IF(EV_Data4[[#This Row],[acceleration_0_60_mph]]&lt;=5,"HighPerformance","Standard"))</f>
        <v>Standard</v>
      </c>
      <c r="AG487" t="str">
        <f>IF(EV_Data4[[#This Row],[customer_rating]]&gt;=4.5,"Excellent",IF(EV_Data4[[#This Row],[customer_rating]]&gt;=3.5,"Good","Average"))</f>
        <v>Good</v>
      </c>
      <c r="AH48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88" spans="1:34" x14ac:dyDescent="0.3">
      <c r="A488" t="s">
        <v>46</v>
      </c>
      <c r="B488" t="s">
        <v>49</v>
      </c>
      <c r="C488">
        <v>2022</v>
      </c>
      <c r="D488" t="s">
        <v>33</v>
      </c>
      <c r="E488" s="3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34</v>
      </c>
      <c r="N488">
        <v>7</v>
      </c>
      <c r="O488" t="s">
        <v>28</v>
      </c>
      <c r="P488">
        <v>67.599999999999994</v>
      </c>
      <c r="Q488">
        <v>2356</v>
      </c>
      <c r="R488">
        <v>5</v>
      </c>
      <c r="S488">
        <v>3</v>
      </c>
      <c r="T488" t="s">
        <v>41</v>
      </c>
      <c r="U488" t="s">
        <v>33</v>
      </c>
      <c r="V488" s="3">
        <v>438573</v>
      </c>
      <c r="W488">
        <v>3.82</v>
      </c>
      <c r="X488">
        <v>5</v>
      </c>
      <c r="Y488" s="1">
        <f>EV_Data4[[#This Row],[range_miles]]/EV_Data4[[#This Row],[battery_capacity_kwh]]</f>
        <v>3.6928104575163396</v>
      </c>
      <c r="Z488" s="4">
        <f>EV_Data4[[#This Row],[price_usd]]/EV_Data4[[#This Row],[range_miles]]</f>
        <v>328.85402654867255</v>
      </c>
      <c r="AA488" s="2">
        <f>(EV_Data4[[#This Row],[customer_rating]]*EV_Data4[[#This Row],[safety_rating]]*1000)/EV_Data4[[#This Row],[price_usd]]</f>
        <v>0.2569932782129844</v>
      </c>
      <c r="AB488">
        <f>EV_Data4[[#This Row],[horsepower]]+EV_Data4[[#This Row],[torque_nm]]/EV_Data4[[#This Row],[acceleration_0_60_mph]]</f>
        <v>612.26817042606513</v>
      </c>
      <c r="AC488" t="str">
        <f>IF(EV_Data4[[#This Row],[price_usd]]&gt;=80000,"Luxury",IF(EV_Data4[[#This Row],[price_usd]]&gt;=40000,"Mid-Range","Budget"))</f>
        <v>Mid-Range</v>
      </c>
      <c r="AD488" t="str">
        <f>IF(EV_Data4[[#This Row],[range_miles]]&gt;=350,"Long-Range",IF(EV_Data4[[#This Row],[range_miles]]&gt;=250,"Medium-Range","Short-Range"))</f>
        <v>Short-Range</v>
      </c>
      <c r="AE488" t="str">
        <f>IF(EV_Data4[[#This Row],[charging_speed_kw]]&gt;=250,"Ultra-Fast",IF(EV_Data4[[#This Row],[charging_speed_kw]]&gt;=150,"Fast-Charging","Standard-Charging"))</f>
        <v>Fast-Charging</v>
      </c>
      <c r="AF488" t="str">
        <f>IF(EV_Data4[[#This Row],[acceleration_0_60_mph]]&lt;=3,"SportsPerformance",IF(EV_Data4[[#This Row],[acceleration_0_60_mph]]&lt;=5,"HighPerformance","Standard"))</f>
        <v>Standard</v>
      </c>
      <c r="AG488" t="str">
        <f>IF(EV_Data4[[#This Row],[customer_rating]]&gt;=4.5,"Excellent",IF(EV_Data4[[#This Row],[customer_rating]]&gt;=3.5,"Good","Average"))</f>
        <v>Good</v>
      </c>
      <c r="AH48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489" spans="1:34" x14ac:dyDescent="0.3">
      <c r="A489" t="s">
        <v>63</v>
      </c>
      <c r="B489" t="s">
        <v>107</v>
      </c>
      <c r="C489">
        <v>2023</v>
      </c>
      <c r="D489" t="s">
        <v>56</v>
      </c>
      <c r="E489" s="3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48</v>
      </c>
      <c r="N489">
        <v>7</v>
      </c>
      <c r="O489" t="s">
        <v>50</v>
      </c>
      <c r="P489">
        <v>36</v>
      </c>
      <c r="Q489">
        <v>1815</v>
      </c>
      <c r="R489">
        <v>5</v>
      </c>
      <c r="S489">
        <v>1</v>
      </c>
      <c r="T489" t="s">
        <v>65</v>
      </c>
      <c r="U489" t="s">
        <v>37</v>
      </c>
      <c r="V489" s="3">
        <v>135053</v>
      </c>
      <c r="W489">
        <v>3.36</v>
      </c>
      <c r="X489">
        <v>4</v>
      </c>
      <c r="Y489" s="1">
        <f>EV_Data4[[#This Row],[range_miles]]/EV_Data4[[#This Row],[battery_capacity_kwh]]</f>
        <v>3.2679738562091503</v>
      </c>
      <c r="Z489" s="4">
        <f>EV_Data4[[#This Row],[price_usd]]/EV_Data4[[#This Row],[range_miles]]</f>
        <v>342.14606666666668</v>
      </c>
      <c r="AA489" s="2">
        <f>(EV_Data4[[#This Row],[customer_rating]]*EV_Data4[[#This Row],[safety_rating]]*1000)/EV_Data4[[#This Row],[price_usd]]</f>
        <v>0.32734557229066491</v>
      </c>
      <c r="AB489">
        <f>EV_Data4[[#This Row],[horsepower]]+EV_Data4[[#This Row],[torque_nm]]/EV_Data4[[#This Row],[acceleration_0_60_mph]]</f>
        <v>593.09063444108756</v>
      </c>
      <c r="AC489" t="str">
        <f>IF(EV_Data4[[#This Row],[price_usd]]&gt;=80000,"Luxury",IF(EV_Data4[[#This Row],[price_usd]]&gt;=40000,"Mid-Range","Budget"))</f>
        <v>Mid-Range</v>
      </c>
      <c r="AD489" t="str">
        <f>IF(EV_Data4[[#This Row],[range_miles]]&gt;=350,"Long-Range",IF(EV_Data4[[#This Row],[range_miles]]&gt;=250,"Medium-Range","Short-Range"))</f>
        <v>Short-Range</v>
      </c>
      <c r="AE489" t="str">
        <f>IF(EV_Data4[[#This Row],[charging_speed_kw]]&gt;=250,"Ultra-Fast",IF(EV_Data4[[#This Row],[charging_speed_kw]]&gt;=150,"Fast-Charging","Standard-Charging"))</f>
        <v>Standard-Charging</v>
      </c>
      <c r="AF489" t="str">
        <f>IF(EV_Data4[[#This Row],[acceleration_0_60_mph]]&lt;=3,"SportsPerformance",IF(EV_Data4[[#This Row],[acceleration_0_60_mph]]&lt;=5,"HighPerformance","Standard"))</f>
        <v>Standard</v>
      </c>
      <c r="AG489" t="str">
        <f>IF(EV_Data4[[#This Row],[customer_rating]]&gt;=4.5,"Excellent",IF(EV_Data4[[#This Row],[customer_rating]]&gt;=3.5,"Good","Average"))</f>
        <v>Average</v>
      </c>
      <c r="AH48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90" spans="1:34" x14ac:dyDescent="0.3">
      <c r="A490" t="s">
        <v>31</v>
      </c>
      <c r="B490" t="s">
        <v>112</v>
      </c>
      <c r="C490">
        <v>2024</v>
      </c>
      <c r="D490" t="s">
        <v>61</v>
      </c>
      <c r="E490" s="3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34</v>
      </c>
      <c r="N490">
        <v>5</v>
      </c>
      <c r="O490" t="s">
        <v>50</v>
      </c>
      <c r="P490">
        <v>35.5</v>
      </c>
      <c r="Q490">
        <v>1929</v>
      </c>
      <c r="R490">
        <v>5</v>
      </c>
      <c r="S490">
        <v>2</v>
      </c>
      <c r="T490" t="s">
        <v>36</v>
      </c>
      <c r="U490" t="s">
        <v>37</v>
      </c>
      <c r="V490" s="3">
        <v>26767</v>
      </c>
      <c r="W490">
        <v>3.22</v>
      </c>
      <c r="X490">
        <v>3</v>
      </c>
      <c r="Y490" s="1">
        <f>EV_Data4[[#This Row],[range_miles]]/EV_Data4[[#This Row],[battery_capacity_kwh]]</f>
        <v>3.4510433386837884</v>
      </c>
      <c r="Z490" s="4">
        <f>EV_Data4[[#This Row],[price_usd]]/EV_Data4[[#This Row],[range_miles]]</f>
        <v>286.43181395348836</v>
      </c>
      <c r="AA490" s="2">
        <f>(EV_Data4[[#This Row],[customer_rating]]*EV_Data4[[#This Row],[safety_rating]]*1000)/EV_Data4[[#This Row],[price_usd]]</f>
        <v>0.26143646509319807</v>
      </c>
      <c r="AB490">
        <f>EV_Data4[[#This Row],[horsepower]]+EV_Data4[[#This Row],[torque_nm]]/EV_Data4[[#This Row],[acceleration_0_60_mph]]</f>
        <v>757.8648648648649</v>
      </c>
      <c r="AC490" t="str">
        <f>IF(EV_Data4[[#This Row],[price_usd]]&gt;=80000,"Luxury",IF(EV_Data4[[#This Row],[price_usd]]&gt;=40000,"Mid-Range","Budget"))</f>
        <v>Mid-Range</v>
      </c>
      <c r="AD490" t="str">
        <f>IF(EV_Data4[[#This Row],[range_miles]]&gt;=350,"Long-Range",IF(EV_Data4[[#This Row],[range_miles]]&gt;=250,"Medium-Range","Short-Range"))</f>
        <v>Short-Range</v>
      </c>
      <c r="AE490" t="str">
        <f>IF(EV_Data4[[#This Row],[charging_speed_kw]]&gt;=250,"Ultra-Fast",IF(EV_Data4[[#This Row],[charging_speed_kw]]&gt;=150,"Fast-Charging","Standard-Charging"))</f>
        <v>Standard-Charging</v>
      </c>
      <c r="AF490" t="str">
        <f>IF(EV_Data4[[#This Row],[acceleration_0_60_mph]]&lt;=3,"SportsPerformance",IF(EV_Data4[[#This Row],[acceleration_0_60_mph]]&lt;=5,"HighPerformance","Standard"))</f>
        <v>Standard</v>
      </c>
      <c r="AG490" t="str">
        <f>IF(EV_Data4[[#This Row],[customer_rating]]&gt;=4.5,"Excellent",IF(EV_Data4[[#This Row],[customer_rating]]&gt;=3.5,"Good","Average"))</f>
        <v>Average</v>
      </c>
      <c r="AH49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91" spans="1:34" x14ac:dyDescent="0.3">
      <c r="A491" t="s">
        <v>86</v>
      </c>
      <c r="B491" t="s">
        <v>105</v>
      </c>
      <c r="C491">
        <v>2022</v>
      </c>
      <c r="D491" t="s">
        <v>56</v>
      </c>
      <c r="E491" s="3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34</v>
      </c>
      <c r="N491">
        <v>7</v>
      </c>
      <c r="O491" t="s">
        <v>50</v>
      </c>
      <c r="P491">
        <v>22.7</v>
      </c>
      <c r="Q491">
        <v>1500</v>
      </c>
      <c r="R491">
        <v>5</v>
      </c>
      <c r="S491">
        <v>1</v>
      </c>
      <c r="T491" t="s">
        <v>29</v>
      </c>
      <c r="U491" t="s">
        <v>33</v>
      </c>
      <c r="V491" s="3">
        <v>64291</v>
      </c>
      <c r="W491">
        <v>3.45</v>
      </c>
      <c r="X491">
        <v>6</v>
      </c>
      <c r="Y491" s="1">
        <f>EV_Data4[[#This Row],[range_miles]]/EV_Data4[[#This Row],[battery_capacity_kwh]]</f>
        <v>3.7322274881516586</v>
      </c>
      <c r="Z491" s="4">
        <f>EV_Data4[[#This Row],[price_usd]]/EV_Data4[[#This Row],[range_miles]]</f>
        <v>279.03126984126988</v>
      </c>
      <c r="AA491" s="2">
        <f>(EV_Data4[[#This Row],[customer_rating]]*EV_Data4[[#This Row],[safety_rating]]*1000)/EV_Data4[[#This Row],[price_usd]]</f>
        <v>0.19625723236344336</v>
      </c>
      <c r="AB491">
        <f>EV_Data4[[#This Row],[horsepower]]+EV_Data4[[#This Row],[torque_nm]]/EV_Data4[[#This Row],[acceleration_0_60_mph]]</f>
        <v>686.29658792650923</v>
      </c>
      <c r="AC491" t="str">
        <f>IF(EV_Data4[[#This Row],[price_usd]]&gt;=80000,"Luxury",IF(EV_Data4[[#This Row],[price_usd]]&gt;=40000,"Mid-Range","Budget"))</f>
        <v>Luxury</v>
      </c>
      <c r="AD491" t="str">
        <f>IF(EV_Data4[[#This Row],[range_miles]]&gt;=350,"Long-Range",IF(EV_Data4[[#This Row],[range_miles]]&gt;=250,"Medium-Range","Short-Range"))</f>
        <v>Medium-Range</v>
      </c>
      <c r="AE491" t="str">
        <f>IF(EV_Data4[[#This Row],[charging_speed_kw]]&gt;=250,"Ultra-Fast",IF(EV_Data4[[#This Row],[charging_speed_kw]]&gt;=150,"Fast-Charging","Standard-Charging"))</f>
        <v>Standard-Charging</v>
      </c>
      <c r="AF491" t="str">
        <f>IF(EV_Data4[[#This Row],[acceleration_0_60_mph]]&lt;=3,"SportsPerformance",IF(EV_Data4[[#This Row],[acceleration_0_60_mph]]&lt;=5,"HighPerformance","Standard"))</f>
        <v>Standard</v>
      </c>
      <c r="AG491" t="str">
        <f>IF(EV_Data4[[#This Row],[customer_rating]]&gt;=4.5,"Excellent",IF(EV_Data4[[#This Row],[customer_rating]]&gt;=3.5,"Good","Average"))</f>
        <v>Average</v>
      </c>
      <c r="AH49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92" spans="1:34" x14ac:dyDescent="0.3">
      <c r="A492" t="s">
        <v>24</v>
      </c>
      <c r="B492" t="s">
        <v>85</v>
      </c>
      <c r="C492">
        <v>2025</v>
      </c>
      <c r="D492" t="s">
        <v>26</v>
      </c>
      <c r="E492" s="3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48</v>
      </c>
      <c r="N492">
        <v>7</v>
      </c>
      <c r="O492" t="s">
        <v>51</v>
      </c>
      <c r="P492">
        <v>16.3</v>
      </c>
      <c r="Q492">
        <v>1717</v>
      </c>
      <c r="R492">
        <v>3</v>
      </c>
      <c r="S492">
        <v>0</v>
      </c>
      <c r="T492" t="s">
        <v>29</v>
      </c>
      <c r="U492" t="s">
        <v>33</v>
      </c>
      <c r="V492" s="3">
        <v>285530</v>
      </c>
      <c r="W492">
        <v>3.65</v>
      </c>
      <c r="X492">
        <v>4</v>
      </c>
      <c r="Y492" s="1">
        <f>EV_Data4[[#This Row],[range_miles]]/EV_Data4[[#This Row],[battery_capacity_kwh]]</f>
        <v>3.5977337110481584</v>
      </c>
      <c r="Z492" s="4">
        <f>EV_Data4[[#This Row],[price_usd]]/EV_Data4[[#This Row],[range_miles]]</f>
        <v>232.24372703412072</v>
      </c>
      <c r="AA492" s="2">
        <f>(EV_Data4[[#This Row],[customer_rating]]*EV_Data4[[#This Row],[safety_rating]]*1000)/EV_Data4[[#This Row],[price_usd]]</f>
        <v>0.12374998389555004</v>
      </c>
      <c r="AB492">
        <f>EV_Data4[[#This Row],[horsepower]]+EV_Data4[[#This Row],[torque_nm]]/EV_Data4[[#This Row],[acceleration_0_60_mph]]</f>
        <v>1263.1204819277109</v>
      </c>
      <c r="AC492" t="str">
        <f>IF(EV_Data4[[#This Row],[price_usd]]&gt;=80000,"Luxury",IF(EV_Data4[[#This Row],[price_usd]]&gt;=40000,"Mid-Range","Budget"))</f>
        <v>Luxury</v>
      </c>
      <c r="AD492" t="str">
        <f>IF(EV_Data4[[#This Row],[range_miles]]&gt;=350,"Long-Range",IF(EV_Data4[[#This Row],[range_miles]]&gt;=250,"Medium-Range","Short-Range"))</f>
        <v>Long-Range</v>
      </c>
      <c r="AE492" t="str">
        <f>IF(EV_Data4[[#This Row],[charging_speed_kw]]&gt;=250,"Ultra-Fast",IF(EV_Data4[[#This Row],[charging_speed_kw]]&gt;=150,"Fast-Charging","Standard-Charging"))</f>
        <v>Fast-Charging</v>
      </c>
      <c r="AF492" t="str">
        <f>IF(EV_Data4[[#This Row],[acceleration_0_60_mph]]&lt;=3,"SportsPerformance",IF(EV_Data4[[#This Row],[acceleration_0_60_mph]]&lt;=5,"HighPerformance","Standard"))</f>
        <v>HighPerformance</v>
      </c>
      <c r="AG492" t="str">
        <f>IF(EV_Data4[[#This Row],[customer_rating]]&gt;=4.5,"Excellent",IF(EV_Data4[[#This Row],[customer_rating]]&gt;=3.5,"Good","Average"))</f>
        <v>Good</v>
      </c>
      <c r="AH49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93" spans="1:34" x14ac:dyDescent="0.3">
      <c r="A493" t="s">
        <v>83</v>
      </c>
      <c r="B493" t="s">
        <v>89</v>
      </c>
      <c r="C493">
        <v>2023</v>
      </c>
      <c r="D493" t="s">
        <v>33</v>
      </c>
      <c r="E493" s="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48</v>
      </c>
      <c r="N493">
        <v>7</v>
      </c>
      <c r="O493" t="s">
        <v>28</v>
      </c>
      <c r="P493">
        <v>63.4</v>
      </c>
      <c r="Q493">
        <v>2700</v>
      </c>
      <c r="R493">
        <v>5</v>
      </c>
      <c r="S493">
        <v>1</v>
      </c>
      <c r="T493" t="s">
        <v>29</v>
      </c>
      <c r="U493" t="s">
        <v>30</v>
      </c>
      <c r="V493" s="3">
        <v>26181</v>
      </c>
      <c r="W493">
        <v>3.26</v>
      </c>
      <c r="X493">
        <v>5</v>
      </c>
      <c r="Y493" s="1">
        <f>EV_Data4[[#This Row],[range_miles]]/EV_Data4[[#This Row],[battery_capacity_kwh]]</f>
        <v>3.7099811676082863</v>
      </c>
      <c r="Z493" s="4">
        <f>EV_Data4[[#This Row],[price_usd]]/EV_Data4[[#This Row],[range_miles]]</f>
        <v>519.93203045685277</v>
      </c>
      <c r="AA493" s="2">
        <f>(EV_Data4[[#This Row],[customer_rating]]*EV_Data4[[#This Row],[safety_rating]]*1000)/EV_Data4[[#This Row],[price_usd]]</f>
        <v>0.15913833329053842</v>
      </c>
      <c r="AB493">
        <f>EV_Data4[[#This Row],[horsepower]]+EV_Data4[[#This Row],[torque_nm]]/EV_Data4[[#This Row],[acceleration_0_60_mph]]</f>
        <v>945.46525679758304</v>
      </c>
      <c r="AC493" t="str">
        <f>IF(EV_Data4[[#This Row],[price_usd]]&gt;=80000,"Luxury",IF(EV_Data4[[#This Row],[price_usd]]&gt;=40000,"Mid-Range","Budget"))</f>
        <v>Luxury</v>
      </c>
      <c r="AD493" t="str">
        <f>IF(EV_Data4[[#This Row],[range_miles]]&gt;=350,"Long-Range",IF(EV_Data4[[#This Row],[range_miles]]&gt;=250,"Medium-Range","Short-Range"))</f>
        <v>Short-Range</v>
      </c>
      <c r="AE493" t="str">
        <f>IF(EV_Data4[[#This Row],[charging_speed_kw]]&gt;=250,"Ultra-Fast",IF(EV_Data4[[#This Row],[charging_speed_kw]]&gt;=150,"Fast-Charging","Standard-Charging"))</f>
        <v>Standard-Charging</v>
      </c>
      <c r="AF493" t="str">
        <f>IF(EV_Data4[[#This Row],[acceleration_0_60_mph]]&lt;=3,"SportsPerformance",IF(EV_Data4[[#This Row],[acceleration_0_60_mph]]&lt;=5,"HighPerformance","Standard"))</f>
        <v>Standard</v>
      </c>
      <c r="AG493" t="str">
        <f>IF(EV_Data4[[#This Row],[customer_rating]]&gt;=4.5,"Excellent",IF(EV_Data4[[#This Row],[customer_rating]]&gt;=3.5,"Good","Average"))</f>
        <v>Average</v>
      </c>
      <c r="AH49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94" spans="1:34" x14ac:dyDescent="0.3">
      <c r="A494" t="s">
        <v>63</v>
      </c>
      <c r="B494" t="s">
        <v>88</v>
      </c>
      <c r="C494">
        <v>2025</v>
      </c>
      <c r="D494" t="s">
        <v>33</v>
      </c>
      <c r="E494" s="3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27</v>
      </c>
      <c r="N494">
        <v>7</v>
      </c>
      <c r="O494" t="s">
        <v>40</v>
      </c>
      <c r="P494">
        <v>70.400000000000006</v>
      </c>
      <c r="Q494">
        <v>1633</v>
      </c>
      <c r="R494">
        <v>4</v>
      </c>
      <c r="S494">
        <v>1</v>
      </c>
      <c r="T494" t="s">
        <v>65</v>
      </c>
      <c r="U494" t="s">
        <v>30</v>
      </c>
      <c r="V494" s="3">
        <v>164080</v>
      </c>
      <c r="W494">
        <v>3.52</v>
      </c>
      <c r="X494">
        <v>4</v>
      </c>
      <c r="Y494" s="1">
        <f>EV_Data4[[#This Row],[range_miles]]/EV_Data4[[#This Row],[battery_capacity_kwh]]</f>
        <v>3.3428981348637015</v>
      </c>
      <c r="Z494" s="4">
        <f>EV_Data4[[#This Row],[price_usd]]/EV_Data4[[#This Row],[range_miles]]</f>
        <v>447.56154506437764</v>
      </c>
      <c r="AA494" s="2">
        <f>(EV_Data4[[#This Row],[customer_rating]]*EV_Data4[[#This Row],[safety_rating]]*1000)/EV_Data4[[#This Row],[price_usd]]</f>
        <v>0.13501871466786547</v>
      </c>
      <c r="AB494">
        <f>EV_Data4[[#This Row],[horsepower]]+EV_Data4[[#This Row],[torque_nm]]/EV_Data4[[#This Row],[acceleration_0_60_mph]]</f>
        <v>1161.8181818181818</v>
      </c>
      <c r="AC494" t="str">
        <f>IF(EV_Data4[[#This Row],[price_usd]]&gt;=80000,"Luxury",IF(EV_Data4[[#This Row],[price_usd]]&gt;=40000,"Mid-Range","Budget"))</f>
        <v>Luxury</v>
      </c>
      <c r="AD494" t="str">
        <f>IF(EV_Data4[[#This Row],[range_miles]]&gt;=350,"Long-Range",IF(EV_Data4[[#This Row],[range_miles]]&gt;=250,"Medium-Range","Short-Range"))</f>
        <v>Short-Range</v>
      </c>
      <c r="AE494" t="str">
        <f>IF(EV_Data4[[#This Row],[charging_speed_kw]]&gt;=250,"Ultra-Fast",IF(EV_Data4[[#This Row],[charging_speed_kw]]&gt;=150,"Fast-Charging","Standard-Charging"))</f>
        <v>Standard-Charging</v>
      </c>
      <c r="AF494" t="str">
        <f>IF(EV_Data4[[#This Row],[acceleration_0_60_mph]]&lt;=3,"SportsPerformance",IF(EV_Data4[[#This Row],[acceleration_0_60_mph]]&lt;=5,"HighPerformance","Standard"))</f>
        <v>Standard</v>
      </c>
      <c r="AG494" t="str">
        <f>IF(EV_Data4[[#This Row],[customer_rating]]&gt;=4.5,"Excellent",IF(EV_Data4[[#This Row],[customer_rating]]&gt;=3.5,"Good","Average"))</f>
        <v>Good</v>
      </c>
      <c r="AH49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95" spans="1:34" x14ac:dyDescent="0.3">
      <c r="A495" t="s">
        <v>46</v>
      </c>
      <c r="B495" t="s">
        <v>78</v>
      </c>
      <c r="C495">
        <v>2026</v>
      </c>
      <c r="D495" t="s">
        <v>26</v>
      </c>
      <c r="E495" s="3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27</v>
      </c>
      <c r="N495">
        <v>7</v>
      </c>
      <c r="O495" t="s">
        <v>35</v>
      </c>
      <c r="P495">
        <v>42.1</v>
      </c>
      <c r="Q495">
        <v>2121</v>
      </c>
      <c r="R495">
        <v>4</v>
      </c>
      <c r="S495">
        <v>2</v>
      </c>
      <c r="T495" t="s">
        <v>41</v>
      </c>
      <c r="U495" t="s">
        <v>30</v>
      </c>
      <c r="V495" s="3">
        <v>191484</v>
      </c>
      <c r="W495">
        <v>4.17</v>
      </c>
      <c r="X495">
        <v>5</v>
      </c>
      <c r="Y495" s="1">
        <f>EV_Data4[[#This Row],[range_miles]]/EV_Data4[[#This Row],[battery_capacity_kwh]]</f>
        <v>3.355325164938737</v>
      </c>
      <c r="Z495" s="4">
        <f>EV_Data4[[#This Row],[price_usd]]/EV_Data4[[#This Row],[range_miles]]</f>
        <v>469.18005617977531</v>
      </c>
      <c r="AA495" s="2">
        <f>(EV_Data4[[#This Row],[customer_rating]]*EV_Data4[[#This Row],[safety_rating]]*1000)/EV_Data4[[#This Row],[price_usd]]</f>
        <v>9.9863436152359986E-2</v>
      </c>
      <c r="AB495">
        <f>EV_Data4[[#This Row],[horsepower]]+EV_Data4[[#This Row],[torque_nm]]/EV_Data4[[#This Row],[acceleration_0_60_mph]]</f>
        <v>1198.1693363844392</v>
      </c>
      <c r="AC495" t="str">
        <f>IF(EV_Data4[[#This Row],[price_usd]]&gt;=80000,"Luxury",IF(EV_Data4[[#This Row],[price_usd]]&gt;=40000,"Mid-Range","Budget"))</f>
        <v>Luxury</v>
      </c>
      <c r="AD495" t="str">
        <f>IF(EV_Data4[[#This Row],[range_miles]]&gt;=350,"Long-Range",IF(EV_Data4[[#This Row],[range_miles]]&gt;=250,"Medium-Range","Short-Range"))</f>
        <v>Long-Range</v>
      </c>
      <c r="AE495" t="str">
        <f>IF(EV_Data4[[#This Row],[charging_speed_kw]]&gt;=250,"Ultra-Fast",IF(EV_Data4[[#This Row],[charging_speed_kw]]&gt;=150,"Fast-Charging","Standard-Charging"))</f>
        <v>Ultra-Fast</v>
      </c>
      <c r="AF495" t="str">
        <f>IF(EV_Data4[[#This Row],[acceleration_0_60_mph]]&lt;=3,"SportsPerformance",IF(EV_Data4[[#This Row],[acceleration_0_60_mph]]&lt;=5,"HighPerformance","Standard"))</f>
        <v>HighPerformance</v>
      </c>
      <c r="AG495" t="str">
        <f>IF(EV_Data4[[#This Row],[customer_rating]]&gt;=4.5,"Excellent",IF(EV_Data4[[#This Row],[customer_rating]]&gt;=3.5,"Good","Average"))</f>
        <v>Good</v>
      </c>
      <c r="AH49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496" spans="1:34" x14ac:dyDescent="0.3">
      <c r="A496" t="s">
        <v>68</v>
      </c>
      <c r="B496" t="s">
        <v>79</v>
      </c>
      <c r="C496">
        <v>2024</v>
      </c>
      <c r="D496" t="s">
        <v>33</v>
      </c>
      <c r="E496" s="3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48</v>
      </c>
      <c r="N496">
        <v>7</v>
      </c>
      <c r="O496" t="s">
        <v>58</v>
      </c>
      <c r="P496">
        <v>27.7</v>
      </c>
      <c r="Q496">
        <v>1514</v>
      </c>
      <c r="R496">
        <v>4</v>
      </c>
      <c r="S496">
        <v>0</v>
      </c>
      <c r="T496" t="s">
        <v>45</v>
      </c>
      <c r="U496" t="s">
        <v>37</v>
      </c>
      <c r="V496" s="3">
        <v>71807</v>
      </c>
      <c r="W496">
        <v>3.28</v>
      </c>
      <c r="X496">
        <v>4</v>
      </c>
      <c r="Y496" s="1">
        <f>EV_Data4[[#This Row],[range_miles]]/EV_Data4[[#This Row],[battery_capacity_kwh]]</f>
        <v>3.5476718403547669</v>
      </c>
      <c r="Z496" s="4">
        <f>EV_Data4[[#This Row],[price_usd]]/EV_Data4[[#This Row],[range_miles]]</f>
        <v>284.66449999999998</v>
      </c>
      <c r="AA496" s="2">
        <f>(EV_Data4[[#This Row],[customer_rating]]*EV_Data4[[#This Row],[safety_rating]]*1000)/EV_Data4[[#This Row],[price_usd]]</f>
        <v>0.28805839857094934</v>
      </c>
      <c r="AB496">
        <f>EV_Data4[[#This Row],[horsepower]]+EV_Data4[[#This Row],[torque_nm]]/EV_Data4[[#This Row],[acceleration_0_60_mph]]</f>
        <v>498.32432432432432</v>
      </c>
      <c r="AC496" t="str">
        <f>IF(EV_Data4[[#This Row],[price_usd]]&gt;=80000,"Luxury",IF(EV_Data4[[#This Row],[price_usd]]&gt;=40000,"Mid-Range","Budget"))</f>
        <v>Mid-Range</v>
      </c>
      <c r="AD496" t="str">
        <f>IF(EV_Data4[[#This Row],[range_miles]]&gt;=350,"Long-Range",IF(EV_Data4[[#This Row],[range_miles]]&gt;=250,"Medium-Range","Short-Range"))</f>
        <v>Short-Range</v>
      </c>
      <c r="AE496" t="str">
        <f>IF(EV_Data4[[#This Row],[charging_speed_kw]]&gt;=250,"Ultra-Fast",IF(EV_Data4[[#This Row],[charging_speed_kw]]&gt;=150,"Fast-Charging","Standard-Charging"))</f>
        <v>Standard-Charging</v>
      </c>
      <c r="AF496" t="str">
        <f>IF(EV_Data4[[#This Row],[acceleration_0_60_mph]]&lt;=3,"SportsPerformance",IF(EV_Data4[[#This Row],[acceleration_0_60_mph]]&lt;=5,"HighPerformance","Standard"))</f>
        <v>Standard</v>
      </c>
      <c r="AG496" t="str">
        <f>IF(EV_Data4[[#This Row],[customer_rating]]&gt;=4.5,"Excellent",IF(EV_Data4[[#This Row],[customer_rating]]&gt;=3.5,"Good","Average"))</f>
        <v>Average</v>
      </c>
      <c r="AH49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97" spans="1:34" x14ac:dyDescent="0.3">
      <c r="A497" t="s">
        <v>63</v>
      </c>
      <c r="B497" t="s">
        <v>88</v>
      </c>
      <c r="C497">
        <v>2025</v>
      </c>
      <c r="D497" t="s">
        <v>61</v>
      </c>
      <c r="E497" s="3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34</v>
      </c>
      <c r="N497">
        <v>5</v>
      </c>
      <c r="O497" t="s">
        <v>40</v>
      </c>
      <c r="P497">
        <v>61.8</v>
      </c>
      <c r="Q497">
        <v>1500</v>
      </c>
      <c r="R497">
        <v>4</v>
      </c>
      <c r="S497">
        <v>0</v>
      </c>
      <c r="T497" t="s">
        <v>65</v>
      </c>
      <c r="U497" t="s">
        <v>33</v>
      </c>
      <c r="V497" s="3">
        <v>120560</v>
      </c>
      <c r="W497">
        <v>3.71</v>
      </c>
      <c r="X497">
        <v>3</v>
      </c>
      <c r="Y497" s="1">
        <f>EV_Data4[[#This Row],[range_miles]]/EV_Data4[[#This Row],[battery_capacity_kwh]]</f>
        <v>3.7973137973137971</v>
      </c>
      <c r="Z497" s="4">
        <f>EV_Data4[[#This Row],[price_usd]]/EV_Data4[[#This Row],[range_miles]]</f>
        <v>277.45569131832798</v>
      </c>
      <c r="AA497" s="2">
        <f>(EV_Data4[[#This Row],[customer_rating]]*EV_Data4[[#This Row],[safety_rating]]*1000)/EV_Data4[[#This Row],[price_usd]]</f>
        <v>0.17198076411377988</v>
      </c>
      <c r="AB497">
        <f>EV_Data4[[#This Row],[horsepower]]+EV_Data4[[#This Row],[torque_nm]]/EV_Data4[[#This Row],[acceleration_0_60_mph]]</f>
        <v>1173.5238095238096</v>
      </c>
      <c r="AC497" t="str">
        <f>IF(EV_Data4[[#This Row],[price_usd]]&gt;=80000,"Luxury",IF(EV_Data4[[#This Row],[price_usd]]&gt;=40000,"Mid-Range","Budget"))</f>
        <v>Luxury</v>
      </c>
      <c r="AD497" t="str">
        <f>IF(EV_Data4[[#This Row],[range_miles]]&gt;=350,"Long-Range",IF(EV_Data4[[#This Row],[range_miles]]&gt;=250,"Medium-Range","Short-Range"))</f>
        <v>Medium-Range</v>
      </c>
      <c r="AE497" t="str">
        <f>IF(EV_Data4[[#This Row],[charging_speed_kw]]&gt;=250,"Ultra-Fast",IF(EV_Data4[[#This Row],[charging_speed_kw]]&gt;=150,"Fast-Charging","Standard-Charging"))</f>
        <v>Standard-Charging</v>
      </c>
      <c r="AF497" t="str">
        <f>IF(EV_Data4[[#This Row],[acceleration_0_60_mph]]&lt;=3,"SportsPerformance",IF(EV_Data4[[#This Row],[acceleration_0_60_mph]]&lt;=5,"HighPerformance","Standard"))</f>
        <v>Standard</v>
      </c>
      <c r="AG497" t="str">
        <f>IF(EV_Data4[[#This Row],[customer_rating]]&gt;=4.5,"Excellent",IF(EV_Data4[[#This Row],[customer_rating]]&gt;=3.5,"Good","Average"))</f>
        <v>Good</v>
      </c>
      <c r="AH49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498" spans="1:34" x14ac:dyDescent="0.3">
      <c r="A498" t="s">
        <v>42</v>
      </c>
      <c r="B498" t="s">
        <v>71</v>
      </c>
      <c r="C498">
        <v>2025</v>
      </c>
      <c r="D498" t="s">
        <v>56</v>
      </c>
      <c r="E498" s="3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34</v>
      </c>
      <c r="N498">
        <v>5</v>
      </c>
      <c r="O498" t="s">
        <v>28</v>
      </c>
      <c r="P498">
        <v>68.8</v>
      </c>
      <c r="Q498">
        <v>2466</v>
      </c>
      <c r="R498">
        <v>4</v>
      </c>
      <c r="S498">
        <v>1</v>
      </c>
      <c r="T498" t="s">
        <v>45</v>
      </c>
      <c r="U498" t="s">
        <v>37</v>
      </c>
      <c r="V498" s="3">
        <v>111130</v>
      </c>
      <c r="W498">
        <v>3.52</v>
      </c>
      <c r="X498">
        <v>3</v>
      </c>
      <c r="Y498" s="1">
        <f>EV_Data4[[#This Row],[range_miles]]/EV_Data4[[#This Row],[battery_capacity_kwh]]</f>
        <v>3.5378031383737523</v>
      </c>
      <c r="Z498" s="4">
        <f>EV_Data4[[#This Row],[price_usd]]/EV_Data4[[#This Row],[range_miles]]</f>
        <v>237.10951612903227</v>
      </c>
      <c r="AA498" s="2">
        <f>(EV_Data4[[#This Row],[customer_rating]]*EV_Data4[[#This Row],[safety_rating]]*1000)/EV_Data4[[#This Row],[price_usd]]</f>
        <v>0.23944291429236114</v>
      </c>
      <c r="AB498">
        <f>EV_Data4[[#This Row],[horsepower]]+EV_Data4[[#This Row],[torque_nm]]/EV_Data4[[#This Row],[acceleration_0_60_mph]]</f>
        <v>707.90542420027816</v>
      </c>
      <c r="AC498" t="str">
        <f>IF(EV_Data4[[#This Row],[price_usd]]&gt;=80000,"Luxury",IF(EV_Data4[[#This Row],[price_usd]]&gt;=40000,"Mid-Range","Budget"))</f>
        <v>Mid-Range</v>
      </c>
      <c r="AD498" t="str">
        <f>IF(EV_Data4[[#This Row],[range_miles]]&gt;=350,"Long-Range",IF(EV_Data4[[#This Row],[range_miles]]&gt;=250,"Medium-Range","Short-Range"))</f>
        <v>Short-Range</v>
      </c>
      <c r="AE498" t="str">
        <f>IF(EV_Data4[[#This Row],[charging_speed_kw]]&gt;=250,"Ultra-Fast",IF(EV_Data4[[#This Row],[charging_speed_kw]]&gt;=150,"Fast-Charging","Standard-Charging"))</f>
        <v>Standard-Charging</v>
      </c>
      <c r="AF498" t="str">
        <f>IF(EV_Data4[[#This Row],[acceleration_0_60_mph]]&lt;=3,"SportsPerformance",IF(EV_Data4[[#This Row],[acceleration_0_60_mph]]&lt;=5,"HighPerformance","Standard"))</f>
        <v>Standard</v>
      </c>
      <c r="AG498" t="str">
        <f>IF(EV_Data4[[#This Row],[customer_rating]]&gt;=4.5,"Excellent",IF(EV_Data4[[#This Row],[customer_rating]]&gt;=3.5,"Good","Average"))</f>
        <v>Good</v>
      </c>
      <c r="AH49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499" spans="1:34" x14ac:dyDescent="0.3">
      <c r="A499" t="s">
        <v>46</v>
      </c>
      <c r="B499" t="s">
        <v>57</v>
      </c>
      <c r="C499">
        <v>2023</v>
      </c>
      <c r="D499" t="s">
        <v>61</v>
      </c>
      <c r="E499" s="3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34</v>
      </c>
      <c r="N499">
        <v>7</v>
      </c>
      <c r="O499" t="s">
        <v>28</v>
      </c>
      <c r="P499">
        <v>70.900000000000006</v>
      </c>
      <c r="Q499">
        <v>2856</v>
      </c>
      <c r="R499">
        <v>5</v>
      </c>
      <c r="S499">
        <v>3</v>
      </c>
      <c r="T499" t="s">
        <v>41</v>
      </c>
      <c r="U499" t="s">
        <v>37</v>
      </c>
      <c r="V499" s="3">
        <v>124369</v>
      </c>
      <c r="W499">
        <v>3.76</v>
      </c>
      <c r="X499">
        <v>5</v>
      </c>
      <c r="Y499" s="1">
        <f>EV_Data4[[#This Row],[range_miles]]/EV_Data4[[#This Row],[battery_capacity_kwh]]</f>
        <v>3.4803921568627452</v>
      </c>
      <c r="Z499" s="4">
        <f>EV_Data4[[#This Row],[price_usd]]/EV_Data4[[#This Row],[range_miles]]</f>
        <v>155.01721830985915</v>
      </c>
      <c r="AA499" s="2">
        <f>(EV_Data4[[#This Row],[customer_rating]]*EV_Data4[[#This Row],[safety_rating]]*1000)/EV_Data4[[#This Row],[price_usd]]</f>
        <v>0.42703116350773385</v>
      </c>
      <c r="AB499">
        <f>EV_Data4[[#This Row],[horsepower]]+EV_Data4[[#This Row],[torque_nm]]/EV_Data4[[#This Row],[acceleration_0_60_mph]]</f>
        <v>313.81924577373212</v>
      </c>
      <c r="AC499" t="str">
        <f>IF(EV_Data4[[#This Row],[price_usd]]&gt;=80000,"Luxury",IF(EV_Data4[[#This Row],[price_usd]]&gt;=40000,"Mid-Range","Budget"))</f>
        <v>Mid-Range</v>
      </c>
      <c r="AD499" t="str">
        <f>IF(EV_Data4[[#This Row],[range_miles]]&gt;=350,"Long-Range",IF(EV_Data4[[#This Row],[range_miles]]&gt;=250,"Medium-Range","Short-Range"))</f>
        <v>Medium-Range</v>
      </c>
      <c r="AE499" t="str">
        <f>IF(EV_Data4[[#This Row],[charging_speed_kw]]&gt;=250,"Ultra-Fast",IF(EV_Data4[[#This Row],[charging_speed_kw]]&gt;=150,"Fast-Charging","Standard-Charging"))</f>
        <v>Ultra-Fast</v>
      </c>
      <c r="AF499" t="str">
        <f>IF(EV_Data4[[#This Row],[acceleration_0_60_mph]]&lt;=3,"SportsPerformance",IF(EV_Data4[[#This Row],[acceleration_0_60_mph]]&lt;=5,"HighPerformance","Standard"))</f>
        <v>Standard</v>
      </c>
      <c r="AG499" t="str">
        <f>IF(EV_Data4[[#This Row],[customer_rating]]&gt;=4.5,"Excellent",IF(EV_Data4[[#This Row],[customer_rating]]&gt;=3.5,"Good","Average"))</f>
        <v>Good</v>
      </c>
      <c r="AH499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500" spans="1:34" x14ac:dyDescent="0.3">
      <c r="A500" t="s">
        <v>59</v>
      </c>
      <c r="B500" t="s">
        <v>111</v>
      </c>
      <c r="C500">
        <v>2024</v>
      </c>
      <c r="D500" t="s">
        <v>44</v>
      </c>
      <c r="E500" s="3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48</v>
      </c>
      <c r="N500">
        <v>5</v>
      </c>
      <c r="O500" t="s">
        <v>28</v>
      </c>
      <c r="P500">
        <v>57.1</v>
      </c>
      <c r="Q500">
        <v>2457</v>
      </c>
      <c r="R500">
        <v>5</v>
      </c>
      <c r="S500">
        <v>0</v>
      </c>
      <c r="T500" t="s">
        <v>41</v>
      </c>
      <c r="U500" t="s">
        <v>30</v>
      </c>
      <c r="V500" s="3">
        <v>17978</v>
      </c>
      <c r="W500">
        <v>3.23</v>
      </c>
      <c r="X500">
        <v>3</v>
      </c>
      <c r="Y500" s="1">
        <f>EV_Data4[[#This Row],[range_miles]]/EV_Data4[[#This Row],[battery_capacity_kwh]]</f>
        <v>3.2387706855791962</v>
      </c>
      <c r="Z500" s="4">
        <f>EV_Data4[[#This Row],[price_usd]]/EV_Data4[[#This Row],[range_miles]]</f>
        <v>413.61901459854016</v>
      </c>
      <c r="AA500" s="2">
        <f>(EV_Data4[[#This Row],[customer_rating]]*EV_Data4[[#This Row],[safety_rating]]*1000)/EV_Data4[[#This Row],[price_usd]]</f>
        <v>0.14250216687118447</v>
      </c>
      <c r="AB500">
        <f>EV_Data4[[#This Row],[horsepower]]+EV_Data4[[#This Row],[torque_nm]]/EV_Data4[[#This Row],[acceleration_0_60_mph]]</f>
        <v>1184.156378600823</v>
      </c>
      <c r="AC500" t="str">
        <f>IF(EV_Data4[[#This Row],[price_usd]]&gt;=80000,"Luxury",IF(EV_Data4[[#This Row],[price_usd]]&gt;=40000,"Mid-Range","Budget"))</f>
        <v>Luxury</v>
      </c>
      <c r="AD500" t="str">
        <f>IF(EV_Data4[[#This Row],[range_miles]]&gt;=350,"Long-Range",IF(EV_Data4[[#This Row],[range_miles]]&gt;=250,"Medium-Range","Short-Range"))</f>
        <v>Medium-Range</v>
      </c>
      <c r="AE500" t="str">
        <f>IF(EV_Data4[[#This Row],[charging_speed_kw]]&gt;=250,"Ultra-Fast",IF(EV_Data4[[#This Row],[charging_speed_kw]]&gt;=150,"Fast-Charging","Standard-Charging"))</f>
        <v>Standard-Charging</v>
      </c>
      <c r="AF500" t="str">
        <f>IF(EV_Data4[[#This Row],[acceleration_0_60_mph]]&lt;=3,"SportsPerformance",IF(EV_Data4[[#This Row],[acceleration_0_60_mph]]&lt;=5,"HighPerformance","Standard"))</f>
        <v>HighPerformance</v>
      </c>
      <c r="AG500" t="str">
        <f>IF(EV_Data4[[#This Row],[customer_rating]]&gt;=4.5,"Excellent",IF(EV_Data4[[#This Row],[customer_rating]]&gt;=3.5,"Good","Average"))</f>
        <v>Average</v>
      </c>
      <c r="AH50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01" spans="1:34" x14ac:dyDescent="0.3">
      <c r="A501" t="s">
        <v>99</v>
      </c>
      <c r="B501" t="s">
        <v>113</v>
      </c>
      <c r="C501">
        <v>2024</v>
      </c>
      <c r="D501" t="s">
        <v>44</v>
      </c>
      <c r="E501" s="3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34</v>
      </c>
      <c r="N501">
        <v>7</v>
      </c>
      <c r="O501" t="s">
        <v>50</v>
      </c>
      <c r="P501">
        <v>23</v>
      </c>
      <c r="Q501">
        <v>1657</v>
      </c>
      <c r="R501">
        <v>5</v>
      </c>
      <c r="S501">
        <v>0</v>
      </c>
      <c r="T501" t="s">
        <v>29</v>
      </c>
      <c r="U501" t="s">
        <v>30</v>
      </c>
      <c r="V501" s="3">
        <v>28429</v>
      </c>
      <c r="W501">
        <v>3.99</v>
      </c>
      <c r="X501">
        <v>5</v>
      </c>
      <c r="Y501" s="1">
        <f>EV_Data4[[#This Row],[range_miles]]/EV_Data4[[#This Row],[battery_capacity_kwh]]</f>
        <v>3.4858812074001948</v>
      </c>
      <c r="Z501" s="4">
        <f>EV_Data4[[#This Row],[price_usd]]/EV_Data4[[#This Row],[range_miles]]</f>
        <v>312.63396648044693</v>
      </c>
      <c r="AA501" s="2">
        <f>(EV_Data4[[#This Row],[customer_rating]]*EV_Data4[[#This Row],[safety_rating]]*1000)/EV_Data4[[#This Row],[price_usd]]</f>
        <v>0.17824760889097288</v>
      </c>
      <c r="AB501">
        <f>EV_Data4[[#This Row],[horsepower]]+EV_Data4[[#This Row],[torque_nm]]/EV_Data4[[#This Row],[acceleration_0_60_mph]]</f>
        <v>450.02097902097904</v>
      </c>
      <c r="AC501" t="str">
        <f>IF(EV_Data4[[#This Row],[price_usd]]&gt;=80000,"Luxury",IF(EV_Data4[[#This Row],[price_usd]]&gt;=40000,"Mid-Range","Budget"))</f>
        <v>Luxury</v>
      </c>
      <c r="AD501" t="str">
        <f>IF(EV_Data4[[#This Row],[range_miles]]&gt;=350,"Long-Range",IF(EV_Data4[[#This Row],[range_miles]]&gt;=250,"Medium-Range","Short-Range"))</f>
        <v>Long-Range</v>
      </c>
      <c r="AE501" t="str">
        <f>IF(EV_Data4[[#This Row],[charging_speed_kw]]&gt;=250,"Ultra-Fast",IF(EV_Data4[[#This Row],[charging_speed_kw]]&gt;=150,"Fast-Charging","Standard-Charging"))</f>
        <v>Ultra-Fast</v>
      </c>
      <c r="AF501" t="str">
        <f>IF(EV_Data4[[#This Row],[acceleration_0_60_mph]]&lt;=3,"SportsPerformance",IF(EV_Data4[[#This Row],[acceleration_0_60_mph]]&lt;=5,"HighPerformance","Standard"))</f>
        <v>HighPerformance</v>
      </c>
      <c r="AG501" t="str">
        <f>IF(EV_Data4[[#This Row],[customer_rating]]&gt;=4.5,"Excellent",IF(EV_Data4[[#This Row],[customer_rating]]&gt;=3.5,"Good","Average"))</f>
        <v>Good</v>
      </c>
      <c r="AH50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02" spans="1:34" x14ac:dyDescent="0.3">
      <c r="A502" t="s">
        <v>38</v>
      </c>
      <c r="B502" t="s">
        <v>118</v>
      </c>
      <c r="C502">
        <v>2024</v>
      </c>
      <c r="D502" t="s">
        <v>26</v>
      </c>
      <c r="E502" s="3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48</v>
      </c>
      <c r="N502">
        <v>7</v>
      </c>
      <c r="O502" t="s">
        <v>58</v>
      </c>
      <c r="P502">
        <v>38.9</v>
      </c>
      <c r="Q502">
        <v>1589</v>
      </c>
      <c r="R502">
        <v>5</v>
      </c>
      <c r="S502">
        <v>0</v>
      </c>
      <c r="T502" t="s">
        <v>41</v>
      </c>
      <c r="U502" t="s">
        <v>33</v>
      </c>
      <c r="V502" s="3">
        <v>24171</v>
      </c>
      <c r="W502">
        <v>3.38</v>
      </c>
      <c r="X502">
        <v>4</v>
      </c>
      <c r="Y502" s="1">
        <f>EV_Data4[[#This Row],[range_miles]]/EV_Data4[[#This Row],[battery_capacity_kwh]]</f>
        <v>3.5315985130111525</v>
      </c>
      <c r="Z502" s="4">
        <f>EV_Data4[[#This Row],[price_usd]]/EV_Data4[[#This Row],[range_miles]]</f>
        <v>260.57185964912281</v>
      </c>
      <c r="AA502" s="2">
        <f>(EV_Data4[[#This Row],[customer_rating]]*EV_Data4[[#This Row],[safety_rating]]*1000)/EV_Data4[[#This Row],[price_usd]]</f>
        <v>0.22756964506406827</v>
      </c>
      <c r="AB502">
        <f>EV_Data4[[#This Row],[horsepower]]+EV_Data4[[#This Row],[torque_nm]]/EV_Data4[[#This Row],[acceleration_0_60_mph]]</f>
        <v>1251.2676056338028</v>
      </c>
      <c r="AC502" t="str">
        <f>IF(EV_Data4[[#This Row],[price_usd]]&gt;=80000,"Luxury",IF(EV_Data4[[#This Row],[price_usd]]&gt;=40000,"Mid-Range","Budget"))</f>
        <v>Mid-Range</v>
      </c>
      <c r="AD502" t="str">
        <f>IF(EV_Data4[[#This Row],[range_miles]]&gt;=350,"Long-Range",IF(EV_Data4[[#This Row],[range_miles]]&gt;=250,"Medium-Range","Short-Range"))</f>
        <v>Medium-Range</v>
      </c>
      <c r="AE502" t="str">
        <f>IF(EV_Data4[[#This Row],[charging_speed_kw]]&gt;=250,"Ultra-Fast",IF(EV_Data4[[#This Row],[charging_speed_kw]]&gt;=150,"Fast-Charging","Standard-Charging"))</f>
        <v>Fast-Charging</v>
      </c>
      <c r="AF502" t="str">
        <f>IF(EV_Data4[[#This Row],[acceleration_0_60_mph]]&lt;=3,"SportsPerformance",IF(EV_Data4[[#This Row],[acceleration_0_60_mph]]&lt;=5,"HighPerformance","Standard"))</f>
        <v>HighPerformance</v>
      </c>
      <c r="AG502" t="str">
        <f>IF(EV_Data4[[#This Row],[customer_rating]]&gt;=4.5,"Excellent",IF(EV_Data4[[#This Row],[customer_rating]]&gt;=3.5,"Good","Average"))</f>
        <v>Average</v>
      </c>
      <c r="AH50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03" spans="1:34" x14ac:dyDescent="0.3">
      <c r="A503" t="s">
        <v>68</v>
      </c>
      <c r="B503" t="s">
        <v>106</v>
      </c>
      <c r="C503">
        <v>2024</v>
      </c>
      <c r="D503" t="s">
        <v>44</v>
      </c>
      <c r="E503" s="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34</v>
      </c>
      <c r="N503">
        <v>5</v>
      </c>
      <c r="O503" t="s">
        <v>50</v>
      </c>
      <c r="P503">
        <v>39</v>
      </c>
      <c r="Q503">
        <v>1900</v>
      </c>
      <c r="R503">
        <v>5</v>
      </c>
      <c r="S503">
        <v>1</v>
      </c>
      <c r="T503" t="s">
        <v>45</v>
      </c>
      <c r="U503" t="s">
        <v>37</v>
      </c>
      <c r="V503" s="3">
        <v>70525</v>
      </c>
      <c r="W503">
        <v>3.62</v>
      </c>
      <c r="X503">
        <v>4</v>
      </c>
      <c r="Y503" s="1">
        <f>EV_Data4[[#This Row],[range_miles]]/EV_Data4[[#This Row],[battery_capacity_kwh]]</f>
        <v>3.7282941777323799</v>
      </c>
      <c r="Z503" s="4">
        <f>EV_Data4[[#This Row],[price_usd]]/EV_Data4[[#This Row],[range_miles]]</f>
        <v>114.03183561643836</v>
      </c>
      <c r="AA503" s="2">
        <f>(EV_Data4[[#This Row],[customer_rating]]*EV_Data4[[#This Row],[safety_rating]]*1000)/EV_Data4[[#This Row],[price_usd]]</f>
        <v>0.43487014681312258</v>
      </c>
      <c r="AB503">
        <f>EV_Data4[[#This Row],[horsepower]]+EV_Data4[[#This Row],[torque_nm]]/EV_Data4[[#This Row],[acceleration_0_60_mph]]</f>
        <v>418.89045936395758</v>
      </c>
      <c r="AC503" t="str">
        <f>IF(EV_Data4[[#This Row],[price_usd]]&gt;=80000,"Luxury",IF(EV_Data4[[#This Row],[price_usd]]&gt;=40000,"Mid-Range","Budget"))</f>
        <v>Mid-Range</v>
      </c>
      <c r="AD503" t="str">
        <f>IF(EV_Data4[[#This Row],[range_miles]]&gt;=350,"Long-Range",IF(EV_Data4[[#This Row],[range_miles]]&gt;=250,"Medium-Range","Short-Range"))</f>
        <v>Long-Range</v>
      </c>
      <c r="AE503" t="str">
        <f>IF(EV_Data4[[#This Row],[charging_speed_kw]]&gt;=250,"Ultra-Fast",IF(EV_Data4[[#This Row],[charging_speed_kw]]&gt;=150,"Fast-Charging","Standard-Charging"))</f>
        <v>Standard-Charging</v>
      </c>
      <c r="AF503" t="str">
        <f>IF(EV_Data4[[#This Row],[acceleration_0_60_mph]]&lt;=3,"SportsPerformance",IF(EV_Data4[[#This Row],[acceleration_0_60_mph]]&lt;=5,"HighPerformance","Standard"))</f>
        <v>Standard</v>
      </c>
      <c r="AG503" t="str">
        <f>IF(EV_Data4[[#This Row],[customer_rating]]&gt;=4.5,"Excellent",IF(EV_Data4[[#This Row],[customer_rating]]&gt;=3.5,"Good","Average"))</f>
        <v>Good</v>
      </c>
      <c r="AH50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04" spans="1:34" x14ac:dyDescent="0.3">
      <c r="A504" t="s">
        <v>63</v>
      </c>
      <c r="B504" t="s">
        <v>107</v>
      </c>
      <c r="C504">
        <v>2025</v>
      </c>
      <c r="D504" t="s">
        <v>26</v>
      </c>
      <c r="E504" s="3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27</v>
      </c>
      <c r="N504">
        <v>7</v>
      </c>
      <c r="O504" t="s">
        <v>50</v>
      </c>
      <c r="P504">
        <v>25.6</v>
      </c>
      <c r="Q504">
        <v>1755</v>
      </c>
      <c r="R504">
        <v>4</v>
      </c>
      <c r="S504">
        <v>0</v>
      </c>
      <c r="T504" t="s">
        <v>65</v>
      </c>
      <c r="U504" t="s">
        <v>30</v>
      </c>
      <c r="V504" s="3">
        <v>150780</v>
      </c>
      <c r="W504">
        <v>3.44</v>
      </c>
      <c r="X504">
        <v>3</v>
      </c>
      <c r="Y504" s="1">
        <f>EV_Data4[[#This Row],[range_miles]]/EV_Data4[[#This Row],[battery_capacity_kwh]]</f>
        <v>3.4239130434782612</v>
      </c>
      <c r="Z504" s="4">
        <f>EV_Data4[[#This Row],[price_usd]]/EV_Data4[[#This Row],[range_miles]]</f>
        <v>486.1820238095238</v>
      </c>
      <c r="AA504" s="2">
        <f>(EV_Data4[[#This Row],[customer_rating]]*EV_Data4[[#This Row],[safety_rating]]*1000)/EV_Data4[[#This Row],[price_usd]]</f>
        <v>0.11231014708303369</v>
      </c>
      <c r="AB504">
        <f>EV_Data4[[#This Row],[horsepower]]+EV_Data4[[#This Row],[torque_nm]]/EV_Data4[[#This Row],[acceleration_0_60_mph]]</f>
        <v>1314.0287769784172</v>
      </c>
      <c r="AC504" t="str">
        <f>IF(EV_Data4[[#This Row],[price_usd]]&gt;=80000,"Luxury",IF(EV_Data4[[#This Row],[price_usd]]&gt;=40000,"Mid-Range","Budget"))</f>
        <v>Luxury</v>
      </c>
      <c r="AD504" t="str">
        <f>IF(EV_Data4[[#This Row],[range_miles]]&gt;=350,"Long-Range",IF(EV_Data4[[#This Row],[range_miles]]&gt;=250,"Medium-Range","Short-Range"))</f>
        <v>Medium-Range</v>
      </c>
      <c r="AE504" t="str">
        <f>IF(EV_Data4[[#This Row],[charging_speed_kw]]&gt;=250,"Ultra-Fast",IF(EV_Data4[[#This Row],[charging_speed_kw]]&gt;=150,"Fast-Charging","Standard-Charging"))</f>
        <v>Fast-Charging</v>
      </c>
      <c r="AF504" t="str">
        <f>IF(EV_Data4[[#This Row],[acceleration_0_60_mph]]&lt;=3,"SportsPerformance",IF(EV_Data4[[#This Row],[acceleration_0_60_mph]]&lt;=5,"HighPerformance","Standard"))</f>
        <v>SportsPerformance</v>
      </c>
      <c r="AG504" t="str">
        <f>IF(EV_Data4[[#This Row],[customer_rating]]&gt;=4.5,"Excellent",IF(EV_Data4[[#This Row],[customer_rating]]&gt;=3.5,"Good","Average"))</f>
        <v>Average</v>
      </c>
      <c r="AH50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05" spans="1:34" x14ac:dyDescent="0.3">
      <c r="A505" t="s">
        <v>76</v>
      </c>
      <c r="B505" t="s">
        <v>91</v>
      </c>
      <c r="C505">
        <v>2021</v>
      </c>
      <c r="D505" t="s">
        <v>56</v>
      </c>
      <c r="E505" s="3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48</v>
      </c>
      <c r="N505">
        <v>4</v>
      </c>
      <c r="O505" t="s">
        <v>28</v>
      </c>
      <c r="P505">
        <v>72.900000000000006</v>
      </c>
      <c r="Q505">
        <v>2629</v>
      </c>
      <c r="R505">
        <v>4</v>
      </c>
      <c r="S505">
        <v>1</v>
      </c>
      <c r="T505" t="s">
        <v>41</v>
      </c>
      <c r="U505" t="s">
        <v>37</v>
      </c>
      <c r="V505" s="3">
        <v>76517</v>
      </c>
      <c r="W505">
        <v>3.4</v>
      </c>
      <c r="X505">
        <v>4</v>
      </c>
      <c r="Y505" s="1">
        <f>EV_Data4[[#This Row],[range_miles]]/EV_Data4[[#This Row],[battery_capacity_kwh]]</f>
        <v>3.7874251497005988</v>
      </c>
      <c r="Z505" s="4">
        <f>EV_Data4[[#This Row],[price_usd]]/EV_Data4[[#This Row],[range_miles]]</f>
        <v>250.82458498023718</v>
      </c>
      <c r="AA505" s="2">
        <f>(EV_Data4[[#This Row],[customer_rating]]*EV_Data4[[#This Row],[safety_rating]]*1000)/EV_Data4[[#This Row],[price_usd]]</f>
        <v>0.21431288609805885</v>
      </c>
      <c r="AB505">
        <f>EV_Data4[[#This Row],[horsepower]]+EV_Data4[[#This Row],[torque_nm]]/EV_Data4[[#This Row],[acceleration_0_60_mph]]</f>
        <v>782.3989569752282</v>
      </c>
      <c r="AC505" t="str">
        <f>IF(EV_Data4[[#This Row],[price_usd]]&gt;=80000,"Luxury",IF(EV_Data4[[#This Row],[price_usd]]&gt;=40000,"Mid-Range","Budget"))</f>
        <v>Mid-Range</v>
      </c>
      <c r="AD505" t="str">
        <f>IF(EV_Data4[[#This Row],[range_miles]]&gt;=350,"Long-Range",IF(EV_Data4[[#This Row],[range_miles]]&gt;=250,"Medium-Range","Short-Range"))</f>
        <v>Medium-Range</v>
      </c>
      <c r="AE505" t="str">
        <f>IF(EV_Data4[[#This Row],[charging_speed_kw]]&gt;=250,"Ultra-Fast",IF(EV_Data4[[#This Row],[charging_speed_kw]]&gt;=150,"Fast-Charging","Standard-Charging"))</f>
        <v>Standard-Charging</v>
      </c>
      <c r="AF505" t="str">
        <f>IF(EV_Data4[[#This Row],[acceleration_0_60_mph]]&lt;=3,"SportsPerformance",IF(EV_Data4[[#This Row],[acceleration_0_60_mph]]&lt;=5,"HighPerformance","Standard"))</f>
        <v>Standard</v>
      </c>
      <c r="AG505" t="str">
        <f>IF(EV_Data4[[#This Row],[customer_rating]]&gt;=4.5,"Excellent",IF(EV_Data4[[#This Row],[customer_rating]]&gt;=3.5,"Good","Average"))</f>
        <v>Average</v>
      </c>
      <c r="AH50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06" spans="1:34" x14ac:dyDescent="0.3">
      <c r="A506" t="s">
        <v>83</v>
      </c>
      <c r="B506" t="s">
        <v>114</v>
      </c>
      <c r="C506">
        <v>2023</v>
      </c>
      <c r="D506" t="s">
        <v>33</v>
      </c>
      <c r="E506" s="3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48</v>
      </c>
      <c r="N506">
        <v>5</v>
      </c>
      <c r="O506" t="s">
        <v>35</v>
      </c>
      <c r="P506">
        <v>37.6</v>
      </c>
      <c r="Q506">
        <v>1843</v>
      </c>
      <c r="R506">
        <v>5</v>
      </c>
      <c r="S506">
        <v>1</v>
      </c>
      <c r="T506" t="s">
        <v>29</v>
      </c>
      <c r="U506" t="s">
        <v>30</v>
      </c>
      <c r="V506" s="3">
        <v>51811</v>
      </c>
      <c r="W506">
        <v>3.11</v>
      </c>
      <c r="X506">
        <v>8</v>
      </c>
      <c r="Y506" s="1">
        <f>EV_Data4[[#This Row],[range_miles]]/EV_Data4[[#This Row],[battery_capacity_kwh]]</f>
        <v>3.2883642495784149</v>
      </c>
      <c r="Z506" s="4">
        <f>EV_Data4[[#This Row],[price_usd]]/EV_Data4[[#This Row],[range_miles]]</f>
        <v>722.76271794871798</v>
      </c>
      <c r="AA506" s="2">
        <f>(EV_Data4[[#This Row],[customer_rating]]*EV_Data4[[#This Row],[safety_rating]]*1000)/EV_Data4[[#This Row],[price_usd]]</f>
        <v>0.11033163134079609</v>
      </c>
      <c r="AB506">
        <f>EV_Data4[[#This Row],[horsepower]]+EV_Data4[[#This Row],[torque_nm]]/EV_Data4[[#This Row],[acceleration_0_60_mph]]</f>
        <v>1136.5217391304348</v>
      </c>
      <c r="AC506" t="str">
        <f>IF(EV_Data4[[#This Row],[price_usd]]&gt;=80000,"Luxury",IF(EV_Data4[[#This Row],[price_usd]]&gt;=40000,"Mid-Range","Budget"))</f>
        <v>Luxury</v>
      </c>
      <c r="AD506" t="str">
        <f>IF(EV_Data4[[#This Row],[range_miles]]&gt;=350,"Long-Range",IF(EV_Data4[[#This Row],[range_miles]]&gt;=250,"Medium-Range","Short-Range"))</f>
        <v>Short-Range</v>
      </c>
      <c r="AE506" t="str">
        <f>IF(EV_Data4[[#This Row],[charging_speed_kw]]&gt;=250,"Ultra-Fast",IF(EV_Data4[[#This Row],[charging_speed_kw]]&gt;=150,"Fast-Charging","Standard-Charging"))</f>
        <v>Standard-Charging</v>
      </c>
      <c r="AF506" t="str">
        <f>IF(EV_Data4[[#This Row],[acceleration_0_60_mph]]&lt;=3,"SportsPerformance",IF(EV_Data4[[#This Row],[acceleration_0_60_mph]]&lt;=5,"HighPerformance","Standard"))</f>
        <v>Standard</v>
      </c>
      <c r="AG506" t="str">
        <f>IF(EV_Data4[[#This Row],[customer_rating]]&gt;=4.5,"Excellent",IF(EV_Data4[[#This Row],[customer_rating]]&gt;=3.5,"Good","Average"))</f>
        <v>Average</v>
      </c>
      <c r="AH50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07" spans="1:34" x14ac:dyDescent="0.3">
      <c r="A507" t="s">
        <v>46</v>
      </c>
      <c r="B507" t="s">
        <v>47</v>
      </c>
      <c r="C507">
        <v>2025</v>
      </c>
      <c r="D507" t="s">
        <v>56</v>
      </c>
      <c r="E507" s="3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27</v>
      </c>
      <c r="N507">
        <v>5</v>
      </c>
      <c r="O507" t="s">
        <v>58</v>
      </c>
      <c r="P507">
        <v>37.299999999999997</v>
      </c>
      <c r="Q507">
        <v>1528</v>
      </c>
      <c r="R507">
        <v>3</v>
      </c>
      <c r="S507">
        <v>2</v>
      </c>
      <c r="T507" t="s">
        <v>41</v>
      </c>
      <c r="U507" t="s">
        <v>33</v>
      </c>
      <c r="V507" s="3">
        <v>163915</v>
      </c>
      <c r="W507">
        <v>3.66</v>
      </c>
      <c r="X507">
        <v>5</v>
      </c>
      <c r="Y507" s="1">
        <f>EV_Data4[[#This Row],[range_miles]]/EV_Data4[[#This Row],[battery_capacity_kwh]]</f>
        <v>3.7119675456389456</v>
      </c>
      <c r="Z507" s="4">
        <f>EV_Data4[[#This Row],[price_usd]]/EV_Data4[[#This Row],[range_miles]]</f>
        <v>493.43448087431693</v>
      </c>
      <c r="AA507" s="2">
        <f>(EV_Data4[[#This Row],[customer_rating]]*EV_Data4[[#This Row],[safety_rating]]*1000)/EV_Data4[[#This Row],[price_usd]]</f>
        <v>0.12159669079810952</v>
      </c>
      <c r="AB507">
        <f>EV_Data4[[#This Row],[horsepower]]+EV_Data4[[#This Row],[torque_nm]]/EV_Data4[[#This Row],[acceleration_0_60_mph]]</f>
        <v>706.18355359765053</v>
      </c>
      <c r="AC507" t="str">
        <f>IF(EV_Data4[[#This Row],[price_usd]]&gt;=80000,"Luxury",IF(EV_Data4[[#This Row],[price_usd]]&gt;=40000,"Mid-Range","Budget"))</f>
        <v>Luxury</v>
      </c>
      <c r="AD507" t="str">
        <f>IF(EV_Data4[[#This Row],[range_miles]]&gt;=350,"Long-Range",IF(EV_Data4[[#This Row],[range_miles]]&gt;=250,"Medium-Range","Short-Range"))</f>
        <v>Short-Range</v>
      </c>
      <c r="AE507" t="str">
        <f>IF(EV_Data4[[#This Row],[charging_speed_kw]]&gt;=250,"Ultra-Fast",IF(EV_Data4[[#This Row],[charging_speed_kw]]&gt;=150,"Fast-Charging","Standard-Charging"))</f>
        <v>Fast-Charging</v>
      </c>
      <c r="AF507" t="str">
        <f>IF(EV_Data4[[#This Row],[acceleration_0_60_mph]]&lt;=3,"SportsPerformance",IF(EV_Data4[[#This Row],[acceleration_0_60_mph]]&lt;=5,"HighPerformance","Standard"))</f>
        <v>Standard</v>
      </c>
      <c r="AG507" t="str">
        <f>IF(EV_Data4[[#This Row],[customer_rating]]&gt;=4.5,"Excellent",IF(EV_Data4[[#This Row],[customer_rating]]&gt;=3.5,"Good","Average"))</f>
        <v>Good</v>
      </c>
      <c r="AH50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08" spans="1:34" x14ac:dyDescent="0.3">
      <c r="A508" t="s">
        <v>86</v>
      </c>
      <c r="B508" t="s">
        <v>117</v>
      </c>
      <c r="C508">
        <v>2025</v>
      </c>
      <c r="D508" t="s">
        <v>56</v>
      </c>
      <c r="E508" s="3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27</v>
      </c>
      <c r="N508">
        <v>5</v>
      </c>
      <c r="O508" t="s">
        <v>40</v>
      </c>
      <c r="P508">
        <v>68.900000000000006</v>
      </c>
      <c r="Q508">
        <v>1714</v>
      </c>
      <c r="R508">
        <v>4</v>
      </c>
      <c r="S508">
        <v>1</v>
      </c>
      <c r="T508" t="s">
        <v>29</v>
      </c>
      <c r="U508" t="s">
        <v>33</v>
      </c>
      <c r="V508" s="3">
        <v>66705</v>
      </c>
      <c r="W508">
        <v>3.5</v>
      </c>
      <c r="X508">
        <v>7</v>
      </c>
      <c r="Y508" s="1">
        <f>EV_Data4[[#This Row],[range_miles]]/EV_Data4[[#This Row],[battery_capacity_kwh]]</f>
        <v>3.4026927784577721</v>
      </c>
      <c r="Z508" s="4">
        <f>EV_Data4[[#This Row],[price_usd]]/EV_Data4[[#This Row],[range_miles]]</f>
        <v>286.65125899280577</v>
      </c>
      <c r="AA508" s="2">
        <f>(EV_Data4[[#This Row],[customer_rating]]*EV_Data4[[#This Row],[safety_rating]]*1000)/EV_Data4[[#This Row],[price_usd]]</f>
        <v>0.17568285730599123</v>
      </c>
      <c r="AB508">
        <f>EV_Data4[[#This Row],[horsepower]]+EV_Data4[[#This Row],[torque_nm]]/EV_Data4[[#This Row],[acceleration_0_60_mph]]</f>
        <v>565.58906030855542</v>
      </c>
      <c r="AC508" t="str">
        <f>IF(EV_Data4[[#This Row],[price_usd]]&gt;=80000,"Luxury",IF(EV_Data4[[#This Row],[price_usd]]&gt;=40000,"Mid-Range","Budget"))</f>
        <v>Mid-Range</v>
      </c>
      <c r="AD508" t="str">
        <f>IF(EV_Data4[[#This Row],[range_miles]]&gt;=350,"Long-Range",IF(EV_Data4[[#This Row],[range_miles]]&gt;=250,"Medium-Range","Short-Range"))</f>
        <v>Medium-Range</v>
      </c>
      <c r="AE508" t="str">
        <f>IF(EV_Data4[[#This Row],[charging_speed_kw]]&gt;=250,"Ultra-Fast",IF(EV_Data4[[#This Row],[charging_speed_kw]]&gt;=150,"Fast-Charging","Standard-Charging"))</f>
        <v>Standard-Charging</v>
      </c>
      <c r="AF508" t="str">
        <f>IF(EV_Data4[[#This Row],[acceleration_0_60_mph]]&lt;=3,"SportsPerformance",IF(EV_Data4[[#This Row],[acceleration_0_60_mph]]&lt;=5,"HighPerformance","Standard"))</f>
        <v>Standard</v>
      </c>
      <c r="AG508" t="str">
        <f>IF(EV_Data4[[#This Row],[customer_rating]]&gt;=4.5,"Excellent",IF(EV_Data4[[#This Row],[customer_rating]]&gt;=3.5,"Good","Average"))</f>
        <v>Good</v>
      </c>
      <c r="AH50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09" spans="1:34" x14ac:dyDescent="0.3">
      <c r="A509" t="s">
        <v>52</v>
      </c>
      <c r="B509" t="s">
        <v>97</v>
      </c>
      <c r="C509">
        <v>2026</v>
      </c>
      <c r="D509" t="s">
        <v>56</v>
      </c>
      <c r="E509" s="3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34</v>
      </c>
      <c r="N509">
        <v>7</v>
      </c>
      <c r="O509" t="s">
        <v>51</v>
      </c>
      <c r="P509">
        <v>15.9</v>
      </c>
      <c r="Q509">
        <v>1767</v>
      </c>
      <c r="R509">
        <v>5</v>
      </c>
      <c r="S509">
        <v>1</v>
      </c>
      <c r="T509" t="s">
        <v>29</v>
      </c>
      <c r="U509" t="s">
        <v>30</v>
      </c>
      <c r="V509" s="3">
        <v>34790</v>
      </c>
      <c r="W509">
        <v>3.64</v>
      </c>
      <c r="X509">
        <v>7</v>
      </c>
      <c r="Y509" s="1">
        <f>EV_Data4[[#This Row],[range_miles]]/EV_Data4[[#This Row],[battery_capacity_kwh]]</f>
        <v>3.4269662921348312</v>
      </c>
      <c r="Z509" s="4">
        <f>EV_Data4[[#This Row],[price_usd]]/EV_Data4[[#This Row],[range_miles]]</f>
        <v>564.25930327868844</v>
      </c>
      <c r="AA509" s="2">
        <f>(EV_Data4[[#This Row],[customer_rating]]*EV_Data4[[#This Row],[safety_rating]]*1000)/EV_Data4[[#This Row],[price_usd]]</f>
        <v>0.13219128776612485</v>
      </c>
      <c r="AB509">
        <f>EV_Data4[[#This Row],[horsepower]]+EV_Data4[[#This Row],[torque_nm]]/EV_Data4[[#This Row],[acceleration_0_60_mph]]</f>
        <v>939.54040404040404</v>
      </c>
      <c r="AC509" t="str">
        <f>IF(EV_Data4[[#This Row],[price_usd]]&gt;=80000,"Luxury",IF(EV_Data4[[#This Row],[price_usd]]&gt;=40000,"Mid-Range","Budget"))</f>
        <v>Luxury</v>
      </c>
      <c r="AD509" t="str">
        <f>IF(EV_Data4[[#This Row],[range_miles]]&gt;=350,"Long-Range",IF(EV_Data4[[#This Row],[range_miles]]&gt;=250,"Medium-Range","Short-Range"))</f>
        <v>Short-Range</v>
      </c>
      <c r="AE509" t="str">
        <f>IF(EV_Data4[[#This Row],[charging_speed_kw]]&gt;=250,"Ultra-Fast",IF(EV_Data4[[#This Row],[charging_speed_kw]]&gt;=150,"Fast-Charging","Standard-Charging"))</f>
        <v>Standard-Charging</v>
      </c>
      <c r="AF509" t="str">
        <f>IF(EV_Data4[[#This Row],[acceleration_0_60_mph]]&lt;=3,"SportsPerformance",IF(EV_Data4[[#This Row],[acceleration_0_60_mph]]&lt;=5,"HighPerformance","Standard"))</f>
        <v>Standard</v>
      </c>
      <c r="AG509" t="str">
        <f>IF(EV_Data4[[#This Row],[customer_rating]]&gt;=4.5,"Excellent",IF(EV_Data4[[#This Row],[customer_rating]]&gt;=3.5,"Good","Average"))</f>
        <v>Good</v>
      </c>
      <c r="AH50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10" spans="1:34" x14ac:dyDescent="0.3">
      <c r="A510" t="s">
        <v>31</v>
      </c>
      <c r="B510" t="s">
        <v>112</v>
      </c>
      <c r="C510">
        <v>2025</v>
      </c>
      <c r="D510" t="s">
        <v>44</v>
      </c>
      <c r="E510" s="3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27</v>
      </c>
      <c r="N510">
        <v>5</v>
      </c>
      <c r="O510" t="s">
        <v>58</v>
      </c>
      <c r="P510">
        <v>23.1</v>
      </c>
      <c r="Q510">
        <v>1731</v>
      </c>
      <c r="R510">
        <v>4</v>
      </c>
      <c r="S510">
        <v>1</v>
      </c>
      <c r="T510" t="s">
        <v>36</v>
      </c>
      <c r="U510" t="s">
        <v>33</v>
      </c>
      <c r="V510" s="3">
        <v>13954</v>
      </c>
      <c r="W510">
        <v>3.57</v>
      </c>
      <c r="X510">
        <v>4</v>
      </c>
      <c r="Y510" s="1">
        <f>EV_Data4[[#This Row],[range_miles]]/EV_Data4[[#This Row],[battery_capacity_kwh]]</f>
        <v>3.4397528321318229</v>
      </c>
      <c r="Z510" s="4">
        <f>EV_Data4[[#This Row],[price_usd]]/EV_Data4[[#This Row],[range_miles]]</f>
        <v>217.39197604790419</v>
      </c>
      <c r="AA510" s="2">
        <f>(EV_Data4[[#This Row],[customer_rating]]*EV_Data4[[#This Row],[safety_rating]]*1000)/EV_Data4[[#This Row],[price_usd]]</f>
        <v>0.19667005100750706</v>
      </c>
      <c r="AB510">
        <f>EV_Data4[[#This Row],[horsepower]]+EV_Data4[[#This Row],[torque_nm]]/EV_Data4[[#This Row],[acceleration_0_60_mph]]</f>
        <v>1050.4748700173311</v>
      </c>
      <c r="AC510" t="str">
        <f>IF(EV_Data4[[#This Row],[price_usd]]&gt;=80000,"Luxury",IF(EV_Data4[[#This Row],[price_usd]]&gt;=40000,"Mid-Range","Budget"))</f>
        <v>Mid-Range</v>
      </c>
      <c r="AD510" t="str">
        <f>IF(EV_Data4[[#This Row],[range_miles]]&gt;=350,"Long-Range",IF(EV_Data4[[#This Row],[range_miles]]&gt;=250,"Medium-Range","Short-Range"))</f>
        <v>Medium-Range</v>
      </c>
      <c r="AE510" t="str">
        <f>IF(EV_Data4[[#This Row],[charging_speed_kw]]&gt;=250,"Ultra-Fast",IF(EV_Data4[[#This Row],[charging_speed_kw]]&gt;=150,"Fast-Charging","Standard-Charging"))</f>
        <v>Standard-Charging</v>
      </c>
      <c r="AF510" t="str">
        <f>IF(EV_Data4[[#This Row],[acceleration_0_60_mph]]&lt;=3,"SportsPerformance",IF(EV_Data4[[#This Row],[acceleration_0_60_mph]]&lt;=5,"HighPerformance","Standard"))</f>
        <v>Standard</v>
      </c>
      <c r="AG510" t="str">
        <f>IF(EV_Data4[[#This Row],[customer_rating]]&gt;=4.5,"Excellent",IF(EV_Data4[[#This Row],[customer_rating]]&gt;=3.5,"Good","Average"))</f>
        <v>Good</v>
      </c>
      <c r="AH51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11" spans="1:34" x14ac:dyDescent="0.3">
      <c r="A511" t="s">
        <v>38</v>
      </c>
      <c r="B511" t="s">
        <v>102</v>
      </c>
      <c r="C511">
        <v>2025</v>
      </c>
      <c r="D511" t="s">
        <v>33</v>
      </c>
      <c r="E511" s="3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27</v>
      </c>
      <c r="N511">
        <v>5</v>
      </c>
      <c r="O511" t="s">
        <v>35</v>
      </c>
      <c r="P511">
        <v>48</v>
      </c>
      <c r="Q511">
        <v>1847</v>
      </c>
      <c r="R511">
        <v>4</v>
      </c>
      <c r="S511">
        <v>1</v>
      </c>
      <c r="T511" t="s">
        <v>41</v>
      </c>
      <c r="U511" t="s">
        <v>33</v>
      </c>
      <c r="V511" s="3">
        <v>12825</v>
      </c>
      <c r="W511">
        <v>3.46</v>
      </c>
      <c r="X511">
        <v>3</v>
      </c>
      <c r="Y511" s="1">
        <f>EV_Data4[[#This Row],[range_miles]]/EV_Data4[[#This Row],[battery_capacity_kwh]]</f>
        <v>3.4237995824634657</v>
      </c>
      <c r="Z511" s="4">
        <f>EV_Data4[[#This Row],[price_usd]]/EV_Data4[[#This Row],[range_miles]]</f>
        <v>555.0896341463415</v>
      </c>
      <c r="AA511" s="2">
        <f>(EV_Data4[[#This Row],[customer_rating]]*EV_Data4[[#This Row],[safety_rating]]*1000)/EV_Data4[[#This Row],[price_usd]]</f>
        <v>0.15202994023158203</v>
      </c>
      <c r="AB511">
        <f>EV_Data4[[#This Row],[horsepower]]+EV_Data4[[#This Row],[torque_nm]]/EV_Data4[[#This Row],[acceleration_0_60_mph]]</f>
        <v>1169.3577981651376</v>
      </c>
      <c r="AC511" t="str">
        <f>IF(EV_Data4[[#This Row],[price_usd]]&gt;=80000,"Luxury",IF(EV_Data4[[#This Row],[price_usd]]&gt;=40000,"Mid-Range","Budget"))</f>
        <v>Luxury</v>
      </c>
      <c r="AD511" t="str">
        <f>IF(EV_Data4[[#This Row],[range_miles]]&gt;=350,"Long-Range",IF(EV_Data4[[#This Row],[range_miles]]&gt;=250,"Medium-Range","Short-Range"))</f>
        <v>Short-Range</v>
      </c>
      <c r="AE511" t="str">
        <f>IF(EV_Data4[[#This Row],[charging_speed_kw]]&gt;=250,"Ultra-Fast",IF(EV_Data4[[#This Row],[charging_speed_kw]]&gt;=150,"Fast-Charging","Standard-Charging"))</f>
        <v>Standard-Charging</v>
      </c>
      <c r="AF511" t="str">
        <f>IF(EV_Data4[[#This Row],[acceleration_0_60_mph]]&lt;=3,"SportsPerformance",IF(EV_Data4[[#This Row],[acceleration_0_60_mph]]&lt;=5,"HighPerformance","Standard"))</f>
        <v>Standard</v>
      </c>
      <c r="AG511" t="str">
        <f>IF(EV_Data4[[#This Row],[customer_rating]]&gt;=4.5,"Excellent",IF(EV_Data4[[#This Row],[customer_rating]]&gt;=3.5,"Good","Average"))</f>
        <v>Average</v>
      </c>
      <c r="AH51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12" spans="1:34" x14ac:dyDescent="0.3">
      <c r="A512" t="s">
        <v>42</v>
      </c>
      <c r="B512" t="s">
        <v>71</v>
      </c>
      <c r="C512">
        <v>2023</v>
      </c>
      <c r="D512" t="s">
        <v>56</v>
      </c>
      <c r="E512" s="3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27</v>
      </c>
      <c r="N512">
        <v>5</v>
      </c>
      <c r="O512" t="s">
        <v>50</v>
      </c>
      <c r="P512">
        <v>21.8</v>
      </c>
      <c r="Q512">
        <v>1500</v>
      </c>
      <c r="R512">
        <v>4</v>
      </c>
      <c r="S512">
        <v>0</v>
      </c>
      <c r="T512" t="s">
        <v>45</v>
      </c>
      <c r="U512" t="s">
        <v>37</v>
      </c>
      <c r="V512" s="3">
        <v>135630</v>
      </c>
      <c r="W512">
        <v>3.6</v>
      </c>
      <c r="X512">
        <v>5</v>
      </c>
      <c r="Y512" s="1">
        <f>EV_Data4[[#This Row],[range_miles]]/EV_Data4[[#This Row],[battery_capacity_kwh]]</f>
        <v>3.7555886736214608</v>
      </c>
      <c r="Z512" s="4">
        <f>EV_Data4[[#This Row],[price_usd]]/EV_Data4[[#This Row],[range_miles]]</f>
        <v>167.34845238095238</v>
      </c>
      <c r="AA512" s="2">
        <f>(EV_Data4[[#This Row],[customer_rating]]*EV_Data4[[#This Row],[safety_rating]]*1000)/EV_Data4[[#This Row],[price_usd]]</f>
        <v>0.34146032622265921</v>
      </c>
      <c r="AB512">
        <f>EV_Data4[[#This Row],[horsepower]]+EV_Data4[[#This Row],[torque_nm]]/EV_Data4[[#This Row],[acceleration_0_60_mph]]</f>
        <v>449</v>
      </c>
      <c r="AC512" t="str">
        <f>IF(EV_Data4[[#This Row],[price_usd]]&gt;=80000,"Luxury",IF(EV_Data4[[#This Row],[price_usd]]&gt;=40000,"Mid-Range","Budget"))</f>
        <v>Mid-Range</v>
      </c>
      <c r="AD512" t="str">
        <f>IF(EV_Data4[[#This Row],[range_miles]]&gt;=350,"Long-Range",IF(EV_Data4[[#This Row],[range_miles]]&gt;=250,"Medium-Range","Short-Range"))</f>
        <v>Medium-Range</v>
      </c>
      <c r="AE512" t="str">
        <f>IF(EV_Data4[[#This Row],[charging_speed_kw]]&gt;=250,"Ultra-Fast",IF(EV_Data4[[#This Row],[charging_speed_kw]]&gt;=150,"Fast-Charging","Standard-Charging"))</f>
        <v>Standard-Charging</v>
      </c>
      <c r="AF512" t="str">
        <f>IF(EV_Data4[[#This Row],[acceleration_0_60_mph]]&lt;=3,"SportsPerformance",IF(EV_Data4[[#This Row],[acceleration_0_60_mph]]&lt;=5,"HighPerformance","Standard"))</f>
        <v>Standard</v>
      </c>
      <c r="AG512" t="str">
        <f>IF(EV_Data4[[#This Row],[customer_rating]]&gt;=4.5,"Excellent",IF(EV_Data4[[#This Row],[customer_rating]]&gt;=3.5,"Good","Average"))</f>
        <v>Good</v>
      </c>
      <c r="AH51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13" spans="1:34" x14ac:dyDescent="0.3">
      <c r="A513" t="s">
        <v>24</v>
      </c>
      <c r="B513" t="s">
        <v>75</v>
      </c>
      <c r="C513">
        <v>2020</v>
      </c>
      <c r="D513" t="s">
        <v>44</v>
      </c>
      <c r="E513" s="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27</v>
      </c>
      <c r="N513">
        <v>7</v>
      </c>
      <c r="O513" t="s">
        <v>51</v>
      </c>
      <c r="P513">
        <v>16.399999999999999</v>
      </c>
      <c r="Q513">
        <v>1532</v>
      </c>
      <c r="R513">
        <v>4</v>
      </c>
      <c r="S513">
        <v>0</v>
      </c>
      <c r="T513" t="s">
        <v>29</v>
      </c>
      <c r="U513" t="s">
        <v>37</v>
      </c>
      <c r="V513" s="3">
        <v>220087</v>
      </c>
      <c r="W513">
        <v>3.39</v>
      </c>
      <c r="X513">
        <v>4</v>
      </c>
      <c r="Y513" s="1">
        <f>EV_Data4[[#This Row],[range_miles]]/EV_Data4[[#This Row],[battery_capacity_kwh]]</f>
        <v>3.270935960591133</v>
      </c>
      <c r="Z513" s="4">
        <f>EV_Data4[[#This Row],[price_usd]]/EV_Data4[[#This Row],[range_miles]]</f>
        <v>122.78006024096386</v>
      </c>
      <c r="AA513" s="2">
        <f>(EV_Data4[[#This Row],[customer_rating]]*EV_Data4[[#This Row],[safety_rating]]*1000)/EV_Data4[[#This Row],[price_usd]]</f>
        <v>0.33265477646629366</v>
      </c>
      <c r="AB513">
        <f>EV_Data4[[#This Row],[horsepower]]+EV_Data4[[#This Row],[torque_nm]]/EV_Data4[[#This Row],[acceleration_0_60_mph]]</f>
        <v>364.24369747899158</v>
      </c>
      <c r="AC513" t="str">
        <f>IF(EV_Data4[[#This Row],[price_usd]]&gt;=80000,"Luxury",IF(EV_Data4[[#This Row],[price_usd]]&gt;=40000,"Mid-Range","Budget"))</f>
        <v>Mid-Range</v>
      </c>
      <c r="AD513" t="str">
        <f>IF(EV_Data4[[#This Row],[range_miles]]&gt;=350,"Long-Range",IF(EV_Data4[[#This Row],[range_miles]]&gt;=250,"Medium-Range","Short-Range"))</f>
        <v>Medium-Range</v>
      </c>
      <c r="AE513" t="str">
        <f>IF(EV_Data4[[#This Row],[charging_speed_kw]]&gt;=250,"Ultra-Fast",IF(EV_Data4[[#This Row],[charging_speed_kw]]&gt;=150,"Fast-Charging","Standard-Charging"))</f>
        <v>Standard-Charging</v>
      </c>
      <c r="AF513" t="str">
        <f>IF(EV_Data4[[#This Row],[acceleration_0_60_mph]]&lt;=3,"SportsPerformance",IF(EV_Data4[[#This Row],[acceleration_0_60_mph]]&lt;=5,"HighPerformance","Standard"))</f>
        <v>Standard</v>
      </c>
      <c r="AG513" t="str">
        <f>IF(EV_Data4[[#This Row],[customer_rating]]&gt;=4.5,"Excellent",IF(EV_Data4[[#This Row],[customer_rating]]&gt;=3.5,"Good","Average"))</f>
        <v>Average</v>
      </c>
      <c r="AH51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14" spans="1:34" x14ac:dyDescent="0.3">
      <c r="A514" t="s">
        <v>94</v>
      </c>
      <c r="B514" t="s">
        <v>95</v>
      </c>
      <c r="C514">
        <v>2025</v>
      </c>
      <c r="D514" t="s">
        <v>56</v>
      </c>
      <c r="E514" s="3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34</v>
      </c>
      <c r="N514">
        <v>5</v>
      </c>
      <c r="O514" t="s">
        <v>28</v>
      </c>
      <c r="P514">
        <v>78</v>
      </c>
      <c r="Q514">
        <v>2589</v>
      </c>
      <c r="R514">
        <v>5</v>
      </c>
      <c r="S514">
        <v>1</v>
      </c>
      <c r="T514" t="s">
        <v>41</v>
      </c>
      <c r="U514" t="s">
        <v>33</v>
      </c>
      <c r="V514" s="3">
        <v>11173</v>
      </c>
      <c r="W514">
        <v>3.44</v>
      </c>
      <c r="X514">
        <v>4</v>
      </c>
      <c r="Y514" s="1">
        <f>EV_Data4[[#This Row],[range_miles]]/EV_Data4[[#This Row],[battery_capacity_kwh]]</f>
        <v>3.5228677379480837</v>
      </c>
      <c r="Z514" s="4">
        <f>EV_Data4[[#This Row],[price_usd]]/EV_Data4[[#This Row],[range_miles]]</f>
        <v>248.70431578947367</v>
      </c>
      <c r="AA514" s="2">
        <f>(EV_Data4[[#This Row],[customer_rating]]*EV_Data4[[#This Row],[safety_rating]]*1000)/EV_Data4[[#This Row],[price_usd]]</f>
        <v>0.24266115769405874</v>
      </c>
      <c r="AB514">
        <f>EV_Data4[[#This Row],[horsepower]]+EV_Data4[[#This Row],[torque_nm]]/EV_Data4[[#This Row],[acceleration_0_60_mph]]</f>
        <v>261.26465927099844</v>
      </c>
      <c r="AC514" t="str">
        <f>IF(EV_Data4[[#This Row],[price_usd]]&gt;=80000,"Luxury",IF(EV_Data4[[#This Row],[price_usd]]&gt;=40000,"Mid-Range","Budget"))</f>
        <v>Mid-Range</v>
      </c>
      <c r="AD514" t="str">
        <f>IF(EV_Data4[[#This Row],[range_miles]]&gt;=350,"Long-Range",IF(EV_Data4[[#This Row],[range_miles]]&gt;=250,"Medium-Range","Short-Range"))</f>
        <v>Medium-Range</v>
      </c>
      <c r="AE514" t="str">
        <f>IF(EV_Data4[[#This Row],[charging_speed_kw]]&gt;=250,"Ultra-Fast",IF(EV_Data4[[#This Row],[charging_speed_kw]]&gt;=150,"Fast-Charging","Standard-Charging"))</f>
        <v>Standard-Charging</v>
      </c>
      <c r="AF514" t="str">
        <f>IF(EV_Data4[[#This Row],[acceleration_0_60_mph]]&lt;=3,"SportsPerformance",IF(EV_Data4[[#This Row],[acceleration_0_60_mph]]&lt;=5,"HighPerformance","Standard"))</f>
        <v>Standard</v>
      </c>
      <c r="AG514" t="str">
        <f>IF(EV_Data4[[#This Row],[customer_rating]]&gt;=4.5,"Excellent",IF(EV_Data4[[#This Row],[customer_rating]]&gt;=3.5,"Good","Average"))</f>
        <v>Average</v>
      </c>
      <c r="AH51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15" spans="1:34" x14ac:dyDescent="0.3">
      <c r="A515" t="s">
        <v>52</v>
      </c>
      <c r="B515" t="s">
        <v>53</v>
      </c>
      <c r="C515">
        <v>2024</v>
      </c>
      <c r="D515" t="s">
        <v>26</v>
      </c>
      <c r="E515" s="3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27</v>
      </c>
      <c r="N515">
        <v>5</v>
      </c>
      <c r="O515" t="s">
        <v>40</v>
      </c>
      <c r="P515">
        <v>70.2</v>
      </c>
      <c r="Q515">
        <v>1541</v>
      </c>
      <c r="R515">
        <v>5</v>
      </c>
      <c r="S515">
        <v>2</v>
      </c>
      <c r="T515" t="s">
        <v>29</v>
      </c>
      <c r="U515" t="s">
        <v>30</v>
      </c>
      <c r="V515" s="3">
        <v>68987</v>
      </c>
      <c r="W515">
        <v>3.92</v>
      </c>
      <c r="X515">
        <v>6</v>
      </c>
      <c r="Y515" s="1">
        <f>EV_Data4[[#This Row],[range_miles]]/EV_Data4[[#This Row],[battery_capacity_kwh]]</f>
        <v>3.5589941972920696</v>
      </c>
      <c r="Z515" s="4">
        <f>EV_Data4[[#This Row],[price_usd]]/EV_Data4[[#This Row],[range_miles]]</f>
        <v>309.91641304347826</v>
      </c>
      <c r="AA515" s="2">
        <f>(EV_Data4[[#This Row],[customer_rating]]*EV_Data4[[#This Row],[safety_rating]]*1000)/EV_Data4[[#This Row],[price_usd]]</f>
        <v>0.17185559500440337</v>
      </c>
      <c r="AB515">
        <f>EV_Data4[[#This Row],[horsepower]]+EV_Data4[[#This Row],[torque_nm]]/EV_Data4[[#This Row],[acceleration_0_60_mph]]</f>
        <v>738.75853018372709</v>
      </c>
      <c r="AC515" t="str">
        <f>IF(EV_Data4[[#This Row],[price_usd]]&gt;=80000,"Luxury",IF(EV_Data4[[#This Row],[price_usd]]&gt;=40000,"Mid-Range","Budget"))</f>
        <v>Luxury</v>
      </c>
      <c r="AD515" t="str">
        <f>IF(EV_Data4[[#This Row],[range_miles]]&gt;=350,"Long-Range",IF(EV_Data4[[#This Row],[range_miles]]&gt;=250,"Medium-Range","Short-Range"))</f>
        <v>Long-Range</v>
      </c>
      <c r="AE515" t="str">
        <f>IF(EV_Data4[[#This Row],[charging_speed_kw]]&gt;=250,"Ultra-Fast",IF(EV_Data4[[#This Row],[charging_speed_kw]]&gt;=150,"Fast-Charging","Standard-Charging"))</f>
        <v>Fast-Charging</v>
      </c>
      <c r="AF515" t="str">
        <f>IF(EV_Data4[[#This Row],[acceleration_0_60_mph]]&lt;=3,"SportsPerformance",IF(EV_Data4[[#This Row],[acceleration_0_60_mph]]&lt;=5,"HighPerformance","Standard"))</f>
        <v>HighPerformance</v>
      </c>
      <c r="AG515" t="str">
        <f>IF(EV_Data4[[#This Row],[customer_rating]]&gt;=4.5,"Excellent",IF(EV_Data4[[#This Row],[customer_rating]]&gt;=3.5,"Good","Average"))</f>
        <v>Good</v>
      </c>
      <c r="AH51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16" spans="1:34" x14ac:dyDescent="0.3">
      <c r="A516" t="s">
        <v>46</v>
      </c>
      <c r="B516" t="s">
        <v>47</v>
      </c>
      <c r="C516">
        <v>2024</v>
      </c>
      <c r="D516" t="s">
        <v>61</v>
      </c>
      <c r="E516" s="3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27</v>
      </c>
      <c r="N516">
        <v>5</v>
      </c>
      <c r="O516" t="s">
        <v>51</v>
      </c>
      <c r="P516">
        <v>28.4</v>
      </c>
      <c r="Q516">
        <v>1813</v>
      </c>
      <c r="R516">
        <v>5</v>
      </c>
      <c r="S516">
        <v>3</v>
      </c>
      <c r="T516" t="s">
        <v>41</v>
      </c>
      <c r="U516" t="s">
        <v>37</v>
      </c>
      <c r="V516" s="3">
        <v>208877</v>
      </c>
      <c r="W516">
        <v>3.91</v>
      </c>
      <c r="X516">
        <v>5</v>
      </c>
      <c r="Y516" s="1">
        <f>EV_Data4[[#This Row],[range_miles]]/EV_Data4[[#This Row],[battery_capacity_kwh]]</f>
        <v>3.0718954248366011</v>
      </c>
      <c r="Z516" s="4">
        <f>EV_Data4[[#This Row],[price_usd]]/EV_Data4[[#This Row],[range_miles]]</f>
        <v>194.98414893617019</v>
      </c>
      <c r="AA516" s="2">
        <f>(EV_Data4[[#This Row],[customer_rating]]*EV_Data4[[#This Row],[safety_rating]]*1000)/EV_Data4[[#This Row],[price_usd]]</f>
        <v>0.53332213038593979</v>
      </c>
      <c r="AB516">
        <f>EV_Data4[[#This Row],[horsepower]]+EV_Data4[[#This Row],[torque_nm]]/EV_Data4[[#This Row],[acceleration_0_60_mph]]</f>
        <v>300.80168776371306</v>
      </c>
      <c r="AC516" t="str">
        <f>IF(EV_Data4[[#This Row],[price_usd]]&gt;=80000,"Luxury",IF(EV_Data4[[#This Row],[price_usd]]&gt;=40000,"Mid-Range","Budget"))</f>
        <v>Budget</v>
      </c>
      <c r="AD516" t="str">
        <f>IF(EV_Data4[[#This Row],[range_miles]]&gt;=350,"Long-Range",IF(EV_Data4[[#This Row],[range_miles]]&gt;=250,"Medium-Range","Short-Range"))</f>
        <v>Short-Range</v>
      </c>
      <c r="AE516" t="str">
        <f>IF(EV_Data4[[#This Row],[charging_speed_kw]]&gt;=250,"Ultra-Fast",IF(EV_Data4[[#This Row],[charging_speed_kw]]&gt;=150,"Fast-Charging","Standard-Charging"))</f>
        <v>Ultra-Fast</v>
      </c>
      <c r="AF516" t="str">
        <f>IF(EV_Data4[[#This Row],[acceleration_0_60_mph]]&lt;=3,"SportsPerformance",IF(EV_Data4[[#This Row],[acceleration_0_60_mph]]&lt;=5,"HighPerformance","Standard"))</f>
        <v>Standard</v>
      </c>
      <c r="AG516" t="str">
        <f>IF(EV_Data4[[#This Row],[customer_rating]]&gt;=4.5,"Excellent",IF(EV_Data4[[#This Row],[customer_rating]]&gt;=3.5,"Good","Average"))</f>
        <v>Good</v>
      </c>
      <c r="AH516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517" spans="1:34" x14ac:dyDescent="0.3">
      <c r="A517" t="s">
        <v>46</v>
      </c>
      <c r="B517" t="s">
        <v>72</v>
      </c>
      <c r="C517">
        <v>2025</v>
      </c>
      <c r="D517" t="s">
        <v>33</v>
      </c>
      <c r="E517" s="3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27</v>
      </c>
      <c r="N517">
        <v>5</v>
      </c>
      <c r="O517" t="s">
        <v>28</v>
      </c>
      <c r="P517">
        <v>79.599999999999994</v>
      </c>
      <c r="Q517">
        <v>2145</v>
      </c>
      <c r="R517">
        <v>4</v>
      </c>
      <c r="S517">
        <v>2</v>
      </c>
      <c r="T517" t="s">
        <v>41</v>
      </c>
      <c r="U517" t="s">
        <v>30</v>
      </c>
      <c r="V517" s="3">
        <v>223231</v>
      </c>
      <c r="W517">
        <v>3.65</v>
      </c>
      <c r="X517">
        <v>4</v>
      </c>
      <c r="Y517" s="1">
        <f>EV_Data4[[#This Row],[range_miles]]/EV_Data4[[#This Row],[battery_capacity_kwh]]</f>
        <v>3.7134052388289671</v>
      </c>
      <c r="Z517" s="4">
        <f>EV_Data4[[#This Row],[price_usd]]/EV_Data4[[#This Row],[range_miles]]</f>
        <v>518.11589211618252</v>
      </c>
      <c r="AA517" s="2">
        <f>(EV_Data4[[#This Row],[customer_rating]]*EV_Data4[[#This Row],[safety_rating]]*1000)/EV_Data4[[#This Row],[price_usd]]</f>
        <v>0.11692540951723181</v>
      </c>
      <c r="AB517">
        <f>EV_Data4[[#This Row],[horsepower]]+EV_Data4[[#This Row],[torque_nm]]/EV_Data4[[#This Row],[acceleration_0_60_mph]]</f>
        <v>997.6957637997433</v>
      </c>
      <c r="AC517" t="str">
        <f>IF(EV_Data4[[#This Row],[price_usd]]&gt;=80000,"Luxury",IF(EV_Data4[[#This Row],[price_usd]]&gt;=40000,"Mid-Range","Budget"))</f>
        <v>Luxury</v>
      </c>
      <c r="AD517" t="str">
        <f>IF(EV_Data4[[#This Row],[range_miles]]&gt;=350,"Long-Range",IF(EV_Data4[[#This Row],[range_miles]]&gt;=250,"Medium-Range","Short-Range"))</f>
        <v>Short-Range</v>
      </c>
      <c r="AE517" t="str">
        <f>IF(EV_Data4[[#This Row],[charging_speed_kw]]&gt;=250,"Ultra-Fast",IF(EV_Data4[[#This Row],[charging_speed_kw]]&gt;=150,"Fast-Charging","Standard-Charging"))</f>
        <v>Ultra-Fast</v>
      </c>
      <c r="AF517" t="str">
        <f>IF(EV_Data4[[#This Row],[acceleration_0_60_mph]]&lt;=3,"SportsPerformance",IF(EV_Data4[[#This Row],[acceleration_0_60_mph]]&lt;=5,"HighPerformance","Standard"))</f>
        <v>Standard</v>
      </c>
      <c r="AG517" t="str">
        <f>IF(EV_Data4[[#This Row],[customer_rating]]&gt;=4.5,"Excellent",IF(EV_Data4[[#This Row],[customer_rating]]&gt;=3.5,"Good","Average"))</f>
        <v>Good</v>
      </c>
      <c r="AH51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18" spans="1:34" x14ac:dyDescent="0.3">
      <c r="A518" t="s">
        <v>24</v>
      </c>
      <c r="B518" t="s">
        <v>25</v>
      </c>
      <c r="C518">
        <v>2026</v>
      </c>
      <c r="D518" t="s">
        <v>56</v>
      </c>
      <c r="E518" s="3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34</v>
      </c>
      <c r="N518">
        <v>7</v>
      </c>
      <c r="O518" t="s">
        <v>40</v>
      </c>
      <c r="P518">
        <v>77.099999999999994</v>
      </c>
      <c r="Q518">
        <v>1500</v>
      </c>
      <c r="R518">
        <v>4</v>
      </c>
      <c r="S518">
        <v>2</v>
      </c>
      <c r="T518" t="s">
        <v>29</v>
      </c>
      <c r="U518" t="s">
        <v>37</v>
      </c>
      <c r="V518" s="3">
        <v>203221</v>
      </c>
      <c r="W518">
        <v>3.33</v>
      </c>
      <c r="X518">
        <v>4</v>
      </c>
      <c r="Y518" s="1">
        <f>EV_Data4[[#This Row],[range_miles]]/EV_Data4[[#This Row],[battery_capacity_kwh]]</f>
        <v>3.4917355371900829</v>
      </c>
      <c r="Z518" s="4">
        <f>EV_Data4[[#This Row],[price_usd]]/EV_Data4[[#This Row],[range_miles]]</f>
        <v>275.94603550295858</v>
      </c>
      <c r="AA518" s="2">
        <f>(EV_Data4[[#This Row],[customer_rating]]*EV_Data4[[#This Row],[safety_rating]]*1000)/EV_Data4[[#This Row],[price_usd]]</f>
        <v>0.28562312157766889</v>
      </c>
      <c r="AB518">
        <f>EV_Data4[[#This Row],[horsepower]]+EV_Data4[[#This Row],[torque_nm]]/EV_Data4[[#This Row],[acceleration_0_60_mph]]</f>
        <v>468.33467202141901</v>
      </c>
      <c r="AC518" t="str">
        <f>IF(EV_Data4[[#This Row],[price_usd]]&gt;=80000,"Luxury",IF(EV_Data4[[#This Row],[price_usd]]&gt;=40000,"Mid-Range","Budget"))</f>
        <v>Mid-Range</v>
      </c>
      <c r="AD518" t="str">
        <f>IF(EV_Data4[[#This Row],[range_miles]]&gt;=350,"Long-Range",IF(EV_Data4[[#This Row],[range_miles]]&gt;=250,"Medium-Range","Short-Range"))</f>
        <v>Short-Range</v>
      </c>
      <c r="AE518" t="str">
        <f>IF(EV_Data4[[#This Row],[charging_speed_kw]]&gt;=250,"Ultra-Fast",IF(EV_Data4[[#This Row],[charging_speed_kw]]&gt;=150,"Fast-Charging","Standard-Charging"))</f>
        <v>Standard-Charging</v>
      </c>
      <c r="AF518" t="str">
        <f>IF(EV_Data4[[#This Row],[acceleration_0_60_mph]]&lt;=3,"SportsPerformance",IF(EV_Data4[[#This Row],[acceleration_0_60_mph]]&lt;=5,"HighPerformance","Standard"))</f>
        <v>Standard</v>
      </c>
      <c r="AG518" t="str">
        <f>IF(EV_Data4[[#This Row],[customer_rating]]&gt;=4.5,"Excellent",IF(EV_Data4[[#This Row],[customer_rating]]&gt;=3.5,"Good","Average"))</f>
        <v>Average</v>
      </c>
      <c r="AH51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19" spans="1:34" x14ac:dyDescent="0.3">
      <c r="A519" t="s">
        <v>76</v>
      </c>
      <c r="B519" t="s">
        <v>98</v>
      </c>
      <c r="C519">
        <v>2023</v>
      </c>
      <c r="D519" t="s">
        <v>61</v>
      </c>
      <c r="E519" s="3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34</v>
      </c>
      <c r="N519">
        <v>5</v>
      </c>
      <c r="O519" t="s">
        <v>35</v>
      </c>
      <c r="P519">
        <v>44.5</v>
      </c>
      <c r="Q519">
        <v>1984</v>
      </c>
      <c r="R519">
        <v>5</v>
      </c>
      <c r="S519">
        <v>0</v>
      </c>
      <c r="T519" t="s">
        <v>41</v>
      </c>
      <c r="U519" t="s">
        <v>33</v>
      </c>
      <c r="V519" s="3">
        <v>60519</v>
      </c>
      <c r="W519">
        <v>3.36</v>
      </c>
      <c r="X519">
        <v>5</v>
      </c>
      <c r="Y519" s="1">
        <f>EV_Data4[[#This Row],[range_miles]]/EV_Data4[[#This Row],[battery_capacity_kwh]]</f>
        <v>3.4081346423562415</v>
      </c>
      <c r="Z519" s="4">
        <f>EV_Data4[[#This Row],[price_usd]]/EV_Data4[[#This Row],[range_miles]]</f>
        <v>282.11366255144031</v>
      </c>
      <c r="AA519" s="2">
        <f>(EV_Data4[[#This Row],[customer_rating]]*EV_Data4[[#This Row],[safety_rating]]*1000)/EV_Data4[[#This Row],[price_usd]]</f>
        <v>0.24506364507082196</v>
      </c>
      <c r="AB519">
        <f>EV_Data4[[#This Row],[horsepower]]+EV_Data4[[#This Row],[torque_nm]]/EV_Data4[[#This Row],[acceleration_0_60_mph]]</f>
        <v>846.90039840637451</v>
      </c>
      <c r="AC519" t="str">
        <f>IF(EV_Data4[[#This Row],[price_usd]]&gt;=80000,"Luxury",IF(EV_Data4[[#This Row],[price_usd]]&gt;=40000,"Mid-Range","Budget"))</f>
        <v>Mid-Range</v>
      </c>
      <c r="AD519" t="str">
        <f>IF(EV_Data4[[#This Row],[range_miles]]&gt;=350,"Long-Range",IF(EV_Data4[[#This Row],[range_miles]]&gt;=250,"Medium-Range","Short-Range"))</f>
        <v>Short-Range</v>
      </c>
      <c r="AE519" t="str">
        <f>IF(EV_Data4[[#This Row],[charging_speed_kw]]&gt;=250,"Ultra-Fast",IF(EV_Data4[[#This Row],[charging_speed_kw]]&gt;=150,"Fast-Charging","Standard-Charging"))</f>
        <v>Standard-Charging</v>
      </c>
      <c r="AF519" t="str">
        <f>IF(EV_Data4[[#This Row],[acceleration_0_60_mph]]&lt;=3,"SportsPerformance",IF(EV_Data4[[#This Row],[acceleration_0_60_mph]]&lt;=5,"HighPerformance","Standard"))</f>
        <v>Standard</v>
      </c>
      <c r="AG519" t="str">
        <f>IF(EV_Data4[[#This Row],[customer_rating]]&gt;=4.5,"Excellent",IF(EV_Data4[[#This Row],[customer_rating]]&gt;=3.5,"Good","Average"))</f>
        <v>Average</v>
      </c>
      <c r="AH51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20" spans="1:34" x14ac:dyDescent="0.3">
      <c r="A520" t="s">
        <v>99</v>
      </c>
      <c r="B520" t="s">
        <v>113</v>
      </c>
      <c r="C520">
        <v>2023</v>
      </c>
      <c r="D520" t="s">
        <v>26</v>
      </c>
      <c r="E520" s="3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27</v>
      </c>
      <c r="N520">
        <v>5</v>
      </c>
      <c r="O520" t="s">
        <v>58</v>
      </c>
      <c r="P520">
        <v>21.8</v>
      </c>
      <c r="Q520">
        <v>1500</v>
      </c>
      <c r="R520">
        <v>5</v>
      </c>
      <c r="S520">
        <v>0</v>
      </c>
      <c r="T520" t="s">
        <v>29</v>
      </c>
      <c r="U520" t="s">
        <v>30</v>
      </c>
      <c r="V520" s="3">
        <v>26159</v>
      </c>
      <c r="W520">
        <v>4.2</v>
      </c>
      <c r="X520">
        <v>8</v>
      </c>
      <c r="Y520" s="1">
        <f>EV_Data4[[#This Row],[range_miles]]/EV_Data4[[#This Row],[battery_capacity_kwh]]</f>
        <v>3.4546994072819648</v>
      </c>
      <c r="Z520" s="4">
        <f>EV_Data4[[#This Row],[price_usd]]/EV_Data4[[#This Row],[range_miles]]</f>
        <v>622.59088235294109</v>
      </c>
      <c r="AA520" s="2">
        <f>(EV_Data4[[#This Row],[customer_rating]]*EV_Data4[[#This Row],[safety_rating]]*1000)/EV_Data4[[#This Row],[price_usd]]</f>
        <v>8.2671606177033452E-2</v>
      </c>
      <c r="AB520">
        <f>EV_Data4[[#This Row],[horsepower]]+EV_Data4[[#This Row],[torque_nm]]/EV_Data4[[#This Row],[acceleration_0_60_mph]]</f>
        <v>1240</v>
      </c>
      <c r="AC520" t="str">
        <f>IF(EV_Data4[[#This Row],[price_usd]]&gt;=80000,"Luxury",IF(EV_Data4[[#This Row],[price_usd]]&gt;=40000,"Mid-Range","Budget"))</f>
        <v>Luxury</v>
      </c>
      <c r="AD520" t="str">
        <f>IF(EV_Data4[[#This Row],[range_miles]]&gt;=350,"Long-Range",IF(EV_Data4[[#This Row],[range_miles]]&gt;=250,"Medium-Range","Short-Range"))</f>
        <v>Long-Range</v>
      </c>
      <c r="AE520" t="str">
        <f>IF(EV_Data4[[#This Row],[charging_speed_kw]]&gt;=250,"Ultra-Fast",IF(EV_Data4[[#This Row],[charging_speed_kw]]&gt;=150,"Fast-Charging","Standard-Charging"))</f>
        <v>Fast-Charging</v>
      </c>
      <c r="AF520" t="str">
        <f>IF(EV_Data4[[#This Row],[acceleration_0_60_mph]]&lt;=3,"SportsPerformance",IF(EV_Data4[[#This Row],[acceleration_0_60_mph]]&lt;=5,"HighPerformance","Standard"))</f>
        <v>HighPerformance</v>
      </c>
      <c r="AG520" t="str">
        <f>IF(EV_Data4[[#This Row],[customer_rating]]&gt;=4.5,"Excellent",IF(EV_Data4[[#This Row],[customer_rating]]&gt;=3.5,"Good","Average"))</f>
        <v>Good</v>
      </c>
      <c r="AH52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21" spans="1:34" x14ac:dyDescent="0.3">
      <c r="A521" t="s">
        <v>46</v>
      </c>
      <c r="B521" t="s">
        <v>78</v>
      </c>
      <c r="C521">
        <v>2021</v>
      </c>
      <c r="D521" t="s">
        <v>61</v>
      </c>
      <c r="E521" s="3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27</v>
      </c>
      <c r="N521">
        <v>7</v>
      </c>
      <c r="O521" t="s">
        <v>50</v>
      </c>
      <c r="P521">
        <v>39.700000000000003</v>
      </c>
      <c r="Q521">
        <v>1891</v>
      </c>
      <c r="R521">
        <v>5</v>
      </c>
      <c r="S521">
        <v>2</v>
      </c>
      <c r="T521" t="s">
        <v>41</v>
      </c>
      <c r="U521" t="s">
        <v>66</v>
      </c>
      <c r="V521" s="3">
        <v>162791</v>
      </c>
      <c r="W521">
        <v>3.38</v>
      </c>
      <c r="X521">
        <v>6</v>
      </c>
      <c r="Y521" s="1">
        <f>EV_Data4[[#This Row],[range_miles]]/EV_Data4[[#This Row],[battery_capacity_kwh]]</f>
        <v>3.2438016528925622</v>
      </c>
      <c r="Z521" s="4">
        <f>EV_Data4[[#This Row],[price_usd]]/EV_Data4[[#This Row],[range_miles]]</f>
        <v>177.99872611464968</v>
      </c>
      <c r="AA521" s="2">
        <f>(EV_Data4[[#This Row],[customer_rating]]*EV_Data4[[#This Row],[safety_rating]]*1000)/EV_Data4[[#This Row],[price_usd]]</f>
        <v>0.60474203637040269</v>
      </c>
      <c r="AB521">
        <f>EV_Data4[[#This Row],[horsepower]]+EV_Data4[[#This Row],[torque_nm]]/EV_Data4[[#This Row],[acceleration_0_60_mph]]</f>
        <v>215.97202797202797</v>
      </c>
      <c r="AC521" t="str">
        <f>IF(EV_Data4[[#This Row],[price_usd]]&gt;=80000,"Luxury",IF(EV_Data4[[#This Row],[price_usd]]&gt;=40000,"Mid-Range","Budget"))</f>
        <v>Budget</v>
      </c>
      <c r="AD521" t="str">
        <f>IF(EV_Data4[[#This Row],[range_miles]]&gt;=350,"Long-Range",IF(EV_Data4[[#This Row],[range_miles]]&gt;=250,"Medium-Range","Short-Range"))</f>
        <v>Short-Range</v>
      </c>
      <c r="AE521" t="str">
        <f>IF(EV_Data4[[#This Row],[charging_speed_kw]]&gt;=250,"Ultra-Fast",IF(EV_Data4[[#This Row],[charging_speed_kw]]&gt;=150,"Fast-Charging","Standard-Charging"))</f>
        <v>Ultra-Fast</v>
      </c>
      <c r="AF521" t="str">
        <f>IF(EV_Data4[[#This Row],[acceleration_0_60_mph]]&lt;=3,"SportsPerformance",IF(EV_Data4[[#This Row],[acceleration_0_60_mph]]&lt;=5,"HighPerformance","Standard"))</f>
        <v>Standard</v>
      </c>
      <c r="AG521" t="str">
        <f>IF(EV_Data4[[#This Row],[customer_rating]]&gt;=4.5,"Excellent",IF(EV_Data4[[#This Row],[customer_rating]]&gt;=3.5,"Good","Average"))</f>
        <v>Average</v>
      </c>
      <c r="AH52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22" spans="1:34" x14ac:dyDescent="0.3">
      <c r="A522" t="s">
        <v>42</v>
      </c>
      <c r="B522" t="s">
        <v>54</v>
      </c>
      <c r="C522">
        <v>2024</v>
      </c>
      <c r="D522" t="s">
        <v>26</v>
      </c>
      <c r="E522" s="3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48</v>
      </c>
      <c r="N522">
        <v>5</v>
      </c>
      <c r="O522" t="s">
        <v>28</v>
      </c>
      <c r="P522">
        <v>72.400000000000006</v>
      </c>
      <c r="Q522">
        <v>2631</v>
      </c>
      <c r="R522">
        <v>5</v>
      </c>
      <c r="S522">
        <v>1</v>
      </c>
      <c r="T522" t="s">
        <v>45</v>
      </c>
      <c r="U522" t="s">
        <v>37</v>
      </c>
      <c r="V522" s="3">
        <v>56242</v>
      </c>
      <c r="W522">
        <v>3.84</v>
      </c>
      <c r="X522">
        <v>4</v>
      </c>
      <c r="Y522" s="1">
        <f>EV_Data4[[#This Row],[range_miles]]/EV_Data4[[#This Row],[battery_capacity_kwh]]</f>
        <v>3.440486533449175</v>
      </c>
      <c r="Z522" s="4">
        <f>EV_Data4[[#This Row],[price_usd]]/EV_Data4[[#This Row],[range_miles]]</f>
        <v>130.54944444444445</v>
      </c>
      <c r="AA522" s="2">
        <f>(EV_Data4[[#This Row],[customer_rating]]*EV_Data4[[#This Row],[safety_rating]]*1000)/EV_Data4[[#This Row],[price_usd]]</f>
        <v>0.37139069178866785</v>
      </c>
      <c r="AB522">
        <f>EV_Data4[[#This Row],[horsepower]]+EV_Data4[[#This Row],[torque_nm]]/EV_Data4[[#This Row],[acceleration_0_60_mph]]</f>
        <v>679.60766961651916</v>
      </c>
      <c r="AC522" t="str">
        <f>IF(EV_Data4[[#This Row],[price_usd]]&gt;=80000,"Luxury",IF(EV_Data4[[#This Row],[price_usd]]&gt;=40000,"Mid-Range","Budget"))</f>
        <v>Mid-Range</v>
      </c>
      <c r="AD522" t="str">
        <f>IF(EV_Data4[[#This Row],[range_miles]]&gt;=350,"Long-Range",IF(EV_Data4[[#This Row],[range_miles]]&gt;=250,"Medium-Range","Short-Range"))</f>
        <v>Long-Range</v>
      </c>
      <c r="AE522" t="str">
        <f>IF(EV_Data4[[#This Row],[charging_speed_kw]]&gt;=250,"Ultra-Fast",IF(EV_Data4[[#This Row],[charging_speed_kw]]&gt;=150,"Fast-Charging","Standard-Charging"))</f>
        <v>Fast-Charging</v>
      </c>
      <c r="AF522" t="str">
        <f>IF(EV_Data4[[#This Row],[acceleration_0_60_mph]]&lt;=3,"SportsPerformance",IF(EV_Data4[[#This Row],[acceleration_0_60_mph]]&lt;=5,"HighPerformance","Standard"))</f>
        <v>HighPerformance</v>
      </c>
      <c r="AG522" t="str">
        <f>IF(EV_Data4[[#This Row],[customer_rating]]&gt;=4.5,"Excellent",IF(EV_Data4[[#This Row],[customer_rating]]&gt;=3.5,"Good","Average"))</f>
        <v>Good</v>
      </c>
      <c r="AH52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23" spans="1:34" x14ac:dyDescent="0.3">
      <c r="A523" t="s">
        <v>24</v>
      </c>
      <c r="B523" t="s">
        <v>70</v>
      </c>
      <c r="C523">
        <v>2024</v>
      </c>
      <c r="D523" t="s">
        <v>61</v>
      </c>
      <c r="E523" s="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48</v>
      </c>
      <c r="N523">
        <v>7</v>
      </c>
      <c r="O523" t="s">
        <v>50</v>
      </c>
      <c r="P523">
        <v>18.5</v>
      </c>
      <c r="Q523">
        <v>1771</v>
      </c>
      <c r="R523">
        <v>4</v>
      </c>
      <c r="S523">
        <v>0</v>
      </c>
      <c r="T523" t="s">
        <v>29</v>
      </c>
      <c r="U523" t="s">
        <v>37</v>
      </c>
      <c r="V523" s="3">
        <v>209890</v>
      </c>
      <c r="W523">
        <v>3.52</v>
      </c>
      <c r="X523">
        <v>4</v>
      </c>
      <c r="Y523" s="1">
        <f>EV_Data4[[#This Row],[range_miles]]/EV_Data4[[#This Row],[battery_capacity_kwh]]</f>
        <v>3.5387045813586098</v>
      </c>
      <c r="Z523" s="4">
        <f>EV_Data4[[#This Row],[price_usd]]/EV_Data4[[#This Row],[range_miles]]</f>
        <v>160.80022321428572</v>
      </c>
      <c r="AA523" s="2">
        <f>(EV_Data4[[#This Row],[customer_rating]]*EV_Data4[[#This Row],[safety_rating]]*1000)/EV_Data4[[#This Row],[price_usd]]</f>
        <v>0.39090208707843721</v>
      </c>
      <c r="AB523">
        <f>EV_Data4[[#This Row],[horsepower]]+EV_Data4[[#This Row],[torque_nm]]/EV_Data4[[#This Row],[acceleration_0_60_mph]]</f>
        <v>300.21167883211677</v>
      </c>
      <c r="AC523" t="str">
        <f>IF(EV_Data4[[#This Row],[price_usd]]&gt;=80000,"Luxury",IF(EV_Data4[[#This Row],[price_usd]]&gt;=40000,"Mid-Range","Budget"))</f>
        <v>Budget</v>
      </c>
      <c r="AD523" t="str">
        <f>IF(EV_Data4[[#This Row],[range_miles]]&gt;=350,"Long-Range",IF(EV_Data4[[#This Row],[range_miles]]&gt;=250,"Medium-Range","Short-Range"))</f>
        <v>Short-Range</v>
      </c>
      <c r="AE523" t="str">
        <f>IF(EV_Data4[[#This Row],[charging_speed_kw]]&gt;=250,"Ultra-Fast",IF(EV_Data4[[#This Row],[charging_speed_kw]]&gt;=150,"Fast-Charging","Standard-Charging"))</f>
        <v>Standard-Charging</v>
      </c>
      <c r="AF523" t="str">
        <f>IF(EV_Data4[[#This Row],[acceleration_0_60_mph]]&lt;=3,"SportsPerformance",IF(EV_Data4[[#This Row],[acceleration_0_60_mph]]&lt;=5,"HighPerformance","Standard"))</f>
        <v>Standard</v>
      </c>
      <c r="AG523" t="str">
        <f>IF(EV_Data4[[#This Row],[customer_rating]]&gt;=4.5,"Excellent",IF(EV_Data4[[#This Row],[customer_rating]]&gt;=3.5,"Good","Average"))</f>
        <v>Good</v>
      </c>
      <c r="AH52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24" spans="1:34" x14ac:dyDescent="0.3">
      <c r="A524" t="s">
        <v>59</v>
      </c>
      <c r="B524" t="s">
        <v>111</v>
      </c>
      <c r="C524">
        <v>2024</v>
      </c>
      <c r="D524" t="s">
        <v>33</v>
      </c>
      <c r="E524" s="3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27</v>
      </c>
      <c r="N524">
        <v>7</v>
      </c>
      <c r="O524" t="s">
        <v>40</v>
      </c>
      <c r="P524">
        <v>69.2</v>
      </c>
      <c r="Q524">
        <v>1768</v>
      </c>
      <c r="R524">
        <v>3</v>
      </c>
      <c r="S524">
        <v>0</v>
      </c>
      <c r="T524" t="s">
        <v>41</v>
      </c>
      <c r="U524" t="s">
        <v>30</v>
      </c>
      <c r="V524" s="3">
        <v>26859</v>
      </c>
      <c r="W524">
        <v>3.7</v>
      </c>
      <c r="X524">
        <v>5</v>
      </c>
      <c r="Y524" s="1">
        <f>EV_Data4[[#This Row],[range_miles]]/EV_Data4[[#This Row],[battery_capacity_kwh]]</f>
        <v>3.7005649717514126</v>
      </c>
      <c r="Z524" s="4">
        <f>EV_Data4[[#This Row],[price_usd]]/EV_Data4[[#This Row],[range_miles]]</f>
        <v>463.2631679389313</v>
      </c>
      <c r="AA524" s="2">
        <f>(EV_Data4[[#This Row],[customer_rating]]*EV_Data4[[#This Row],[safety_rating]]*1000)/EV_Data4[[#This Row],[price_usd]]</f>
        <v>9.1452148898928498E-2</v>
      </c>
      <c r="AB524">
        <f>EV_Data4[[#This Row],[horsepower]]+EV_Data4[[#This Row],[torque_nm]]/EV_Data4[[#This Row],[acceleration_0_60_mph]]</f>
        <v>1139.9006622516556</v>
      </c>
      <c r="AC524" t="str">
        <f>IF(EV_Data4[[#This Row],[price_usd]]&gt;=80000,"Luxury",IF(EV_Data4[[#This Row],[price_usd]]&gt;=40000,"Mid-Range","Budget"))</f>
        <v>Luxury</v>
      </c>
      <c r="AD524" t="str">
        <f>IF(EV_Data4[[#This Row],[range_miles]]&gt;=350,"Long-Range",IF(EV_Data4[[#This Row],[range_miles]]&gt;=250,"Medium-Range","Short-Range"))</f>
        <v>Medium-Range</v>
      </c>
      <c r="AE524" t="str">
        <f>IF(EV_Data4[[#This Row],[charging_speed_kw]]&gt;=250,"Ultra-Fast",IF(EV_Data4[[#This Row],[charging_speed_kw]]&gt;=150,"Fast-Charging","Standard-Charging"))</f>
        <v>Standard-Charging</v>
      </c>
      <c r="AF524" t="str">
        <f>IF(EV_Data4[[#This Row],[acceleration_0_60_mph]]&lt;=3,"SportsPerformance",IF(EV_Data4[[#This Row],[acceleration_0_60_mph]]&lt;=5,"HighPerformance","Standard"))</f>
        <v>Standard</v>
      </c>
      <c r="AG524" t="str">
        <f>IF(EV_Data4[[#This Row],[customer_rating]]&gt;=4.5,"Excellent",IF(EV_Data4[[#This Row],[customer_rating]]&gt;=3.5,"Good","Average"))</f>
        <v>Good</v>
      </c>
      <c r="AH52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25" spans="1:34" x14ac:dyDescent="0.3">
      <c r="A525" t="s">
        <v>52</v>
      </c>
      <c r="B525" t="s">
        <v>62</v>
      </c>
      <c r="C525">
        <v>2026</v>
      </c>
      <c r="D525" t="s">
        <v>33</v>
      </c>
      <c r="E525" s="3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48</v>
      </c>
      <c r="N525">
        <v>7</v>
      </c>
      <c r="O525" t="s">
        <v>58</v>
      </c>
      <c r="P525">
        <v>15.5</v>
      </c>
      <c r="Q525">
        <v>1500</v>
      </c>
      <c r="R525">
        <v>4</v>
      </c>
      <c r="S525">
        <v>1</v>
      </c>
      <c r="T525" t="s">
        <v>29</v>
      </c>
      <c r="U525" t="s">
        <v>30</v>
      </c>
      <c r="V525" s="3">
        <v>42340</v>
      </c>
      <c r="W525">
        <v>3.43</v>
      </c>
      <c r="X525">
        <v>6</v>
      </c>
      <c r="Y525" s="1">
        <f>EV_Data4[[#This Row],[range_miles]]/EV_Data4[[#This Row],[battery_capacity_kwh]]</f>
        <v>3.0366492146596862</v>
      </c>
      <c r="Z525" s="4">
        <f>EV_Data4[[#This Row],[price_usd]]/EV_Data4[[#This Row],[range_miles]]</f>
        <v>662.13551724137938</v>
      </c>
      <c r="AA525" s="2">
        <f>(EV_Data4[[#This Row],[customer_rating]]*EV_Data4[[#This Row],[safety_rating]]*1000)/EV_Data4[[#This Row],[price_usd]]</f>
        <v>0.1190852516734863</v>
      </c>
      <c r="AB525">
        <f>EV_Data4[[#This Row],[horsepower]]+EV_Data4[[#This Row],[torque_nm]]/EV_Data4[[#This Row],[acceleration_0_60_mph]]</f>
        <v>723.64203612479469</v>
      </c>
      <c r="AC525" t="str">
        <f>IF(EV_Data4[[#This Row],[price_usd]]&gt;=80000,"Luxury",IF(EV_Data4[[#This Row],[price_usd]]&gt;=40000,"Mid-Range","Budget"))</f>
        <v>Luxury</v>
      </c>
      <c r="AD525" t="str">
        <f>IF(EV_Data4[[#This Row],[range_miles]]&gt;=350,"Long-Range",IF(EV_Data4[[#This Row],[range_miles]]&gt;=250,"Medium-Range","Short-Range"))</f>
        <v>Short-Range</v>
      </c>
      <c r="AE525" t="str">
        <f>IF(EV_Data4[[#This Row],[charging_speed_kw]]&gt;=250,"Ultra-Fast",IF(EV_Data4[[#This Row],[charging_speed_kw]]&gt;=150,"Fast-Charging","Standard-Charging"))</f>
        <v>Standard-Charging</v>
      </c>
      <c r="AF525" t="str">
        <f>IF(EV_Data4[[#This Row],[acceleration_0_60_mph]]&lt;=3,"SportsPerformance",IF(EV_Data4[[#This Row],[acceleration_0_60_mph]]&lt;=5,"HighPerformance","Standard"))</f>
        <v>Standard</v>
      </c>
      <c r="AG525" t="str">
        <f>IF(EV_Data4[[#This Row],[customer_rating]]&gt;=4.5,"Excellent",IF(EV_Data4[[#This Row],[customer_rating]]&gt;=3.5,"Good","Average"))</f>
        <v>Average</v>
      </c>
      <c r="AH52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26" spans="1:34" x14ac:dyDescent="0.3">
      <c r="A526" t="s">
        <v>52</v>
      </c>
      <c r="B526" t="s">
        <v>62</v>
      </c>
      <c r="C526">
        <v>2025</v>
      </c>
      <c r="D526" t="s">
        <v>61</v>
      </c>
      <c r="E526" s="3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48</v>
      </c>
      <c r="N526">
        <v>7</v>
      </c>
      <c r="O526" t="s">
        <v>51</v>
      </c>
      <c r="P526">
        <v>38.5</v>
      </c>
      <c r="Q526">
        <v>1656</v>
      </c>
      <c r="R526">
        <v>5</v>
      </c>
      <c r="S526">
        <v>1</v>
      </c>
      <c r="T526" t="s">
        <v>29</v>
      </c>
      <c r="U526" t="s">
        <v>30</v>
      </c>
      <c r="V526" s="3">
        <v>49644</v>
      </c>
      <c r="W526">
        <v>3.35</v>
      </c>
      <c r="X526">
        <v>6</v>
      </c>
      <c r="Y526" s="1">
        <f>EV_Data4[[#This Row],[range_miles]]/EV_Data4[[#This Row],[battery_capacity_kwh]]</f>
        <v>3.3876221498371337</v>
      </c>
      <c r="Z526" s="4">
        <f>EV_Data4[[#This Row],[price_usd]]/EV_Data4[[#This Row],[range_miles]]</f>
        <v>668.78100961538462</v>
      </c>
      <c r="AA526" s="2">
        <f>(EV_Data4[[#This Row],[customer_rating]]*EV_Data4[[#This Row],[safety_rating]]*1000)/EV_Data4[[#This Row],[price_usd]]</f>
        <v>0.12041138279353689</v>
      </c>
      <c r="AB526">
        <f>EV_Data4[[#This Row],[horsepower]]+EV_Data4[[#This Row],[torque_nm]]/EV_Data4[[#This Row],[acceleration_0_60_mph]]</f>
        <v>1036.7230320699709</v>
      </c>
      <c r="AC526" t="str">
        <f>IF(EV_Data4[[#This Row],[price_usd]]&gt;=80000,"Luxury",IF(EV_Data4[[#This Row],[price_usd]]&gt;=40000,"Mid-Range","Budget"))</f>
        <v>Luxury</v>
      </c>
      <c r="AD526" t="str">
        <f>IF(EV_Data4[[#This Row],[range_miles]]&gt;=350,"Long-Range",IF(EV_Data4[[#This Row],[range_miles]]&gt;=250,"Medium-Range","Short-Range"))</f>
        <v>Short-Range</v>
      </c>
      <c r="AE526" t="str">
        <f>IF(EV_Data4[[#This Row],[charging_speed_kw]]&gt;=250,"Ultra-Fast",IF(EV_Data4[[#This Row],[charging_speed_kw]]&gt;=150,"Fast-Charging","Standard-Charging"))</f>
        <v>Standard-Charging</v>
      </c>
      <c r="AF526" t="str">
        <f>IF(EV_Data4[[#This Row],[acceleration_0_60_mph]]&lt;=3,"SportsPerformance",IF(EV_Data4[[#This Row],[acceleration_0_60_mph]]&lt;=5,"HighPerformance","Standard"))</f>
        <v>Standard</v>
      </c>
      <c r="AG526" t="str">
        <f>IF(EV_Data4[[#This Row],[customer_rating]]&gt;=4.5,"Excellent",IF(EV_Data4[[#This Row],[customer_rating]]&gt;=3.5,"Good","Average"))</f>
        <v>Average</v>
      </c>
      <c r="AH52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27" spans="1:34" x14ac:dyDescent="0.3">
      <c r="A527" t="s">
        <v>68</v>
      </c>
      <c r="B527" t="s">
        <v>109</v>
      </c>
      <c r="C527">
        <v>2025</v>
      </c>
      <c r="D527" t="s">
        <v>61</v>
      </c>
      <c r="E527" s="3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27</v>
      </c>
      <c r="N527">
        <v>5</v>
      </c>
      <c r="O527" t="s">
        <v>50</v>
      </c>
      <c r="P527">
        <v>24.1</v>
      </c>
      <c r="Q527">
        <v>1500</v>
      </c>
      <c r="R527">
        <v>4</v>
      </c>
      <c r="S527">
        <v>1</v>
      </c>
      <c r="T527" t="s">
        <v>45</v>
      </c>
      <c r="U527" t="s">
        <v>37</v>
      </c>
      <c r="V527" s="3">
        <v>138281</v>
      </c>
      <c r="W527">
        <v>3.21</v>
      </c>
      <c r="X527">
        <v>3</v>
      </c>
      <c r="Y527" s="1">
        <f>EV_Data4[[#This Row],[range_miles]]/EV_Data4[[#This Row],[battery_capacity_kwh]]</f>
        <v>3.4518828451882846</v>
      </c>
      <c r="Z527" s="4">
        <f>EV_Data4[[#This Row],[price_usd]]/EV_Data4[[#This Row],[range_miles]]</f>
        <v>363.94539393939391</v>
      </c>
      <c r="AA527" s="2">
        <f>(EV_Data4[[#This Row],[customer_rating]]*EV_Data4[[#This Row],[safety_rating]]*1000)/EV_Data4[[#This Row],[price_usd]]</f>
        <v>0.21381829008980535</v>
      </c>
      <c r="AB527">
        <f>EV_Data4[[#This Row],[horsepower]]+EV_Data4[[#This Row],[torque_nm]]/EV_Data4[[#This Row],[acceleration_0_60_mph]]</f>
        <v>751.78748370273797</v>
      </c>
      <c r="AC527" t="str">
        <f>IF(EV_Data4[[#This Row],[price_usd]]&gt;=80000,"Luxury",IF(EV_Data4[[#This Row],[price_usd]]&gt;=40000,"Mid-Range","Budget"))</f>
        <v>Mid-Range</v>
      </c>
      <c r="AD527" t="str">
        <f>IF(EV_Data4[[#This Row],[range_miles]]&gt;=350,"Long-Range",IF(EV_Data4[[#This Row],[range_miles]]&gt;=250,"Medium-Range","Short-Range"))</f>
        <v>Short-Range</v>
      </c>
      <c r="AE527" t="str">
        <f>IF(EV_Data4[[#This Row],[charging_speed_kw]]&gt;=250,"Ultra-Fast",IF(EV_Data4[[#This Row],[charging_speed_kw]]&gt;=150,"Fast-Charging","Standard-Charging"))</f>
        <v>Standard-Charging</v>
      </c>
      <c r="AF527" t="str">
        <f>IF(EV_Data4[[#This Row],[acceleration_0_60_mph]]&lt;=3,"SportsPerformance",IF(EV_Data4[[#This Row],[acceleration_0_60_mph]]&lt;=5,"HighPerformance","Standard"))</f>
        <v>Standard</v>
      </c>
      <c r="AG527" t="str">
        <f>IF(EV_Data4[[#This Row],[customer_rating]]&gt;=4.5,"Excellent",IF(EV_Data4[[#This Row],[customer_rating]]&gt;=3.5,"Good","Average"))</f>
        <v>Average</v>
      </c>
      <c r="AH52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28" spans="1:34" x14ac:dyDescent="0.3">
      <c r="A528" t="s">
        <v>24</v>
      </c>
      <c r="B528" t="s">
        <v>70</v>
      </c>
      <c r="C528">
        <v>2026</v>
      </c>
      <c r="D528" t="s">
        <v>61</v>
      </c>
      <c r="E528" s="3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34</v>
      </c>
      <c r="N528">
        <v>7</v>
      </c>
      <c r="O528" t="s">
        <v>51</v>
      </c>
      <c r="P528">
        <v>34.299999999999997</v>
      </c>
      <c r="Q528">
        <v>1547</v>
      </c>
      <c r="R528">
        <v>5</v>
      </c>
      <c r="S528">
        <v>1</v>
      </c>
      <c r="T528" t="s">
        <v>29</v>
      </c>
      <c r="U528" t="s">
        <v>37</v>
      </c>
      <c r="V528" s="3">
        <v>220387</v>
      </c>
      <c r="W528">
        <v>3.14</v>
      </c>
      <c r="X528">
        <v>5</v>
      </c>
      <c r="Y528" s="1">
        <f>EV_Data4[[#This Row],[range_miles]]/EV_Data4[[#This Row],[battery_capacity_kwh]]</f>
        <v>3.5971223021582732</v>
      </c>
      <c r="Z528" s="4">
        <f>EV_Data4[[#This Row],[price_usd]]/EV_Data4[[#This Row],[range_miles]]</f>
        <v>296.67559999999997</v>
      </c>
      <c r="AA528" s="2">
        <f>(EV_Data4[[#This Row],[customer_rating]]*EV_Data4[[#This Row],[safety_rating]]*1000)/EV_Data4[[#This Row],[price_usd]]</f>
        <v>0.35279836517282409</v>
      </c>
      <c r="AB528">
        <f>EV_Data4[[#This Row],[horsepower]]+EV_Data4[[#This Row],[torque_nm]]/EV_Data4[[#This Row],[acceleration_0_60_mph]]</f>
        <v>420.67015706806285</v>
      </c>
      <c r="AC528" t="str">
        <f>IF(EV_Data4[[#This Row],[price_usd]]&gt;=80000,"Luxury",IF(EV_Data4[[#This Row],[price_usd]]&gt;=40000,"Mid-Range","Budget"))</f>
        <v>Mid-Range</v>
      </c>
      <c r="AD528" t="str">
        <f>IF(EV_Data4[[#This Row],[range_miles]]&gt;=350,"Long-Range",IF(EV_Data4[[#This Row],[range_miles]]&gt;=250,"Medium-Range","Short-Range"))</f>
        <v>Short-Range</v>
      </c>
      <c r="AE528" t="str">
        <f>IF(EV_Data4[[#This Row],[charging_speed_kw]]&gt;=250,"Ultra-Fast",IF(EV_Data4[[#This Row],[charging_speed_kw]]&gt;=150,"Fast-Charging","Standard-Charging"))</f>
        <v>Standard-Charging</v>
      </c>
      <c r="AF528" t="str">
        <f>IF(EV_Data4[[#This Row],[acceleration_0_60_mph]]&lt;=3,"SportsPerformance",IF(EV_Data4[[#This Row],[acceleration_0_60_mph]]&lt;=5,"HighPerformance","Standard"))</f>
        <v>Standard</v>
      </c>
      <c r="AG528" t="str">
        <f>IF(EV_Data4[[#This Row],[customer_rating]]&gt;=4.5,"Excellent",IF(EV_Data4[[#This Row],[customer_rating]]&gt;=3.5,"Good","Average"))</f>
        <v>Average</v>
      </c>
      <c r="AH52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29" spans="1:34" x14ac:dyDescent="0.3">
      <c r="A529" t="s">
        <v>63</v>
      </c>
      <c r="B529" t="s">
        <v>73</v>
      </c>
      <c r="C529">
        <v>2024</v>
      </c>
      <c r="D529" t="s">
        <v>56</v>
      </c>
      <c r="E529" s="3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27</v>
      </c>
      <c r="N529">
        <v>7</v>
      </c>
      <c r="O529" t="s">
        <v>51</v>
      </c>
      <c r="P529">
        <v>35.4</v>
      </c>
      <c r="Q529">
        <v>1810</v>
      </c>
      <c r="R529">
        <v>5</v>
      </c>
      <c r="S529">
        <v>0</v>
      </c>
      <c r="T529" t="s">
        <v>65</v>
      </c>
      <c r="U529" t="s">
        <v>37</v>
      </c>
      <c r="V529" s="3">
        <v>138054</v>
      </c>
      <c r="W529">
        <v>3.39</v>
      </c>
      <c r="X529">
        <v>4</v>
      </c>
      <c r="Y529" s="1">
        <f>EV_Data4[[#This Row],[range_miles]]/EV_Data4[[#This Row],[battery_capacity_kwh]]</f>
        <v>3.7359098228663443</v>
      </c>
      <c r="Z529" s="4">
        <f>EV_Data4[[#This Row],[price_usd]]/EV_Data4[[#This Row],[range_miles]]</f>
        <v>174.09495689655171</v>
      </c>
      <c r="AA529" s="2">
        <f>(EV_Data4[[#This Row],[customer_rating]]*EV_Data4[[#This Row],[safety_rating]]*1000)/EV_Data4[[#This Row],[price_usd]]</f>
        <v>0.41965801956571958</v>
      </c>
      <c r="AB529">
        <f>EV_Data4[[#This Row],[horsepower]]+EV_Data4[[#This Row],[torque_nm]]/EV_Data4[[#This Row],[acceleration_0_60_mph]]</f>
        <v>447.06258692628649</v>
      </c>
      <c r="AC529" t="str">
        <f>IF(EV_Data4[[#This Row],[price_usd]]&gt;=80000,"Luxury",IF(EV_Data4[[#This Row],[price_usd]]&gt;=40000,"Mid-Range","Budget"))</f>
        <v>Mid-Range</v>
      </c>
      <c r="AD529" t="str">
        <f>IF(EV_Data4[[#This Row],[range_miles]]&gt;=350,"Long-Range",IF(EV_Data4[[#This Row],[range_miles]]&gt;=250,"Medium-Range","Short-Range"))</f>
        <v>Short-Range</v>
      </c>
      <c r="AE529" t="str">
        <f>IF(EV_Data4[[#This Row],[charging_speed_kw]]&gt;=250,"Ultra-Fast",IF(EV_Data4[[#This Row],[charging_speed_kw]]&gt;=150,"Fast-Charging","Standard-Charging"))</f>
        <v>Standard-Charging</v>
      </c>
      <c r="AF529" t="str">
        <f>IF(EV_Data4[[#This Row],[acceleration_0_60_mph]]&lt;=3,"SportsPerformance",IF(EV_Data4[[#This Row],[acceleration_0_60_mph]]&lt;=5,"HighPerformance","Standard"))</f>
        <v>Standard</v>
      </c>
      <c r="AG529" t="str">
        <f>IF(EV_Data4[[#This Row],[customer_rating]]&gt;=4.5,"Excellent",IF(EV_Data4[[#This Row],[customer_rating]]&gt;=3.5,"Good","Average"))</f>
        <v>Average</v>
      </c>
      <c r="AH52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30" spans="1:34" x14ac:dyDescent="0.3">
      <c r="A530" t="s">
        <v>46</v>
      </c>
      <c r="B530" t="s">
        <v>72</v>
      </c>
      <c r="C530">
        <v>2024</v>
      </c>
      <c r="D530" t="s">
        <v>44</v>
      </c>
      <c r="E530" s="3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48</v>
      </c>
      <c r="N530">
        <v>5</v>
      </c>
      <c r="O530" t="s">
        <v>28</v>
      </c>
      <c r="P530">
        <v>63.3</v>
      </c>
      <c r="Q530">
        <v>2562</v>
      </c>
      <c r="R530">
        <v>4</v>
      </c>
      <c r="S530">
        <v>2</v>
      </c>
      <c r="T530" t="s">
        <v>41</v>
      </c>
      <c r="U530" t="s">
        <v>37</v>
      </c>
      <c r="V530" s="3">
        <v>170687</v>
      </c>
      <c r="W530">
        <v>3.94</v>
      </c>
      <c r="X530">
        <v>4</v>
      </c>
      <c r="Y530" s="1">
        <f>EV_Data4[[#This Row],[range_miles]]/EV_Data4[[#This Row],[battery_capacity_kwh]]</f>
        <v>3.4366453965360071</v>
      </c>
      <c r="Z530" s="4">
        <f>EV_Data4[[#This Row],[price_usd]]/EV_Data4[[#This Row],[range_miles]]</f>
        <v>121.17289124668434</v>
      </c>
      <c r="AA530" s="2">
        <f>(EV_Data4[[#This Row],[customer_rating]]*EV_Data4[[#This Row],[safety_rating]]*1000)/EV_Data4[[#This Row],[price_usd]]</f>
        <v>0.34499229239935569</v>
      </c>
      <c r="AB530">
        <f>EV_Data4[[#This Row],[horsepower]]+EV_Data4[[#This Row],[torque_nm]]/EV_Data4[[#This Row],[acceleration_0_60_mph]]</f>
        <v>405.6766917293233</v>
      </c>
      <c r="AC530" t="str">
        <f>IF(EV_Data4[[#This Row],[price_usd]]&gt;=80000,"Luxury",IF(EV_Data4[[#This Row],[price_usd]]&gt;=40000,"Mid-Range","Budget"))</f>
        <v>Mid-Range</v>
      </c>
      <c r="AD530" t="str">
        <f>IF(EV_Data4[[#This Row],[range_miles]]&gt;=350,"Long-Range",IF(EV_Data4[[#This Row],[range_miles]]&gt;=250,"Medium-Range","Short-Range"))</f>
        <v>Long-Range</v>
      </c>
      <c r="AE530" t="str">
        <f>IF(EV_Data4[[#This Row],[charging_speed_kw]]&gt;=250,"Ultra-Fast",IF(EV_Data4[[#This Row],[charging_speed_kw]]&gt;=150,"Fast-Charging","Standard-Charging"))</f>
        <v>Ultra-Fast</v>
      </c>
      <c r="AF530" t="str">
        <f>IF(EV_Data4[[#This Row],[acceleration_0_60_mph]]&lt;=3,"SportsPerformance",IF(EV_Data4[[#This Row],[acceleration_0_60_mph]]&lt;=5,"HighPerformance","Standard"))</f>
        <v>Standard</v>
      </c>
      <c r="AG530" t="str">
        <f>IF(EV_Data4[[#This Row],[customer_rating]]&gt;=4.5,"Excellent",IF(EV_Data4[[#This Row],[customer_rating]]&gt;=3.5,"Good","Average"))</f>
        <v>Good</v>
      </c>
      <c r="AH53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31" spans="1:34" x14ac:dyDescent="0.3">
      <c r="A531" t="s">
        <v>52</v>
      </c>
      <c r="B531" t="s">
        <v>126</v>
      </c>
      <c r="C531">
        <v>2025</v>
      </c>
      <c r="D531" t="s">
        <v>61</v>
      </c>
      <c r="E531" s="3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27</v>
      </c>
      <c r="N531">
        <v>5</v>
      </c>
      <c r="O531" t="s">
        <v>40</v>
      </c>
      <c r="P531">
        <v>63.3</v>
      </c>
      <c r="Q531">
        <v>1542</v>
      </c>
      <c r="R531">
        <v>5</v>
      </c>
      <c r="S531">
        <v>1</v>
      </c>
      <c r="T531" t="s">
        <v>29</v>
      </c>
      <c r="U531" t="s">
        <v>30</v>
      </c>
      <c r="V531" s="3">
        <v>75663</v>
      </c>
      <c r="W531">
        <v>3.56</v>
      </c>
      <c r="X531">
        <v>5</v>
      </c>
      <c r="Y531" s="1">
        <f>EV_Data4[[#This Row],[range_miles]]/EV_Data4[[#This Row],[battery_capacity_kwh]]</f>
        <v>3.3460076045627374</v>
      </c>
      <c r="Z531" s="4">
        <f>EV_Data4[[#This Row],[price_usd]]/EV_Data4[[#This Row],[range_miles]]</f>
        <v>390.3205681818182</v>
      </c>
      <c r="AA531" s="2">
        <f>(EV_Data4[[#This Row],[customer_rating]]*EV_Data4[[#This Row],[safety_rating]]*1000)/EV_Data4[[#This Row],[price_usd]]</f>
        <v>0.1727406852739439</v>
      </c>
      <c r="AB531">
        <f>EV_Data4[[#This Row],[horsepower]]+EV_Data4[[#This Row],[torque_nm]]/EV_Data4[[#This Row],[acceleration_0_60_mph]]</f>
        <v>660.00501882057711</v>
      </c>
      <c r="AC531" t="str">
        <f>IF(EV_Data4[[#This Row],[price_usd]]&gt;=80000,"Luxury",IF(EV_Data4[[#This Row],[price_usd]]&gt;=40000,"Mid-Range","Budget"))</f>
        <v>Luxury</v>
      </c>
      <c r="AD531" t="str">
        <f>IF(EV_Data4[[#This Row],[range_miles]]&gt;=350,"Long-Range",IF(EV_Data4[[#This Row],[range_miles]]&gt;=250,"Medium-Range","Short-Range"))</f>
        <v>Medium-Range</v>
      </c>
      <c r="AE531" t="str">
        <f>IF(EV_Data4[[#This Row],[charging_speed_kw]]&gt;=250,"Ultra-Fast",IF(EV_Data4[[#This Row],[charging_speed_kw]]&gt;=150,"Fast-Charging","Standard-Charging"))</f>
        <v>Standard-Charging</v>
      </c>
      <c r="AF531" t="str">
        <f>IF(EV_Data4[[#This Row],[acceleration_0_60_mph]]&lt;=3,"SportsPerformance",IF(EV_Data4[[#This Row],[acceleration_0_60_mph]]&lt;=5,"HighPerformance","Standard"))</f>
        <v>Standard</v>
      </c>
      <c r="AG531" t="str">
        <f>IF(EV_Data4[[#This Row],[customer_rating]]&gt;=4.5,"Excellent",IF(EV_Data4[[#This Row],[customer_rating]]&gt;=3.5,"Good","Average"))</f>
        <v>Good</v>
      </c>
      <c r="AH53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32" spans="1:34" x14ac:dyDescent="0.3">
      <c r="A532" t="s">
        <v>76</v>
      </c>
      <c r="B532" t="s">
        <v>77</v>
      </c>
      <c r="C532">
        <v>2026</v>
      </c>
      <c r="D532" t="s">
        <v>44</v>
      </c>
      <c r="E532" s="3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48</v>
      </c>
      <c r="N532">
        <v>7</v>
      </c>
      <c r="O532" t="s">
        <v>40</v>
      </c>
      <c r="P532">
        <v>70.2</v>
      </c>
      <c r="Q532">
        <v>1783</v>
      </c>
      <c r="R532">
        <v>4</v>
      </c>
      <c r="S532">
        <v>2</v>
      </c>
      <c r="T532" t="s">
        <v>41</v>
      </c>
      <c r="U532" t="s">
        <v>37</v>
      </c>
      <c r="V532" s="3">
        <v>23578</v>
      </c>
      <c r="W532">
        <v>3.93</v>
      </c>
      <c r="X532">
        <v>4</v>
      </c>
      <c r="Y532" s="1">
        <f>EV_Data4[[#This Row],[range_miles]]/EV_Data4[[#This Row],[battery_capacity_kwh]]</f>
        <v>3.7142857142857144</v>
      </c>
      <c r="Z532" s="4">
        <f>EV_Data4[[#This Row],[price_usd]]/EV_Data4[[#This Row],[range_miles]]</f>
        <v>146.13612637362638</v>
      </c>
      <c r="AA532" s="2">
        <f>(EV_Data4[[#This Row],[customer_rating]]*EV_Data4[[#This Row],[safety_rating]]*1000)/EV_Data4[[#This Row],[price_usd]]</f>
        <v>0.29552455137887956</v>
      </c>
      <c r="AB532">
        <f>EV_Data4[[#This Row],[horsepower]]+EV_Data4[[#This Row],[torque_nm]]/EV_Data4[[#This Row],[acceleration_0_60_mph]]</f>
        <v>634.83429672447016</v>
      </c>
      <c r="AC532" t="str">
        <f>IF(EV_Data4[[#This Row],[price_usd]]&gt;=80000,"Luxury",IF(EV_Data4[[#This Row],[price_usd]]&gt;=40000,"Mid-Range","Budget"))</f>
        <v>Mid-Range</v>
      </c>
      <c r="AD532" t="str">
        <f>IF(EV_Data4[[#This Row],[range_miles]]&gt;=350,"Long-Range",IF(EV_Data4[[#This Row],[range_miles]]&gt;=250,"Medium-Range","Short-Range"))</f>
        <v>Long-Range</v>
      </c>
      <c r="AE532" t="str">
        <f>IF(EV_Data4[[#This Row],[charging_speed_kw]]&gt;=250,"Ultra-Fast",IF(EV_Data4[[#This Row],[charging_speed_kw]]&gt;=150,"Fast-Charging","Standard-Charging"))</f>
        <v>Standard-Charging</v>
      </c>
      <c r="AF532" t="str">
        <f>IF(EV_Data4[[#This Row],[acceleration_0_60_mph]]&lt;=3,"SportsPerformance",IF(EV_Data4[[#This Row],[acceleration_0_60_mph]]&lt;=5,"HighPerformance","Standard"))</f>
        <v>Standard</v>
      </c>
      <c r="AG532" t="str">
        <f>IF(EV_Data4[[#This Row],[customer_rating]]&gt;=4.5,"Excellent",IF(EV_Data4[[#This Row],[customer_rating]]&gt;=3.5,"Good","Average"))</f>
        <v>Good</v>
      </c>
      <c r="AH53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33" spans="1:34" x14ac:dyDescent="0.3">
      <c r="A533" t="s">
        <v>129</v>
      </c>
      <c r="B533" t="s">
        <v>130</v>
      </c>
      <c r="C533">
        <v>2026</v>
      </c>
      <c r="D533" t="s">
        <v>26</v>
      </c>
      <c r="E533" s="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48</v>
      </c>
      <c r="N533">
        <v>5</v>
      </c>
      <c r="O533" t="s">
        <v>58</v>
      </c>
      <c r="P533">
        <v>36.5</v>
      </c>
      <c r="Q533">
        <v>1557</v>
      </c>
      <c r="R533">
        <v>5</v>
      </c>
      <c r="S533">
        <v>1</v>
      </c>
      <c r="T533" t="s">
        <v>36</v>
      </c>
      <c r="U533" t="s">
        <v>37</v>
      </c>
      <c r="V533" s="3">
        <v>6885</v>
      </c>
      <c r="W533">
        <v>3.78</v>
      </c>
      <c r="X533">
        <v>5</v>
      </c>
      <c r="Y533" s="1">
        <f>EV_Data4[[#This Row],[range_miles]]/EV_Data4[[#This Row],[battery_capacity_kwh]]</f>
        <v>3.4599156118143459</v>
      </c>
      <c r="Z533" s="4">
        <f>EV_Data4[[#This Row],[price_usd]]/EV_Data4[[#This Row],[range_miles]]</f>
        <v>125.14451219512195</v>
      </c>
      <c r="AA533" s="2">
        <f>(EV_Data4[[#This Row],[customer_rating]]*EV_Data4[[#This Row],[safety_rating]]*1000)/EV_Data4[[#This Row],[price_usd]]</f>
        <v>0.36835463391103945</v>
      </c>
      <c r="AB533">
        <f>EV_Data4[[#This Row],[horsepower]]+EV_Data4[[#This Row],[torque_nm]]/EV_Data4[[#This Row],[acceleration_0_60_mph]]</f>
        <v>965.43234323432341</v>
      </c>
      <c r="AC533" t="str">
        <f>IF(EV_Data4[[#This Row],[price_usd]]&gt;=80000,"Luxury",IF(EV_Data4[[#This Row],[price_usd]]&gt;=40000,"Mid-Range","Budget"))</f>
        <v>Mid-Range</v>
      </c>
      <c r="AD533" t="str">
        <f>IF(EV_Data4[[#This Row],[range_miles]]&gt;=350,"Long-Range",IF(EV_Data4[[#This Row],[range_miles]]&gt;=250,"Medium-Range","Short-Range"))</f>
        <v>Long-Range</v>
      </c>
      <c r="AE533" t="str">
        <f>IF(EV_Data4[[#This Row],[charging_speed_kw]]&gt;=250,"Ultra-Fast",IF(EV_Data4[[#This Row],[charging_speed_kw]]&gt;=150,"Fast-Charging","Standard-Charging"))</f>
        <v>Fast-Charging</v>
      </c>
      <c r="AF533" t="str">
        <f>IF(EV_Data4[[#This Row],[acceleration_0_60_mph]]&lt;=3,"SportsPerformance",IF(EV_Data4[[#This Row],[acceleration_0_60_mph]]&lt;=5,"HighPerformance","Standard"))</f>
        <v>HighPerformance</v>
      </c>
      <c r="AG533" t="str">
        <f>IF(EV_Data4[[#This Row],[customer_rating]]&gt;=4.5,"Excellent",IF(EV_Data4[[#This Row],[customer_rating]]&gt;=3.5,"Good","Average"))</f>
        <v>Good</v>
      </c>
      <c r="AH53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34" spans="1:34" x14ac:dyDescent="0.3">
      <c r="A534" t="s">
        <v>131</v>
      </c>
      <c r="B534" t="s">
        <v>132</v>
      </c>
      <c r="C534">
        <v>2024</v>
      </c>
      <c r="D534" t="s">
        <v>26</v>
      </c>
      <c r="E534" s="3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27</v>
      </c>
      <c r="N534">
        <v>5</v>
      </c>
      <c r="O534" t="s">
        <v>50</v>
      </c>
      <c r="P534">
        <v>38.5</v>
      </c>
      <c r="Q534">
        <v>1831</v>
      </c>
      <c r="R534">
        <v>5</v>
      </c>
      <c r="S534">
        <v>0</v>
      </c>
      <c r="T534" t="s">
        <v>65</v>
      </c>
      <c r="U534" t="s">
        <v>30</v>
      </c>
      <c r="V534" s="3">
        <v>19780</v>
      </c>
      <c r="W534">
        <v>3.36</v>
      </c>
      <c r="X534">
        <v>4</v>
      </c>
      <c r="Y534" s="1">
        <f>EV_Data4[[#This Row],[range_miles]]/EV_Data4[[#This Row],[battery_capacity_kwh]]</f>
        <v>3.3557046979865772</v>
      </c>
      <c r="Z534" s="4">
        <f>EV_Data4[[#This Row],[price_usd]]/EV_Data4[[#This Row],[range_miles]]</f>
        <v>410.33636000000001</v>
      </c>
      <c r="AA534" s="2">
        <f>(EV_Data4[[#This Row],[customer_rating]]*EV_Data4[[#This Row],[safety_rating]]*1000)/EV_Data4[[#This Row],[price_usd]]</f>
        <v>0.1637680852849599</v>
      </c>
      <c r="AB534">
        <f>EV_Data4[[#This Row],[horsepower]]+EV_Data4[[#This Row],[torque_nm]]/EV_Data4[[#This Row],[acceleration_0_60_mph]]</f>
        <v>1253.2432432432433</v>
      </c>
      <c r="AC534" t="str">
        <f>IF(EV_Data4[[#This Row],[price_usd]]&gt;=80000,"Luxury",IF(EV_Data4[[#This Row],[price_usd]]&gt;=40000,"Mid-Range","Budget"))</f>
        <v>Luxury</v>
      </c>
      <c r="AD534" t="str">
        <f>IF(EV_Data4[[#This Row],[range_miles]]&gt;=350,"Long-Range",IF(EV_Data4[[#This Row],[range_miles]]&gt;=250,"Medium-Range","Short-Range"))</f>
        <v>Medium-Range</v>
      </c>
      <c r="AE534" t="str">
        <f>IF(EV_Data4[[#This Row],[charging_speed_kw]]&gt;=250,"Ultra-Fast",IF(EV_Data4[[#This Row],[charging_speed_kw]]&gt;=150,"Fast-Charging","Standard-Charging"))</f>
        <v>Fast-Charging</v>
      </c>
      <c r="AF534" t="str">
        <f>IF(EV_Data4[[#This Row],[acceleration_0_60_mph]]&lt;=3,"SportsPerformance",IF(EV_Data4[[#This Row],[acceleration_0_60_mph]]&lt;=5,"HighPerformance","Standard"))</f>
        <v>HighPerformance</v>
      </c>
      <c r="AG534" t="str">
        <f>IF(EV_Data4[[#This Row],[customer_rating]]&gt;=4.5,"Excellent",IF(EV_Data4[[#This Row],[customer_rating]]&gt;=3.5,"Good","Average"))</f>
        <v>Average</v>
      </c>
      <c r="AH53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35" spans="1:34" x14ac:dyDescent="0.3">
      <c r="A535" t="s">
        <v>42</v>
      </c>
      <c r="B535" t="s">
        <v>43</v>
      </c>
      <c r="C535">
        <v>2024</v>
      </c>
      <c r="D535" t="s">
        <v>44</v>
      </c>
      <c r="E535" s="3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34</v>
      </c>
      <c r="N535">
        <v>7</v>
      </c>
      <c r="O535" t="s">
        <v>35</v>
      </c>
      <c r="P535">
        <v>40.6</v>
      </c>
      <c r="Q535">
        <v>2057</v>
      </c>
      <c r="R535">
        <v>5</v>
      </c>
      <c r="S535">
        <v>0</v>
      </c>
      <c r="T535" t="s">
        <v>45</v>
      </c>
      <c r="U535" t="s">
        <v>33</v>
      </c>
      <c r="V535" s="3">
        <v>55742</v>
      </c>
      <c r="W535">
        <v>3.56</v>
      </c>
      <c r="X535">
        <v>4</v>
      </c>
      <c r="Y535" s="1">
        <f>EV_Data4[[#This Row],[range_miles]]/EV_Data4[[#This Row],[battery_capacity_kwh]]</f>
        <v>3.6404494382022472</v>
      </c>
      <c r="Z535" s="4">
        <f>EV_Data4[[#This Row],[price_usd]]/EV_Data4[[#This Row],[range_miles]]</f>
        <v>305.70425925925923</v>
      </c>
      <c r="AA535" s="2">
        <f>(EV_Data4[[#This Row],[customer_rating]]*EV_Data4[[#This Row],[safety_rating]]*1000)/EV_Data4[[#This Row],[price_usd]]</f>
        <v>0.17971052067791657</v>
      </c>
      <c r="AB535">
        <f>EV_Data4[[#This Row],[horsepower]]+EV_Data4[[#This Row],[torque_nm]]/EV_Data4[[#This Row],[acceleration_0_60_mph]]</f>
        <v>1163.4234234234234</v>
      </c>
      <c r="AC535" t="str">
        <f>IF(EV_Data4[[#This Row],[price_usd]]&gt;=80000,"Luxury",IF(EV_Data4[[#This Row],[price_usd]]&gt;=40000,"Mid-Range","Budget"))</f>
        <v>Luxury</v>
      </c>
      <c r="AD535" t="str">
        <f>IF(EV_Data4[[#This Row],[range_miles]]&gt;=350,"Long-Range",IF(EV_Data4[[#This Row],[range_miles]]&gt;=250,"Medium-Range","Short-Range"))</f>
        <v>Medium-Range</v>
      </c>
      <c r="AE535" t="str">
        <f>IF(EV_Data4[[#This Row],[charging_speed_kw]]&gt;=250,"Ultra-Fast",IF(EV_Data4[[#This Row],[charging_speed_kw]]&gt;=150,"Fast-Charging","Standard-Charging"))</f>
        <v>Standard-Charging</v>
      </c>
      <c r="AF535" t="str">
        <f>IF(EV_Data4[[#This Row],[acceleration_0_60_mph]]&lt;=3,"SportsPerformance",IF(EV_Data4[[#This Row],[acceleration_0_60_mph]]&lt;=5,"HighPerformance","Standard"))</f>
        <v>Standard</v>
      </c>
      <c r="AG535" t="str">
        <f>IF(EV_Data4[[#This Row],[customer_rating]]&gt;=4.5,"Excellent",IF(EV_Data4[[#This Row],[customer_rating]]&gt;=3.5,"Good","Average"))</f>
        <v>Good</v>
      </c>
      <c r="AH53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36" spans="1:34" x14ac:dyDescent="0.3">
      <c r="A536" t="s">
        <v>76</v>
      </c>
      <c r="B536" t="s">
        <v>77</v>
      </c>
      <c r="C536">
        <v>2023</v>
      </c>
      <c r="D536" t="s">
        <v>56</v>
      </c>
      <c r="E536" s="3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27</v>
      </c>
      <c r="N536">
        <v>7</v>
      </c>
      <c r="O536" t="s">
        <v>35</v>
      </c>
      <c r="P536">
        <v>39.700000000000003</v>
      </c>
      <c r="Q536">
        <v>2302</v>
      </c>
      <c r="R536">
        <v>4</v>
      </c>
      <c r="S536">
        <v>0</v>
      </c>
      <c r="T536" t="s">
        <v>41</v>
      </c>
      <c r="U536" t="s">
        <v>33</v>
      </c>
      <c r="V536" s="3">
        <v>21067</v>
      </c>
      <c r="W536">
        <v>3.27</v>
      </c>
      <c r="X536">
        <v>3</v>
      </c>
      <c r="Y536" s="1">
        <f>EV_Data4[[#This Row],[range_miles]]/EV_Data4[[#This Row],[battery_capacity_kwh]]</f>
        <v>3.6530612244897958</v>
      </c>
      <c r="Z536" s="4">
        <f>EV_Data4[[#This Row],[price_usd]]/EV_Data4[[#This Row],[range_miles]]</f>
        <v>379.75631284916204</v>
      </c>
      <c r="AA536" s="2">
        <f>(EV_Data4[[#This Row],[customer_rating]]*EV_Data4[[#This Row],[safety_rating]]*1000)/EV_Data4[[#This Row],[price_usd]]</f>
        <v>0.1924197787525608</v>
      </c>
      <c r="AB536">
        <f>EV_Data4[[#This Row],[horsepower]]+EV_Data4[[#This Row],[torque_nm]]/EV_Data4[[#This Row],[acceleration_0_60_mph]]</f>
        <v>898.20905923344947</v>
      </c>
      <c r="AC536" t="str">
        <f>IF(EV_Data4[[#This Row],[price_usd]]&gt;=80000,"Luxury",IF(EV_Data4[[#This Row],[price_usd]]&gt;=40000,"Mid-Range","Budget"))</f>
        <v>Mid-Range</v>
      </c>
      <c r="AD536" t="str">
        <f>IF(EV_Data4[[#This Row],[range_miles]]&gt;=350,"Long-Range",IF(EV_Data4[[#This Row],[range_miles]]&gt;=250,"Medium-Range","Short-Range"))</f>
        <v>Short-Range</v>
      </c>
      <c r="AE536" t="str">
        <f>IF(EV_Data4[[#This Row],[charging_speed_kw]]&gt;=250,"Ultra-Fast",IF(EV_Data4[[#This Row],[charging_speed_kw]]&gt;=150,"Fast-Charging","Standard-Charging"))</f>
        <v>Standard-Charging</v>
      </c>
      <c r="AF536" t="str">
        <f>IF(EV_Data4[[#This Row],[acceleration_0_60_mph]]&lt;=3,"SportsPerformance",IF(EV_Data4[[#This Row],[acceleration_0_60_mph]]&lt;=5,"HighPerformance","Standard"))</f>
        <v>Standard</v>
      </c>
      <c r="AG536" t="str">
        <f>IF(EV_Data4[[#This Row],[customer_rating]]&gt;=4.5,"Excellent",IF(EV_Data4[[#This Row],[customer_rating]]&gt;=3.5,"Good","Average"))</f>
        <v>Average</v>
      </c>
      <c r="AH53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37" spans="1:34" x14ac:dyDescent="0.3">
      <c r="A537" t="s">
        <v>31</v>
      </c>
      <c r="B537" t="s">
        <v>112</v>
      </c>
      <c r="C537">
        <v>2023</v>
      </c>
      <c r="D537" t="s">
        <v>61</v>
      </c>
      <c r="E537" s="3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27</v>
      </c>
      <c r="N537">
        <v>7</v>
      </c>
      <c r="O537" t="s">
        <v>50</v>
      </c>
      <c r="P537">
        <v>36.200000000000003</v>
      </c>
      <c r="Q537">
        <v>1552</v>
      </c>
      <c r="R537">
        <v>5</v>
      </c>
      <c r="S537">
        <v>1</v>
      </c>
      <c r="T537" t="s">
        <v>36</v>
      </c>
      <c r="U537" t="s">
        <v>33</v>
      </c>
      <c r="V537" s="3">
        <v>15625</v>
      </c>
      <c r="W537">
        <v>3.58</v>
      </c>
      <c r="X537">
        <v>4</v>
      </c>
      <c r="Y537" s="1">
        <f>EV_Data4[[#This Row],[range_miles]]/EV_Data4[[#This Row],[battery_capacity_kwh]]</f>
        <v>2.995529061102832</v>
      </c>
      <c r="Z537" s="4">
        <f>EV_Data4[[#This Row],[price_usd]]/EV_Data4[[#This Row],[range_miles]]</f>
        <v>344.7060696517413</v>
      </c>
      <c r="AA537" s="2">
        <f>(EV_Data4[[#This Row],[customer_rating]]*EV_Data4[[#This Row],[safety_rating]]*1000)/EV_Data4[[#This Row],[price_usd]]</f>
        <v>0.25834974840487074</v>
      </c>
      <c r="AB537">
        <f>EV_Data4[[#This Row],[horsepower]]+EV_Data4[[#This Row],[torque_nm]]/EV_Data4[[#This Row],[acceleration_0_60_mph]]</f>
        <v>976.5078125</v>
      </c>
      <c r="AC537" t="str">
        <f>IF(EV_Data4[[#This Row],[price_usd]]&gt;=80000,"Luxury",IF(EV_Data4[[#This Row],[price_usd]]&gt;=40000,"Mid-Range","Budget"))</f>
        <v>Mid-Range</v>
      </c>
      <c r="AD537" t="str">
        <f>IF(EV_Data4[[#This Row],[range_miles]]&gt;=350,"Long-Range",IF(EV_Data4[[#This Row],[range_miles]]&gt;=250,"Medium-Range","Short-Range"))</f>
        <v>Short-Range</v>
      </c>
      <c r="AE537" t="str">
        <f>IF(EV_Data4[[#This Row],[charging_speed_kw]]&gt;=250,"Ultra-Fast",IF(EV_Data4[[#This Row],[charging_speed_kw]]&gt;=150,"Fast-Charging","Standard-Charging"))</f>
        <v>Standard-Charging</v>
      </c>
      <c r="AF537" t="str">
        <f>IF(EV_Data4[[#This Row],[acceleration_0_60_mph]]&lt;=3,"SportsPerformance",IF(EV_Data4[[#This Row],[acceleration_0_60_mph]]&lt;=5,"HighPerformance","Standard"))</f>
        <v>Standard</v>
      </c>
      <c r="AG537" t="str">
        <f>IF(EV_Data4[[#This Row],[customer_rating]]&gt;=4.5,"Excellent",IF(EV_Data4[[#This Row],[customer_rating]]&gt;=3.5,"Good","Average"))</f>
        <v>Good</v>
      </c>
      <c r="AH53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38" spans="1:34" x14ac:dyDescent="0.3">
      <c r="A538" t="s">
        <v>52</v>
      </c>
      <c r="B538" t="s">
        <v>97</v>
      </c>
      <c r="C538">
        <v>2024</v>
      </c>
      <c r="D538" t="s">
        <v>26</v>
      </c>
      <c r="E538" s="3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48</v>
      </c>
      <c r="N538">
        <v>5</v>
      </c>
      <c r="O538" t="s">
        <v>51</v>
      </c>
      <c r="P538">
        <v>24.5</v>
      </c>
      <c r="Q538">
        <v>1729</v>
      </c>
      <c r="R538">
        <v>4</v>
      </c>
      <c r="S538">
        <v>1</v>
      </c>
      <c r="T538" t="s">
        <v>29</v>
      </c>
      <c r="U538" t="s">
        <v>30</v>
      </c>
      <c r="V538" s="3">
        <v>20936</v>
      </c>
      <c r="W538">
        <v>4.04</v>
      </c>
      <c r="X538">
        <v>6</v>
      </c>
      <c r="Y538" s="1">
        <f>EV_Data4[[#This Row],[range_miles]]/EV_Data4[[#This Row],[battery_capacity_kwh]]</f>
        <v>3.5377358490566038</v>
      </c>
      <c r="Z538" s="4">
        <f>EV_Data4[[#This Row],[price_usd]]/EV_Data4[[#This Row],[range_miles]]</f>
        <v>447.7301333333333</v>
      </c>
      <c r="AA538" s="2">
        <f>(EV_Data4[[#This Row],[customer_rating]]*EV_Data4[[#This Row],[safety_rating]]*1000)/EV_Data4[[#This Row],[price_usd]]</f>
        <v>9.6248454426118596E-2</v>
      </c>
      <c r="AB538">
        <f>EV_Data4[[#This Row],[horsepower]]+EV_Data4[[#This Row],[torque_nm]]/EV_Data4[[#This Row],[acceleration_0_60_mph]]</f>
        <v>1276.7647058823529</v>
      </c>
      <c r="AC538" t="str">
        <f>IF(EV_Data4[[#This Row],[price_usd]]&gt;=80000,"Luxury",IF(EV_Data4[[#This Row],[price_usd]]&gt;=40000,"Mid-Range","Budget"))</f>
        <v>Luxury</v>
      </c>
      <c r="AD538" t="str">
        <f>IF(EV_Data4[[#This Row],[range_miles]]&gt;=350,"Long-Range",IF(EV_Data4[[#This Row],[range_miles]]&gt;=250,"Medium-Range","Short-Range"))</f>
        <v>Long-Range</v>
      </c>
      <c r="AE538" t="str">
        <f>IF(EV_Data4[[#This Row],[charging_speed_kw]]&gt;=250,"Ultra-Fast",IF(EV_Data4[[#This Row],[charging_speed_kw]]&gt;=150,"Fast-Charging","Standard-Charging"))</f>
        <v>Fast-Charging</v>
      </c>
      <c r="AF538" t="str">
        <f>IF(EV_Data4[[#This Row],[acceleration_0_60_mph]]&lt;=3,"SportsPerformance",IF(EV_Data4[[#This Row],[acceleration_0_60_mph]]&lt;=5,"HighPerformance","Standard"))</f>
        <v>HighPerformance</v>
      </c>
      <c r="AG538" t="str">
        <f>IF(EV_Data4[[#This Row],[customer_rating]]&gt;=4.5,"Excellent",IF(EV_Data4[[#This Row],[customer_rating]]&gt;=3.5,"Good","Average"))</f>
        <v>Good</v>
      </c>
      <c r="AH53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39" spans="1:34" x14ac:dyDescent="0.3">
      <c r="A539" t="s">
        <v>63</v>
      </c>
      <c r="B539" t="s">
        <v>107</v>
      </c>
      <c r="C539">
        <v>2025</v>
      </c>
      <c r="D539" t="s">
        <v>61</v>
      </c>
      <c r="E539" s="3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34</v>
      </c>
      <c r="N539">
        <v>5</v>
      </c>
      <c r="O539" t="s">
        <v>28</v>
      </c>
      <c r="P539">
        <v>59.5</v>
      </c>
      <c r="Q539">
        <v>2509</v>
      </c>
      <c r="R539">
        <v>5</v>
      </c>
      <c r="S539">
        <v>0</v>
      </c>
      <c r="T539" t="s">
        <v>65</v>
      </c>
      <c r="U539" t="s">
        <v>37</v>
      </c>
      <c r="V539" s="3">
        <v>185983</v>
      </c>
      <c r="W539">
        <v>3.42</v>
      </c>
      <c r="X539">
        <v>5</v>
      </c>
      <c r="Y539" s="1">
        <f>EV_Data4[[#This Row],[range_miles]]/EV_Data4[[#This Row],[battery_capacity_kwh]]</f>
        <v>3.7875288683602775</v>
      </c>
      <c r="Z539" s="4">
        <f>EV_Data4[[#This Row],[price_usd]]/EV_Data4[[#This Row],[range_miles]]</f>
        <v>223.3125</v>
      </c>
      <c r="AA539" s="2">
        <f>(EV_Data4[[#This Row],[customer_rating]]*EV_Data4[[#This Row],[safety_rating]]*1000)/EV_Data4[[#This Row],[price_usd]]</f>
        <v>0.46691650795601153</v>
      </c>
      <c r="AB539">
        <f>EV_Data4[[#This Row],[horsepower]]+EV_Data4[[#This Row],[torque_nm]]/EV_Data4[[#This Row],[acceleration_0_60_mph]]</f>
        <v>385.2987012987013</v>
      </c>
      <c r="AC539" t="str">
        <f>IF(EV_Data4[[#This Row],[price_usd]]&gt;=80000,"Luxury",IF(EV_Data4[[#This Row],[price_usd]]&gt;=40000,"Mid-Range","Budget"))</f>
        <v>Budget</v>
      </c>
      <c r="AD539" t="str">
        <f>IF(EV_Data4[[#This Row],[range_miles]]&gt;=350,"Long-Range",IF(EV_Data4[[#This Row],[range_miles]]&gt;=250,"Medium-Range","Short-Range"))</f>
        <v>Short-Range</v>
      </c>
      <c r="AE539" t="str">
        <f>IF(EV_Data4[[#This Row],[charging_speed_kw]]&gt;=250,"Ultra-Fast",IF(EV_Data4[[#This Row],[charging_speed_kw]]&gt;=150,"Fast-Charging","Standard-Charging"))</f>
        <v>Standard-Charging</v>
      </c>
      <c r="AF539" t="str">
        <f>IF(EV_Data4[[#This Row],[acceleration_0_60_mph]]&lt;=3,"SportsPerformance",IF(EV_Data4[[#This Row],[acceleration_0_60_mph]]&lt;=5,"HighPerformance","Standard"))</f>
        <v>Standard</v>
      </c>
      <c r="AG539" t="str">
        <f>IF(EV_Data4[[#This Row],[customer_rating]]&gt;=4.5,"Excellent",IF(EV_Data4[[#This Row],[customer_rating]]&gt;=3.5,"Good","Average"))</f>
        <v>Average</v>
      </c>
      <c r="AH53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40" spans="1:34" x14ac:dyDescent="0.3">
      <c r="A540" t="s">
        <v>24</v>
      </c>
      <c r="B540" t="s">
        <v>74</v>
      </c>
      <c r="C540">
        <v>2025</v>
      </c>
      <c r="D540" t="s">
        <v>56</v>
      </c>
      <c r="E540" s="3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27</v>
      </c>
      <c r="N540">
        <v>7</v>
      </c>
      <c r="O540" t="s">
        <v>51</v>
      </c>
      <c r="P540">
        <v>36.6</v>
      </c>
      <c r="Q540">
        <v>1883</v>
      </c>
      <c r="R540">
        <v>5</v>
      </c>
      <c r="S540">
        <v>0</v>
      </c>
      <c r="T540" t="s">
        <v>29</v>
      </c>
      <c r="U540" t="s">
        <v>66</v>
      </c>
      <c r="V540" s="3">
        <v>289031</v>
      </c>
      <c r="W540">
        <v>3.27</v>
      </c>
      <c r="X540">
        <v>5</v>
      </c>
      <c r="Y540" s="1">
        <f>EV_Data4[[#This Row],[range_miles]]/EV_Data4[[#This Row],[battery_capacity_kwh]]</f>
        <v>3.5935397039030956</v>
      </c>
      <c r="Z540" s="4">
        <f>EV_Data4[[#This Row],[price_usd]]/EV_Data4[[#This Row],[range_miles]]</f>
        <v>112.72288389513108</v>
      </c>
      <c r="AA540" s="2">
        <f>(EV_Data4[[#This Row],[customer_rating]]*EV_Data4[[#This Row],[safety_rating]]*1000)/EV_Data4[[#This Row],[price_usd]]</f>
        <v>0.54324333214495402</v>
      </c>
      <c r="AB540">
        <f>EV_Data4[[#This Row],[horsepower]]+EV_Data4[[#This Row],[torque_nm]]/EV_Data4[[#This Row],[acceleration_0_60_mph]]</f>
        <v>175.51020408163265</v>
      </c>
      <c r="AC540" t="str">
        <f>IF(EV_Data4[[#This Row],[price_usd]]&gt;=80000,"Luxury",IF(EV_Data4[[#This Row],[price_usd]]&gt;=40000,"Mid-Range","Budget"))</f>
        <v>Budget</v>
      </c>
      <c r="AD540" t="str">
        <f>IF(EV_Data4[[#This Row],[range_miles]]&gt;=350,"Long-Range",IF(EV_Data4[[#This Row],[range_miles]]&gt;=250,"Medium-Range","Short-Range"))</f>
        <v>Medium-Range</v>
      </c>
      <c r="AE540" t="str">
        <f>IF(EV_Data4[[#This Row],[charging_speed_kw]]&gt;=250,"Ultra-Fast",IF(EV_Data4[[#This Row],[charging_speed_kw]]&gt;=150,"Fast-Charging","Standard-Charging"))</f>
        <v>Standard-Charging</v>
      </c>
      <c r="AF540" t="str">
        <f>IF(EV_Data4[[#This Row],[acceleration_0_60_mph]]&lt;=3,"SportsPerformance",IF(EV_Data4[[#This Row],[acceleration_0_60_mph]]&lt;=5,"HighPerformance","Standard"))</f>
        <v>Standard</v>
      </c>
      <c r="AG540" t="str">
        <f>IF(EV_Data4[[#This Row],[customer_rating]]&gt;=4.5,"Excellent",IF(EV_Data4[[#This Row],[customer_rating]]&gt;=3.5,"Good","Average"))</f>
        <v>Average</v>
      </c>
      <c r="AH54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41" spans="1:34" x14ac:dyDescent="0.3">
      <c r="A541" t="s">
        <v>46</v>
      </c>
      <c r="B541" t="s">
        <v>57</v>
      </c>
      <c r="C541">
        <v>2023</v>
      </c>
      <c r="D541" t="s">
        <v>26</v>
      </c>
      <c r="E541" s="3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34</v>
      </c>
      <c r="N541">
        <v>5</v>
      </c>
      <c r="O541" t="s">
        <v>51</v>
      </c>
      <c r="P541">
        <v>35.200000000000003</v>
      </c>
      <c r="Q541">
        <v>1518</v>
      </c>
      <c r="R541">
        <v>4</v>
      </c>
      <c r="S541">
        <v>2</v>
      </c>
      <c r="T541" t="s">
        <v>41</v>
      </c>
      <c r="U541" t="s">
        <v>33</v>
      </c>
      <c r="V541" s="3">
        <v>243479</v>
      </c>
      <c r="W541">
        <v>3.78</v>
      </c>
      <c r="X541">
        <v>5</v>
      </c>
      <c r="Y541" s="1">
        <f>EV_Data4[[#This Row],[range_miles]]/EV_Data4[[#This Row],[battery_capacity_kwh]]</f>
        <v>3.3761682242990658</v>
      </c>
      <c r="Z541" s="4">
        <f>EV_Data4[[#This Row],[price_usd]]/EV_Data4[[#This Row],[range_miles]]</f>
        <v>285.50557093425607</v>
      </c>
      <c r="AA541" s="2">
        <f>(EV_Data4[[#This Row],[customer_rating]]*EV_Data4[[#This Row],[safety_rating]]*1000)/EV_Data4[[#This Row],[price_usd]]</f>
        <v>0.18324804986867829</v>
      </c>
      <c r="AB541">
        <f>EV_Data4[[#This Row],[horsepower]]+EV_Data4[[#This Row],[torque_nm]]/EV_Data4[[#This Row],[acceleration_0_60_mph]]</f>
        <v>665.99303944315545</v>
      </c>
      <c r="AC541" t="str">
        <f>IF(EV_Data4[[#This Row],[price_usd]]&gt;=80000,"Luxury",IF(EV_Data4[[#This Row],[price_usd]]&gt;=40000,"Mid-Range","Budget"))</f>
        <v>Luxury</v>
      </c>
      <c r="AD541" t="str">
        <f>IF(EV_Data4[[#This Row],[range_miles]]&gt;=350,"Long-Range",IF(EV_Data4[[#This Row],[range_miles]]&gt;=250,"Medium-Range","Short-Range"))</f>
        <v>Medium-Range</v>
      </c>
      <c r="AE541" t="str">
        <f>IF(EV_Data4[[#This Row],[charging_speed_kw]]&gt;=250,"Ultra-Fast",IF(EV_Data4[[#This Row],[charging_speed_kw]]&gt;=150,"Fast-Charging","Standard-Charging"))</f>
        <v>Fast-Charging</v>
      </c>
      <c r="AF541" t="str">
        <f>IF(EV_Data4[[#This Row],[acceleration_0_60_mph]]&lt;=3,"SportsPerformance",IF(EV_Data4[[#This Row],[acceleration_0_60_mph]]&lt;=5,"HighPerformance","Standard"))</f>
        <v>HighPerformance</v>
      </c>
      <c r="AG541" t="str">
        <f>IF(EV_Data4[[#This Row],[customer_rating]]&gt;=4.5,"Excellent",IF(EV_Data4[[#This Row],[customer_rating]]&gt;=3.5,"Good","Average"))</f>
        <v>Good</v>
      </c>
      <c r="AH54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42" spans="1:34" x14ac:dyDescent="0.3">
      <c r="A542" t="s">
        <v>31</v>
      </c>
      <c r="B542" t="s">
        <v>32</v>
      </c>
      <c r="C542">
        <v>2022</v>
      </c>
      <c r="D542" t="s">
        <v>26</v>
      </c>
      <c r="E542" s="3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48</v>
      </c>
      <c r="N542">
        <v>5</v>
      </c>
      <c r="O542" t="s">
        <v>35</v>
      </c>
      <c r="P542">
        <v>50.7</v>
      </c>
      <c r="Q542">
        <v>2143</v>
      </c>
      <c r="R542">
        <v>5</v>
      </c>
      <c r="S542">
        <v>1</v>
      </c>
      <c r="T542" t="s">
        <v>36</v>
      </c>
      <c r="U542" t="s">
        <v>37</v>
      </c>
      <c r="V542" s="3">
        <v>9887</v>
      </c>
      <c r="W542">
        <v>3.39</v>
      </c>
      <c r="X542">
        <v>3</v>
      </c>
      <c r="Y542" s="1">
        <f>EV_Data4[[#This Row],[range_miles]]/EV_Data4[[#This Row],[battery_capacity_kwh]]</f>
        <v>3.5682819383259914</v>
      </c>
      <c r="Z542" s="4">
        <f>EV_Data4[[#This Row],[price_usd]]/EV_Data4[[#This Row],[range_miles]]</f>
        <v>175.16043209876545</v>
      </c>
      <c r="AA542" s="2">
        <f>(EV_Data4[[#This Row],[customer_rating]]*EV_Data4[[#This Row],[safety_rating]]*1000)/EV_Data4[[#This Row],[price_usd]]</f>
        <v>0.29866799361009078</v>
      </c>
      <c r="AB542">
        <f>EV_Data4[[#This Row],[horsepower]]+EV_Data4[[#This Row],[torque_nm]]/EV_Data4[[#This Row],[acceleration_0_60_mph]]</f>
        <v>748.83333333333337</v>
      </c>
      <c r="AC542" t="str">
        <f>IF(EV_Data4[[#This Row],[price_usd]]&gt;=80000,"Luxury",IF(EV_Data4[[#This Row],[price_usd]]&gt;=40000,"Mid-Range","Budget"))</f>
        <v>Mid-Range</v>
      </c>
      <c r="AD542" t="str">
        <f>IF(EV_Data4[[#This Row],[range_miles]]&gt;=350,"Long-Range",IF(EV_Data4[[#This Row],[range_miles]]&gt;=250,"Medium-Range","Short-Range"))</f>
        <v>Medium-Range</v>
      </c>
      <c r="AE542" t="str">
        <f>IF(EV_Data4[[#This Row],[charging_speed_kw]]&gt;=250,"Ultra-Fast",IF(EV_Data4[[#This Row],[charging_speed_kw]]&gt;=150,"Fast-Charging","Standard-Charging"))</f>
        <v>Fast-Charging</v>
      </c>
      <c r="AF542" t="str">
        <f>IF(EV_Data4[[#This Row],[acceleration_0_60_mph]]&lt;=3,"SportsPerformance",IF(EV_Data4[[#This Row],[acceleration_0_60_mph]]&lt;=5,"HighPerformance","Standard"))</f>
        <v>HighPerformance</v>
      </c>
      <c r="AG542" t="str">
        <f>IF(EV_Data4[[#This Row],[customer_rating]]&gt;=4.5,"Excellent",IF(EV_Data4[[#This Row],[customer_rating]]&gt;=3.5,"Good","Average"))</f>
        <v>Average</v>
      </c>
      <c r="AH54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43" spans="1:34" x14ac:dyDescent="0.3">
      <c r="A543" t="s">
        <v>42</v>
      </c>
      <c r="B543" t="s">
        <v>115</v>
      </c>
      <c r="C543">
        <v>2024</v>
      </c>
      <c r="D543" t="s">
        <v>56</v>
      </c>
      <c r="E543" s="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48</v>
      </c>
      <c r="N543">
        <v>5</v>
      </c>
      <c r="O543" t="s">
        <v>40</v>
      </c>
      <c r="P543">
        <v>75.2</v>
      </c>
      <c r="Q543">
        <v>1644</v>
      </c>
      <c r="R543">
        <v>5</v>
      </c>
      <c r="S543">
        <v>1</v>
      </c>
      <c r="T543" t="s">
        <v>45</v>
      </c>
      <c r="U543" t="s">
        <v>66</v>
      </c>
      <c r="V543" s="3">
        <v>130299</v>
      </c>
      <c r="W543">
        <v>3.2</v>
      </c>
      <c r="X543">
        <v>5</v>
      </c>
      <c r="Y543" s="1">
        <f>EV_Data4[[#This Row],[range_miles]]/EV_Data4[[#This Row],[battery_capacity_kwh]]</f>
        <v>3.6276083467094704</v>
      </c>
      <c r="Z543" s="4">
        <f>EV_Data4[[#This Row],[price_usd]]/EV_Data4[[#This Row],[range_miles]]</f>
        <v>133.97061946902656</v>
      </c>
      <c r="AA543" s="2">
        <f>(EV_Data4[[#This Row],[customer_rating]]*EV_Data4[[#This Row],[safety_rating]]*1000)/EV_Data4[[#This Row],[price_usd]]</f>
        <v>0.52844765858053677</v>
      </c>
      <c r="AB543">
        <f>EV_Data4[[#This Row],[horsepower]]+EV_Data4[[#This Row],[torque_nm]]/EV_Data4[[#This Row],[acceleration_0_60_mph]]</f>
        <v>186.90036900369003</v>
      </c>
      <c r="AC543" t="str">
        <f>IF(EV_Data4[[#This Row],[price_usd]]&gt;=80000,"Luxury",IF(EV_Data4[[#This Row],[price_usd]]&gt;=40000,"Mid-Range","Budget"))</f>
        <v>Budget</v>
      </c>
      <c r="AD543" t="str">
        <f>IF(EV_Data4[[#This Row],[range_miles]]&gt;=350,"Long-Range",IF(EV_Data4[[#This Row],[range_miles]]&gt;=250,"Medium-Range","Short-Range"))</f>
        <v>Short-Range</v>
      </c>
      <c r="AE543" t="str">
        <f>IF(EV_Data4[[#This Row],[charging_speed_kw]]&gt;=250,"Ultra-Fast",IF(EV_Data4[[#This Row],[charging_speed_kw]]&gt;=150,"Fast-Charging","Standard-Charging"))</f>
        <v>Standard-Charging</v>
      </c>
      <c r="AF543" t="str">
        <f>IF(EV_Data4[[#This Row],[acceleration_0_60_mph]]&lt;=3,"SportsPerformance",IF(EV_Data4[[#This Row],[acceleration_0_60_mph]]&lt;=5,"HighPerformance","Standard"))</f>
        <v>Standard</v>
      </c>
      <c r="AG543" t="str">
        <f>IF(EV_Data4[[#This Row],[customer_rating]]&gt;=4.5,"Excellent",IF(EV_Data4[[#This Row],[customer_rating]]&gt;=3.5,"Good","Average"))</f>
        <v>Average</v>
      </c>
      <c r="AH54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44" spans="1:34" x14ac:dyDescent="0.3">
      <c r="A544" t="s">
        <v>63</v>
      </c>
      <c r="B544" t="s">
        <v>107</v>
      </c>
      <c r="C544">
        <v>2024</v>
      </c>
      <c r="D544" t="s">
        <v>26</v>
      </c>
      <c r="E544" s="3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48</v>
      </c>
      <c r="N544">
        <v>7</v>
      </c>
      <c r="O544" t="s">
        <v>35</v>
      </c>
      <c r="P544">
        <v>64.3</v>
      </c>
      <c r="Q544">
        <v>2052</v>
      </c>
      <c r="R544">
        <v>4</v>
      </c>
      <c r="S544">
        <v>0</v>
      </c>
      <c r="T544" t="s">
        <v>65</v>
      </c>
      <c r="U544" t="s">
        <v>30</v>
      </c>
      <c r="V544" s="3">
        <v>211837</v>
      </c>
      <c r="W544">
        <v>3.58</v>
      </c>
      <c r="X544">
        <v>5</v>
      </c>
      <c r="Y544" s="1">
        <f>EV_Data4[[#This Row],[range_miles]]/EV_Data4[[#This Row],[battery_capacity_kwh]]</f>
        <v>3.3079122974261201</v>
      </c>
      <c r="Z544" s="4">
        <f>EV_Data4[[#This Row],[price_usd]]/EV_Data4[[#This Row],[range_miles]]</f>
        <v>298.2143227665706</v>
      </c>
      <c r="AA544" s="2">
        <f>(EV_Data4[[#This Row],[customer_rating]]*EV_Data4[[#This Row],[safety_rating]]*1000)/EV_Data4[[#This Row],[price_usd]]</f>
        <v>0.13838373403574031</v>
      </c>
      <c r="AB544">
        <f>EV_Data4[[#This Row],[horsepower]]+EV_Data4[[#This Row],[torque_nm]]/EV_Data4[[#This Row],[acceleration_0_60_mph]]</f>
        <v>1307.457627118644</v>
      </c>
      <c r="AC544" t="str">
        <f>IF(EV_Data4[[#This Row],[price_usd]]&gt;=80000,"Luxury",IF(EV_Data4[[#This Row],[price_usd]]&gt;=40000,"Mid-Range","Budget"))</f>
        <v>Luxury</v>
      </c>
      <c r="AD544" t="str">
        <f>IF(EV_Data4[[#This Row],[range_miles]]&gt;=350,"Long-Range",IF(EV_Data4[[#This Row],[range_miles]]&gt;=250,"Medium-Range","Short-Range"))</f>
        <v>Medium-Range</v>
      </c>
      <c r="AE544" t="str">
        <f>IF(EV_Data4[[#This Row],[charging_speed_kw]]&gt;=250,"Ultra-Fast",IF(EV_Data4[[#This Row],[charging_speed_kw]]&gt;=150,"Fast-Charging","Standard-Charging"))</f>
        <v>Fast-Charging</v>
      </c>
      <c r="AF544" t="str">
        <f>IF(EV_Data4[[#This Row],[acceleration_0_60_mph]]&lt;=3,"SportsPerformance",IF(EV_Data4[[#This Row],[acceleration_0_60_mph]]&lt;=5,"HighPerformance","Standard"))</f>
        <v>SportsPerformance</v>
      </c>
      <c r="AG544" t="str">
        <f>IF(EV_Data4[[#This Row],[customer_rating]]&gt;=4.5,"Excellent",IF(EV_Data4[[#This Row],[customer_rating]]&gt;=3.5,"Good","Average"))</f>
        <v>Good</v>
      </c>
      <c r="AH54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45" spans="1:34" x14ac:dyDescent="0.3">
      <c r="A545" t="s">
        <v>83</v>
      </c>
      <c r="B545" t="s">
        <v>84</v>
      </c>
      <c r="C545">
        <v>2026</v>
      </c>
      <c r="D545" t="s">
        <v>56</v>
      </c>
      <c r="E545" s="3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27</v>
      </c>
      <c r="N545">
        <v>7</v>
      </c>
      <c r="O545" t="s">
        <v>35</v>
      </c>
      <c r="P545">
        <v>45.9</v>
      </c>
      <c r="Q545">
        <v>2060</v>
      </c>
      <c r="R545">
        <v>4</v>
      </c>
      <c r="S545">
        <v>1</v>
      </c>
      <c r="T545" t="s">
        <v>29</v>
      </c>
      <c r="U545" t="s">
        <v>37</v>
      </c>
      <c r="V545" s="3">
        <v>49300</v>
      </c>
      <c r="W545">
        <v>3.02</v>
      </c>
      <c r="X545">
        <v>7</v>
      </c>
      <c r="Y545" s="1">
        <f>EV_Data4[[#This Row],[range_miles]]/EV_Data4[[#This Row],[battery_capacity_kwh]]</f>
        <v>3.6057692307692308</v>
      </c>
      <c r="Z545" s="4">
        <f>EV_Data4[[#This Row],[price_usd]]/EV_Data4[[#This Row],[range_miles]]</f>
        <v>320.71626666666668</v>
      </c>
      <c r="AA545" s="2">
        <f>(EV_Data4[[#This Row],[customer_rating]]*EV_Data4[[#This Row],[safety_rating]]*1000)/EV_Data4[[#This Row],[price_usd]]</f>
        <v>0.25110461084605623</v>
      </c>
      <c r="AB545">
        <f>EV_Data4[[#This Row],[horsepower]]+EV_Data4[[#This Row],[torque_nm]]/EV_Data4[[#This Row],[acceleration_0_60_mph]]</f>
        <v>189.84094754653131</v>
      </c>
      <c r="AC545" t="str">
        <f>IF(EV_Data4[[#This Row],[price_usd]]&gt;=80000,"Luxury",IF(EV_Data4[[#This Row],[price_usd]]&gt;=40000,"Mid-Range","Budget"))</f>
        <v>Mid-Range</v>
      </c>
      <c r="AD545" t="str">
        <f>IF(EV_Data4[[#This Row],[range_miles]]&gt;=350,"Long-Range",IF(EV_Data4[[#This Row],[range_miles]]&gt;=250,"Medium-Range","Short-Range"))</f>
        <v>Short-Range</v>
      </c>
      <c r="AE545" t="str">
        <f>IF(EV_Data4[[#This Row],[charging_speed_kw]]&gt;=250,"Ultra-Fast",IF(EV_Data4[[#This Row],[charging_speed_kw]]&gt;=150,"Fast-Charging","Standard-Charging"))</f>
        <v>Standard-Charging</v>
      </c>
      <c r="AF545" t="str">
        <f>IF(EV_Data4[[#This Row],[acceleration_0_60_mph]]&lt;=3,"SportsPerformance",IF(EV_Data4[[#This Row],[acceleration_0_60_mph]]&lt;=5,"HighPerformance","Standard"))</f>
        <v>Standard</v>
      </c>
      <c r="AG545" t="str">
        <f>IF(EV_Data4[[#This Row],[customer_rating]]&gt;=4.5,"Excellent",IF(EV_Data4[[#This Row],[customer_rating]]&gt;=3.5,"Good","Average"))</f>
        <v>Average</v>
      </c>
      <c r="AH54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46" spans="1:34" x14ac:dyDescent="0.3">
      <c r="A546" t="s">
        <v>42</v>
      </c>
      <c r="B546" t="s">
        <v>43</v>
      </c>
      <c r="C546">
        <v>2023</v>
      </c>
      <c r="D546" t="s">
        <v>33</v>
      </c>
      <c r="E546" s="3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34</v>
      </c>
      <c r="N546">
        <v>7</v>
      </c>
      <c r="O546" t="s">
        <v>35</v>
      </c>
      <c r="P546">
        <v>50.1</v>
      </c>
      <c r="Q546">
        <v>1859</v>
      </c>
      <c r="R546">
        <v>3</v>
      </c>
      <c r="S546">
        <v>2</v>
      </c>
      <c r="T546" t="s">
        <v>45</v>
      </c>
      <c r="U546" t="s">
        <v>30</v>
      </c>
      <c r="V546" s="3">
        <v>148039</v>
      </c>
      <c r="W546">
        <v>3.37</v>
      </c>
      <c r="X546">
        <v>4</v>
      </c>
      <c r="Y546" s="1">
        <f>EV_Data4[[#This Row],[range_miles]]/EV_Data4[[#This Row],[battery_capacity_kwh]]</f>
        <v>3.5151515151515151</v>
      </c>
      <c r="Z546" s="4">
        <f>EV_Data4[[#This Row],[price_usd]]/EV_Data4[[#This Row],[range_miles]]</f>
        <v>586.6129310344827</v>
      </c>
      <c r="AA546" s="2">
        <f>(EV_Data4[[#This Row],[customer_rating]]*EV_Data4[[#This Row],[safety_rating]]*1000)/EV_Data4[[#This Row],[price_usd]]</f>
        <v>9.9049041031873522E-2</v>
      </c>
      <c r="AB546">
        <f>EV_Data4[[#This Row],[horsepower]]+EV_Data4[[#This Row],[torque_nm]]/EV_Data4[[#This Row],[acceleration_0_60_mph]]</f>
        <v>1169.0647482014388</v>
      </c>
      <c r="AC546" t="str">
        <f>IF(EV_Data4[[#This Row],[price_usd]]&gt;=80000,"Luxury",IF(EV_Data4[[#This Row],[price_usd]]&gt;=40000,"Mid-Range","Budget"))</f>
        <v>Luxury</v>
      </c>
      <c r="AD546" t="str">
        <f>IF(EV_Data4[[#This Row],[range_miles]]&gt;=350,"Long-Range",IF(EV_Data4[[#This Row],[range_miles]]&gt;=250,"Medium-Range","Short-Range"))</f>
        <v>Short-Range</v>
      </c>
      <c r="AE546" t="str">
        <f>IF(EV_Data4[[#This Row],[charging_speed_kw]]&gt;=250,"Ultra-Fast",IF(EV_Data4[[#This Row],[charging_speed_kw]]&gt;=150,"Fast-Charging","Standard-Charging"))</f>
        <v>Standard-Charging</v>
      </c>
      <c r="AF546" t="str">
        <f>IF(EV_Data4[[#This Row],[acceleration_0_60_mph]]&lt;=3,"SportsPerformance",IF(EV_Data4[[#This Row],[acceleration_0_60_mph]]&lt;=5,"HighPerformance","Standard"))</f>
        <v>Standard</v>
      </c>
      <c r="AG546" t="str">
        <f>IF(EV_Data4[[#This Row],[customer_rating]]&gt;=4.5,"Excellent",IF(EV_Data4[[#This Row],[customer_rating]]&gt;=3.5,"Good","Average"))</f>
        <v>Average</v>
      </c>
      <c r="AH54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47" spans="1:34" x14ac:dyDescent="0.3">
      <c r="A547" t="s">
        <v>24</v>
      </c>
      <c r="B547" t="s">
        <v>85</v>
      </c>
      <c r="C547">
        <v>2025</v>
      </c>
      <c r="D547" t="s">
        <v>33</v>
      </c>
      <c r="E547" s="3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27</v>
      </c>
      <c r="N547">
        <v>7</v>
      </c>
      <c r="O547" t="s">
        <v>40</v>
      </c>
      <c r="P547">
        <v>70.2</v>
      </c>
      <c r="Q547">
        <v>1687</v>
      </c>
      <c r="R547">
        <v>5</v>
      </c>
      <c r="S547">
        <v>1</v>
      </c>
      <c r="T547" t="s">
        <v>29</v>
      </c>
      <c r="U547" t="s">
        <v>33</v>
      </c>
      <c r="V547" s="3">
        <v>225387</v>
      </c>
      <c r="W547">
        <v>3.43</v>
      </c>
      <c r="X547">
        <v>4</v>
      </c>
      <c r="Y547" s="1">
        <f>EV_Data4[[#This Row],[range_miles]]/EV_Data4[[#This Row],[battery_capacity_kwh]]</f>
        <v>3.2066115702479339</v>
      </c>
      <c r="Z547" s="4">
        <f>EV_Data4[[#This Row],[price_usd]]/EV_Data4[[#This Row],[range_miles]]</f>
        <v>485.10695876288662</v>
      </c>
      <c r="AA547" s="2">
        <f>(EV_Data4[[#This Row],[customer_rating]]*EV_Data4[[#This Row],[safety_rating]]*1000)/EV_Data4[[#This Row],[price_usd]]</f>
        <v>0.18223210419638569</v>
      </c>
      <c r="AB547">
        <f>EV_Data4[[#This Row],[horsepower]]+EV_Data4[[#This Row],[torque_nm]]/EV_Data4[[#This Row],[acceleration_0_60_mph]]</f>
        <v>1131.5555555555557</v>
      </c>
      <c r="AC547" t="str">
        <f>IF(EV_Data4[[#This Row],[price_usd]]&gt;=80000,"Luxury",IF(EV_Data4[[#This Row],[price_usd]]&gt;=40000,"Mid-Range","Budget"))</f>
        <v>Luxury</v>
      </c>
      <c r="AD547" t="str">
        <f>IF(EV_Data4[[#This Row],[range_miles]]&gt;=350,"Long-Range",IF(EV_Data4[[#This Row],[range_miles]]&gt;=250,"Medium-Range","Short-Range"))</f>
        <v>Short-Range</v>
      </c>
      <c r="AE547" t="str">
        <f>IF(EV_Data4[[#This Row],[charging_speed_kw]]&gt;=250,"Ultra-Fast",IF(EV_Data4[[#This Row],[charging_speed_kw]]&gt;=150,"Fast-Charging","Standard-Charging"))</f>
        <v>Standard-Charging</v>
      </c>
      <c r="AF547" t="str">
        <f>IF(EV_Data4[[#This Row],[acceleration_0_60_mph]]&lt;=3,"SportsPerformance",IF(EV_Data4[[#This Row],[acceleration_0_60_mph]]&lt;=5,"HighPerformance","Standard"))</f>
        <v>Standard</v>
      </c>
      <c r="AG547" t="str">
        <f>IF(EV_Data4[[#This Row],[customer_rating]]&gt;=4.5,"Excellent",IF(EV_Data4[[#This Row],[customer_rating]]&gt;=3.5,"Good","Average"))</f>
        <v>Average</v>
      </c>
      <c r="AH54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48" spans="1:34" x14ac:dyDescent="0.3">
      <c r="A548" t="s">
        <v>46</v>
      </c>
      <c r="B548" t="s">
        <v>72</v>
      </c>
      <c r="C548">
        <v>2025</v>
      </c>
      <c r="D548" t="s">
        <v>61</v>
      </c>
      <c r="E548" s="3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27</v>
      </c>
      <c r="N548">
        <v>7</v>
      </c>
      <c r="O548" t="s">
        <v>28</v>
      </c>
      <c r="P548">
        <v>57.9</v>
      </c>
      <c r="Q548">
        <v>2372</v>
      </c>
      <c r="R548">
        <v>4</v>
      </c>
      <c r="S548">
        <v>2</v>
      </c>
      <c r="T548" t="s">
        <v>41</v>
      </c>
      <c r="U548" t="s">
        <v>30</v>
      </c>
      <c r="V548" s="3">
        <v>199754</v>
      </c>
      <c r="W548">
        <v>3.28</v>
      </c>
      <c r="X548">
        <v>5</v>
      </c>
      <c r="Y548" s="1">
        <f>EV_Data4[[#This Row],[range_miles]]/EV_Data4[[#This Row],[battery_capacity_kwh]]</f>
        <v>3.7619047619047619</v>
      </c>
      <c r="Z548" s="4">
        <f>EV_Data4[[#This Row],[price_usd]]/EV_Data4[[#This Row],[range_miles]]</f>
        <v>793.0737341772151</v>
      </c>
      <c r="AA548" s="2">
        <f>(EV_Data4[[#This Row],[customer_rating]]*EV_Data4[[#This Row],[safety_rating]]*1000)/EV_Data4[[#This Row],[price_usd]]</f>
        <v>0.10470397783340177</v>
      </c>
      <c r="AB548">
        <f>EV_Data4[[#This Row],[horsepower]]+EV_Data4[[#This Row],[torque_nm]]/EV_Data4[[#This Row],[acceleration_0_60_mph]]</f>
        <v>980.93103448275861</v>
      </c>
      <c r="AC548" t="str">
        <f>IF(EV_Data4[[#This Row],[price_usd]]&gt;=80000,"Luxury",IF(EV_Data4[[#This Row],[price_usd]]&gt;=40000,"Mid-Range","Budget"))</f>
        <v>Luxury</v>
      </c>
      <c r="AD548" t="str">
        <f>IF(EV_Data4[[#This Row],[range_miles]]&gt;=350,"Long-Range",IF(EV_Data4[[#This Row],[range_miles]]&gt;=250,"Medium-Range","Short-Range"))</f>
        <v>Short-Range</v>
      </c>
      <c r="AE548" t="str">
        <f>IF(EV_Data4[[#This Row],[charging_speed_kw]]&gt;=250,"Ultra-Fast",IF(EV_Data4[[#This Row],[charging_speed_kw]]&gt;=150,"Fast-Charging","Standard-Charging"))</f>
        <v>Ultra-Fast</v>
      </c>
      <c r="AF548" t="str">
        <f>IF(EV_Data4[[#This Row],[acceleration_0_60_mph]]&lt;=3,"SportsPerformance",IF(EV_Data4[[#This Row],[acceleration_0_60_mph]]&lt;=5,"HighPerformance","Standard"))</f>
        <v>Standard</v>
      </c>
      <c r="AG548" t="str">
        <f>IF(EV_Data4[[#This Row],[customer_rating]]&gt;=4.5,"Excellent",IF(EV_Data4[[#This Row],[customer_rating]]&gt;=3.5,"Good","Average"))</f>
        <v>Average</v>
      </c>
      <c r="AH54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49" spans="1:34" x14ac:dyDescent="0.3">
      <c r="A549" t="s">
        <v>83</v>
      </c>
      <c r="B549" t="s">
        <v>84</v>
      </c>
      <c r="C549">
        <v>2026</v>
      </c>
      <c r="D549" t="s">
        <v>26</v>
      </c>
      <c r="E549" s="3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48</v>
      </c>
      <c r="N549">
        <v>5</v>
      </c>
      <c r="O549" t="s">
        <v>28</v>
      </c>
      <c r="P549">
        <v>53.7</v>
      </c>
      <c r="Q549">
        <v>2650</v>
      </c>
      <c r="R549">
        <v>5</v>
      </c>
      <c r="S549">
        <v>2</v>
      </c>
      <c r="T549" t="s">
        <v>29</v>
      </c>
      <c r="U549" t="s">
        <v>30</v>
      </c>
      <c r="V549" s="3">
        <v>50944</v>
      </c>
      <c r="W549">
        <v>3.38</v>
      </c>
      <c r="X549">
        <v>6</v>
      </c>
      <c r="Y549" s="1">
        <f>EV_Data4[[#This Row],[range_miles]]/EV_Data4[[#This Row],[battery_capacity_kwh]]</f>
        <v>3.4909596662030595</v>
      </c>
      <c r="Z549" s="4">
        <f>EV_Data4[[#This Row],[price_usd]]/EV_Data4[[#This Row],[range_miles]]</f>
        <v>466.03350597609563</v>
      </c>
      <c r="AA549" s="2">
        <f>(EV_Data4[[#This Row],[customer_rating]]*EV_Data4[[#This Row],[safety_rating]]*1000)/EV_Data4[[#This Row],[price_usd]]</f>
        <v>0.14447604394841573</v>
      </c>
      <c r="AB549">
        <f>EV_Data4[[#This Row],[horsepower]]+EV_Data4[[#This Row],[torque_nm]]/EV_Data4[[#This Row],[acceleration_0_60_mph]]</f>
        <v>1234.8837209302326</v>
      </c>
      <c r="AC549" t="str">
        <f>IF(EV_Data4[[#This Row],[price_usd]]&gt;=80000,"Luxury",IF(EV_Data4[[#This Row],[price_usd]]&gt;=40000,"Mid-Range","Budget"))</f>
        <v>Luxury</v>
      </c>
      <c r="AD549" t="str">
        <f>IF(EV_Data4[[#This Row],[range_miles]]&gt;=350,"Long-Range",IF(EV_Data4[[#This Row],[range_miles]]&gt;=250,"Medium-Range","Short-Range"))</f>
        <v>Medium-Range</v>
      </c>
      <c r="AE549" t="str">
        <f>IF(EV_Data4[[#This Row],[charging_speed_kw]]&gt;=250,"Ultra-Fast",IF(EV_Data4[[#This Row],[charging_speed_kw]]&gt;=150,"Fast-Charging","Standard-Charging"))</f>
        <v>Fast-Charging</v>
      </c>
      <c r="AF549" t="str">
        <f>IF(EV_Data4[[#This Row],[acceleration_0_60_mph]]&lt;=3,"SportsPerformance",IF(EV_Data4[[#This Row],[acceleration_0_60_mph]]&lt;=5,"HighPerformance","Standard"))</f>
        <v>HighPerformance</v>
      </c>
      <c r="AG549" t="str">
        <f>IF(EV_Data4[[#This Row],[customer_rating]]&gt;=4.5,"Excellent",IF(EV_Data4[[#This Row],[customer_rating]]&gt;=3.5,"Good","Average"))</f>
        <v>Average</v>
      </c>
      <c r="AH54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50" spans="1:34" x14ac:dyDescent="0.3">
      <c r="A550" t="s">
        <v>68</v>
      </c>
      <c r="B550" t="s">
        <v>79</v>
      </c>
      <c r="C550">
        <v>2024</v>
      </c>
      <c r="D550" t="s">
        <v>44</v>
      </c>
      <c r="E550" s="3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48</v>
      </c>
      <c r="N550">
        <v>5</v>
      </c>
      <c r="O550" t="s">
        <v>40</v>
      </c>
      <c r="P550">
        <v>61</v>
      </c>
      <c r="Q550">
        <v>1511</v>
      </c>
      <c r="R550">
        <v>5</v>
      </c>
      <c r="S550">
        <v>0</v>
      </c>
      <c r="T550" t="s">
        <v>45</v>
      </c>
      <c r="U550" t="s">
        <v>33</v>
      </c>
      <c r="V550" s="3">
        <v>53893</v>
      </c>
      <c r="W550">
        <v>3.55</v>
      </c>
      <c r="X550">
        <v>3</v>
      </c>
      <c r="Y550" s="1">
        <f>EV_Data4[[#This Row],[range_miles]]/EV_Data4[[#This Row],[battery_capacity_kwh]]</f>
        <v>3.6702767749699161</v>
      </c>
      <c r="Z550" s="4">
        <f>EV_Data4[[#This Row],[price_usd]]/EV_Data4[[#This Row],[range_miles]]</f>
        <v>277.87459016393444</v>
      </c>
      <c r="AA550" s="2">
        <f>(EV_Data4[[#This Row],[customer_rating]]*EV_Data4[[#This Row],[safety_rating]]*1000)/EV_Data4[[#This Row],[price_usd]]</f>
        <v>0.20943520340287958</v>
      </c>
      <c r="AB550">
        <f>EV_Data4[[#This Row],[horsepower]]+EV_Data4[[#This Row],[torque_nm]]/EV_Data4[[#This Row],[acceleration_0_60_mph]]</f>
        <v>1168.3060109289618</v>
      </c>
      <c r="AC550" t="str">
        <f>IF(EV_Data4[[#This Row],[price_usd]]&gt;=80000,"Luxury",IF(EV_Data4[[#This Row],[price_usd]]&gt;=40000,"Mid-Range","Budget"))</f>
        <v>Luxury</v>
      </c>
      <c r="AD550" t="str">
        <f>IF(EV_Data4[[#This Row],[range_miles]]&gt;=350,"Long-Range",IF(EV_Data4[[#This Row],[range_miles]]&gt;=250,"Medium-Range","Short-Range"))</f>
        <v>Medium-Range</v>
      </c>
      <c r="AE550" t="str">
        <f>IF(EV_Data4[[#This Row],[charging_speed_kw]]&gt;=250,"Ultra-Fast",IF(EV_Data4[[#This Row],[charging_speed_kw]]&gt;=150,"Fast-Charging","Standard-Charging"))</f>
        <v>Standard-Charging</v>
      </c>
      <c r="AF550" t="str">
        <f>IF(EV_Data4[[#This Row],[acceleration_0_60_mph]]&lt;=3,"SportsPerformance",IF(EV_Data4[[#This Row],[acceleration_0_60_mph]]&lt;=5,"HighPerformance","Standard"))</f>
        <v>Standard</v>
      </c>
      <c r="AG550" t="str">
        <f>IF(EV_Data4[[#This Row],[customer_rating]]&gt;=4.5,"Excellent",IF(EV_Data4[[#This Row],[customer_rating]]&gt;=3.5,"Good","Average"))</f>
        <v>Good</v>
      </c>
      <c r="AH55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51" spans="1:34" x14ac:dyDescent="0.3">
      <c r="A551" t="s">
        <v>76</v>
      </c>
      <c r="B551" t="s">
        <v>98</v>
      </c>
      <c r="C551">
        <v>2025</v>
      </c>
      <c r="D551" t="s">
        <v>61</v>
      </c>
      <c r="E551" s="3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48</v>
      </c>
      <c r="N551">
        <v>7</v>
      </c>
      <c r="O551" t="s">
        <v>51</v>
      </c>
      <c r="P551">
        <v>22</v>
      </c>
      <c r="Q551">
        <v>1592</v>
      </c>
      <c r="R551">
        <v>4</v>
      </c>
      <c r="S551">
        <v>2</v>
      </c>
      <c r="T551" t="s">
        <v>41</v>
      </c>
      <c r="U551" t="s">
        <v>33</v>
      </c>
      <c r="V551" s="3">
        <v>24686</v>
      </c>
      <c r="W551">
        <v>3.21</v>
      </c>
      <c r="X551">
        <v>4</v>
      </c>
      <c r="Y551" s="1">
        <f>EV_Data4[[#This Row],[range_miles]]/EV_Data4[[#This Row],[battery_capacity_kwh]]</f>
        <v>3.1717171717171717</v>
      </c>
      <c r="Z551" s="4">
        <f>EV_Data4[[#This Row],[price_usd]]/EV_Data4[[#This Row],[range_miles]]</f>
        <v>416.11076433121019</v>
      </c>
      <c r="AA551" s="2">
        <f>(EV_Data4[[#This Row],[customer_rating]]*EV_Data4[[#This Row],[safety_rating]]*1000)/EV_Data4[[#This Row],[price_usd]]</f>
        <v>0.19654247498713825</v>
      </c>
      <c r="AB551">
        <f>EV_Data4[[#This Row],[horsepower]]+EV_Data4[[#This Row],[torque_nm]]/EV_Data4[[#This Row],[acceleration_0_60_mph]]</f>
        <v>775.65890183028284</v>
      </c>
      <c r="AC551" t="str">
        <f>IF(EV_Data4[[#This Row],[price_usd]]&gt;=80000,"Luxury",IF(EV_Data4[[#This Row],[price_usd]]&gt;=40000,"Mid-Range","Budget"))</f>
        <v>Mid-Range</v>
      </c>
      <c r="AD551" t="str">
        <f>IF(EV_Data4[[#This Row],[range_miles]]&gt;=350,"Long-Range",IF(EV_Data4[[#This Row],[range_miles]]&gt;=250,"Medium-Range","Short-Range"))</f>
        <v>Short-Range</v>
      </c>
      <c r="AE551" t="str">
        <f>IF(EV_Data4[[#This Row],[charging_speed_kw]]&gt;=250,"Ultra-Fast",IF(EV_Data4[[#This Row],[charging_speed_kw]]&gt;=150,"Fast-Charging","Standard-Charging"))</f>
        <v>Standard-Charging</v>
      </c>
      <c r="AF551" t="str">
        <f>IF(EV_Data4[[#This Row],[acceleration_0_60_mph]]&lt;=3,"SportsPerformance",IF(EV_Data4[[#This Row],[acceleration_0_60_mph]]&lt;=5,"HighPerformance","Standard"))</f>
        <v>Standard</v>
      </c>
      <c r="AG551" t="str">
        <f>IF(EV_Data4[[#This Row],[customer_rating]]&gt;=4.5,"Excellent",IF(EV_Data4[[#This Row],[customer_rating]]&gt;=3.5,"Good","Average"))</f>
        <v>Average</v>
      </c>
      <c r="AH55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52" spans="1:34" x14ac:dyDescent="0.3">
      <c r="A552" t="s">
        <v>68</v>
      </c>
      <c r="B552" t="s">
        <v>90</v>
      </c>
      <c r="C552">
        <v>2026</v>
      </c>
      <c r="D552" t="s">
        <v>44</v>
      </c>
      <c r="E552" s="3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34</v>
      </c>
      <c r="N552">
        <v>5</v>
      </c>
      <c r="O552" t="s">
        <v>28</v>
      </c>
      <c r="P552">
        <v>67.3</v>
      </c>
      <c r="Q552">
        <v>2653</v>
      </c>
      <c r="R552">
        <v>5</v>
      </c>
      <c r="S552">
        <v>2</v>
      </c>
      <c r="T552" t="s">
        <v>45</v>
      </c>
      <c r="U552" t="s">
        <v>33</v>
      </c>
      <c r="V552" s="3">
        <v>126223</v>
      </c>
      <c r="W552">
        <v>3.68</v>
      </c>
      <c r="X552">
        <v>4</v>
      </c>
      <c r="Y552" s="1">
        <f>EV_Data4[[#This Row],[range_miles]]/EV_Data4[[#This Row],[battery_capacity_kwh]]</f>
        <v>3.5641025641025643</v>
      </c>
      <c r="Z552" s="4">
        <f>EV_Data4[[#This Row],[price_usd]]/EV_Data4[[#This Row],[range_miles]]</f>
        <v>282.78672661870507</v>
      </c>
      <c r="AA552" s="2">
        <f>(EV_Data4[[#This Row],[customer_rating]]*EV_Data4[[#This Row],[safety_rating]]*1000)/EV_Data4[[#This Row],[price_usd]]</f>
        <v>0.23405288908398952</v>
      </c>
      <c r="AB552">
        <f>EV_Data4[[#This Row],[horsepower]]+EV_Data4[[#This Row],[torque_nm]]/EV_Data4[[#This Row],[acceleration_0_60_mph]]</f>
        <v>1145.4905660377358</v>
      </c>
      <c r="AC552" t="str">
        <f>IF(EV_Data4[[#This Row],[price_usd]]&gt;=80000,"Luxury",IF(EV_Data4[[#This Row],[price_usd]]&gt;=40000,"Mid-Range","Budget"))</f>
        <v>Mid-Range</v>
      </c>
      <c r="AD552" t="str">
        <f>IF(EV_Data4[[#This Row],[range_miles]]&gt;=350,"Long-Range",IF(EV_Data4[[#This Row],[range_miles]]&gt;=250,"Medium-Range","Short-Range"))</f>
        <v>Medium-Range</v>
      </c>
      <c r="AE552" t="str">
        <f>IF(EV_Data4[[#This Row],[charging_speed_kw]]&gt;=250,"Ultra-Fast",IF(EV_Data4[[#This Row],[charging_speed_kw]]&gt;=150,"Fast-Charging","Standard-Charging"))</f>
        <v>Standard-Charging</v>
      </c>
      <c r="AF552" t="str">
        <f>IF(EV_Data4[[#This Row],[acceleration_0_60_mph]]&lt;=3,"SportsPerformance",IF(EV_Data4[[#This Row],[acceleration_0_60_mph]]&lt;=5,"HighPerformance","Standard"))</f>
        <v>Standard</v>
      </c>
      <c r="AG552" t="str">
        <f>IF(EV_Data4[[#This Row],[customer_rating]]&gt;=4.5,"Excellent",IF(EV_Data4[[#This Row],[customer_rating]]&gt;=3.5,"Good","Average"))</f>
        <v>Good</v>
      </c>
      <c r="AH55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53" spans="1:34" x14ac:dyDescent="0.3">
      <c r="A553" t="s">
        <v>52</v>
      </c>
      <c r="B553" t="s">
        <v>103</v>
      </c>
      <c r="C553">
        <v>2026</v>
      </c>
      <c r="D553" t="s">
        <v>61</v>
      </c>
      <c r="E553" s="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34</v>
      </c>
      <c r="N553">
        <v>5</v>
      </c>
      <c r="O553" t="s">
        <v>35</v>
      </c>
      <c r="P553">
        <v>59.2</v>
      </c>
      <c r="Q553">
        <v>2160</v>
      </c>
      <c r="R553">
        <v>4</v>
      </c>
      <c r="S553">
        <v>2</v>
      </c>
      <c r="T553" t="s">
        <v>29</v>
      </c>
      <c r="U553" t="s">
        <v>30</v>
      </c>
      <c r="V553" s="3">
        <v>54508</v>
      </c>
      <c r="W553">
        <v>3.82</v>
      </c>
      <c r="X553">
        <v>5</v>
      </c>
      <c r="Y553" s="1">
        <f>EV_Data4[[#This Row],[range_miles]]/EV_Data4[[#This Row],[battery_capacity_kwh]]</f>
        <v>3.2614555256064688</v>
      </c>
      <c r="Z553" s="4">
        <f>EV_Data4[[#This Row],[price_usd]]/EV_Data4[[#This Row],[range_miles]]</f>
        <v>558.26987603305781</v>
      </c>
      <c r="AA553" s="2">
        <f>(EV_Data4[[#This Row],[customer_rating]]*EV_Data4[[#This Row],[safety_rating]]*1000)/EV_Data4[[#This Row],[price_usd]]</f>
        <v>0.1131003096861163</v>
      </c>
      <c r="AB553">
        <f>EV_Data4[[#This Row],[horsepower]]+EV_Data4[[#This Row],[torque_nm]]/EV_Data4[[#This Row],[acceleration_0_60_mph]]</f>
        <v>950.1640625</v>
      </c>
      <c r="AC553" t="str">
        <f>IF(EV_Data4[[#This Row],[price_usd]]&gt;=80000,"Luxury",IF(EV_Data4[[#This Row],[price_usd]]&gt;=40000,"Mid-Range","Budget"))</f>
        <v>Luxury</v>
      </c>
      <c r="AD553" t="str">
        <f>IF(EV_Data4[[#This Row],[range_miles]]&gt;=350,"Long-Range",IF(EV_Data4[[#This Row],[range_miles]]&gt;=250,"Medium-Range","Short-Range"))</f>
        <v>Short-Range</v>
      </c>
      <c r="AE553" t="str">
        <f>IF(EV_Data4[[#This Row],[charging_speed_kw]]&gt;=250,"Ultra-Fast",IF(EV_Data4[[#This Row],[charging_speed_kw]]&gt;=150,"Fast-Charging","Standard-Charging"))</f>
        <v>Standard-Charging</v>
      </c>
      <c r="AF553" t="str">
        <f>IF(EV_Data4[[#This Row],[acceleration_0_60_mph]]&lt;=3,"SportsPerformance",IF(EV_Data4[[#This Row],[acceleration_0_60_mph]]&lt;=5,"HighPerformance","Standard"))</f>
        <v>Standard</v>
      </c>
      <c r="AG553" t="str">
        <f>IF(EV_Data4[[#This Row],[customer_rating]]&gt;=4.5,"Excellent",IF(EV_Data4[[#This Row],[customer_rating]]&gt;=3.5,"Good","Average"))</f>
        <v>Good</v>
      </c>
      <c r="AH55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54" spans="1:34" x14ac:dyDescent="0.3">
      <c r="A554" t="s">
        <v>42</v>
      </c>
      <c r="B554" t="s">
        <v>54</v>
      </c>
      <c r="C554">
        <v>2023</v>
      </c>
      <c r="D554" t="s">
        <v>33</v>
      </c>
      <c r="E554" s="3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48</v>
      </c>
      <c r="N554">
        <v>7</v>
      </c>
      <c r="O554" t="s">
        <v>40</v>
      </c>
      <c r="P554">
        <v>79</v>
      </c>
      <c r="Q554">
        <v>1729</v>
      </c>
      <c r="R554">
        <v>5</v>
      </c>
      <c r="S554">
        <v>2</v>
      </c>
      <c r="T554" t="s">
        <v>45</v>
      </c>
      <c r="U554" t="s">
        <v>33</v>
      </c>
      <c r="V554" s="3">
        <v>123691</v>
      </c>
      <c r="W554">
        <v>3.45</v>
      </c>
      <c r="X554">
        <v>4</v>
      </c>
      <c r="Y554" s="1">
        <f>EV_Data4[[#This Row],[range_miles]]/EV_Data4[[#This Row],[battery_capacity_kwh]]</f>
        <v>3.5025380710659899</v>
      </c>
      <c r="Z554" s="4">
        <f>EV_Data4[[#This Row],[price_usd]]/EV_Data4[[#This Row],[range_miles]]</f>
        <v>466.14985507246377</v>
      </c>
      <c r="AA554" s="2">
        <f>(EV_Data4[[#This Row],[customer_rating]]*EV_Data4[[#This Row],[safety_rating]]*1000)/EV_Data4[[#This Row],[price_usd]]</f>
        <v>0.17876940736231489</v>
      </c>
      <c r="AB554">
        <f>EV_Data4[[#This Row],[horsepower]]+EV_Data4[[#This Row],[torque_nm]]/EV_Data4[[#This Row],[acceleration_0_60_mph]]</f>
        <v>1133.1034482758621</v>
      </c>
      <c r="AC554" t="str">
        <f>IF(EV_Data4[[#This Row],[price_usd]]&gt;=80000,"Luxury",IF(EV_Data4[[#This Row],[price_usd]]&gt;=40000,"Mid-Range","Budget"))</f>
        <v>Luxury</v>
      </c>
      <c r="AD554" t="str">
        <f>IF(EV_Data4[[#This Row],[range_miles]]&gt;=350,"Long-Range",IF(EV_Data4[[#This Row],[range_miles]]&gt;=250,"Medium-Range","Short-Range"))</f>
        <v>Short-Range</v>
      </c>
      <c r="AE554" t="str">
        <f>IF(EV_Data4[[#This Row],[charging_speed_kw]]&gt;=250,"Ultra-Fast",IF(EV_Data4[[#This Row],[charging_speed_kw]]&gt;=150,"Fast-Charging","Standard-Charging"))</f>
        <v>Standard-Charging</v>
      </c>
      <c r="AF554" t="str">
        <f>IF(EV_Data4[[#This Row],[acceleration_0_60_mph]]&lt;=3,"SportsPerformance",IF(EV_Data4[[#This Row],[acceleration_0_60_mph]]&lt;=5,"HighPerformance","Standard"))</f>
        <v>Standard</v>
      </c>
      <c r="AG554" t="str">
        <f>IF(EV_Data4[[#This Row],[customer_rating]]&gt;=4.5,"Excellent",IF(EV_Data4[[#This Row],[customer_rating]]&gt;=3.5,"Good","Average"))</f>
        <v>Average</v>
      </c>
      <c r="AH55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55" spans="1:34" x14ac:dyDescent="0.3">
      <c r="A555" t="s">
        <v>42</v>
      </c>
      <c r="B555" t="s">
        <v>80</v>
      </c>
      <c r="C555">
        <v>2023</v>
      </c>
      <c r="D555" t="s">
        <v>56</v>
      </c>
      <c r="E555" s="3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34</v>
      </c>
      <c r="N555">
        <v>5</v>
      </c>
      <c r="O555" t="s">
        <v>35</v>
      </c>
      <c r="P555">
        <v>53</v>
      </c>
      <c r="Q555">
        <v>1976</v>
      </c>
      <c r="R555">
        <v>5</v>
      </c>
      <c r="S555">
        <v>0</v>
      </c>
      <c r="T555" t="s">
        <v>45</v>
      </c>
      <c r="U555" t="s">
        <v>37</v>
      </c>
      <c r="V555" s="3">
        <v>98868</v>
      </c>
      <c r="W555">
        <v>3.23</v>
      </c>
      <c r="X555">
        <v>3</v>
      </c>
      <c r="Y555" s="1">
        <f>EV_Data4[[#This Row],[range_miles]]/EV_Data4[[#This Row],[battery_capacity_kwh]]</f>
        <v>3.4901365705614564</v>
      </c>
      <c r="Z555" s="4">
        <f>EV_Data4[[#This Row],[price_usd]]/EV_Data4[[#This Row],[range_miles]]</f>
        <v>226.55673913043481</v>
      </c>
      <c r="AA555" s="2">
        <f>(EV_Data4[[#This Row],[customer_rating]]*EV_Data4[[#This Row],[safety_rating]]*1000)/EV_Data4[[#This Row],[price_usd]]</f>
        <v>0.30993291823432267</v>
      </c>
      <c r="AB555">
        <f>EV_Data4[[#This Row],[horsepower]]+EV_Data4[[#This Row],[torque_nm]]/EV_Data4[[#This Row],[acceleration_0_60_mph]]</f>
        <v>596.77380952380952</v>
      </c>
      <c r="AC555" t="str">
        <f>IF(EV_Data4[[#This Row],[price_usd]]&gt;=80000,"Luxury",IF(EV_Data4[[#This Row],[price_usd]]&gt;=40000,"Mid-Range","Budget"))</f>
        <v>Mid-Range</v>
      </c>
      <c r="AD555" t="str">
        <f>IF(EV_Data4[[#This Row],[range_miles]]&gt;=350,"Long-Range",IF(EV_Data4[[#This Row],[range_miles]]&gt;=250,"Medium-Range","Short-Range"))</f>
        <v>Short-Range</v>
      </c>
      <c r="AE555" t="str">
        <f>IF(EV_Data4[[#This Row],[charging_speed_kw]]&gt;=250,"Ultra-Fast",IF(EV_Data4[[#This Row],[charging_speed_kw]]&gt;=150,"Fast-Charging","Standard-Charging"))</f>
        <v>Standard-Charging</v>
      </c>
      <c r="AF555" t="str">
        <f>IF(EV_Data4[[#This Row],[acceleration_0_60_mph]]&lt;=3,"SportsPerformance",IF(EV_Data4[[#This Row],[acceleration_0_60_mph]]&lt;=5,"HighPerformance","Standard"))</f>
        <v>Standard</v>
      </c>
      <c r="AG555" t="str">
        <f>IF(EV_Data4[[#This Row],[customer_rating]]&gt;=4.5,"Excellent",IF(EV_Data4[[#This Row],[customer_rating]]&gt;=3.5,"Good","Average"))</f>
        <v>Average</v>
      </c>
      <c r="AH55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56" spans="1:34" x14ac:dyDescent="0.3">
      <c r="A556" t="s">
        <v>86</v>
      </c>
      <c r="B556" t="s">
        <v>108</v>
      </c>
      <c r="C556">
        <v>2023</v>
      </c>
      <c r="D556" t="s">
        <v>56</v>
      </c>
      <c r="E556" s="3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27</v>
      </c>
      <c r="N556">
        <v>5</v>
      </c>
      <c r="O556" t="s">
        <v>50</v>
      </c>
      <c r="P556">
        <v>16.899999999999999</v>
      </c>
      <c r="Q556">
        <v>1834</v>
      </c>
      <c r="R556">
        <v>5</v>
      </c>
      <c r="S556">
        <v>1</v>
      </c>
      <c r="T556" t="s">
        <v>29</v>
      </c>
      <c r="U556" t="s">
        <v>33</v>
      </c>
      <c r="V556" s="3">
        <v>70832</v>
      </c>
      <c r="W556">
        <v>3.16</v>
      </c>
      <c r="X556">
        <v>6</v>
      </c>
      <c r="Y556" s="1">
        <f>EV_Data4[[#This Row],[range_miles]]/EV_Data4[[#This Row],[battery_capacity_kwh]]</f>
        <v>3.6792452830188678</v>
      </c>
      <c r="Z556" s="4">
        <f>EV_Data4[[#This Row],[price_usd]]/EV_Data4[[#This Row],[range_miles]]</f>
        <v>479.54246153846151</v>
      </c>
      <c r="AA556" s="2">
        <f>(EV_Data4[[#This Row],[customer_rating]]*EV_Data4[[#This Row],[safety_rating]]*1000)/EV_Data4[[#This Row],[price_usd]]</f>
        <v>0.16896447660900701</v>
      </c>
      <c r="AB556">
        <f>EV_Data4[[#This Row],[horsepower]]+EV_Data4[[#This Row],[torque_nm]]/EV_Data4[[#This Row],[acceleration_0_60_mph]]</f>
        <v>769.62992125984249</v>
      </c>
      <c r="AC556" t="str">
        <f>IF(EV_Data4[[#This Row],[price_usd]]&gt;=80000,"Luxury",IF(EV_Data4[[#This Row],[price_usd]]&gt;=40000,"Mid-Range","Budget"))</f>
        <v>Luxury</v>
      </c>
      <c r="AD556" t="str">
        <f>IF(EV_Data4[[#This Row],[range_miles]]&gt;=350,"Long-Range",IF(EV_Data4[[#This Row],[range_miles]]&gt;=250,"Medium-Range","Short-Range"))</f>
        <v>Short-Range</v>
      </c>
      <c r="AE556" t="str">
        <f>IF(EV_Data4[[#This Row],[charging_speed_kw]]&gt;=250,"Ultra-Fast",IF(EV_Data4[[#This Row],[charging_speed_kw]]&gt;=150,"Fast-Charging","Standard-Charging"))</f>
        <v>Standard-Charging</v>
      </c>
      <c r="AF556" t="str">
        <f>IF(EV_Data4[[#This Row],[acceleration_0_60_mph]]&lt;=3,"SportsPerformance",IF(EV_Data4[[#This Row],[acceleration_0_60_mph]]&lt;=5,"HighPerformance","Standard"))</f>
        <v>Standard</v>
      </c>
      <c r="AG556" t="str">
        <f>IF(EV_Data4[[#This Row],[customer_rating]]&gt;=4.5,"Excellent",IF(EV_Data4[[#This Row],[customer_rating]]&gt;=3.5,"Good","Average"))</f>
        <v>Average</v>
      </c>
      <c r="AH55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57" spans="1:34" x14ac:dyDescent="0.3">
      <c r="A557" t="s">
        <v>24</v>
      </c>
      <c r="B557" t="s">
        <v>70</v>
      </c>
      <c r="C557">
        <v>2024</v>
      </c>
      <c r="D557" t="s">
        <v>61</v>
      </c>
      <c r="E557" s="3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34</v>
      </c>
      <c r="N557">
        <v>5</v>
      </c>
      <c r="O557" t="s">
        <v>51</v>
      </c>
      <c r="P557">
        <v>19.5</v>
      </c>
      <c r="Q557">
        <v>1684</v>
      </c>
      <c r="R557">
        <v>4</v>
      </c>
      <c r="S557">
        <v>1</v>
      </c>
      <c r="T557" t="s">
        <v>29</v>
      </c>
      <c r="U557" t="s">
        <v>33</v>
      </c>
      <c r="V557" s="3">
        <v>259295</v>
      </c>
      <c r="W557">
        <v>3.2</v>
      </c>
      <c r="X557">
        <v>3</v>
      </c>
      <c r="Y557" s="1">
        <f>EV_Data4[[#This Row],[range_miles]]/EV_Data4[[#This Row],[battery_capacity_kwh]]</f>
        <v>3.4549356223175964</v>
      </c>
      <c r="Z557" s="4">
        <f>EV_Data4[[#This Row],[price_usd]]/EV_Data4[[#This Row],[range_miles]]</f>
        <v>485.92167701863355</v>
      </c>
      <c r="AA557" s="2">
        <f>(EV_Data4[[#This Row],[customer_rating]]*EV_Data4[[#This Row],[safety_rating]]*1000)/EV_Data4[[#This Row],[price_usd]]</f>
        <v>0.16361300462628553</v>
      </c>
      <c r="AB557">
        <f>EV_Data4[[#This Row],[horsepower]]+EV_Data4[[#This Row],[torque_nm]]/EV_Data4[[#This Row],[acceleration_0_60_mph]]</f>
        <v>918.27828348504545</v>
      </c>
      <c r="AC557" t="str">
        <f>IF(EV_Data4[[#This Row],[price_usd]]&gt;=80000,"Luxury",IF(EV_Data4[[#This Row],[price_usd]]&gt;=40000,"Mid-Range","Budget"))</f>
        <v>Mid-Range</v>
      </c>
      <c r="AD557" t="str">
        <f>IF(EV_Data4[[#This Row],[range_miles]]&gt;=350,"Long-Range",IF(EV_Data4[[#This Row],[range_miles]]&gt;=250,"Medium-Range","Short-Range"))</f>
        <v>Short-Range</v>
      </c>
      <c r="AE557" t="str">
        <f>IF(EV_Data4[[#This Row],[charging_speed_kw]]&gt;=250,"Ultra-Fast",IF(EV_Data4[[#This Row],[charging_speed_kw]]&gt;=150,"Fast-Charging","Standard-Charging"))</f>
        <v>Standard-Charging</v>
      </c>
      <c r="AF557" t="str">
        <f>IF(EV_Data4[[#This Row],[acceleration_0_60_mph]]&lt;=3,"SportsPerformance",IF(EV_Data4[[#This Row],[acceleration_0_60_mph]]&lt;=5,"HighPerformance","Standard"))</f>
        <v>Standard</v>
      </c>
      <c r="AG557" t="str">
        <f>IF(EV_Data4[[#This Row],[customer_rating]]&gt;=4.5,"Excellent",IF(EV_Data4[[#This Row],[customer_rating]]&gt;=3.5,"Good","Average"))</f>
        <v>Average</v>
      </c>
      <c r="AH55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58" spans="1:34" x14ac:dyDescent="0.3">
      <c r="A558" t="s">
        <v>46</v>
      </c>
      <c r="B558" t="s">
        <v>57</v>
      </c>
      <c r="C558">
        <v>2025</v>
      </c>
      <c r="D558" t="s">
        <v>56</v>
      </c>
      <c r="E558" s="3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34</v>
      </c>
      <c r="N558">
        <v>5</v>
      </c>
      <c r="O558" t="s">
        <v>50</v>
      </c>
      <c r="P558">
        <v>27.1</v>
      </c>
      <c r="Q558">
        <v>1882</v>
      </c>
      <c r="R558">
        <v>5</v>
      </c>
      <c r="S558">
        <v>2</v>
      </c>
      <c r="T558" t="s">
        <v>41</v>
      </c>
      <c r="U558" t="s">
        <v>30</v>
      </c>
      <c r="V558" s="3">
        <v>160905</v>
      </c>
      <c r="W558">
        <v>3.89</v>
      </c>
      <c r="X558">
        <v>5</v>
      </c>
      <c r="Y558" s="1">
        <f>EV_Data4[[#This Row],[range_miles]]/EV_Data4[[#This Row],[battery_capacity_kwh]]</f>
        <v>3.3930704898446833</v>
      </c>
      <c r="Z558" s="4">
        <f>EV_Data4[[#This Row],[price_usd]]/EV_Data4[[#This Row],[range_miles]]</f>
        <v>359.07123239436618</v>
      </c>
      <c r="AA558" s="2">
        <f>(EV_Data4[[#This Row],[customer_rating]]*EV_Data4[[#This Row],[safety_rating]]*1000)/EV_Data4[[#This Row],[price_usd]]</f>
        <v>0.19073072224772381</v>
      </c>
      <c r="AB558">
        <f>EV_Data4[[#This Row],[horsepower]]+EV_Data4[[#This Row],[torque_nm]]/EV_Data4[[#This Row],[acceleration_0_60_mph]]</f>
        <v>847.92265193370167</v>
      </c>
      <c r="AC558" t="str">
        <f>IF(EV_Data4[[#This Row],[price_usd]]&gt;=80000,"Luxury",IF(EV_Data4[[#This Row],[price_usd]]&gt;=40000,"Mid-Range","Budget"))</f>
        <v>Luxury</v>
      </c>
      <c r="AD558" t="str">
        <f>IF(EV_Data4[[#This Row],[range_miles]]&gt;=350,"Long-Range",IF(EV_Data4[[#This Row],[range_miles]]&gt;=250,"Medium-Range","Short-Range"))</f>
        <v>Medium-Range</v>
      </c>
      <c r="AE558" t="str">
        <f>IF(EV_Data4[[#This Row],[charging_speed_kw]]&gt;=250,"Ultra-Fast",IF(EV_Data4[[#This Row],[charging_speed_kw]]&gt;=150,"Fast-Charging","Standard-Charging"))</f>
        <v>Ultra-Fast</v>
      </c>
      <c r="AF558" t="str">
        <f>IF(EV_Data4[[#This Row],[acceleration_0_60_mph]]&lt;=3,"SportsPerformance",IF(EV_Data4[[#This Row],[acceleration_0_60_mph]]&lt;=5,"HighPerformance","Standard"))</f>
        <v>Standard</v>
      </c>
      <c r="AG558" t="str">
        <f>IF(EV_Data4[[#This Row],[customer_rating]]&gt;=4.5,"Excellent",IF(EV_Data4[[#This Row],[customer_rating]]&gt;=3.5,"Good","Average"))</f>
        <v>Good</v>
      </c>
      <c r="AH55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59" spans="1:34" x14ac:dyDescent="0.3">
      <c r="A559" t="s">
        <v>46</v>
      </c>
      <c r="B559" t="s">
        <v>49</v>
      </c>
      <c r="C559">
        <v>2024</v>
      </c>
      <c r="D559" t="s">
        <v>61</v>
      </c>
      <c r="E559" s="3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27</v>
      </c>
      <c r="N559">
        <v>5</v>
      </c>
      <c r="O559" t="s">
        <v>58</v>
      </c>
      <c r="P559">
        <v>16.100000000000001</v>
      </c>
      <c r="Q559">
        <v>1577</v>
      </c>
      <c r="R559">
        <v>4</v>
      </c>
      <c r="S559">
        <v>2</v>
      </c>
      <c r="T559" t="s">
        <v>41</v>
      </c>
      <c r="U559" t="s">
        <v>30</v>
      </c>
      <c r="V559" s="3">
        <v>414109</v>
      </c>
      <c r="W559">
        <v>3.55</v>
      </c>
      <c r="X559">
        <v>4</v>
      </c>
      <c r="Y559" s="1">
        <f>EV_Data4[[#This Row],[range_miles]]/EV_Data4[[#This Row],[battery_capacity_kwh]]</f>
        <v>3.0524344569288391</v>
      </c>
      <c r="Z559" s="4">
        <f>EV_Data4[[#This Row],[price_usd]]/EV_Data4[[#This Row],[range_miles]]</f>
        <v>674.8523926380368</v>
      </c>
      <c r="AA559" s="2">
        <f>(EV_Data4[[#This Row],[customer_rating]]*EV_Data4[[#This Row],[safety_rating]]*1000)/EV_Data4[[#This Row],[price_usd]]</f>
        <v>0.12908980595983999</v>
      </c>
      <c r="AB559">
        <f>EV_Data4[[#This Row],[horsepower]]+EV_Data4[[#This Row],[torque_nm]]/EV_Data4[[#This Row],[acceleration_0_60_mph]]</f>
        <v>952.15196998123827</v>
      </c>
      <c r="AC559" t="str">
        <f>IF(EV_Data4[[#This Row],[price_usd]]&gt;=80000,"Luxury",IF(EV_Data4[[#This Row],[price_usd]]&gt;=40000,"Mid-Range","Budget"))</f>
        <v>Luxury</v>
      </c>
      <c r="AD559" t="str">
        <f>IF(EV_Data4[[#This Row],[range_miles]]&gt;=350,"Long-Range",IF(EV_Data4[[#This Row],[range_miles]]&gt;=250,"Medium-Range","Short-Range"))</f>
        <v>Short-Range</v>
      </c>
      <c r="AE559" t="str">
        <f>IF(EV_Data4[[#This Row],[charging_speed_kw]]&gt;=250,"Ultra-Fast",IF(EV_Data4[[#This Row],[charging_speed_kw]]&gt;=150,"Fast-Charging","Standard-Charging"))</f>
        <v>Ultra-Fast</v>
      </c>
      <c r="AF559" t="str">
        <f>IF(EV_Data4[[#This Row],[acceleration_0_60_mph]]&lt;=3,"SportsPerformance",IF(EV_Data4[[#This Row],[acceleration_0_60_mph]]&lt;=5,"HighPerformance","Standard"))</f>
        <v>Standard</v>
      </c>
      <c r="AG559" t="str">
        <f>IF(EV_Data4[[#This Row],[customer_rating]]&gt;=4.5,"Excellent",IF(EV_Data4[[#This Row],[customer_rating]]&gt;=3.5,"Good","Average"))</f>
        <v>Good</v>
      </c>
      <c r="AH55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60" spans="1:34" x14ac:dyDescent="0.3">
      <c r="A560" t="s">
        <v>38</v>
      </c>
      <c r="B560" t="s">
        <v>102</v>
      </c>
      <c r="C560">
        <v>2025</v>
      </c>
      <c r="D560" t="s">
        <v>26</v>
      </c>
      <c r="E560" s="3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27</v>
      </c>
      <c r="N560">
        <v>5</v>
      </c>
      <c r="O560" t="s">
        <v>35</v>
      </c>
      <c r="P560">
        <v>59.7</v>
      </c>
      <c r="Q560">
        <v>1801</v>
      </c>
      <c r="R560">
        <v>3</v>
      </c>
      <c r="S560">
        <v>1</v>
      </c>
      <c r="T560" t="s">
        <v>41</v>
      </c>
      <c r="U560" t="s">
        <v>33</v>
      </c>
      <c r="V560" s="3">
        <v>17250</v>
      </c>
      <c r="W560">
        <v>3.59</v>
      </c>
      <c r="X560">
        <v>4</v>
      </c>
      <c r="Y560" s="1">
        <f>EV_Data4[[#This Row],[range_miles]]/EV_Data4[[#This Row],[battery_capacity_kwh]]</f>
        <v>3.39906103286385</v>
      </c>
      <c r="Z560" s="4">
        <f>EV_Data4[[#This Row],[price_usd]]/EV_Data4[[#This Row],[range_miles]]</f>
        <v>229.60593922651935</v>
      </c>
      <c r="AA560" s="2">
        <f>(EV_Data4[[#This Row],[customer_rating]]*EV_Data4[[#This Row],[safety_rating]]*1000)/EV_Data4[[#This Row],[price_usd]]</f>
        <v>0.12957583464824129</v>
      </c>
      <c r="AB560">
        <f>EV_Data4[[#This Row],[horsepower]]+EV_Data4[[#This Row],[torque_nm]]/EV_Data4[[#This Row],[acceleration_0_60_mph]]</f>
        <v>1290.1960784313726</v>
      </c>
      <c r="AC560" t="str">
        <f>IF(EV_Data4[[#This Row],[price_usd]]&gt;=80000,"Luxury",IF(EV_Data4[[#This Row],[price_usd]]&gt;=40000,"Mid-Range","Budget"))</f>
        <v>Luxury</v>
      </c>
      <c r="AD560" t="str">
        <f>IF(EV_Data4[[#This Row],[range_miles]]&gt;=350,"Long-Range",IF(EV_Data4[[#This Row],[range_miles]]&gt;=250,"Medium-Range","Short-Range"))</f>
        <v>Long-Range</v>
      </c>
      <c r="AE560" t="str">
        <f>IF(EV_Data4[[#This Row],[charging_speed_kw]]&gt;=250,"Ultra-Fast",IF(EV_Data4[[#This Row],[charging_speed_kw]]&gt;=150,"Fast-Charging","Standard-Charging"))</f>
        <v>Fast-Charging</v>
      </c>
      <c r="AF560" t="str">
        <f>IF(EV_Data4[[#This Row],[acceleration_0_60_mph]]&lt;=3,"SportsPerformance",IF(EV_Data4[[#This Row],[acceleration_0_60_mph]]&lt;=5,"HighPerformance","Standard"))</f>
        <v>HighPerformance</v>
      </c>
      <c r="AG560" t="str">
        <f>IF(EV_Data4[[#This Row],[customer_rating]]&gt;=4.5,"Excellent",IF(EV_Data4[[#This Row],[customer_rating]]&gt;=3.5,"Good","Average"))</f>
        <v>Good</v>
      </c>
      <c r="AH56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61" spans="1:34" x14ac:dyDescent="0.3">
      <c r="A561" t="s">
        <v>83</v>
      </c>
      <c r="B561" t="s">
        <v>84</v>
      </c>
      <c r="C561">
        <v>2025</v>
      </c>
      <c r="D561" t="s">
        <v>33</v>
      </c>
      <c r="E561" s="3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48</v>
      </c>
      <c r="N561">
        <v>5</v>
      </c>
      <c r="O561" t="s">
        <v>58</v>
      </c>
      <c r="P561">
        <v>34.200000000000003</v>
      </c>
      <c r="Q561">
        <v>1736</v>
      </c>
      <c r="R561">
        <v>5</v>
      </c>
      <c r="S561">
        <v>2</v>
      </c>
      <c r="T561" t="s">
        <v>29</v>
      </c>
      <c r="U561" t="s">
        <v>30</v>
      </c>
      <c r="V561" s="3">
        <v>59946</v>
      </c>
      <c r="W561">
        <v>3.37</v>
      </c>
      <c r="X561">
        <v>7</v>
      </c>
      <c r="Y561" s="1">
        <f>EV_Data4[[#This Row],[range_miles]]/EV_Data4[[#This Row],[battery_capacity_kwh]]</f>
        <v>3.8412698412698414</v>
      </c>
      <c r="Z561" s="4">
        <f>EV_Data4[[#This Row],[price_usd]]/EV_Data4[[#This Row],[range_miles]]</f>
        <v>444.06078512396698</v>
      </c>
      <c r="AA561" s="2">
        <f>(EV_Data4[[#This Row],[customer_rating]]*EV_Data4[[#This Row],[safety_rating]]*1000)/EV_Data4[[#This Row],[price_usd]]</f>
        <v>0.1567985769203103</v>
      </c>
      <c r="AB561">
        <f>EV_Data4[[#This Row],[horsepower]]+EV_Data4[[#This Row],[torque_nm]]/EV_Data4[[#This Row],[acceleration_0_60_mph]]</f>
        <v>1077.5239852398524</v>
      </c>
      <c r="AC561" t="str">
        <f>IF(EV_Data4[[#This Row],[price_usd]]&gt;=80000,"Luxury",IF(EV_Data4[[#This Row],[price_usd]]&gt;=40000,"Mid-Range","Budget"))</f>
        <v>Luxury</v>
      </c>
      <c r="AD561" t="str">
        <f>IF(EV_Data4[[#This Row],[range_miles]]&gt;=350,"Long-Range",IF(EV_Data4[[#This Row],[range_miles]]&gt;=250,"Medium-Range","Short-Range"))</f>
        <v>Short-Range</v>
      </c>
      <c r="AE561" t="str">
        <f>IF(EV_Data4[[#This Row],[charging_speed_kw]]&gt;=250,"Ultra-Fast",IF(EV_Data4[[#This Row],[charging_speed_kw]]&gt;=150,"Fast-Charging","Standard-Charging"))</f>
        <v>Standard-Charging</v>
      </c>
      <c r="AF561" t="str">
        <f>IF(EV_Data4[[#This Row],[acceleration_0_60_mph]]&lt;=3,"SportsPerformance",IF(EV_Data4[[#This Row],[acceleration_0_60_mph]]&lt;=5,"HighPerformance","Standard"))</f>
        <v>Standard</v>
      </c>
      <c r="AG561" t="str">
        <f>IF(EV_Data4[[#This Row],[customer_rating]]&gt;=4.5,"Excellent",IF(EV_Data4[[#This Row],[customer_rating]]&gt;=3.5,"Good","Average"))</f>
        <v>Average</v>
      </c>
      <c r="AH56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62" spans="1:34" x14ac:dyDescent="0.3">
      <c r="A562" t="s">
        <v>38</v>
      </c>
      <c r="B562" t="s">
        <v>55</v>
      </c>
      <c r="C562">
        <v>2022</v>
      </c>
      <c r="D562" t="s">
        <v>61</v>
      </c>
      <c r="E562" s="3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34</v>
      </c>
      <c r="N562">
        <v>7</v>
      </c>
      <c r="O562" t="s">
        <v>58</v>
      </c>
      <c r="P562">
        <v>39.9</v>
      </c>
      <c r="Q562">
        <v>1642</v>
      </c>
      <c r="R562">
        <v>4</v>
      </c>
      <c r="S562">
        <v>0</v>
      </c>
      <c r="T562" t="s">
        <v>41</v>
      </c>
      <c r="U562" t="s">
        <v>37</v>
      </c>
      <c r="V562" s="3">
        <v>22694</v>
      </c>
      <c r="W562">
        <v>3.58</v>
      </c>
      <c r="X562">
        <v>4</v>
      </c>
      <c r="Y562" s="1">
        <f>EV_Data4[[#This Row],[range_miles]]/EV_Data4[[#This Row],[battery_capacity_kwh]]</f>
        <v>3.5820895522388057</v>
      </c>
      <c r="Z562" s="4">
        <f>EV_Data4[[#This Row],[price_usd]]/EV_Data4[[#This Row],[range_miles]]</f>
        <v>193.3515625</v>
      </c>
      <c r="AA562" s="2">
        <f>(EV_Data4[[#This Row],[customer_rating]]*EV_Data4[[#This Row],[safety_rating]]*1000)/EV_Data4[[#This Row],[price_usd]]</f>
        <v>0.25715966077192792</v>
      </c>
      <c r="AB562">
        <f>EV_Data4[[#This Row],[horsepower]]+EV_Data4[[#This Row],[torque_nm]]/EV_Data4[[#This Row],[acceleration_0_60_mph]]</f>
        <v>767.85123966942149</v>
      </c>
      <c r="AC562" t="str">
        <f>IF(EV_Data4[[#This Row],[price_usd]]&gt;=80000,"Luxury",IF(EV_Data4[[#This Row],[price_usd]]&gt;=40000,"Mid-Range","Budget"))</f>
        <v>Mid-Range</v>
      </c>
      <c r="AD562" t="str">
        <f>IF(EV_Data4[[#This Row],[range_miles]]&gt;=350,"Long-Range",IF(EV_Data4[[#This Row],[range_miles]]&gt;=250,"Medium-Range","Short-Range"))</f>
        <v>Medium-Range</v>
      </c>
      <c r="AE562" t="str">
        <f>IF(EV_Data4[[#This Row],[charging_speed_kw]]&gt;=250,"Ultra-Fast",IF(EV_Data4[[#This Row],[charging_speed_kw]]&gt;=150,"Fast-Charging","Standard-Charging"))</f>
        <v>Standard-Charging</v>
      </c>
      <c r="AF562" t="str">
        <f>IF(EV_Data4[[#This Row],[acceleration_0_60_mph]]&lt;=3,"SportsPerformance",IF(EV_Data4[[#This Row],[acceleration_0_60_mph]]&lt;=5,"HighPerformance","Standard"))</f>
        <v>Standard</v>
      </c>
      <c r="AG562" t="str">
        <f>IF(EV_Data4[[#This Row],[customer_rating]]&gt;=4.5,"Excellent",IF(EV_Data4[[#This Row],[customer_rating]]&gt;=3.5,"Good","Average"))</f>
        <v>Good</v>
      </c>
      <c r="AH56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63" spans="1:34" x14ac:dyDescent="0.3">
      <c r="A563" t="s">
        <v>63</v>
      </c>
      <c r="B563" t="s">
        <v>88</v>
      </c>
      <c r="C563">
        <v>2026</v>
      </c>
      <c r="D563" t="s">
        <v>26</v>
      </c>
      <c r="E563" s="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34</v>
      </c>
      <c r="N563">
        <v>5</v>
      </c>
      <c r="O563" t="s">
        <v>58</v>
      </c>
      <c r="P563">
        <v>29.3</v>
      </c>
      <c r="Q563">
        <v>1500</v>
      </c>
      <c r="R563">
        <v>4</v>
      </c>
      <c r="S563">
        <v>0</v>
      </c>
      <c r="T563" t="s">
        <v>65</v>
      </c>
      <c r="U563" t="s">
        <v>33</v>
      </c>
      <c r="V563" s="3">
        <v>205278</v>
      </c>
      <c r="W563">
        <v>3.53</v>
      </c>
      <c r="X563">
        <v>3</v>
      </c>
      <c r="Y563" s="1">
        <f>EV_Data4[[#This Row],[range_miles]]/EV_Data4[[#This Row],[battery_capacity_kwh]]</f>
        <v>3.4945054945054945</v>
      </c>
      <c r="Z563" s="4">
        <f>EV_Data4[[#This Row],[price_usd]]/EV_Data4[[#This Row],[range_miles]]</f>
        <v>285.42918238993707</v>
      </c>
      <c r="AA563" s="2">
        <f>(EV_Data4[[#This Row],[customer_rating]]*EV_Data4[[#This Row],[safety_rating]]*1000)/EV_Data4[[#This Row],[price_usd]]</f>
        <v>0.15556403641520528</v>
      </c>
      <c r="AB563">
        <f>EV_Data4[[#This Row],[horsepower]]+EV_Data4[[#This Row],[torque_nm]]/EV_Data4[[#This Row],[acceleration_0_60_mph]]</f>
        <v>1343.7037037037037</v>
      </c>
      <c r="AC563" t="str">
        <f>IF(EV_Data4[[#This Row],[price_usd]]&gt;=80000,"Luxury",IF(EV_Data4[[#This Row],[price_usd]]&gt;=40000,"Mid-Range","Budget"))</f>
        <v>Luxury</v>
      </c>
      <c r="AD563" t="str">
        <f>IF(EV_Data4[[#This Row],[range_miles]]&gt;=350,"Long-Range",IF(EV_Data4[[#This Row],[range_miles]]&gt;=250,"Medium-Range","Short-Range"))</f>
        <v>Medium-Range</v>
      </c>
      <c r="AE563" t="str">
        <f>IF(EV_Data4[[#This Row],[charging_speed_kw]]&gt;=250,"Ultra-Fast",IF(EV_Data4[[#This Row],[charging_speed_kw]]&gt;=150,"Fast-Charging","Standard-Charging"))</f>
        <v>Fast-Charging</v>
      </c>
      <c r="AF563" t="str">
        <f>IF(EV_Data4[[#This Row],[acceleration_0_60_mph]]&lt;=3,"SportsPerformance",IF(EV_Data4[[#This Row],[acceleration_0_60_mph]]&lt;=5,"HighPerformance","Standard"))</f>
        <v>SportsPerformance</v>
      </c>
      <c r="AG563" t="str">
        <f>IF(EV_Data4[[#This Row],[customer_rating]]&gt;=4.5,"Excellent",IF(EV_Data4[[#This Row],[customer_rating]]&gt;=3.5,"Good","Average"))</f>
        <v>Good</v>
      </c>
      <c r="AH56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64" spans="1:34" x14ac:dyDescent="0.3">
      <c r="A564" t="s">
        <v>46</v>
      </c>
      <c r="B564" t="s">
        <v>49</v>
      </c>
      <c r="C564">
        <v>2026</v>
      </c>
      <c r="D564" t="s">
        <v>56</v>
      </c>
      <c r="E564" s="3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34</v>
      </c>
      <c r="N564">
        <v>5</v>
      </c>
      <c r="O564" t="s">
        <v>58</v>
      </c>
      <c r="P564">
        <v>30</v>
      </c>
      <c r="Q564">
        <v>1767</v>
      </c>
      <c r="R564">
        <v>5</v>
      </c>
      <c r="S564">
        <v>2</v>
      </c>
      <c r="T564" t="s">
        <v>41</v>
      </c>
      <c r="U564" t="s">
        <v>30</v>
      </c>
      <c r="V564" s="3">
        <v>457566</v>
      </c>
      <c r="W564">
        <v>3.79</v>
      </c>
      <c r="X564">
        <v>5</v>
      </c>
      <c r="Y564" s="1">
        <f>EV_Data4[[#This Row],[range_miles]]/EV_Data4[[#This Row],[battery_capacity_kwh]]</f>
        <v>3.3739130434782609</v>
      </c>
      <c r="Z564" s="4">
        <f>EV_Data4[[#This Row],[price_usd]]/EV_Data4[[#This Row],[range_miles]]</f>
        <v>572.69077319587632</v>
      </c>
      <c r="AA564" s="2">
        <f>(EV_Data4[[#This Row],[customer_rating]]*EV_Data4[[#This Row],[safety_rating]]*1000)/EV_Data4[[#This Row],[price_usd]]</f>
        <v>0.170563970894856</v>
      </c>
      <c r="AB564">
        <f>EV_Data4[[#This Row],[horsepower]]+EV_Data4[[#This Row],[torque_nm]]/EV_Data4[[#This Row],[acceleration_0_60_mph]]</f>
        <v>908.23943661971828</v>
      </c>
      <c r="AC564" t="str">
        <f>IF(EV_Data4[[#This Row],[price_usd]]&gt;=80000,"Luxury",IF(EV_Data4[[#This Row],[price_usd]]&gt;=40000,"Mid-Range","Budget"))</f>
        <v>Luxury</v>
      </c>
      <c r="AD564" t="str">
        <f>IF(EV_Data4[[#This Row],[range_miles]]&gt;=350,"Long-Range",IF(EV_Data4[[#This Row],[range_miles]]&gt;=250,"Medium-Range","Short-Range"))</f>
        <v>Short-Range</v>
      </c>
      <c r="AE564" t="str">
        <f>IF(EV_Data4[[#This Row],[charging_speed_kw]]&gt;=250,"Ultra-Fast",IF(EV_Data4[[#This Row],[charging_speed_kw]]&gt;=150,"Fast-Charging","Standard-Charging"))</f>
        <v>Ultra-Fast</v>
      </c>
      <c r="AF564" t="str">
        <f>IF(EV_Data4[[#This Row],[acceleration_0_60_mph]]&lt;=3,"SportsPerformance",IF(EV_Data4[[#This Row],[acceleration_0_60_mph]]&lt;=5,"HighPerformance","Standard"))</f>
        <v>Standard</v>
      </c>
      <c r="AG564" t="str">
        <f>IF(EV_Data4[[#This Row],[customer_rating]]&gt;=4.5,"Excellent",IF(EV_Data4[[#This Row],[customer_rating]]&gt;=3.5,"Good","Average"))</f>
        <v>Good</v>
      </c>
      <c r="AH56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65" spans="1:34" x14ac:dyDescent="0.3">
      <c r="A565" t="s">
        <v>46</v>
      </c>
      <c r="B565" t="s">
        <v>72</v>
      </c>
      <c r="C565">
        <v>2026</v>
      </c>
      <c r="D565" t="s">
        <v>56</v>
      </c>
      <c r="E565" s="3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27</v>
      </c>
      <c r="N565">
        <v>5</v>
      </c>
      <c r="O565" t="s">
        <v>28</v>
      </c>
      <c r="P565">
        <v>72.599999999999994</v>
      </c>
      <c r="Q565">
        <v>2759</v>
      </c>
      <c r="R565">
        <v>5</v>
      </c>
      <c r="S565">
        <v>3</v>
      </c>
      <c r="T565" t="s">
        <v>41</v>
      </c>
      <c r="U565" t="s">
        <v>30</v>
      </c>
      <c r="V565" s="3">
        <v>144677</v>
      </c>
      <c r="W565">
        <v>3.86</v>
      </c>
      <c r="X565">
        <v>6</v>
      </c>
      <c r="Y565" s="1">
        <f>EV_Data4[[#This Row],[range_miles]]/EV_Data4[[#This Row],[battery_capacity_kwh]]</f>
        <v>3.5115431348724182</v>
      </c>
      <c r="Z565" s="4">
        <f>EV_Data4[[#This Row],[price_usd]]/EV_Data4[[#This Row],[range_miles]]</f>
        <v>419.89723183391004</v>
      </c>
      <c r="AA565" s="2">
        <f>(EV_Data4[[#This Row],[customer_rating]]*EV_Data4[[#This Row],[safety_rating]]*1000)/EV_Data4[[#This Row],[price_usd]]</f>
        <v>0.15904369416474454</v>
      </c>
      <c r="AB565">
        <f>EV_Data4[[#This Row],[horsepower]]+EV_Data4[[#This Row],[torque_nm]]/EV_Data4[[#This Row],[acceleration_0_60_mph]]</f>
        <v>1041.1859838274931</v>
      </c>
      <c r="AC565" t="str">
        <f>IF(EV_Data4[[#This Row],[price_usd]]&gt;=80000,"Luxury",IF(EV_Data4[[#This Row],[price_usd]]&gt;=40000,"Mid-Range","Budget"))</f>
        <v>Luxury</v>
      </c>
      <c r="AD565" t="str">
        <f>IF(EV_Data4[[#This Row],[range_miles]]&gt;=350,"Long-Range",IF(EV_Data4[[#This Row],[range_miles]]&gt;=250,"Medium-Range","Short-Range"))</f>
        <v>Medium-Range</v>
      </c>
      <c r="AE565" t="str">
        <f>IF(EV_Data4[[#This Row],[charging_speed_kw]]&gt;=250,"Ultra-Fast",IF(EV_Data4[[#This Row],[charging_speed_kw]]&gt;=150,"Fast-Charging","Standard-Charging"))</f>
        <v>Fast-Charging</v>
      </c>
      <c r="AF565" t="str">
        <f>IF(EV_Data4[[#This Row],[acceleration_0_60_mph]]&lt;=3,"SportsPerformance",IF(EV_Data4[[#This Row],[acceleration_0_60_mph]]&lt;=5,"HighPerformance","Standard"))</f>
        <v>Standard</v>
      </c>
      <c r="AG565" t="str">
        <f>IF(EV_Data4[[#This Row],[customer_rating]]&gt;=4.5,"Excellent",IF(EV_Data4[[#This Row],[customer_rating]]&gt;=3.5,"Good","Average"))</f>
        <v>Good</v>
      </c>
      <c r="AH565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566" spans="1:34" x14ac:dyDescent="0.3">
      <c r="A566" t="s">
        <v>63</v>
      </c>
      <c r="B566" t="s">
        <v>107</v>
      </c>
      <c r="C566">
        <v>2025</v>
      </c>
      <c r="D566" t="s">
        <v>56</v>
      </c>
      <c r="E566" s="3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34</v>
      </c>
      <c r="N566">
        <v>5</v>
      </c>
      <c r="O566" t="s">
        <v>51</v>
      </c>
      <c r="P566">
        <v>35.5</v>
      </c>
      <c r="Q566">
        <v>1761</v>
      </c>
      <c r="R566">
        <v>5</v>
      </c>
      <c r="S566">
        <v>1</v>
      </c>
      <c r="T566" t="s">
        <v>65</v>
      </c>
      <c r="U566" t="s">
        <v>37</v>
      </c>
      <c r="V566" s="3">
        <v>211394</v>
      </c>
      <c r="W566">
        <v>3.74</v>
      </c>
      <c r="X566">
        <v>3</v>
      </c>
      <c r="Y566" s="1">
        <f>EV_Data4[[#This Row],[range_miles]]/EV_Data4[[#This Row],[battery_capacity_kwh]]</f>
        <v>3.7516170763260028</v>
      </c>
      <c r="Z566" s="4">
        <f>EV_Data4[[#This Row],[price_usd]]/EV_Data4[[#This Row],[range_miles]]</f>
        <v>151.27086206896553</v>
      </c>
      <c r="AA566" s="2">
        <f>(EV_Data4[[#This Row],[customer_rating]]*EV_Data4[[#This Row],[safety_rating]]*1000)/EV_Data4[[#This Row],[price_usd]]</f>
        <v>0.42627349205752191</v>
      </c>
      <c r="AB566">
        <f>EV_Data4[[#This Row],[horsepower]]+EV_Data4[[#This Row],[torque_nm]]/EV_Data4[[#This Row],[acceleration_0_60_mph]]</f>
        <v>525.13321492007105</v>
      </c>
      <c r="AC566" t="str">
        <f>IF(EV_Data4[[#This Row],[price_usd]]&gt;=80000,"Luxury",IF(EV_Data4[[#This Row],[price_usd]]&gt;=40000,"Mid-Range","Budget"))</f>
        <v>Mid-Range</v>
      </c>
      <c r="AD566" t="str">
        <f>IF(EV_Data4[[#This Row],[range_miles]]&gt;=350,"Long-Range",IF(EV_Data4[[#This Row],[range_miles]]&gt;=250,"Medium-Range","Short-Range"))</f>
        <v>Medium-Range</v>
      </c>
      <c r="AE566" t="str">
        <f>IF(EV_Data4[[#This Row],[charging_speed_kw]]&gt;=250,"Ultra-Fast",IF(EV_Data4[[#This Row],[charging_speed_kw]]&gt;=150,"Fast-Charging","Standard-Charging"))</f>
        <v>Standard-Charging</v>
      </c>
      <c r="AF566" t="str">
        <f>IF(EV_Data4[[#This Row],[acceleration_0_60_mph]]&lt;=3,"SportsPerformance",IF(EV_Data4[[#This Row],[acceleration_0_60_mph]]&lt;=5,"HighPerformance","Standard"))</f>
        <v>Standard</v>
      </c>
      <c r="AG566" t="str">
        <f>IF(EV_Data4[[#This Row],[customer_rating]]&gt;=4.5,"Excellent",IF(EV_Data4[[#This Row],[customer_rating]]&gt;=3.5,"Good","Average"))</f>
        <v>Good</v>
      </c>
      <c r="AH56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67" spans="1:34" x14ac:dyDescent="0.3">
      <c r="A567" t="s">
        <v>42</v>
      </c>
      <c r="B567" t="s">
        <v>80</v>
      </c>
      <c r="C567">
        <v>2026</v>
      </c>
      <c r="D567" t="s">
        <v>44</v>
      </c>
      <c r="E567" s="3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27</v>
      </c>
      <c r="N567">
        <v>5</v>
      </c>
      <c r="O567" t="s">
        <v>35</v>
      </c>
      <c r="P567">
        <v>42.9</v>
      </c>
      <c r="Q567">
        <v>2341</v>
      </c>
      <c r="R567">
        <v>5</v>
      </c>
      <c r="S567">
        <v>0</v>
      </c>
      <c r="T567" t="s">
        <v>45</v>
      </c>
      <c r="U567" t="s">
        <v>37</v>
      </c>
      <c r="V567" s="3">
        <v>92798</v>
      </c>
      <c r="W567">
        <v>3.66</v>
      </c>
      <c r="X567">
        <v>3</v>
      </c>
      <c r="Y567" s="1">
        <f>EV_Data4[[#This Row],[range_miles]]/EV_Data4[[#This Row],[battery_capacity_kwh]]</f>
        <v>3.8047559449311636</v>
      </c>
      <c r="Z567" s="4">
        <f>EV_Data4[[#This Row],[price_usd]]/EV_Data4[[#This Row],[range_miles]]</f>
        <v>124.73210526315789</v>
      </c>
      <c r="AA567" s="2">
        <f>(EV_Data4[[#This Row],[customer_rating]]*EV_Data4[[#This Row],[safety_rating]]*1000)/EV_Data4[[#This Row],[price_usd]]</f>
        <v>0.48261326379482766</v>
      </c>
      <c r="AB567">
        <f>EV_Data4[[#This Row],[horsepower]]+EV_Data4[[#This Row],[torque_nm]]/EV_Data4[[#This Row],[acceleration_0_60_mph]]</f>
        <v>329.85987261146499</v>
      </c>
      <c r="AC567" t="str">
        <f>IF(EV_Data4[[#This Row],[price_usd]]&gt;=80000,"Luxury",IF(EV_Data4[[#This Row],[price_usd]]&gt;=40000,"Mid-Range","Budget"))</f>
        <v>Budget</v>
      </c>
      <c r="AD567" t="str">
        <f>IF(EV_Data4[[#This Row],[range_miles]]&gt;=350,"Long-Range",IF(EV_Data4[[#This Row],[range_miles]]&gt;=250,"Medium-Range","Short-Range"))</f>
        <v>Medium-Range</v>
      </c>
      <c r="AE567" t="str">
        <f>IF(EV_Data4[[#This Row],[charging_speed_kw]]&gt;=250,"Ultra-Fast",IF(EV_Data4[[#This Row],[charging_speed_kw]]&gt;=150,"Fast-Charging","Standard-Charging"))</f>
        <v>Standard-Charging</v>
      </c>
      <c r="AF567" t="str">
        <f>IF(EV_Data4[[#This Row],[acceleration_0_60_mph]]&lt;=3,"SportsPerformance",IF(EV_Data4[[#This Row],[acceleration_0_60_mph]]&lt;=5,"HighPerformance","Standard"))</f>
        <v>HighPerformance</v>
      </c>
      <c r="AG567" t="str">
        <f>IF(EV_Data4[[#This Row],[customer_rating]]&gt;=4.5,"Excellent",IF(EV_Data4[[#This Row],[customer_rating]]&gt;=3.5,"Good","Average"))</f>
        <v>Good</v>
      </c>
      <c r="AH56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68" spans="1:34" x14ac:dyDescent="0.3">
      <c r="A568" t="s">
        <v>24</v>
      </c>
      <c r="B568" t="s">
        <v>74</v>
      </c>
      <c r="C568">
        <v>2023</v>
      </c>
      <c r="D568" t="s">
        <v>33</v>
      </c>
      <c r="E568" s="3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27</v>
      </c>
      <c r="N568">
        <v>7</v>
      </c>
      <c r="O568" t="s">
        <v>28</v>
      </c>
      <c r="P568">
        <v>70.7</v>
      </c>
      <c r="Q568">
        <v>2532</v>
      </c>
      <c r="R568">
        <v>3</v>
      </c>
      <c r="S568">
        <v>0</v>
      </c>
      <c r="T568" t="s">
        <v>29</v>
      </c>
      <c r="U568" t="s">
        <v>33</v>
      </c>
      <c r="V568" s="3">
        <v>280958</v>
      </c>
      <c r="W568">
        <v>3.26</v>
      </c>
      <c r="X568">
        <v>5</v>
      </c>
      <c r="Y568" s="1">
        <f>EV_Data4[[#This Row],[range_miles]]/EV_Data4[[#This Row],[battery_capacity_kwh]]</f>
        <v>3.3261802575107295</v>
      </c>
      <c r="Z568" s="4">
        <f>EV_Data4[[#This Row],[price_usd]]/EV_Data4[[#This Row],[range_miles]]</f>
        <v>563.73264516129029</v>
      </c>
      <c r="AA568" s="2">
        <f>(EV_Data4[[#This Row],[customer_rating]]*EV_Data4[[#This Row],[safety_rating]]*1000)/EV_Data4[[#This Row],[price_usd]]</f>
        <v>0.11192677013674751</v>
      </c>
      <c r="AB568">
        <f>EV_Data4[[#This Row],[horsepower]]+EV_Data4[[#This Row],[torque_nm]]/EV_Data4[[#This Row],[acceleration_0_60_mph]]</f>
        <v>1152.4647887323945</v>
      </c>
      <c r="AC568" t="str">
        <f>IF(EV_Data4[[#This Row],[price_usd]]&gt;=80000,"Luxury",IF(EV_Data4[[#This Row],[price_usd]]&gt;=40000,"Mid-Range","Budget"))</f>
        <v>Luxury</v>
      </c>
      <c r="AD568" t="str">
        <f>IF(EV_Data4[[#This Row],[range_miles]]&gt;=350,"Long-Range",IF(EV_Data4[[#This Row],[range_miles]]&gt;=250,"Medium-Range","Short-Range"))</f>
        <v>Short-Range</v>
      </c>
      <c r="AE568" t="str">
        <f>IF(EV_Data4[[#This Row],[charging_speed_kw]]&gt;=250,"Ultra-Fast",IF(EV_Data4[[#This Row],[charging_speed_kw]]&gt;=150,"Fast-Charging","Standard-Charging"))</f>
        <v>Standard-Charging</v>
      </c>
      <c r="AF568" t="str">
        <f>IF(EV_Data4[[#This Row],[acceleration_0_60_mph]]&lt;=3,"SportsPerformance",IF(EV_Data4[[#This Row],[acceleration_0_60_mph]]&lt;=5,"HighPerformance","Standard"))</f>
        <v>Standard</v>
      </c>
      <c r="AG568" t="str">
        <f>IF(EV_Data4[[#This Row],[customer_rating]]&gt;=4.5,"Excellent",IF(EV_Data4[[#This Row],[customer_rating]]&gt;=3.5,"Good","Average"))</f>
        <v>Average</v>
      </c>
      <c r="AH56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69" spans="1:34" x14ac:dyDescent="0.3">
      <c r="A569" t="s">
        <v>24</v>
      </c>
      <c r="B569" t="s">
        <v>75</v>
      </c>
      <c r="C569">
        <v>2025</v>
      </c>
      <c r="D569" t="s">
        <v>44</v>
      </c>
      <c r="E569" s="3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34</v>
      </c>
      <c r="N569">
        <v>7</v>
      </c>
      <c r="O569" t="s">
        <v>28</v>
      </c>
      <c r="P569">
        <v>78.8</v>
      </c>
      <c r="Q569">
        <v>2544</v>
      </c>
      <c r="R569">
        <v>4</v>
      </c>
      <c r="S569">
        <v>0</v>
      </c>
      <c r="T569" t="s">
        <v>29</v>
      </c>
      <c r="U569" t="s">
        <v>33</v>
      </c>
      <c r="V569" s="3">
        <v>232457</v>
      </c>
      <c r="W569">
        <v>3.53</v>
      </c>
      <c r="X569">
        <v>3</v>
      </c>
      <c r="Y569" s="1">
        <f>EV_Data4[[#This Row],[range_miles]]/EV_Data4[[#This Row],[battery_capacity_kwh]]</f>
        <v>3.4174022698612863</v>
      </c>
      <c r="Z569" s="4">
        <f>EV_Data4[[#This Row],[price_usd]]/EV_Data4[[#This Row],[range_miles]]</f>
        <v>361.80653136531367</v>
      </c>
      <c r="AA569" s="2">
        <f>(EV_Data4[[#This Row],[customer_rating]]*EV_Data4[[#This Row],[safety_rating]]*1000)/EV_Data4[[#This Row],[price_usd]]</f>
        <v>0.1440087906555837</v>
      </c>
      <c r="AB569">
        <f>EV_Data4[[#This Row],[horsepower]]+EV_Data4[[#This Row],[torque_nm]]/EV_Data4[[#This Row],[acceleration_0_60_mph]]</f>
        <v>1182.0866141732283</v>
      </c>
      <c r="AC569" t="str">
        <f>IF(EV_Data4[[#This Row],[price_usd]]&gt;=80000,"Luxury",IF(EV_Data4[[#This Row],[price_usd]]&gt;=40000,"Mid-Range","Budget"))</f>
        <v>Luxury</v>
      </c>
      <c r="AD569" t="str">
        <f>IF(EV_Data4[[#This Row],[range_miles]]&gt;=350,"Long-Range",IF(EV_Data4[[#This Row],[range_miles]]&gt;=250,"Medium-Range","Short-Range"))</f>
        <v>Medium-Range</v>
      </c>
      <c r="AE569" t="str">
        <f>IF(EV_Data4[[#This Row],[charging_speed_kw]]&gt;=250,"Ultra-Fast",IF(EV_Data4[[#This Row],[charging_speed_kw]]&gt;=150,"Fast-Charging","Standard-Charging"))</f>
        <v>Standard-Charging</v>
      </c>
      <c r="AF569" t="str">
        <f>IF(EV_Data4[[#This Row],[acceleration_0_60_mph]]&lt;=3,"SportsPerformance",IF(EV_Data4[[#This Row],[acceleration_0_60_mph]]&lt;=5,"HighPerformance","Standard"))</f>
        <v>Standard</v>
      </c>
      <c r="AG569" t="str">
        <f>IF(EV_Data4[[#This Row],[customer_rating]]&gt;=4.5,"Excellent",IF(EV_Data4[[#This Row],[customer_rating]]&gt;=3.5,"Good","Average"))</f>
        <v>Good</v>
      </c>
      <c r="AH56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70" spans="1:34" x14ac:dyDescent="0.3">
      <c r="A570" t="s">
        <v>86</v>
      </c>
      <c r="B570" t="s">
        <v>105</v>
      </c>
      <c r="C570">
        <v>2025</v>
      </c>
      <c r="D570" t="s">
        <v>56</v>
      </c>
      <c r="E570" s="3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27</v>
      </c>
      <c r="N570">
        <v>5</v>
      </c>
      <c r="O570" t="s">
        <v>58</v>
      </c>
      <c r="P570">
        <v>21.5</v>
      </c>
      <c r="Q570">
        <v>1500</v>
      </c>
      <c r="R570">
        <v>3</v>
      </c>
      <c r="S570">
        <v>1</v>
      </c>
      <c r="T570" t="s">
        <v>29</v>
      </c>
      <c r="U570" t="s">
        <v>33</v>
      </c>
      <c r="V570" s="3">
        <v>69627</v>
      </c>
      <c r="W570">
        <v>3.71</v>
      </c>
      <c r="X570">
        <v>7</v>
      </c>
      <c r="Y570" s="1">
        <f>EV_Data4[[#This Row],[range_miles]]/EV_Data4[[#This Row],[battery_capacity_kwh]]</f>
        <v>3.3734939759036142</v>
      </c>
      <c r="Z570" s="4">
        <f>EV_Data4[[#This Row],[price_usd]]/EV_Data4[[#This Row],[range_miles]]</f>
        <v>406.56303571428572</v>
      </c>
      <c r="AA570" s="2">
        <f>(EV_Data4[[#This Row],[customer_rating]]*EV_Data4[[#This Row],[safety_rating]]*1000)/EV_Data4[[#This Row],[price_usd]]</f>
        <v>0.12221352074643142</v>
      </c>
      <c r="AB570">
        <f>EV_Data4[[#This Row],[horsepower]]+EV_Data4[[#This Row],[torque_nm]]/EV_Data4[[#This Row],[acceleration_0_60_mph]]</f>
        <v>724.06205923836387</v>
      </c>
      <c r="AC570" t="str">
        <f>IF(EV_Data4[[#This Row],[price_usd]]&gt;=80000,"Luxury",IF(EV_Data4[[#This Row],[price_usd]]&gt;=40000,"Mid-Range","Budget"))</f>
        <v>Luxury</v>
      </c>
      <c r="AD570" t="str">
        <f>IF(EV_Data4[[#This Row],[range_miles]]&gt;=350,"Long-Range",IF(EV_Data4[[#This Row],[range_miles]]&gt;=250,"Medium-Range","Short-Range"))</f>
        <v>Short-Range</v>
      </c>
      <c r="AE570" t="str">
        <f>IF(EV_Data4[[#This Row],[charging_speed_kw]]&gt;=250,"Ultra-Fast",IF(EV_Data4[[#This Row],[charging_speed_kw]]&gt;=150,"Fast-Charging","Standard-Charging"))</f>
        <v>Standard-Charging</v>
      </c>
      <c r="AF570" t="str">
        <f>IF(EV_Data4[[#This Row],[acceleration_0_60_mph]]&lt;=3,"SportsPerformance",IF(EV_Data4[[#This Row],[acceleration_0_60_mph]]&lt;=5,"HighPerformance","Standard"))</f>
        <v>Standard</v>
      </c>
      <c r="AG570" t="str">
        <f>IF(EV_Data4[[#This Row],[customer_rating]]&gt;=4.5,"Excellent",IF(EV_Data4[[#This Row],[customer_rating]]&gt;=3.5,"Good","Average"))</f>
        <v>Good</v>
      </c>
      <c r="AH57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71" spans="1:34" x14ac:dyDescent="0.3">
      <c r="A571" t="s">
        <v>63</v>
      </c>
      <c r="B571" t="s">
        <v>96</v>
      </c>
      <c r="C571">
        <v>2026</v>
      </c>
      <c r="D571" t="s">
        <v>56</v>
      </c>
      <c r="E571" s="3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27</v>
      </c>
      <c r="N571">
        <v>7</v>
      </c>
      <c r="O571" t="s">
        <v>28</v>
      </c>
      <c r="P571">
        <v>59.1</v>
      </c>
      <c r="Q571">
        <v>2166</v>
      </c>
      <c r="R571">
        <v>4</v>
      </c>
      <c r="S571">
        <v>1</v>
      </c>
      <c r="T571" t="s">
        <v>65</v>
      </c>
      <c r="U571" t="s">
        <v>66</v>
      </c>
      <c r="V571" s="3">
        <v>225478</v>
      </c>
      <c r="W571">
        <v>3.58</v>
      </c>
      <c r="X571">
        <v>5</v>
      </c>
      <c r="Y571" s="1">
        <f>EV_Data4[[#This Row],[range_miles]]/EV_Data4[[#This Row],[battery_capacity_kwh]]</f>
        <v>3.4008097165991904</v>
      </c>
      <c r="Z571" s="4">
        <f>EV_Data4[[#This Row],[price_usd]]/EV_Data4[[#This Row],[range_miles]]</f>
        <v>133.29527777777778</v>
      </c>
      <c r="AA571" s="2">
        <f>(EV_Data4[[#This Row],[customer_rating]]*EV_Data4[[#This Row],[safety_rating]]*1000)/EV_Data4[[#This Row],[price_usd]]</f>
        <v>0.42631215278408324</v>
      </c>
      <c r="AB571">
        <f>EV_Data4[[#This Row],[horsepower]]+EV_Data4[[#This Row],[torque_nm]]/EV_Data4[[#This Row],[acceleration_0_60_mph]]</f>
        <v>360.84507042253523</v>
      </c>
      <c r="AC571" t="str">
        <f>IF(EV_Data4[[#This Row],[price_usd]]&gt;=80000,"Luxury",IF(EV_Data4[[#This Row],[price_usd]]&gt;=40000,"Mid-Range","Budget"))</f>
        <v>Budget</v>
      </c>
      <c r="AD571" t="str">
        <f>IF(EV_Data4[[#This Row],[range_miles]]&gt;=350,"Long-Range",IF(EV_Data4[[#This Row],[range_miles]]&gt;=250,"Medium-Range","Short-Range"))</f>
        <v>Medium-Range</v>
      </c>
      <c r="AE571" t="str">
        <f>IF(EV_Data4[[#This Row],[charging_speed_kw]]&gt;=250,"Ultra-Fast",IF(EV_Data4[[#This Row],[charging_speed_kw]]&gt;=150,"Fast-Charging","Standard-Charging"))</f>
        <v>Standard-Charging</v>
      </c>
      <c r="AF571" t="str">
        <f>IF(EV_Data4[[#This Row],[acceleration_0_60_mph]]&lt;=3,"SportsPerformance",IF(EV_Data4[[#This Row],[acceleration_0_60_mph]]&lt;=5,"HighPerformance","Standard"))</f>
        <v>Standard</v>
      </c>
      <c r="AG571" t="str">
        <f>IF(EV_Data4[[#This Row],[customer_rating]]&gt;=4.5,"Excellent",IF(EV_Data4[[#This Row],[customer_rating]]&gt;=3.5,"Good","Average"))</f>
        <v>Good</v>
      </c>
      <c r="AH57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72" spans="1:34" x14ac:dyDescent="0.3">
      <c r="A572" t="s">
        <v>68</v>
      </c>
      <c r="B572" t="s">
        <v>106</v>
      </c>
      <c r="C572">
        <v>2023</v>
      </c>
      <c r="D572" t="s">
        <v>44</v>
      </c>
      <c r="E572" s="3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48</v>
      </c>
      <c r="N572">
        <v>5</v>
      </c>
      <c r="O572" t="s">
        <v>51</v>
      </c>
      <c r="P572">
        <v>25.8</v>
      </c>
      <c r="Q572">
        <v>1500</v>
      </c>
      <c r="R572">
        <v>5</v>
      </c>
      <c r="S572">
        <v>0</v>
      </c>
      <c r="T572" t="s">
        <v>45</v>
      </c>
      <c r="U572" t="s">
        <v>37</v>
      </c>
      <c r="V572" s="3">
        <v>110986</v>
      </c>
      <c r="W572">
        <v>3.76</v>
      </c>
      <c r="X572">
        <v>4</v>
      </c>
      <c r="Y572" s="1">
        <f>EV_Data4[[#This Row],[range_miles]]/EV_Data4[[#This Row],[battery_capacity_kwh]]</f>
        <v>3.5192563081009296</v>
      </c>
      <c r="Z572" s="4">
        <f>EV_Data4[[#This Row],[price_usd]]/EV_Data4[[#This Row],[range_miles]]</f>
        <v>194.54</v>
      </c>
      <c r="AA572" s="2">
        <f>(EV_Data4[[#This Row],[customer_rating]]*EV_Data4[[#This Row],[safety_rating]]*1000)/EV_Data4[[#This Row],[price_usd]]</f>
        <v>0.36467254151544715</v>
      </c>
      <c r="AB572">
        <f>EV_Data4[[#This Row],[horsepower]]+EV_Data4[[#This Row],[torque_nm]]/EV_Data4[[#This Row],[acceleration_0_60_mph]]</f>
        <v>611.02564102564099</v>
      </c>
      <c r="AC572" t="str">
        <f>IF(EV_Data4[[#This Row],[price_usd]]&gt;=80000,"Luxury",IF(EV_Data4[[#This Row],[price_usd]]&gt;=40000,"Mid-Range","Budget"))</f>
        <v>Mid-Range</v>
      </c>
      <c r="AD572" t="str">
        <f>IF(EV_Data4[[#This Row],[range_miles]]&gt;=350,"Long-Range",IF(EV_Data4[[#This Row],[range_miles]]&gt;=250,"Medium-Range","Short-Range"))</f>
        <v>Medium-Range</v>
      </c>
      <c r="AE572" t="str">
        <f>IF(EV_Data4[[#This Row],[charging_speed_kw]]&gt;=250,"Ultra-Fast",IF(EV_Data4[[#This Row],[charging_speed_kw]]&gt;=150,"Fast-Charging","Standard-Charging"))</f>
        <v>Standard-Charging</v>
      </c>
      <c r="AF572" t="str">
        <f>IF(EV_Data4[[#This Row],[acceleration_0_60_mph]]&lt;=3,"SportsPerformance",IF(EV_Data4[[#This Row],[acceleration_0_60_mph]]&lt;=5,"HighPerformance","Standard"))</f>
        <v>Standard</v>
      </c>
      <c r="AG572" t="str">
        <f>IF(EV_Data4[[#This Row],[customer_rating]]&gt;=4.5,"Excellent",IF(EV_Data4[[#This Row],[customer_rating]]&gt;=3.5,"Good","Average"))</f>
        <v>Good</v>
      </c>
      <c r="AH57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73" spans="1:34" x14ac:dyDescent="0.3">
      <c r="A573" t="s">
        <v>76</v>
      </c>
      <c r="B573" t="s">
        <v>77</v>
      </c>
      <c r="C573">
        <v>2025</v>
      </c>
      <c r="D573" t="s">
        <v>56</v>
      </c>
      <c r="E573" s="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27</v>
      </c>
      <c r="N573">
        <v>5</v>
      </c>
      <c r="O573" t="s">
        <v>51</v>
      </c>
      <c r="P573">
        <v>16</v>
      </c>
      <c r="Q573">
        <v>1500</v>
      </c>
      <c r="R573">
        <v>5</v>
      </c>
      <c r="S573">
        <v>2</v>
      </c>
      <c r="T573" t="s">
        <v>41</v>
      </c>
      <c r="U573" t="s">
        <v>66</v>
      </c>
      <c r="V573" s="3">
        <v>21264</v>
      </c>
      <c r="W573">
        <v>3.57</v>
      </c>
      <c r="X573">
        <v>5</v>
      </c>
      <c r="Y573" s="1">
        <f>EV_Data4[[#This Row],[range_miles]]/EV_Data4[[#This Row],[battery_capacity_kwh]]</f>
        <v>3.6787564766839376</v>
      </c>
      <c r="Z573" s="4">
        <f>EV_Data4[[#This Row],[price_usd]]/EV_Data4[[#This Row],[range_miles]]</f>
        <v>112.39823943661972</v>
      </c>
      <c r="AA573" s="2">
        <f>(EV_Data4[[#This Row],[customer_rating]]*EV_Data4[[#This Row],[safety_rating]]*1000)/EV_Data4[[#This Row],[price_usd]]</f>
        <v>0.55919125594042807</v>
      </c>
      <c r="AB573">
        <f>EV_Data4[[#This Row],[horsepower]]+EV_Data4[[#This Row],[torque_nm]]/EV_Data4[[#This Row],[acceleration_0_60_mph]]</f>
        <v>287.71331058020479</v>
      </c>
      <c r="AC573" t="str">
        <f>IF(EV_Data4[[#This Row],[price_usd]]&gt;=80000,"Luxury",IF(EV_Data4[[#This Row],[price_usd]]&gt;=40000,"Mid-Range","Budget"))</f>
        <v>Budget</v>
      </c>
      <c r="AD573" t="str">
        <f>IF(EV_Data4[[#This Row],[range_miles]]&gt;=350,"Long-Range",IF(EV_Data4[[#This Row],[range_miles]]&gt;=250,"Medium-Range","Short-Range"))</f>
        <v>Medium-Range</v>
      </c>
      <c r="AE573" t="str">
        <f>IF(EV_Data4[[#This Row],[charging_speed_kw]]&gt;=250,"Ultra-Fast",IF(EV_Data4[[#This Row],[charging_speed_kw]]&gt;=150,"Fast-Charging","Standard-Charging"))</f>
        <v>Standard-Charging</v>
      </c>
      <c r="AF573" t="str">
        <f>IF(EV_Data4[[#This Row],[acceleration_0_60_mph]]&lt;=3,"SportsPerformance",IF(EV_Data4[[#This Row],[acceleration_0_60_mph]]&lt;=5,"HighPerformance","Standard"))</f>
        <v>Standard</v>
      </c>
      <c r="AG573" t="str">
        <f>IF(EV_Data4[[#This Row],[customer_rating]]&gt;=4.5,"Excellent",IF(EV_Data4[[#This Row],[customer_rating]]&gt;=3.5,"Good","Average"))</f>
        <v>Good</v>
      </c>
      <c r="AH57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74" spans="1:34" x14ac:dyDescent="0.3">
      <c r="A574" t="s">
        <v>24</v>
      </c>
      <c r="B574" t="s">
        <v>70</v>
      </c>
      <c r="C574">
        <v>2024</v>
      </c>
      <c r="D574" t="s">
        <v>44</v>
      </c>
      <c r="E574" s="3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34</v>
      </c>
      <c r="N574">
        <v>7</v>
      </c>
      <c r="O574" t="s">
        <v>28</v>
      </c>
      <c r="P574">
        <v>78.7</v>
      </c>
      <c r="Q574">
        <v>2596</v>
      </c>
      <c r="R574">
        <v>4</v>
      </c>
      <c r="S574">
        <v>0</v>
      </c>
      <c r="T574" t="s">
        <v>29</v>
      </c>
      <c r="U574" t="s">
        <v>33</v>
      </c>
      <c r="V574" s="3">
        <v>219503</v>
      </c>
      <c r="W574">
        <v>3.66</v>
      </c>
      <c r="X574">
        <v>3</v>
      </c>
      <c r="Y574" s="1">
        <f>EV_Data4[[#This Row],[range_miles]]/EV_Data4[[#This Row],[battery_capacity_kwh]]</f>
        <v>3.3094994892747698</v>
      </c>
      <c r="Z574" s="4">
        <f>EV_Data4[[#This Row],[price_usd]]/EV_Data4[[#This Row],[range_miles]]</f>
        <v>208.21021604938272</v>
      </c>
      <c r="AA574" s="2">
        <f>(EV_Data4[[#This Row],[customer_rating]]*EV_Data4[[#This Row],[safety_rating]]*1000)/EV_Data4[[#This Row],[price_usd]]</f>
        <v>0.21701713797976316</v>
      </c>
      <c r="AB574">
        <f>EV_Data4[[#This Row],[horsepower]]+EV_Data4[[#This Row],[torque_nm]]/EV_Data4[[#This Row],[acceleration_0_60_mph]]</f>
        <v>830.88344988344988</v>
      </c>
      <c r="AC574" t="str">
        <f>IF(EV_Data4[[#This Row],[price_usd]]&gt;=80000,"Luxury",IF(EV_Data4[[#This Row],[price_usd]]&gt;=40000,"Mid-Range","Budget"))</f>
        <v>Mid-Range</v>
      </c>
      <c r="AD574" t="str">
        <f>IF(EV_Data4[[#This Row],[range_miles]]&gt;=350,"Long-Range",IF(EV_Data4[[#This Row],[range_miles]]&gt;=250,"Medium-Range","Short-Range"))</f>
        <v>Medium-Range</v>
      </c>
      <c r="AE574" t="str">
        <f>IF(EV_Data4[[#This Row],[charging_speed_kw]]&gt;=250,"Ultra-Fast",IF(EV_Data4[[#This Row],[charging_speed_kw]]&gt;=150,"Fast-Charging","Standard-Charging"))</f>
        <v>Standard-Charging</v>
      </c>
      <c r="AF574" t="str">
        <f>IF(EV_Data4[[#This Row],[acceleration_0_60_mph]]&lt;=3,"SportsPerformance",IF(EV_Data4[[#This Row],[acceleration_0_60_mph]]&lt;=5,"HighPerformance","Standard"))</f>
        <v>HighPerformance</v>
      </c>
      <c r="AG574" t="str">
        <f>IF(EV_Data4[[#This Row],[customer_rating]]&gt;=4.5,"Excellent",IF(EV_Data4[[#This Row],[customer_rating]]&gt;=3.5,"Good","Average"))</f>
        <v>Good</v>
      </c>
      <c r="AH57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75" spans="1:34" x14ac:dyDescent="0.3">
      <c r="A575" t="s">
        <v>83</v>
      </c>
      <c r="B575" t="s">
        <v>84</v>
      </c>
      <c r="C575">
        <v>2025</v>
      </c>
      <c r="D575" t="s">
        <v>61</v>
      </c>
      <c r="E575" s="3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27</v>
      </c>
      <c r="N575">
        <v>5</v>
      </c>
      <c r="O575" t="s">
        <v>50</v>
      </c>
      <c r="P575">
        <v>24.8</v>
      </c>
      <c r="Q575">
        <v>1729</v>
      </c>
      <c r="R575">
        <v>5</v>
      </c>
      <c r="S575">
        <v>1</v>
      </c>
      <c r="T575" t="s">
        <v>29</v>
      </c>
      <c r="U575" t="s">
        <v>37</v>
      </c>
      <c r="V575" s="3">
        <v>32771</v>
      </c>
      <c r="W575">
        <v>3.55</v>
      </c>
      <c r="X575">
        <v>5</v>
      </c>
      <c r="Y575" s="1">
        <f>EV_Data4[[#This Row],[range_miles]]/EV_Data4[[#This Row],[battery_capacity_kwh]]</f>
        <v>3.5714285714285712</v>
      </c>
      <c r="Z575" s="4">
        <f>EV_Data4[[#This Row],[price_usd]]/EV_Data4[[#This Row],[range_miles]]</f>
        <v>200.38828571428573</v>
      </c>
      <c r="AA575" s="2">
        <f>(EV_Data4[[#This Row],[customer_rating]]*EV_Data4[[#This Row],[safety_rating]]*1000)/EV_Data4[[#This Row],[price_usd]]</f>
        <v>0.31635011456329781</v>
      </c>
      <c r="AB575">
        <f>EV_Data4[[#This Row],[horsepower]]+EV_Data4[[#This Row],[torque_nm]]/EV_Data4[[#This Row],[acceleration_0_60_mph]]</f>
        <v>304.27201565557732</v>
      </c>
      <c r="AC575" t="str">
        <f>IF(EV_Data4[[#This Row],[price_usd]]&gt;=80000,"Luxury",IF(EV_Data4[[#This Row],[price_usd]]&gt;=40000,"Mid-Range","Budget"))</f>
        <v>Mid-Range</v>
      </c>
      <c r="AD575" t="str">
        <f>IF(EV_Data4[[#This Row],[range_miles]]&gt;=350,"Long-Range",IF(EV_Data4[[#This Row],[range_miles]]&gt;=250,"Medium-Range","Short-Range"))</f>
        <v>Medium-Range</v>
      </c>
      <c r="AE575" t="str">
        <f>IF(EV_Data4[[#This Row],[charging_speed_kw]]&gt;=250,"Ultra-Fast",IF(EV_Data4[[#This Row],[charging_speed_kw]]&gt;=150,"Fast-Charging","Standard-Charging"))</f>
        <v>Standard-Charging</v>
      </c>
      <c r="AF575" t="str">
        <f>IF(EV_Data4[[#This Row],[acceleration_0_60_mph]]&lt;=3,"SportsPerformance",IF(EV_Data4[[#This Row],[acceleration_0_60_mph]]&lt;=5,"HighPerformance","Standard"))</f>
        <v>Standard</v>
      </c>
      <c r="AG575" t="str">
        <f>IF(EV_Data4[[#This Row],[customer_rating]]&gt;=4.5,"Excellent",IF(EV_Data4[[#This Row],[customer_rating]]&gt;=3.5,"Good","Average"))</f>
        <v>Good</v>
      </c>
      <c r="AH57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76" spans="1:34" x14ac:dyDescent="0.3">
      <c r="A576" t="s">
        <v>52</v>
      </c>
      <c r="B576" t="s">
        <v>53</v>
      </c>
      <c r="C576">
        <v>2024</v>
      </c>
      <c r="D576" t="s">
        <v>26</v>
      </c>
      <c r="E576" s="3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27</v>
      </c>
      <c r="N576">
        <v>5</v>
      </c>
      <c r="O576" t="s">
        <v>28</v>
      </c>
      <c r="P576">
        <v>71.5</v>
      </c>
      <c r="Q576">
        <v>2775</v>
      </c>
      <c r="R576">
        <v>4</v>
      </c>
      <c r="S576">
        <v>1</v>
      </c>
      <c r="T576" t="s">
        <v>29</v>
      </c>
      <c r="U576" t="s">
        <v>30</v>
      </c>
      <c r="V576" s="3">
        <v>47072</v>
      </c>
      <c r="W576">
        <v>4.1399999999999997</v>
      </c>
      <c r="X576">
        <v>7</v>
      </c>
      <c r="Y576" s="1">
        <f>EV_Data4[[#This Row],[range_miles]]/EV_Data4[[#This Row],[battery_capacity_kwh]]</f>
        <v>3.5289186923721712</v>
      </c>
      <c r="Z576" s="4">
        <f>EV_Data4[[#This Row],[price_usd]]/EV_Data4[[#This Row],[range_miles]]</f>
        <v>417.3295249406176</v>
      </c>
      <c r="AA576" s="2">
        <f>(EV_Data4[[#This Row],[customer_rating]]*EV_Data4[[#This Row],[safety_rating]]*1000)/EV_Data4[[#This Row],[price_usd]]</f>
        <v>9.4253855799455111E-2</v>
      </c>
      <c r="AB576">
        <f>EV_Data4[[#This Row],[horsepower]]+EV_Data4[[#This Row],[torque_nm]]/EV_Data4[[#This Row],[acceleration_0_60_mph]]</f>
        <v>1290.9395973154362</v>
      </c>
      <c r="AC576" t="str">
        <f>IF(EV_Data4[[#This Row],[price_usd]]&gt;=80000,"Luxury",IF(EV_Data4[[#This Row],[price_usd]]&gt;=40000,"Mid-Range","Budget"))</f>
        <v>Luxury</v>
      </c>
      <c r="AD576" t="str">
        <f>IF(EV_Data4[[#This Row],[range_miles]]&gt;=350,"Long-Range",IF(EV_Data4[[#This Row],[range_miles]]&gt;=250,"Medium-Range","Short-Range"))</f>
        <v>Long-Range</v>
      </c>
      <c r="AE576" t="str">
        <f>IF(EV_Data4[[#This Row],[charging_speed_kw]]&gt;=250,"Ultra-Fast",IF(EV_Data4[[#This Row],[charging_speed_kw]]&gt;=150,"Fast-Charging","Standard-Charging"))</f>
        <v>Fast-Charging</v>
      </c>
      <c r="AF576" t="str">
        <f>IF(EV_Data4[[#This Row],[acceleration_0_60_mph]]&lt;=3,"SportsPerformance",IF(EV_Data4[[#This Row],[acceleration_0_60_mph]]&lt;=5,"HighPerformance","Standard"))</f>
        <v>SportsPerformance</v>
      </c>
      <c r="AG576" t="str">
        <f>IF(EV_Data4[[#This Row],[customer_rating]]&gt;=4.5,"Excellent",IF(EV_Data4[[#This Row],[customer_rating]]&gt;=3.5,"Good","Average"))</f>
        <v>Good</v>
      </c>
      <c r="AH57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77" spans="1:34" x14ac:dyDescent="0.3">
      <c r="A577" t="s">
        <v>31</v>
      </c>
      <c r="B577" t="s">
        <v>32</v>
      </c>
      <c r="C577">
        <v>2020</v>
      </c>
      <c r="D577" t="s">
        <v>56</v>
      </c>
      <c r="E577" s="3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48</v>
      </c>
      <c r="N577">
        <v>5</v>
      </c>
      <c r="O577" t="s">
        <v>35</v>
      </c>
      <c r="P577">
        <v>43.1</v>
      </c>
      <c r="Q577">
        <v>1792</v>
      </c>
      <c r="R577">
        <v>4</v>
      </c>
      <c r="S577">
        <v>0</v>
      </c>
      <c r="T577" t="s">
        <v>36</v>
      </c>
      <c r="U577" t="s">
        <v>37</v>
      </c>
      <c r="V577" s="3">
        <v>28709</v>
      </c>
      <c r="W577">
        <v>3.17</v>
      </c>
      <c r="X577">
        <v>4</v>
      </c>
      <c r="Y577" s="1">
        <f>EV_Data4[[#This Row],[range_miles]]/EV_Data4[[#This Row],[battery_capacity_kwh]]</f>
        <v>3.8554216867469879</v>
      </c>
      <c r="Z577" s="4">
        <f>EV_Data4[[#This Row],[price_usd]]/EV_Data4[[#This Row],[range_miles]]</f>
        <v>297.31118750000002</v>
      </c>
      <c r="AA577" s="2">
        <f>(EV_Data4[[#This Row],[customer_rating]]*EV_Data4[[#This Row],[safety_rating]]*1000)/EV_Data4[[#This Row],[price_usd]]</f>
        <v>0.26655572791050791</v>
      </c>
      <c r="AB577">
        <f>EV_Data4[[#This Row],[horsepower]]+EV_Data4[[#This Row],[torque_nm]]/EV_Data4[[#This Row],[acceleration_0_60_mph]]</f>
        <v>468.10256410256409</v>
      </c>
      <c r="AC577" t="str">
        <f>IF(EV_Data4[[#This Row],[price_usd]]&gt;=80000,"Luxury",IF(EV_Data4[[#This Row],[price_usd]]&gt;=40000,"Mid-Range","Budget"))</f>
        <v>Mid-Range</v>
      </c>
      <c r="AD577" t="str">
        <f>IF(EV_Data4[[#This Row],[range_miles]]&gt;=350,"Long-Range",IF(EV_Data4[[#This Row],[range_miles]]&gt;=250,"Medium-Range","Short-Range"))</f>
        <v>Short-Range</v>
      </c>
      <c r="AE577" t="str">
        <f>IF(EV_Data4[[#This Row],[charging_speed_kw]]&gt;=250,"Ultra-Fast",IF(EV_Data4[[#This Row],[charging_speed_kw]]&gt;=150,"Fast-Charging","Standard-Charging"))</f>
        <v>Standard-Charging</v>
      </c>
      <c r="AF577" t="str">
        <f>IF(EV_Data4[[#This Row],[acceleration_0_60_mph]]&lt;=3,"SportsPerformance",IF(EV_Data4[[#This Row],[acceleration_0_60_mph]]&lt;=5,"HighPerformance","Standard"))</f>
        <v>Standard</v>
      </c>
      <c r="AG577" t="str">
        <f>IF(EV_Data4[[#This Row],[customer_rating]]&gt;=4.5,"Excellent",IF(EV_Data4[[#This Row],[customer_rating]]&gt;=3.5,"Good","Average"))</f>
        <v>Average</v>
      </c>
      <c r="AH57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78" spans="1:34" x14ac:dyDescent="0.3">
      <c r="A578" t="s">
        <v>46</v>
      </c>
      <c r="B578" t="s">
        <v>72</v>
      </c>
      <c r="C578">
        <v>2024</v>
      </c>
      <c r="D578" t="s">
        <v>26</v>
      </c>
      <c r="E578" s="3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48</v>
      </c>
      <c r="N578">
        <v>5</v>
      </c>
      <c r="O578" t="s">
        <v>28</v>
      </c>
      <c r="P578">
        <v>64.599999999999994</v>
      </c>
      <c r="Q578">
        <v>2391</v>
      </c>
      <c r="R578">
        <v>5</v>
      </c>
      <c r="S578">
        <v>2</v>
      </c>
      <c r="T578" t="s">
        <v>41</v>
      </c>
      <c r="U578" t="s">
        <v>33</v>
      </c>
      <c r="V578" s="3">
        <v>230110</v>
      </c>
      <c r="W578">
        <v>4</v>
      </c>
      <c r="X578">
        <v>5</v>
      </c>
      <c r="Y578" s="1">
        <f>EV_Data4[[#This Row],[range_miles]]/EV_Data4[[#This Row],[battery_capacity_kwh]]</f>
        <v>3.3227848101265822</v>
      </c>
      <c r="Z578" s="4">
        <f>EV_Data4[[#This Row],[price_usd]]/EV_Data4[[#This Row],[range_miles]]</f>
        <v>217.12676190476188</v>
      </c>
      <c r="AA578" s="2">
        <f>(EV_Data4[[#This Row],[customer_rating]]*EV_Data4[[#This Row],[safety_rating]]*1000)/EV_Data4[[#This Row],[price_usd]]</f>
        <v>0.29241933576070628</v>
      </c>
      <c r="AB578">
        <f>EV_Data4[[#This Row],[horsepower]]+EV_Data4[[#This Row],[torque_nm]]/EV_Data4[[#This Row],[acceleration_0_60_mph]]</f>
        <v>613.49397590361446</v>
      </c>
      <c r="AC578" t="str">
        <f>IF(EV_Data4[[#This Row],[price_usd]]&gt;=80000,"Luxury",IF(EV_Data4[[#This Row],[price_usd]]&gt;=40000,"Mid-Range","Budget"))</f>
        <v>Mid-Range</v>
      </c>
      <c r="AD578" t="str">
        <f>IF(EV_Data4[[#This Row],[range_miles]]&gt;=350,"Long-Range",IF(EV_Data4[[#This Row],[range_miles]]&gt;=250,"Medium-Range","Short-Range"))</f>
        <v>Medium-Range</v>
      </c>
      <c r="AE578" t="str">
        <f>IF(EV_Data4[[#This Row],[charging_speed_kw]]&gt;=250,"Ultra-Fast",IF(EV_Data4[[#This Row],[charging_speed_kw]]&gt;=150,"Fast-Charging","Standard-Charging"))</f>
        <v>Ultra-Fast</v>
      </c>
      <c r="AF578" t="str">
        <f>IF(EV_Data4[[#This Row],[acceleration_0_60_mph]]&lt;=3,"SportsPerformance",IF(EV_Data4[[#This Row],[acceleration_0_60_mph]]&lt;=5,"HighPerformance","Standard"))</f>
        <v>HighPerformance</v>
      </c>
      <c r="AG578" t="str">
        <f>IF(EV_Data4[[#This Row],[customer_rating]]&gt;=4.5,"Excellent",IF(EV_Data4[[#This Row],[customer_rating]]&gt;=3.5,"Good","Average"))</f>
        <v>Good</v>
      </c>
      <c r="AH57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79" spans="1:34" x14ac:dyDescent="0.3">
      <c r="A579" t="s">
        <v>94</v>
      </c>
      <c r="B579" t="s">
        <v>133</v>
      </c>
      <c r="C579">
        <v>2025</v>
      </c>
      <c r="D579" t="s">
        <v>61</v>
      </c>
      <c r="E579" s="3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48</v>
      </c>
      <c r="N579">
        <v>4</v>
      </c>
      <c r="O579" t="s">
        <v>28</v>
      </c>
      <c r="P579">
        <v>67.099999999999994</v>
      </c>
      <c r="Q579">
        <v>2866</v>
      </c>
      <c r="R579">
        <v>4</v>
      </c>
      <c r="S579">
        <v>0</v>
      </c>
      <c r="T579" t="s">
        <v>41</v>
      </c>
      <c r="U579" t="s">
        <v>33</v>
      </c>
      <c r="V579" s="3">
        <v>14022</v>
      </c>
      <c r="W579">
        <v>3.14</v>
      </c>
      <c r="X579">
        <v>6</v>
      </c>
      <c r="Y579" s="1">
        <f>EV_Data4[[#This Row],[range_miles]]/EV_Data4[[#This Row],[battery_capacity_kwh]]</f>
        <v>3.8207547169811318</v>
      </c>
      <c r="Z579" s="4">
        <f>EV_Data4[[#This Row],[price_usd]]/EV_Data4[[#This Row],[range_miles]]</f>
        <v>323.84061728395062</v>
      </c>
      <c r="AA579" s="2">
        <f>(EV_Data4[[#This Row],[customer_rating]]*EV_Data4[[#This Row],[safety_rating]]*1000)/EV_Data4[[#This Row],[price_usd]]</f>
        <v>0.15960704136452836</v>
      </c>
      <c r="AB579">
        <f>EV_Data4[[#This Row],[horsepower]]+EV_Data4[[#This Row],[torque_nm]]/EV_Data4[[#This Row],[acceleration_0_60_mph]]</f>
        <v>716.39864864864865</v>
      </c>
      <c r="AC579" t="str">
        <f>IF(EV_Data4[[#This Row],[price_usd]]&gt;=80000,"Luxury",IF(EV_Data4[[#This Row],[price_usd]]&gt;=40000,"Mid-Range","Budget"))</f>
        <v>Mid-Range</v>
      </c>
      <c r="AD579" t="str">
        <f>IF(EV_Data4[[#This Row],[range_miles]]&gt;=350,"Long-Range",IF(EV_Data4[[#This Row],[range_miles]]&gt;=250,"Medium-Range","Short-Range"))</f>
        <v>Short-Range</v>
      </c>
      <c r="AE579" t="str">
        <f>IF(EV_Data4[[#This Row],[charging_speed_kw]]&gt;=250,"Ultra-Fast",IF(EV_Data4[[#This Row],[charging_speed_kw]]&gt;=150,"Fast-Charging","Standard-Charging"))</f>
        <v>Standard-Charging</v>
      </c>
      <c r="AF579" t="str">
        <f>IF(EV_Data4[[#This Row],[acceleration_0_60_mph]]&lt;=3,"SportsPerformance",IF(EV_Data4[[#This Row],[acceleration_0_60_mph]]&lt;=5,"HighPerformance","Standard"))</f>
        <v>Standard</v>
      </c>
      <c r="AG579" t="str">
        <f>IF(EV_Data4[[#This Row],[customer_rating]]&gt;=4.5,"Excellent",IF(EV_Data4[[#This Row],[customer_rating]]&gt;=3.5,"Good","Average"))</f>
        <v>Average</v>
      </c>
      <c r="AH57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80" spans="1:34" x14ac:dyDescent="0.3">
      <c r="A580" t="s">
        <v>68</v>
      </c>
      <c r="B580" t="s">
        <v>79</v>
      </c>
      <c r="C580">
        <v>2025</v>
      </c>
      <c r="D580" t="s">
        <v>61</v>
      </c>
      <c r="E580" s="3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34</v>
      </c>
      <c r="N580">
        <v>5</v>
      </c>
      <c r="O580" t="s">
        <v>58</v>
      </c>
      <c r="P580">
        <v>18.5</v>
      </c>
      <c r="Q580">
        <v>1585</v>
      </c>
      <c r="R580">
        <v>3</v>
      </c>
      <c r="S580">
        <v>0</v>
      </c>
      <c r="T580" t="s">
        <v>45</v>
      </c>
      <c r="U580" t="s">
        <v>37</v>
      </c>
      <c r="V580" s="3">
        <v>91894</v>
      </c>
      <c r="W580">
        <v>3.21</v>
      </c>
      <c r="X580">
        <v>4</v>
      </c>
      <c r="Y580" s="1">
        <f>EV_Data4[[#This Row],[range_miles]]/EV_Data4[[#This Row],[battery_capacity_kwh]]</f>
        <v>3.3994334277620397</v>
      </c>
      <c r="Z580" s="4">
        <f>EV_Data4[[#This Row],[price_usd]]/EV_Data4[[#This Row],[range_miles]]</f>
        <v>193.08533333333335</v>
      </c>
      <c r="AA580" s="2">
        <f>(EV_Data4[[#This Row],[customer_rating]]*EV_Data4[[#This Row],[safety_rating]]*1000)/EV_Data4[[#This Row],[price_usd]]</f>
        <v>0.20780967309790485</v>
      </c>
      <c r="AB580">
        <f>EV_Data4[[#This Row],[horsepower]]+EV_Data4[[#This Row],[torque_nm]]/EV_Data4[[#This Row],[acceleration_0_60_mph]]</f>
        <v>534.09589041095887</v>
      </c>
      <c r="AC580" t="str">
        <f>IF(EV_Data4[[#This Row],[price_usd]]&gt;=80000,"Luxury",IF(EV_Data4[[#This Row],[price_usd]]&gt;=40000,"Mid-Range","Budget"))</f>
        <v>Mid-Range</v>
      </c>
      <c r="AD580" t="str">
        <f>IF(EV_Data4[[#This Row],[range_miles]]&gt;=350,"Long-Range",IF(EV_Data4[[#This Row],[range_miles]]&gt;=250,"Medium-Range","Short-Range"))</f>
        <v>Short-Range</v>
      </c>
      <c r="AE580" t="str">
        <f>IF(EV_Data4[[#This Row],[charging_speed_kw]]&gt;=250,"Ultra-Fast",IF(EV_Data4[[#This Row],[charging_speed_kw]]&gt;=150,"Fast-Charging","Standard-Charging"))</f>
        <v>Standard-Charging</v>
      </c>
      <c r="AF580" t="str">
        <f>IF(EV_Data4[[#This Row],[acceleration_0_60_mph]]&lt;=3,"SportsPerformance",IF(EV_Data4[[#This Row],[acceleration_0_60_mph]]&lt;=5,"HighPerformance","Standard"))</f>
        <v>Standard</v>
      </c>
      <c r="AG580" t="str">
        <f>IF(EV_Data4[[#This Row],[customer_rating]]&gt;=4.5,"Excellent",IF(EV_Data4[[#This Row],[customer_rating]]&gt;=3.5,"Good","Average"))</f>
        <v>Average</v>
      </c>
      <c r="AH58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81" spans="1:34" x14ac:dyDescent="0.3">
      <c r="A581" t="s">
        <v>63</v>
      </c>
      <c r="B581" t="s">
        <v>64</v>
      </c>
      <c r="C581">
        <v>2021</v>
      </c>
      <c r="D581" t="s">
        <v>61</v>
      </c>
      <c r="E581" s="3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27</v>
      </c>
      <c r="N581">
        <v>5</v>
      </c>
      <c r="O581" t="s">
        <v>58</v>
      </c>
      <c r="P581">
        <v>24.9</v>
      </c>
      <c r="Q581">
        <v>1547</v>
      </c>
      <c r="R581">
        <v>4</v>
      </c>
      <c r="S581">
        <v>1</v>
      </c>
      <c r="T581" t="s">
        <v>65</v>
      </c>
      <c r="U581" t="s">
        <v>33</v>
      </c>
      <c r="V581" s="3">
        <v>227938</v>
      </c>
      <c r="W581">
        <v>3.21</v>
      </c>
      <c r="X581">
        <v>4</v>
      </c>
      <c r="Y581" s="1">
        <f>EV_Data4[[#This Row],[range_miles]]/EV_Data4[[#This Row],[battery_capacity_kwh]]</f>
        <v>3.6008676789587852</v>
      </c>
      <c r="Z581" s="4">
        <f>EV_Data4[[#This Row],[price_usd]]/EV_Data4[[#This Row],[range_miles]]</f>
        <v>441.15072289156632</v>
      </c>
      <c r="AA581" s="2">
        <f>(EV_Data4[[#This Row],[customer_rating]]*EV_Data4[[#This Row],[safety_rating]]*1000)/EV_Data4[[#This Row],[price_usd]]</f>
        <v>0.17533553404008301</v>
      </c>
      <c r="AB581">
        <f>EV_Data4[[#This Row],[horsepower]]+EV_Data4[[#This Row],[torque_nm]]/EV_Data4[[#This Row],[acceleration_0_60_mph]]</f>
        <v>948.58715596330273</v>
      </c>
      <c r="AC581" t="str">
        <f>IF(EV_Data4[[#This Row],[price_usd]]&gt;=80000,"Luxury",IF(EV_Data4[[#This Row],[price_usd]]&gt;=40000,"Mid-Range","Budget"))</f>
        <v>Mid-Range</v>
      </c>
      <c r="AD581" t="str">
        <f>IF(EV_Data4[[#This Row],[range_miles]]&gt;=350,"Long-Range",IF(EV_Data4[[#This Row],[range_miles]]&gt;=250,"Medium-Range","Short-Range"))</f>
        <v>Short-Range</v>
      </c>
      <c r="AE581" t="str">
        <f>IF(EV_Data4[[#This Row],[charging_speed_kw]]&gt;=250,"Ultra-Fast",IF(EV_Data4[[#This Row],[charging_speed_kw]]&gt;=150,"Fast-Charging","Standard-Charging"))</f>
        <v>Standard-Charging</v>
      </c>
      <c r="AF581" t="str">
        <f>IF(EV_Data4[[#This Row],[acceleration_0_60_mph]]&lt;=3,"SportsPerformance",IF(EV_Data4[[#This Row],[acceleration_0_60_mph]]&lt;=5,"HighPerformance","Standard"))</f>
        <v>Standard</v>
      </c>
      <c r="AG581" t="str">
        <f>IF(EV_Data4[[#This Row],[customer_rating]]&gt;=4.5,"Excellent",IF(EV_Data4[[#This Row],[customer_rating]]&gt;=3.5,"Good","Average"))</f>
        <v>Average</v>
      </c>
      <c r="AH58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82" spans="1:34" x14ac:dyDescent="0.3">
      <c r="A582" t="s">
        <v>68</v>
      </c>
      <c r="B582" t="s">
        <v>79</v>
      </c>
      <c r="C582">
        <v>2025</v>
      </c>
      <c r="D582" t="s">
        <v>61</v>
      </c>
      <c r="E582" s="3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34</v>
      </c>
      <c r="N582">
        <v>5</v>
      </c>
      <c r="O582" t="s">
        <v>58</v>
      </c>
      <c r="P582">
        <v>21.9</v>
      </c>
      <c r="Q582">
        <v>1500</v>
      </c>
      <c r="R582">
        <v>5</v>
      </c>
      <c r="S582">
        <v>1</v>
      </c>
      <c r="T582" t="s">
        <v>45</v>
      </c>
      <c r="U582" t="s">
        <v>33</v>
      </c>
      <c r="V582" s="3">
        <v>69074</v>
      </c>
      <c r="W582">
        <v>3.3</v>
      </c>
      <c r="X582">
        <v>4</v>
      </c>
      <c r="Y582" s="1">
        <f>EV_Data4[[#This Row],[range_miles]]/EV_Data4[[#This Row],[battery_capacity_kwh]]</f>
        <v>3.4068136272545093</v>
      </c>
      <c r="Z582" s="4">
        <f>EV_Data4[[#This Row],[price_usd]]/EV_Data4[[#This Row],[range_miles]]</f>
        <v>414.13052941176471</v>
      </c>
      <c r="AA582" s="2">
        <f>(EV_Data4[[#This Row],[customer_rating]]*EV_Data4[[#This Row],[safety_rating]]*1000)/EV_Data4[[#This Row],[price_usd]]</f>
        <v>0.23436770929995215</v>
      </c>
      <c r="AB582">
        <f>EV_Data4[[#This Row],[horsepower]]+EV_Data4[[#This Row],[torque_nm]]/EV_Data4[[#This Row],[acceleration_0_60_mph]]</f>
        <v>971.96590909090912</v>
      </c>
      <c r="AC582" t="str">
        <f>IF(EV_Data4[[#This Row],[price_usd]]&gt;=80000,"Luxury",IF(EV_Data4[[#This Row],[price_usd]]&gt;=40000,"Mid-Range","Budget"))</f>
        <v>Mid-Range</v>
      </c>
      <c r="AD582" t="str">
        <f>IF(EV_Data4[[#This Row],[range_miles]]&gt;=350,"Long-Range",IF(EV_Data4[[#This Row],[range_miles]]&gt;=250,"Medium-Range","Short-Range"))</f>
        <v>Short-Range</v>
      </c>
      <c r="AE582" t="str">
        <f>IF(EV_Data4[[#This Row],[charging_speed_kw]]&gt;=250,"Ultra-Fast",IF(EV_Data4[[#This Row],[charging_speed_kw]]&gt;=150,"Fast-Charging","Standard-Charging"))</f>
        <v>Standard-Charging</v>
      </c>
      <c r="AF582" t="str">
        <f>IF(EV_Data4[[#This Row],[acceleration_0_60_mph]]&lt;=3,"SportsPerformance",IF(EV_Data4[[#This Row],[acceleration_0_60_mph]]&lt;=5,"HighPerformance","Standard"))</f>
        <v>Standard</v>
      </c>
      <c r="AG582" t="str">
        <f>IF(EV_Data4[[#This Row],[customer_rating]]&gt;=4.5,"Excellent",IF(EV_Data4[[#This Row],[customer_rating]]&gt;=3.5,"Good","Average"))</f>
        <v>Average</v>
      </c>
      <c r="AH58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83" spans="1:34" x14ac:dyDescent="0.3">
      <c r="A583" t="s">
        <v>134</v>
      </c>
      <c r="B583">
        <v>3</v>
      </c>
      <c r="C583">
        <v>2024</v>
      </c>
      <c r="D583" t="s">
        <v>33</v>
      </c>
      <c r="E583" s="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48</v>
      </c>
      <c r="N583">
        <v>5</v>
      </c>
      <c r="O583" t="s">
        <v>51</v>
      </c>
      <c r="P583">
        <v>27.3</v>
      </c>
      <c r="Q583">
        <v>1500</v>
      </c>
      <c r="R583">
        <v>4</v>
      </c>
      <c r="S583">
        <v>2</v>
      </c>
      <c r="T583" t="s">
        <v>123</v>
      </c>
      <c r="U583" t="s">
        <v>33</v>
      </c>
      <c r="V583" s="3">
        <v>3904</v>
      </c>
      <c r="W583">
        <v>3.65</v>
      </c>
      <c r="X583">
        <v>4</v>
      </c>
      <c r="Y583" s="1">
        <f>EV_Data4[[#This Row],[range_miles]]/EV_Data4[[#This Row],[battery_capacity_kwh]]</f>
        <v>3.75</v>
      </c>
      <c r="Z583" s="4">
        <f>EV_Data4[[#This Row],[price_usd]]/EV_Data4[[#This Row],[range_miles]]</f>
        <v>448.50963470319635</v>
      </c>
      <c r="AA583" s="2">
        <f>(EV_Data4[[#This Row],[customer_rating]]*EV_Data4[[#This Row],[safety_rating]]*1000)/EV_Data4[[#This Row],[price_usd]]</f>
        <v>0.14864043380201564</v>
      </c>
      <c r="AB583">
        <f>EV_Data4[[#This Row],[horsepower]]+EV_Data4[[#This Row],[torque_nm]]/EV_Data4[[#This Row],[acceleration_0_60_mph]]</f>
        <v>792.92886456908343</v>
      </c>
      <c r="AC583" t="str">
        <f>IF(EV_Data4[[#This Row],[price_usd]]&gt;=80000,"Luxury",IF(EV_Data4[[#This Row],[price_usd]]&gt;=40000,"Mid-Range","Budget"))</f>
        <v>Luxury</v>
      </c>
      <c r="AD583" t="str">
        <f>IF(EV_Data4[[#This Row],[range_miles]]&gt;=350,"Long-Range",IF(EV_Data4[[#This Row],[range_miles]]&gt;=250,"Medium-Range","Short-Range"))</f>
        <v>Short-Range</v>
      </c>
      <c r="AE583" t="str">
        <f>IF(EV_Data4[[#This Row],[charging_speed_kw]]&gt;=250,"Ultra-Fast",IF(EV_Data4[[#This Row],[charging_speed_kw]]&gt;=150,"Fast-Charging","Standard-Charging"))</f>
        <v>Standard-Charging</v>
      </c>
      <c r="AF583" t="str">
        <f>IF(EV_Data4[[#This Row],[acceleration_0_60_mph]]&lt;=3,"SportsPerformance",IF(EV_Data4[[#This Row],[acceleration_0_60_mph]]&lt;=5,"HighPerformance","Standard"))</f>
        <v>Standard</v>
      </c>
      <c r="AG583" t="str">
        <f>IF(EV_Data4[[#This Row],[customer_rating]]&gt;=4.5,"Excellent",IF(EV_Data4[[#This Row],[customer_rating]]&gt;=3.5,"Good","Average"))</f>
        <v>Good</v>
      </c>
      <c r="AH58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84" spans="1:34" x14ac:dyDescent="0.3">
      <c r="A584" t="s">
        <v>68</v>
      </c>
      <c r="B584" t="s">
        <v>90</v>
      </c>
      <c r="C584">
        <v>2024</v>
      </c>
      <c r="D584" t="s">
        <v>33</v>
      </c>
      <c r="E584" s="3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27</v>
      </c>
      <c r="N584">
        <v>5</v>
      </c>
      <c r="O584" t="s">
        <v>50</v>
      </c>
      <c r="P584">
        <v>31.2</v>
      </c>
      <c r="Q584">
        <v>1595</v>
      </c>
      <c r="R584">
        <v>5</v>
      </c>
      <c r="S584">
        <v>0</v>
      </c>
      <c r="T584" t="s">
        <v>45</v>
      </c>
      <c r="U584" t="s">
        <v>37</v>
      </c>
      <c r="V584" s="3">
        <v>129173</v>
      </c>
      <c r="W584">
        <v>3</v>
      </c>
      <c r="X584">
        <v>3</v>
      </c>
      <c r="Y584" s="1">
        <f>EV_Data4[[#This Row],[range_miles]]/EV_Data4[[#This Row],[battery_capacity_kwh]]</f>
        <v>3.6585365853658538</v>
      </c>
      <c r="Z584" s="4">
        <f>EV_Data4[[#This Row],[price_usd]]/EV_Data4[[#This Row],[range_miles]]</f>
        <v>264.30993333333333</v>
      </c>
      <c r="AA584" s="2">
        <f>(EV_Data4[[#This Row],[customer_rating]]*EV_Data4[[#This Row],[safety_rating]]*1000)/EV_Data4[[#This Row],[price_usd]]</f>
        <v>0.37834370709740006</v>
      </c>
      <c r="AB584">
        <f>EV_Data4[[#This Row],[horsepower]]+EV_Data4[[#This Row],[torque_nm]]/EV_Data4[[#This Row],[acceleration_0_60_mph]]</f>
        <v>310.93231810490693</v>
      </c>
      <c r="AC584" t="str">
        <f>IF(EV_Data4[[#This Row],[price_usd]]&gt;=80000,"Luxury",IF(EV_Data4[[#This Row],[price_usd]]&gt;=40000,"Mid-Range","Budget"))</f>
        <v>Budget</v>
      </c>
      <c r="AD584" t="str">
        <f>IF(EV_Data4[[#This Row],[range_miles]]&gt;=350,"Long-Range",IF(EV_Data4[[#This Row],[range_miles]]&gt;=250,"Medium-Range","Short-Range"))</f>
        <v>Short-Range</v>
      </c>
      <c r="AE584" t="str">
        <f>IF(EV_Data4[[#This Row],[charging_speed_kw]]&gt;=250,"Ultra-Fast",IF(EV_Data4[[#This Row],[charging_speed_kw]]&gt;=150,"Fast-Charging","Standard-Charging"))</f>
        <v>Standard-Charging</v>
      </c>
      <c r="AF584" t="str">
        <f>IF(EV_Data4[[#This Row],[acceleration_0_60_mph]]&lt;=3,"SportsPerformance",IF(EV_Data4[[#This Row],[acceleration_0_60_mph]]&lt;=5,"HighPerformance","Standard"))</f>
        <v>Standard</v>
      </c>
      <c r="AG584" t="str">
        <f>IF(EV_Data4[[#This Row],[customer_rating]]&gt;=4.5,"Excellent",IF(EV_Data4[[#This Row],[customer_rating]]&gt;=3.5,"Good","Average"))</f>
        <v>Average</v>
      </c>
      <c r="AH58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85" spans="1:34" x14ac:dyDescent="0.3">
      <c r="A585" t="s">
        <v>63</v>
      </c>
      <c r="B585" t="s">
        <v>73</v>
      </c>
      <c r="C585">
        <v>2023</v>
      </c>
      <c r="D585" t="s">
        <v>61</v>
      </c>
      <c r="E585" s="3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34</v>
      </c>
      <c r="N585">
        <v>5</v>
      </c>
      <c r="O585" t="s">
        <v>50</v>
      </c>
      <c r="P585">
        <v>38.9</v>
      </c>
      <c r="Q585">
        <v>1764</v>
      </c>
      <c r="R585">
        <v>4</v>
      </c>
      <c r="S585">
        <v>1</v>
      </c>
      <c r="T585" t="s">
        <v>65</v>
      </c>
      <c r="U585" t="s">
        <v>33</v>
      </c>
      <c r="V585" s="3">
        <v>198624</v>
      </c>
      <c r="W585">
        <v>3.14</v>
      </c>
      <c r="X585">
        <v>3</v>
      </c>
      <c r="Y585" s="1">
        <f>EV_Data4[[#This Row],[range_miles]]/EV_Data4[[#This Row],[battery_capacity_kwh]]</f>
        <v>3.3333333333333335</v>
      </c>
      <c r="Z585" s="4">
        <f>EV_Data4[[#This Row],[price_usd]]/EV_Data4[[#This Row],[range_miles]]</f>
        <v>468.42622516556293</v>
      </c>
      <c r="AA585" s="2">
        <f>(EV_Data4[[#This Row],[customer_rating]]*EV_Data4[[#This Row],[safety_rating]]*1000)/EV_Data4[[#This Row],[price_usd]]</f>
        <v>0.17757077524346707</v>
      </c>
      <c r="AB585">
        <f>EV_Data4[[#This Row],[horsepower]]+EV_Data4[[#This Row],[torque_nm]]/EV_Data4[[#This Row],[acceleration_0_60_mph]]</f>
        <v>923.29729729729729</v>
      </c>
      <c r="AC585" t="str">
        <f>IF(EV_Data4[[#This Row],[price_usd]]&gt;=80000,"Luxury",IF(EV_Data4[[#This Row],[price_usd]]&gt;=40000,"Mid-Range","Budget"))</f>
        <v>Mid-Range</v>
      </c>
      <c r="AD585" t="str">
        <f>IF(EV_Data4[[#This Row],[range_miles]]&gt;=350,"Long-Range",IF(EV_Data4[[#This Row],[range_miles]]&gt;=250,"Medium-Range","Short-Range"))</f>
        <v>Short-Range</v>
      </c>
      <c r="AE585" t="str">
        <f>IF(EV_Data4[[#This Row],[charging_speed_kw]]&gt;=250,"Ultra-Fast",IF(EV_Data4[[#This Row],[charging_speed_kw]]&gt;=150,"Fast-Charging","Standard-Charging"))</f>
        <v>Standard-Charging</v>
      </c>
      <c r="AF585" t="str">
        <f>IF(EV_Data4[[#This Row],[acceleration_0_60_mph]]&lt;=3,"SportsPerformance",IF(EV_Data4[[#This Row],[acceleration_0_60_mph]]&lt;=5,"HighPerformance","Standard"))</f>
        <v>Standard</v>
      </c>
      <c r="AG585" t="str">
        <f>IF(EV_Data4[[#This Row],[customer_rating]]&gt;=4.5,"Excellent",IF(EV_Data4[[#This Row],[customer_rating]]&gt;=3.5,"Good","Average"))</f>
        <v>Average</v>
      </c>
      <c r="AH58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86" spans="1:34" x14ac:dyDescent="0.3">
      <c r="A586" t="s">
        <v>83</v>
      </c>
      <c r="B586" t="s">
        <v>114</v>
      </c>
      <c r="C586">
        <v>2023</v>
      </c>
      <c r="D586" t="s">
        <v>61</v>
      </c>
      <c r="E586" s="3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27</v>
      </c>
      <c r="N586">
        <v>5</v>
      </c>
      <c r="O586" t="s">
        <v>50</v>
      </c>
      <c r="P586">
        <v>16.399999999999999</v>
      </c>
      <c r="Q586">
        <v>1511</v>
      </c>
      <c r="R586">
        <v>5</v>
      </c>
      <c r="S586">
        <v>1</v>
      </c>
      <c r="T586" t="s">
        <v>29</v>
      </c>
      <c r="U586" t="s">
        <v>30</v>
      </c>
      <c r="V586" s="3">
        <v>52016</v>
      </c>
      <c r="W586">
        <v>3.3</v>
      </c>
      <c r="X586">
        <v>5</v>
      </c>
      <c r="Y586" s="1">
        <f>EV_Data4[[#This Row],[range_miles]]/EV_Data4[[#This Row],[battery_capacity_kwh]]</f>
        <v>4.0794979079497908</v>
      </c>
      <c r="Z586" s="4">
        <f>EV_Data4[[#This Row],[price_usd]]/EV_Data4[[#This Row],[range_miles]]</f>
        <v>543.83794871794873</v>
      </c>
      <c r="AA586" s="2">
        <f>(EV_Data4[[#This Row],[customer_rating]]*EV_Data4[[#This Row],[safety_rating]]*1000)/EV_Data4[[#This Row],[price_usd]]</f>
        <v>0.15558933468114561</v>
      </c>
      <c r="AB586">
        <f>EV_Data4[[#This Row],[horsepower]]+EV_Data4[[#This Row],[torque_nm]]/EV_Data4[[#This Row],[acceleration_0_60_mph]]</f>
        <v>1002.4686468646864</v>
      </c>
      <c r="AC586" t="str">
        <f>IF(EV_Data4[[#This Row],[price_usd]]&gt;=80000,"Luxury",IF(EV_Data4[[#This Row],[price_usd]]&gt;=40000,"Mid-Range","Budget"))</f>
        <v>Luxury</v>
      </c>
      <c r="AD586" t="str">
        <f>IF(EV_Data4[[#This Row],[range_miles]]&gt;=350,"Long-Range",IF(EV_Data4[[#This Row],[range_miles]]&gt;=250,"Medium-Range","Short-Range"))</f>
        <v>Short-Range</v>
      </c>
      <c r="AE586" t="str">
        <f>IF(EV_Data4[[#This Row],[charging_speed_kw]]&gt;=250,"Ultra-Fast",IF(EV_Data4[[#This Row],[charging_speed_kw]]&gt;=150,"Fast-Charging","Standard-Charging"))</f>
        <v>Standard-Charging</v>
      </c>
      <c r="AF586" t="str">
        <f>IF(EV_Data4[[#This Row],[acceleration_0_60_mph]]&lt;=3,"SportsPerformance",IF(EV_Data4[[#This Row],[acceleration_0_60_mph]]&lt;=5,"HighPerformance","Standard"))</f>
        <v>Standard</v>
      </c>
      <c r="AG586" t="str">
        <f>IF(EV_Data4[[#This Row],[customer_rating]]&gt;=4.5,"Excellent",IF(EV_Data4[[#This Row],[customer_rating]]&gt;=3.5,"Good","Average"))</f>
        <v>Average</v>
      </c>
      <c r="AH58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87" spans="1:34" x14ac:dyDescent="0.3">
      <c r="A587" t="s">
        <v>63</v>
      </c>
      <c r="B587" t="s">
        <v>64</v>
      </c>
      <c r="C587">
        <v>2026</v>
      </c>
      <c r="D587" t="s">
        <v>61</v>
      </c>
      <c r="E587" s="3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27</v>
      </c>
      <c r="N587">
        <v>7</v>
      </c>
      <c r="O587" t="s">
        <v>58</v>
      </c>
      <c r="P587">
        <v>31.9</v>
      </c>
      <c r="Q587">
        <v>1545</v>
      </c>
      <c r="R587">
        <v>3</v>
      </c>
      <c r="S587">
        <v>2</v>
      </c>
      <c r="T587" t="s">
        <v>65</v>
      </c>
      <c r="U587" t="s">
        <v>33</v>
      </c>
      <c r="V587" s="3">
        <v>230330</v>
      </c>
      <c r="W587">
        <v>3.4</v>
      </c>
      <c r="X587">
        <v>4</v>
      </c>
      <c r="Y587" s="1">
        <f>EV_Data4[[#This Row],[range_miles]]/EV_Data4[[#This Row],[battery_capacity_kwh]]</f>
        <v>3.8514680483592403</v>
      </c>
      <c r="Z587" s="4">
        <f>EV_Data4[[#This Row],[price_usd]]/EV_Data4[[#This Row],[range_miles]]</f>
        <v>339.40708520179373</v>
      </c>
      <c r="AA587" s="2">
        <f>(EV_Data4[[#This Row],[customer_rating]]*EV_Data4[[#This Row],[safety_rating]]*1000)/EV_Data4[[#This Row],[price_usd]]</f>
        <v>0.13476415875852085</v>
      </c>
      <c r="AB587">
        <f>EV_Data4[[#This Row],[horsepower]]+EV_Data4[[#This Row],[torque_nm]]/EV_Data4[[#This Row],[acceleration_0_60_mph]]</f>
        <v>1032.9718309859154</v>
      </c>
      <c r="AC587" t="str">
        <f>IF(EV_Data4[[#This Row],[price_usd]]&gt;=80000,"Luxury",IF(EV_Data4[[#This Row],[price_usd]]&gt;=40000,"Mid-Range","Budget"))</f>
        <v>Mid-Range</v>
      </c>
      <c r="AD587" t="str">
        <f>IF(EV_Data4[[#This Row],[range_miles]]&gt;=350,"Long-Range",IF(EV_Data4[[#This Row],[range_miles]]&gt;=250,"Medium-Range","Short-Range"))</f>
        <v>Short-Range</v>
      </c>
      <c r="AE587" t="str">
        <f>IF(EV_Data4[[#This Row],[charging_speed_kw]]&gt;=250,"Ultra-Fast",IF(EV_Data4[[#This Row],[charging_speed_kw]]&gt;=150,"Fast-Charging","Standard-Charging"))</f>
        <v>Standard-Charging</v>
      </c>
      <c r="AF587" t="str">
        <f>IF(EV_Data4[[#This Row],[acceleration_0_60_mph]]&lt;=3,"SportsPerformance",IF(EV_Data4[[#This Row],[acceleration_0_60_mph]]&lt;=5,"HighPerformance","Standard"))</f>
        <v>Standard</v>
      </c>
      <c r="AG587" t="str">
        <f>IF(EV_Data4[[#This Row],[customer_rating]]&gt;=4.5,"Excellent",IF(EV_Data4[[#This Row],[customer_rating]]&gt;=3.5,"Good","Average"))</f>
        <v>Average</v>
      </c>
      <c r="AH58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88" spans="1:34" x14ac:dyDescent="0.3">
      <c r="A588" t="s">
        <v>46</v>
      </c>
      <c r="B588" t="s">
        <v>47</v>
      </c>
      <c r="C588">
        <v>2024</v>
      </c>
      <c r="D588" t="s">
        <v>33</v>
      </c>
      <c r="E588" s="3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27</v>
      </c>
      <c r="N588">
        <v>5</v>
      </c>
      <c r="O588" t="s">
        <v>51</v>
      </c>
      <c r="P588">
        <v>30.2</v>
      </c>
      <c r="Q588">
        <v>1747</v>
      </c>
      <c r="R588">
        <v>3</v>
      </c>
      <c r="S588">
        <v>2</v>
      </c>
      <c r="T588" t="s">
        <v>41</v>
      </c>
      <c r="U588" t="s">
        <v>30</v>
      </c>
      <c r="V588" s="3">
        <v>238934</v>
      </c>
      <c r="W588">
        <v>3.62</v>
      </c>
      <c r="X588">
        <v>5</v>
      </c>
      <c r="Y588" s="1">
        <f>EV_Data4[[#This Row],[range_miles]]/EV_Data4[[#This Row],[battery_capacity_kwh]]</f>
        <v>3.6007827788649704</v>
      </c>
      <c r="Z588" s="4">
        <f>EV_Data4[[#This Row],[price_usd]]/EV_Data4[[#This Row],[range_miles]]</f>
        <v>896.21608695652174</v>
      </c>
      <c r="AA588" s="2">
        <f>(EV_Data4[[#This Row],[customer_rating]]*EV_Data4[[#This Row],[safety_rating]]*1000)/EV_Data4[[#This Row],[price_usd]]</f>
        <v>6.5856594173474267E-2</v>
      </c>
      <c r="AB588">
        <f>EV_Data4[[#This Row],[horsepower]]+EV_Data4[[#This Row],[torque_nm]]/EV_Data4[[#This Row],[acceleration_0_60_mph]]</f>
        <v>1142.2839506172841</v>
      </c>
      <c r="AC588" t="str">
        <f>IF(EV_Data4[[#This Row],[price_usd]]&gt;=80000,"Luxury",IF(EV_Data4[[#This Row],[price_usd]]&gt;=40000,"Mid-Range","Budget"))</f>
        <v>Luxury</v>
      </c>
      <c r="AD588" t="str">
        <f>IF(EV_Data4[[#This Row],[range_miles]]&gt;=350,"Long-Range",IF(EV_Data4[[#This Row],[range_miles]]&gt;=250,"Medium-Range","Short-Range"))</f>
        <v>Short-Range</v>
      </c>
      <c r="AE588" t="str">
        <f>IF(EV_Data4[[#This Row],[charging_speed_kw]]&gt;=250,"Ultra-Fast",IF(EV_Data4[[#This Row],[charging_speed_kw]]&gt;=150,"Fast-Charging","Standard-Charging"))</f>
        <v>Ultra-Fast</v>
      </c>
      <c r="AF588" t="str">
        <f>IF(EV_Data4[[#This Row],[acceleration_0_60_mph]]&lt;=3,"SportsPerformance",IF(EV_Data4[[#This Row],[acceleration_0_60_mph]]&lt;=5,"HighPerformance","Standard"))</f>
        <v>Standard</v>
      </c>
      <c r="AG588" t="str">
        <f>IF(EV_Data4[[#This Row],[customer_rating]]&gt;=4.5,"Excellent",IF(EV_Data4[[#This Row],[customer_rating]]&gt;=3.5,"Good","Average"))</f>
        <v>Good</v>
      </c>
      <c r="AH58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89" spans="1:34" x14ac:dyDescent="0.3">
      <c r="A589" t="s">
        <v>46</v>
      </c>
      <c r="B589" t="s">
        <v>72</v>
      </c>
      <c r="C589">
        <v>2025</v>
      </c>
      <c r="D589" t="s">
        <v>33</v>
      </c>
      <c r="E589" s="3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48</v>
      </c>
      <c r="N589">
        <v>7</v>
      </c>
      <c r="O589" t="s">
        <v>28</v>
      </c>
      <c r="P589">
        <v>79.099999999999994</v>
      </c>
      <c r="Q589">
        <v>2220</v>
      </c>
      <c r="R589">
        <v>4</v>
      </c>
      <c r="S589">
        <v>2</v>
      </c>
      <c r="T589" t="s">
        <v>41</v>
      </c>
      <c r="U589" t="s">
        <v>30</v>
      </c>
      <c r="V589" s="3">
        <v>241443</v>
      </c>
      <c r="W589">
        <v>3.82</v>
      </c>
      <c r="X589">
        <v>6</v>
      </c>
      <c r="Y589" s="1">
        <f>EV_Data4[[#This Row],[range_miles]]/EV_Data4[[#This Row],[battery_capacity_kwh]]</f>
        <v>3.6926147704590817</v>
      </c>
      <c r="Z589" s="4">
        <f>EV_Data4[[#This Row],[price_usd]]/EV_Data4[[#This Row],[range_miles]]</f>
        <v>563.94724324324329</v>
      </c>
      <c r="AA589" s="2">
        <f>(EV_Data4[[#This Row],[customer_rating]]*EV_Data4[[#This Row],[safety_rating]]*1000)/EV_Data4[[#This Row],[price_usd]]</f>
        <v>0.14645801639102909</v>
      </c>
      <c r="AB589">
        <f>EV_Data4[[#This Row],[horsepower]]+EV_Data4[[#This Row],[torque_nm]]/EV_Data4[[#This Row],[acceleration_0_60_mph]]</f>
        <v>896.8295454545455</v>
      </c>
      <c r="AC589" t="str">
        <f>IF(EV_Data4[[#This Row],[price_usd]]&gt;=80000,"Luxury",IF(EV_Data4[[#This Row],[price_usd]]&gt;=40000,"Mid-Range","Budget"))</f>
        <v>Luxury</v>
      </c>
      <c r="AD589" t="str">
        <f>IF(EV_Data4[[#This Row],[range_miles]]&gt;=350,"Long-Range",IF(EV_Data4[[#This Row],[range_miles]]&gt;=250,"Medium-Range","Short-Range"))</f>
        <v>Short-Range</v>
      </c>
      <c r="AE589" t="str">
        <f>IF(EV_Data4[[#This Row],[charging_speed_kw]]&gt;=250,"Ultra-Fast",IF(EV_Data4[[#This Row],[charging_speed_kw]]&gt;=150,"Fast-Charging","Standard-Charging"))</f>
        <v>Ultra-Fast</v>
      </c>
      <c r="AF589" t="str">
        <f>IF(EV_Data4[[#This Row],[acceleration_0_60_mph]]&lt;=3,"SportsPerformance",IF(EV_Data4[[#This Row],[acceleration_0_60_mph]]&lt;=5,"HighPerformance","Standard"))</f>
        <v>Standard</v>
      </c>
      <c r="AG589" t="str">
        <f>IF(EV_Data4[[#This Row],[customer_rating]]&gt;=4.5,"Excellent",IF(EV_Data4[[#This Row],[customer_rating]]&gt;=3.5,"Good","Average"))</f>
        <v>Good</v>
      </c>
      <c r="AH58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90" spans="1:34" x14ac:dyDescent="0.3">
      <c r="A590" t="s">
        <v>46</v>
      </c>
      <c r="B590" t="s">
        <v>47</v>
      </c>
      <c r="C590">
        <v>2022</v>
      </c>
      <c r="D590" t="s">
        <v>33</v>
      </c>
      <c r="E590" s="3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27</v>
      </c>
      <c r="N590">
        <v>5</v>
      </c>
      <c r="O590" t="s">
        <v>28</v>
      </c>
      <c r="P590">
        <v>78.2</v>
      </c>
      <c r="Q590">
        <v>2148</v>
      </c>
      <c r="R590">
        <v>5</v>
      </c>
      <c r="S590">
        <v>2</v>
      </c>
      <c r="T590" t="s">
        <v>41</v>
      </c>
      <c r="U590" t="s">
        <v>33</v>
      </c>
      <c r="V590" s="3">
        <v>245609</v>
      </c>
      <c r="W590">
        <v>3.71</v>
      </c>
      <c r="X590">
        <v>4</v>
      </c>
      <c r="Y590" s="1">
        <f>EV_Data4[[#This Row],[range_miles]]/EV_Data4[[#This Row],[battery_capacity_kwh]]</f>
        <v>3.3223140495867769</v>
      </c>
      <c r="Z590" s="4">
        <f>EV_Data4[[#This Row],[price_usd]]/EV_Data4[[#This Row],[range_miles]]</f>
        <v>371.48074626865673</v>
      </c>
      <c r="AA590" s="2">
        <f>(EV_Data4[[#This Row],[customer_rating]]*EV_Data4[[#This Row],[safety_rating]]*1000)/EV_Data4[[#This Row],[price_usd]]</f>
        <v>0.248434294753965</v>
      </c>
      <c r="AB590">
        <f>EV_Data4[[#This Row],[horsepower]]+EV_Data4[[#This Row],[torque_nm]]/EV_Data4[[#This Row],[acceleration_0_60_mph]]</f>
        <v>626.01812688821747</v>
      </c>
      <c r="AC590" t="str">
        <f>IF(EV_Data4[[#This Row],[price_usd]]&gt;=80000,"Luxury",IF(EV_Data4[[#This Row],[price_usd]]&gt;=40000,"Mid-Range","Budget"))</f>
        <v>Mid-Range</v>
      </c>
      <c r="AD590" t="str">
        <f>IF(EV_Data4[[#This Row],[range_miles]]&gt;=350,"Long-Range",IF(EV_Data4[[#This Row],[range_miles]]&gt;=250,"Medium-Range","Short-Range"))</f>
        <v>Short-Range</v>
      </c>
      <c r="AE590" t="str">
        <f>IF(EV_Data4[[#This Row],[charging_speed_kw]]&gt;=250,"Ultra-Fast",IF(EV_Data4[[#This Row],[charging_speed_kw]]&gt;=150,"Fast-Charging","Standard-Charging"))</f>
        <v>Fast-Charging</v>
      </c>
      <c r="AF590" t="str">
        <f>IF(EV_Data4[[#This Row],[acceleration_0_60_mph]]&lt;=3,"SportsPerformance",IF(EV_Data4[[#This Row],[acceleration_0_60_mph]]&lt;=5,"HighPerformance","Standard"))</f>
        <v>Standard</v>
      </c>
      <c r="AG590" t="str">
        <f>IF(EV_Data4[[#This Row],[customer_rating]]&gt;=4.5,"Excellent",IF(EV_Data4[[#This Row],[customer_rating]]&gt;=3.5,"Good","Average"))</f>
        <v>Good</v>
      </c>
      <c r="AH59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91" spans="1:34" x14ac:dyDescent="0.3">
      <c r="A591" t="s">
        <v>46</v>
      </c>
      <c r="B591" t="s">
        <v>57</v>
      </c>
      <c r="C591">
        <v>2024</v>
      </c>
      <c r="D591" t="s">
        <v>61</v>
      </c>
      <c r="E591" s="3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48</v>
      </c>
      <c r="N591">
        <v>7</v>
      </c>
      <c r="O591" t="s">
        <v>58</v>
      </c>
      <c r="P591">
        <v>24.8</v>
      </c>
      <c r="Q591">
        <v>1603</v>
      </c>
      <c r="R591">
        <v>5</v>
      </c>
      <c r="S591">
        <v>2</v>
      </c>
      <c r="T591" t="s">
        <v>41</v>
      </c>
      <c r="U591" t="s">
        <v>30</v>
      </c>
      <c r="V591" s="3">
        <v>220563</v>
      </c>
      <c r="W591">
        <v>3.46</v>
      </c>
      <c r="X591">
        <v>5</v>
      </c>
      <c r="Y591" s="1">
        <f>EV_Data4[[#This Row],[range_miles]]/EV_Data4[[#This Row],[battery_capacity_kwh]]</f>
        <v>3.4320557491289199</v>
      </c>
      <c r="Z591" s="4">
        <f>EV_Data4[[#This Row],[price_usd]]/EV_Data4[[#This Row],[range_miles]]</f>
        <v>674.91167512690356</v>
      </c>
      <c r="AA591" s="2">
        <f>(EV_Data4[[#This Row],[customer_rating]]*EV_Data4[[#This Row],[safety_rating]]*1000)/EV_Data4[[#This Row],[price_usd]]</f>
        <v>0.1301166687726012</v>
      </c>
      <c r="AB591">
        <f>EV_Data4[[#This Row],[horsepower]]+EV_Data4[[#This Row],[torque_nm]]/EV_Data4[[#This Row],[acceleration_0_60_mph]]</f>
        <v>1159.0106007067138</v>
      </c>
      <c r="AC591" t="str">
        <f>IF(EV_Data4[[#This Row],[price_usd]]&gt;=80000,"Luxury",IF(EV_Data4[[#This Row],[price_usd]]&gt;=40000,"Mid-Range","Budget"))</f>
        <v>Luxury</v>
      </c>
      <c r="AD591" t="str">
        <f>IF(EV_Data4[[#This Row],[range_miles]]&gt;=350,"Long-Range",IF(EV_Data4[[#This Row],[range_miles]]&gt;=250,"Medium-Range","Short-Range"))</f>
        <v>Short-Range</v>
      </c>
      <c r="AE591" t="str">
        <f>IF(EV_Data4[[#This Row],[charging_speed_kw]]&gt;=250,"Ultra-Fast",IF(EV_Data4[[#This Row],[charging_speed_kw]]&gt;=150,"Fast-Charging","Standard-Charging"))</f>
        <v>Ultra-Fast</v>
      </c>
      <c r="AF591" t="str">
        <f>IF(EV_Data4[[#This Row],[acceleration_0_60_mph]]&lt;=3,"SportsPerformance",IF(EV_Data4[[#This Row],[acceleration_0_60_mph]]&lt;=5,"HighPerformance","Standard"))</f>
        <v>Standard</v>
      </c>
      <c r="AG591" t="str">
        <f>IF(EV_Data4[[#This Row],[customer_rating]]&gt;=4.5,"Excellent",IF(EV_Data4[[#This Row],[customer_rating]]&gt;=3.5,"Good","Average"))</f>
        <v>Average</v>
      </c>
      <c r="AH59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92" spans="1:34" x14ac:dyDescent="0.3">
      <c r="A592" t="s">
        <v>46</v>
      </c>
      <c r="B592" t="s">
        <v>49</v>
      </c>
      <c r="C592">
        <v>2025</v>
      </c>
      <c r="D592" t="s">
        <v>26</v>
      </c>
      <c r="E592" s="3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27</v>
      </c>
      <c r="N592">
        <v>5</v>
      </c>
      <c r="O592" t="s">
        <v>35</v>
      </c>
      <c r="P592">
        <v>58.9</v>
      </c>
      <c r="Q592">
        <v>1942</v>
      </c>
      <c r="R592">
        <v>4</v>
      </c>
      <c r="S592">
        <v>2</v>
      </c>
      <c r="T592" t="s">
        <v>41</v>
      </c>
      <c r="U592" t="s">
        <v>30</v>
      </c>
      <c r="V592" s="3">
        <v>406719</v>
      </c>
      <c r="W592">
        <v>4.12</v>
      </c>
      <c r="X592">
        <v>5</v>
      </c>
      <c r="Y592" s="1">
        <f>EV_Data4[[#This Row],[range_miles]]/EV_Data4[[#This Row],[battery_capacity_kwh]]</f>
        <v>3.7404580152671754</v>
      </c>
      <c r="Z592" s="4">
        <f>EV_Data4[[#This Row],[price_usd]]/EV_Data4[[#This Row],[range_miles]]</f>
        <v>427.17749271137029</v>
      </c>
      <c r="AA592" s="2">
        <f>(EV_Data4[[#This Row],[customer_rating]]*EV_Data4[[#This Row],[safety_rating]]*1000)/EV_Data4[[#This Row],[price_usd]]</f>
        <v>0.11247466931218736</v>
      </c>
      <c r="AB592">
        <f>EV_Data4[[#This Row],[horsepower]]+EV_Data4[[#This Row],[torque_nm]]/EV_Data4[[#This Row],[acceleration_0_60_mph]]</f>
        <v>1271.383647798742</v>
      </c>
      <c r="AC592" t="str">
        <f>IF(EV_Data4[[#This Row],[price_usd]]&gt;=80000,"Luxury",IF(EV_Data4[[#This Row],[price_usd]]&gt;=40000,"Mid-Range","Budget"))</f>
        <v>Luxury</v>
      </c>
      <c r="AD592" t="str">
        <f>IF(EV_Data4[[#This Row],[range_miles]]&gt;=350,"Long-Range",IF(EV_Data4[[#This Row],[range_miles]]&gt;=250,"Medium-Range","Short-Range"))</f>
        <v>Medium-Range</v>
      </c>
      <c r="AE592" t="str">
        <f>IF(EV_Data4[[#This Row],[charging_speed_kw]]&gt;=250,"Ultra-Fast",IF(EV_Data4[[#This Row],[charging_speed_kw]]&gt;=150,"Fast-Charging","Standard-Charging"))</f>
        <v>Fast-Charging</v>
      </c>
      <c r="AF592" t="str">
        <f>IF(EV_Data4[[#This Row],[acceleration_0_60_mph]]&lt;=3,"SportsPerformance",IF(EV_Data4[[#This Row],[acceleration_0_60_mph]]&lt;=5,"HighPerformance","Standard"))</f>
        <v>HighPerformance</v>
      </c>
      <c r="AG592" t="str">
        <f>IF(EV_Data4[[#This Row],[customer_rating]]&gt;=4.5,"Excellent",IF(EV_Data4[[#This Row],[customer_rating]]&gt;=3.5,"Good","Average"))</f>
        <v>Good</v>
      </c>
      <c r="AH59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593" spans="1:34" x14ac:dyDescent="0.3">
      <c r="A593" t="s">
        <v>83</v>
      </c>
      <c r="B593" t="s">
        <v>84</v>
      </c>
      <c r="C593">
        <v>2024</v>
      </c>
      <c r="D593" t="s">
        <v>44</v>
      </c>
      <c r="E593" s="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34</v>
      </c>
      <c r="N593">
        <v>7</v>
      </c>
      <c r="O593" t="s">
        <v>50</v>
      </c>
      <c r="P593">
        <v>38.1</v>
      </c>
      <c r="Q593">
        <v>1500</v>
      </c>
      <c r="R593">
        <v>5</v>
      </c>
      <c r="S593">
        <v>1</v>
      </c>
      <c r="T593" t="s">
        <v>29</v>
      </c>
      <c r="U593" t="s">
        <v>30</v>
      </c>
      <c r="V593" s="3">
        <v>51591</v>
      </c>
      <c r="W593">
        <v>3.87</v>
      </c>
      <c r="X593">
        <v>6</v>
      </c>
      <c r="Y593" s="1">
        <f>EV_Data4[[#This Row],[range_miles]]/EV_Data4[[#This Row],[battery_capacity_kwh]]</f>
        <v>3.6393088552915769</v>
      </c>
      <c r="Z593" s="4">
        <f>EV_Data4[[#This Row],[price_usd]]/EV_Data4[[#This Row],[range_miles]]</f>
        <v>374.84697329376854</v>
      </c>
      <c r="AA593" s="2">
        <f>(EV_Data4[[#This Row],[customer_rating]]*EV_Data4[[#This Row],[safety_rating]]*1000)/EV_Data4[[#This Row],[price_usd]]</f>
        <v>0.15317823463153274</v>
      </c>
      <c r="AB593">
        <f>EV_Data4[[#This Row],[horsepower]]+EV_Data4[[#This Row],[torque_nm]]/EV_Data4[[#This Row],[acceleration_0_60_mph]]</f>
        <v>1198.2494529540481</v>
      </c>
      <c r="AC593" t="str">
        <f>IF(EV_Data4[[#This Row],[price_usd]]&gt;=80000,"Luxury",IF(EV_Data4[[#This Row],[price_usd]]&gt;=40000,"Mid-Range","Budget"))</f>
        <v>Luxury</v>
      </c>
      <c r="AD593" t="str">
        <f>IF(EV_Data4[[#This Row],[range_miles]]&gt;=350,"Long-Range",IF(EV_Data4[[#This Row],[range_miles]]&gt;=250,"Medium-Range","Short-Range"))</f>
        <v>Medium-Range</v>
      </c>
      <c r="AE593" t="str">
        <f>IF(EV_Data4[[#This Row],[charging_speed_kw]]&gt;=250,"Ultra-Fast",IF(EV_Data4[[#This Row],[charging_speed_kw]]&gt;=150,"Fast-Charging","Standard-Charging"))</f>
        <v>Standard-Charging</v>
      </c>
      <c r="AF593" t="str">
        <f>IF(EV_Data4[[#This Row],[acceleration_0_60_mph]]&lt;=3,"SportsPerformance",IF(EV_Data4[[#This Row],[acceleration_0_60_mph]]&lt;=5,"HighPerformance","Standard"))</f>
        <v>HighPerformance</v>
      </c>
      <c r="AG593" t="str">
        <f>IF(EV_Data4[[#This Row],[customer_rating]]&gt;=4.5,"Excellent",IF(EV_Data4[[#This Row],[customer_rating]]&gt;=3.5,"Good","Average"))</f>
        <v>Good</v>
      </c>
      <c r="AH59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94" spans="1:34" x14ac:dyDescent="0.3">
      <c r="A594" t="s">
        <v>46</v>
      </c>
      <c r="B594" t="s">
        <v>78</v>
      </c>
      <c r="C594">
        <v>2025</v>
      </c>
      <c r="D594" t="s">
        <v>56</v>
      </c>
      <c r="E594" s="3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27</v>
      </c>
      <c r="N594">
        <v>7</v>
      </c>
      <c r="O594" t="s">
        <v>35</v>
      </c>
      <c r="P594">
        <v>66.099999999999994</v>
      </c>
      <c r="Q594">
        <v>1861</v>
      </c>
      <c r="R594">
        <v>5</v>
      </c>
      <c r="S594">
        <v>3</v>
      </c>
      <c r="T594" t="s">
        <v>41</v>
      </c>
      <c r="U594" t="s">
        <v>37</v>
      </c>
      <c r="V594" s="3">
        <v>202664</v>
      </c>
      <c r="W594">
        <v>3.79</v>
      </c>
      <c r="X594">
        <v>5</v>
      </c>
      <c r="Y594" s="1">
        <f>EV_Data4[[#This Row],[range_miles]]/EV_Data4[[#This Row],[battery_capacity_kwh]]</f>
        <v>3.4545454545454546</v>
      </c>
      <c r="Z594" s="4">
        <f>EV_Data4[[#This Row],[price_usd]]/EV_Data4[[#This Row],[range_miles]]</f>
        <v>161.44834586466166</v>
      </c>
      <c r="AA594" s="2">
        <f>(EV_Data4[[#This Row],[customer_rating]]*EV_Data4[[#This Row],[safety_rating]]*1000)/EV_Data4[[#This Row],[price_usd]]</f>
        <v>0.44125940790671658</v>
      </c>
      <c r="AB594">
        <f>EV_Data4[[#This Row],[horsepower]]+EV_Data4[[#This Row],[torque_nm]]/EV_Data4[[#This Row],[acceleration_0_60_mph]]</f>
        <v>277.45508100147276</v>
      </c>
      <c r="AC594" t="str">
        <f>IF(EV_Data4[[#This Row],[price_usd]]&gt;=80000,"Luxury",IF(EV_Data4[[#This Row],[price_usd]]&gt;=40000,"Mid-Range","Budget"))</f>
        <v>Mid-Range</v>
      </c>
      <c r="AD594" t="str">
        <f>IF(EV_Data4[[#This Row],[range_miles]]&gt;=350,"Long-Range",IF(EV_Data4[[#This Row],[range_miles]]&gt;=250,"Medium-Range","Short-Range"))</f>
        <v>Medium-Range</v>
      </c>
      <c r="AE594" t="str">
        <f>IF(EV_Data4[[#This Row],[charging_speed_kw]]&gt;=250,"Ultra-Fast",IF(EV_Data4[[#This Row],[charging_speed_kw]]&gt;=150,"Fast-Charging","Standard-Charging"))</f>
        <v>Ultra-Fast</v>
      </c>
      <c r="AF594" t="str">
        <f>IF(EV_Data4[[#This Row],[acceleration_0_60_mph]]&lt;=3,"SportsPerformance",IF(EV_Data4[[#This Row],[acceleration_0_60_mph]]&lt;=5,"HighPerformance","Standard"))</f>
        <v>Standard</v>
      </c>
      <c r="AG594" t="str">
        <f>IF(EV_Data4[[#This Row],[customer_rating]]&gt;=4.5,"Excellent",IF(EV_Data4[[#This Row],[customer_rating]]&gt;=3.5,"Good","Average"))</f>
        <v>Good</v>
      </c>
      <c r="AH59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595" spans="1:34" x14ac:dyDescent="0.3">
      <c r="A595" t="s">
        <v>63</v>
      </c>
      <c r="B595" t="s">
        <v>96</v>
      </c>
      <c r="C595">
        <v>2024</v>
      </c>
      <c r="D595" t="s">
        <v>44</v>
      </c>
      <c r="E595" s="3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27</v>
      </c>
      <c r="N595">
        <v>7</v>
      </c>
      <c r="O595" t="s">
        <v>35</v>
      </c>
      <c r="P595">
        <v>45.2</v>
      </c>
      <c r="Q595">
        <v>1687</v>
      </c>
      <c r="R595">
        <v>5</v>
      </c>
      <c r="S595">
        <v>0</v>
      </c>
      <c r="T595" t="s">
        <v>65</v>
      </c>
      <c r="U595" t="s">
        <v>37</v>
      </c>
      <c r="V595" s="3">
        <v>241420</v>
      </c>
      <c r="W595">
        <v>3.72</v>
      </c>
      <c r="X595">
        <v>3</v>
      </c>
      <c r="Y595" s="1">
        <f>EV_Data4[[#This Row],[range_miles]]/EV_Data4[[#This Row],[battery_capacity_kwh]]</f>
        <v>3.7528868360277139</v>
      </c>
      <c r="Z595" s="4">
        <f>EV_Data4[[#This Row],[price_usd]]/EV_Data4[[#This Row],[range_miles]]</f>
        <v>116.96772307692308</v>
      </c>
      <c r="AA595" s="2">
        <f>(EV_Data4[[#This Row],[customer_rating]]*EV_Data4[[#This Row],[safety_rating]]*1000)/EV_Data4[[#This Row],[price_usd]]</f>
        <v>0.48928685388816007</v>
      </c>
      <c r="AB595">
        <f>EV_Data4[[#This Row],[horsepower]]+EV_Data4[[#This Row],[torque_nm]]/EV_Data4[[#This Row],[acceleration_0_60_mph]]</f>
        <v>451.4759916492693</v>
      </c>
      <c r="AC595" t="str">
        <f>IF(EV_Data4[[#This Row],[price_usd]]&gt;=80000,"Luxury",IF(EV_Data4[[#This Row],[price_usd]]&gt;=40000,"Mid-Range","Budget"))</f>
        <v>Budget</v>
      </c>
      <c r="AD595" t="str">
        <f>IF(EV_Data4[[#This Row],[range_miles]]&gt;=350,"Long-Range",IF(EV_Data4[[#This Row],[range_miles]]&gt;=250,"Medium-Range","Short-Range"))</f>
        <v>Medium-Range</v>
      </c>
      <c r="AE595" t="str">
        <f>IF(EV_Data4[[#This Row],[charging_speed_kw]]&gt;=250,"Ultra-Fast",IF(EV_Data4[[#This Row],[charging_speed_kw]]&gt;=150,"Fast-Charging","Standard-Charging"))</f>
        <v>Standard-Charging</v>
      </c>
      <c r="AF595" t="str">
        <f>IF(EV_Data4[[#This Row],[acceleration_0_60_mph]]&lt;=3,"SportsPerformance",IF(EV_Data4[[#This Row],[acceleration_0_60_mph]]&lt;=5,"HighPerformance","Standard"))</f>
        <v>HighPerformance</v>
      </c>
      <c r="AG595" t="str">
        <f>IF(EV_Data4[[#This Row],[customer_rating]]&gt;=4.5,"Excellent",IF(EV_Data4[[#This Row],[customer_rating]]&gt;=3.5,"Good","Average"))</f>
        <v>Good</v>
      </c>
      <c r="AH59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596" spans="1:34" x14ac:dyDescent="0.3">
      <c r="A596" t="s">
        <v>86</v>
      </c>
      <c r="B596" t="s">
        <v>108</v>
      </c>
      <c r="C596">
        <v>2025</v>
      </c>
      <c r="D596" t="s">
        <v>61</v>
      </c>
      <c r="E596" s="3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27</v>
      </c>
      <c r="N596">
        <v>5</v>
      </c>
      <c r="O596" t="s">
        <v>50</v>
      </c>
      <c r="P596">
        <v>21.6</v>
      </c>
      <c r="Q596">
        <v>1589</v>
      </c>
      <c r="R596">
        <v>4</v>
      </c>
      <c r="S596">
        <v>1</v>
      </c>
      <c r="T596" t="s">
        <v>29</v>
      </c>
      <c r="U596" t="s">
        <v>30</v>
      </c>
      <c r="V596" s="3">
        <v>27623</v>
      </c>
      <c r="W596">
        <v>3.34</v>
      </c>
      <c r="X596">
        <v>7</v>
      </c>
      <c r="Y596" s="1">
        <f>EV_Data4[[#This Row],[range_miles]]/EV_Data4[[#This Row],[battery_capacity_kwh]]</f>
        <v>3.150684931506849</v>
      </c>
      <c r="Z596" s="4">
        <f>EV_Data4[[#This Row],[price_usd]]/EV_Data4[[#This Row],[range_miles]]</f>
        <v>679.76155279503109</v>
      </c>
      <c r="AA596" s="2">
        <f>(EV_Data4[[#This Row],[customer_rating]]*EV_Data4[[#This Row],[safety_rating]]*1000)/EV_Data4[[#This Row],[price_usd]]</f>
        <v>0.12207422752644081</v>
      </c>
      <c r="AB596">
        <f>EV_Data4[[#This Row],[horsepower]]+EV_Data4[[#This Row],[torque_nm]]/EV_Data4[[#This Row],[acceleration_0_60_mph]]</f>
        <v>996.22792022792021</v>
      </c>
      <c r="AC596" t="str">
        <f>IF(EV_Data4[[#This Row],[price_usd]]&gt;=80000,"Luxury",IF(EV_Data4[[#This Row],[price_usd]]&gt;=40000,"Mid-Range","Budget"))</f>
        <v>Luxury</v>
      </c>
      <c r="AD596" t="str">
        <f>IF(EV_Data4[[#This Row],[range_miles]]&gt;=350,"Long-Range",IF(EV_Data4[[#This Row],[range_miles]]&gt;=250,"Medium-Range","Short-Range"))</f>
        <v>Short-Range</v>
      </c>
      <c r="AE596" t="str">
        <f>IF(EV_Data4[[#This Row],[charging_speed_kw]]&gt;=250,"Ultra-Fast",IF(EV_Data4[[#This Row],[charging_speed_kw]]&gt;=150,"Fast-Charging","Standard-Charging"))</f>
        <v>Standard-Charging</v>
      </c>
      <c r="AF596" t="str">
        <f>IF(EV_Data4[[#This Row],[acceleration_0_60_mph]]&lt;=3,"SportsPerformance",IF(EV_Data4[[#This Row],[acceleration_0_60_mph]]&lt;=5,"HighPerformance","Standard"))</f>
        <v>Standard</v>
      </c>
      <c r="AG596" t="str">
        <f>IF(EV_Data4[[#This Row],[customer_rating]]&gt;=4.5,"Excellent",IF(EV_Data4[[#This Row],[customer_rating]]&gt;=3.5,"Good","Average"))</f>
        <v>Average</v>
      </c>
      <c r="AH59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97" spans="1:34" x14ac:dyDescent="0.3">
      <c r="A597" t="s">
        <v>68</v>
      </c>
      <c r="B597" t="s">
        <v>79</v>
      </c>
      <c r="C597">
        <v>2026</v>
      </c>
      <c r="D597" t="s">
        <v>44</v>
      </c>
      <c r="E597" s="3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34</v>
      </c>
      <c r="N597">
        <v>5</v>
      </c>
      <c r="O597" t="s">
        <v>58</v>
      </c>
      <c r="P597">
        <v>16.2</v>
      </c>
      <c r="Q597">
        <v>1500</v>
      </c>
      <c r="R597">
        <v>4</v>
      </c>
      <c r="S597">
        <v>1</v>
      </c>
      <c r="T597" t="s">
        <v>45</v>
      </c>
      <c r="U597" t="s">
        <v>33</v>
      </c>
      <c r="V597" s="3">
        <v>64997</v>
      </c>
      <c r="W597">
        <v>3.42</v>
      </c>
      <c r="X597">
        <v>4</v>
      </c>
      <c r="Y597" s="1">
        <f>EV_Data4[[#This Row],[range_miles]]/EV_Data4[[#This Row],[battery_capacity_kwh]]</f>
        <v>3.4378060724779629</v>
      </c>
      <c r="Z597" s="4">
        <f>EV_Data4[[#This Row],[price_usd]]/EV_Data4[[#This Row],[range_miles]]</f>
        <v>265.46988603988603</v>
      </c>
      <c r="AA597" s="2">
        <f>(EV_Data4[[#This Row],[customer_rating]]*EV_Data4[[#This Row],[safety_rating]]*1000)/EV_Data4[[#This Row],[price_usd]]</f>
        <v>0.1468127310248033</v>
      </c>
      <c r="AB597">
        <f>EV_Data4[[#This Row],[horsepower]]+EV_Data4[[#This Row],[torque_nm]]/EV_Data4[[#This Row],[acceleration_0_60_mph]]</f>
        <v>1179.476861167002</v>
      </c>
      <c r="AC597" t="str">
        <f>IF(EV_Data4[[#This Row],[price_usd]]&gt;=80000,"Luxury",IF(EV_Data4[[#This Row],[price_usd]]&gt;=40000,"Mid-Range","Budget"))</f>
        <v>Luxury</v>
      </c>
      <c r="AD597" t="str">
        <f>IF(EV_Data4[[#This Row],[range_miles]]&gt;=350,"Long-Range",IF(EV_Data4[[#This Row],[range_miles]]&gt;=250,"Medium-Range","Short-Range"))</f>
        <v>Long-Range</v>
      </c>
      <c r="AE597" t="str">
        <f>IF(EV_Data4[[#This Row],[charging_speed_kw]]&gt;=250,"Ultra-Fast",IF(EV_Data4[[#This Row],[charging_speed_kw]]&gt;=150,"Fast-Charging","Standard-Charging"))</f>
        <v>Standard-Charging</v>
      </c>
      <c r="AF597" t="str">
        <f>IF(EV_Data4[[#This Row],[acceleration_0_60_mph]]&lt;=3,"SportsPerformance",IF(EV_Data4[[#This Row],[acceleration_0_60_mph]]&lt;=5,"HighPerformance","Standard"))</f>
        <v>HighPerformance</v>
      </c>
      <c r="AG597" t="str">
        <f>IF(EV_Data4[[#This Row],[customer_rating]]&gt;=4.5,"Excellent",IF(EV_Data4[[#This Row],[customer_rating]]&gt;=3.5,"Good","Average"))</f>
        <v>Average</v>
      </c>
      <c r="AH59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98" spans="1:34" x14ac:dyDescent="0.3">
      <c r="A598" t="s">
        <v>83</v>
      </c>
      <c r="B598" t="s">
        <v>114</v>
      </c>
      <c r="C598">
        <v>2025</v>
      </c>
      <c r="D598" t="s">
        <v>33</v>
      </c>
      <c r="E598" s="3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27</v>
      </c>
      <c r="N598">
        <v>5</v>
      </c>
      <c r="O598" t="s">
        <v>28</v>
      </c>
      <c r="P598">
        <v>60</v>
      </c>
      <c r="Q598">
        <v>2846</v>
      </c>
      <c r="R598">
        <v>5</v>
      </c>
      <c r="S598">
        <v>1</v>
      </c>
      <c r="T598" t="s">
        <v>29</v>
      </c>
      <c r="U598" t="s">
        <v>33</v>
      </c>
      <c r="V598" s="3">
        <v>32509</v>
      </c>
      <c r="W598">
        <v>3.24</v>
      </c>
      <c r="X598">
        <v>5</v>
      </c>
      <c r="Y598" s="1">
        <f>EV_Data4[[#This Row],[range_miles]]/EV_Data4[[#This Row],[battery_capacity_kwh]]</f>
        <v>3.2810457516339868</v>
      </c>
      <c r="Z598" s="4">
        <f>EV_Data4[[#This Row],[price_usd]]/EV_Data4[[#This Row],[range_miles]]</f>
        <v>317.51501992031876</v>
      </c>
      <c r="AA598" s="2">
        <f>(EV_Data4[[#This Row],[customer_rating]]*EV_Data4[[#This Row],[safety_rating]]*1000)/EV_Data4[[#This Row],[price_usd]]</f>
        <v>0.20327174659491595</v>
      </c>
      <c r="AB598">
        <f>EV_Data4[[#This Row],[horsepower]]+EV_Data4[[#This Row],[torque_nm]]/EV_Data4[[#This Row],[acceleration_0_60_mph]]</f>
        <v>632.76972624798714</v>
      </c>
      <c r="AC598" t="str">
        <f>IF(EV_Data4[[#This Row],[price_usd]]&gt;=80000,"Luxury",IF(EV_Data4[[#This Row],[price_usd]]&gt;=40000,"Mid-Range","Budget"))</f>
        <v>Mid-Range</v>
      </c>
      <c r="AD598" t="str">
        <f>IF(EV_Data4[[#This Row],[range_miles]]&gt;=350,"Long-Range",IF(EV_Data4[[#This Row],[range_miles]]&gt;=250,"Medium-Range","Short-Range"))</f>
        <v>Medium-Range</v>
      </c>
      <c r="AE598" t="str">
        <f>IF(EV_Data4[[#This Row],[charging_speed_kw]]&gt;=250,"Ultra-Fast",IF(EV_Data4[[#This Row],[charging_speed_kw]]&gt;=150,"Fast-Charging","Standard-Charging"))</f>
        <v>Standard-Charging</v>
      </c>
      <c r="AF598" t="str">
        <f>IF(EV_Data4[[#This Row],[acceleration_0_60_mph]]&lt;=3,"SportsPerformance",IF(EV_Data4[[#This Row],[acceleration_0_60_mph]]&lt;=5,"HighPerformance","Standard"))</f>
        <v>Standard</v>
      </c>
      <c r="AG598" t="str">
        <f>IF(EV_Data4[[#This Row],[customer_rating]]&gt;=4.5,"Excellent",IF(EV_Data4[[#This Row],[customer_rating]]&gt;=3.5,"Good","Average"))</f>
        <v>Average</v>
      </c>
      <c r="AH59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599" spans="1:34" x14ac:dyDescent="0.3">
      <c r="A599" t="s">
        <v>46</v>
      </c>
      <c r="B599" t="s">
        <v>49</v>
      </c>
      <c r="C599">
        <v>2025</v>
      </c>
      <c r="D599" t="s">
        <v>61</v>
      </c>
      <c r="E599" s="3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48</v>
      </c>
      <c r="N599">
        <v>7</v>
      </c>
      <c r="O599" t="s">
        <v>58</v>
      </c>
      <c r="P599">
        <v>29.6</v>
      </c>
      <c r="Q599">
        <v>2009</v>
      </c>
      <c r="R599">
        <v>4</v>
      </c>
      <c r="S599">
        <v>2</v>
      </c>
      <c r="T599" t="s">
        <v>41</v>
      </c>
      <c r="U599" t="s">
        <v>33</v>
      </c>
      <c r="V599" s="3">
        <v>499717</v>
      </c>
      <c r="W599">
        <v>3.42</v>
      </c>
      <c r="X599">
        <v>5</v>
      </c>
      <c r="Y599" s="1">
        <f>EV_Data4[[#This Row],[range_miles]]/EV_Data4[[#This Row],[battery_capacity_kwh]]</f>
        <v>3.8211382113821135</v>
      </c>
      <c r="Z599" s="4">
        <f>EV_Data4[[#This Row],[price_usd]]/EV_Data4[[#This Row],[range_miles]]</f>
        <v>456.7987765957447</v>
      </c>
      <c r="AA599" s="2">
        <f>(EV_Data4[[#This Row],[customer_rating]]*EV_Data4[[#This Row],[safety_rating]]*1000)/EV_Data4[[#This Row],[price_usd]]</f>
        <v>0.1592954297931593</v>
      </c>
      <c r="AB599">
        <f>EV_Data4[[#This Row],[horsepower]]+EV_Data4[[#This Row],[torque_nm]]/EV_Data4[[#This Row],[acceleration_0_60_mph]]</f>
        <v>703.17578772802653</v>
      </c>
      <c r="AC599" t="str">
        <f>IF(EV_Data4[[#This Row],[price_usd]]&gt;=80000,"Luxury",IF(EV_Data4[[#This Row],[price_usd]]&gt;=40000,"Mid-Range","Budget"))</f>
        <v>Luxury</v>
      </c>
      <c r="AD599" t="str">
        <f>IF(EV_Data4[[#This Row],[range_miles]]&gt;=350,"Long-Range",IF(EV_Data4[[#This Row],[range_miles]]&gt;=250,"Medium-Range","Short-Range"))</f>
        <v>Short-Range</v>
      </c>
      <c r="AE599" t="str">
        <f>IF(EV_Data4[[#This Row],[charging_speed_kw]]&gt;=250,"Ultra-Fast",IF(EV_Data4[[#This Row],[charging_speed_kw]]&gt;=150,"Fast-Charging","Standard-Charging"))</f>
        <v>Fast-Charging</v>
      </c>
      <c r="AF599" t="str">
        <f>IF(EV_Data4[[#This Row],[acceleration_0_60_mph]]&lt;=3,"SportsPerformance",IF(EV_Data4[[#This Row],[acceleration_0_60_mph]]&lt;=5,"HighPerformance","Standard"))</f>
        <v>Standard</v>
      </c>
      <c r="AG599" t="str">
        <f>IF(EV_Data4[[#This Row],[customer_rating]]&gt;=4.5,"Excellent",IF(EV_Data4[[#This Row],[customer_rating]]&gt;=3.5,"Good","Average"))</f>
        <v>Average</v>
      </c>
      <c r="AH59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00" spans="1:34" x14ac:dyDescent="0.3">
      <c r="A600" t="s">
        <v>46</v>
      </c>
      <c r="B600" t="s">
        <v>49</v>
      </c>
      <c r="C600">
        <v>2021</v>
      </c>
      <c r="D600" t="s">
        <v>61</v>
      </c>
      <c r="E600" s="3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34</v>
      </c>
      <c r="N600">
        <v>5</v>
      </c>
      <c r="O600" t="s">
        <v>51</v>
      </c>
      <c r="P600">
        <v>34.200000000000003</v>
      </c>
      <c r="Q600">
        <v>1578</v>
      </c>
      <c r="R600">
        <v>3</v>
      </c>
      <c r="S600">
        <v>3</v>
      </c>
      <c r="T600" t="s">
        <v>41</v>
      </c>
      <c r="U600" t="s">
        <v>37</v>
      </c>
      <c r="V600" s="3">
        <v>483023</v>
      </c>
      <c r="W600">
        <v>3.69</v>
      </c>
      <c r="X600">
        <v>5</v>
      </c>
      <c r="Y600" s="1">
        <f>EV_Data4[[#This Row],[range_miles]]/EV_Data4[[#This Row],[battery_capacity_kwh]]</f>
        <v>3.6</v>
      </c>
      <c r="Z600" s="4">
        <f>EV_Data4[[#This Row],[price_usd]]/EV_Data4[[#This Row],[range_miles]]</f>
        <v>221.20462222222221</v>
      </c>
      <c r="AA600" s="2">
        <f>(EV_Data4[[#This Row],[customer_rating]]*EV_Data4[[#This Row],[safety_rating]]*1000)/EV_Data4[[#This Row],[price_usd]]</f>
        <v>0.22241849878965761</v>
      </c>
      <c r="AB600">
        <f>EV_Data4[[#This Row],[horsepower]]+EV_Data4[[#This Row],[torque_nm]]/EV_Data4[[#This Row],[acceleration_0_60_mph]]</f>
        <v>363.94244604316549</v>
      </c>
      <c r="AC600" t="str">
        <f>IF(EV_Data4[[#This Row],[price_usd]]&gt;=80000,"Luxury",IF(EV_Data4[[#This Row],[price_usd]]&gt;=40000,"Mid-Range","Budget"))</f>
        <v>Mid-Range</v>
      </c>
      <c r="AD600" t="str">
        <f>IF(EV_Data4[[#This Row],[range_miles]]&gt;=350,"Long-Range",IF(EV_Data4[[#This Row],[range_miles]]&gt;=250,"Medium-Range","Short-Range"))</f>
        <v>Short-Range</v>
      </c>
      <c r="AE600" t="str">
        <f>IF(EV_Data4[[#This Row],[charging_speed_kw]]&gt;=250,"Ultra-Fast",IF(EV_Data4[[#This Row],[charging_speed_kw]]&gt;=150,"Fast-Charging","Standard-Charging"))</f>
        <v>Fast-Charging</v>
      </c>
      <c r="AF600" t="str">
        <f>IF(EV_Data4[[#This Row],[acceleration_0_60_mph]]&lt;=3,"SportsPerformance",IF(EV_Data4[[#This Row],[acceleration_0_60_mph]]&lt;=5,"HighPerformance","Standard"))</f>
        <v>Standard</v>
      </c>
      <c r="AG600" t="str">
        <f>IF(EV_Data4[[#This Row],[customer_rating]]&gt;=4.5,"Excellent",IF(EV_Data4[[#This Row],[customer_rating]]&gt;=3.5,"Good","Average"))</f>
        <v>Good</v>
      </c>
      <c r="AH600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601" spans="1:34" x14ac:dyDescent="0.3">
      <c r="A601" t="s">
        <v>46</v>
      </c>
      <c r="B601" t="s">
        <v>47</v>
      </c>
      <c r="C601">
        <v>2025</v>
      </c>
      <c r="D601" t="s">
        <v>33</v>
      </c>
      <c r="E601" s="3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48</v>
      </c>
      <c r="N601">
        <v>5</v>
      </c>
      <c r="O601" t="s">
        <v>28</v>
      </c>
      <c r="P601">
        <v>51.2</v>
      </c>
      <c r="Q601">
        <v>2538</v>
      </c>
      <c r="R601">
        <v>5</v>
      </c>
      <c r="S601">
        <v>2</v>
      </c>
      <c r="T601" t="s">
        <v>41</v>
      </c>
      <c r="U601" t="s">
        <v>37</v>
      </c>
      <c r="V601" s="3">
        <v>170776</v>
      </c>
      <c r="W601">
        <v>3.98</v>
      </c>
      <c r="X601">
        <v>6</v>
      </c>
      <c r="Y601" s="1">
        <f>EV_Data4[[#This Row],[range_miles]]/EV_Data4[[#This Row],[battery_capacity_kwh]]</f>
        <v>3.5171568627450984</v>
      </c>
      <c r="Z601" s="4">
        <f>EV_Data4[[#This Row],[price_usd]]/EV_Data4[[#This Row],[range_miles]]</f>
        <v>210.95529616724738</v>
      </c>
      <c r="AA601" s="2">
        <f>(EV_Data4[[#This Row],[customer_rating]]*EV_Data4[[#This Row],[safety_rating]]*1000)/EV_Data4[[#This Row],[price_usd]]</f>
        <v>0.32868565214454176</v>
      </c>
      <c r="AB601">
        <f>EV_Data4[[#This Row],[horsepower]]+EV_Data4[[#This Row],[torque_nm]]/EV_Data4[[#This Row],[acceleration_0_60_mph]]</f>
        <v>446.99483648881238</v>
      </c>
      <c r="AC601" t="str">
        <f>IF(EV_Data4[[#This Row],[price_usd]]&gt;=80000,"Luxury",IF(EV_Data4[[#This Row],[price_usd]]&gt;=40000,"Mid-Range","Budget"))</f>
        <v>Mid-Range</v>
      </c>
      <c r="AD601" t="str">
        <f>IF(EV_Data4[[#This Row],[range_miles]]&gt;=350,"Long-Range",IF(EV_Data4[[#This Row],[range_miles]]&gt;=250,"Medium-Range","Short-Range"))</f>
        <v>Medium-Range</v>
      </c>
      <c r="AE601" t="str">
        <f>IF(EV_Data4[[#This Row],[charging_speed_kw]]&gt;=250,"Ultra-Fast",IF(EV_Data4[[#This Row],[charging_speed_kw]]&gt;=150,"Fast-Charging","Standard-Charging"))</f>
        <v>Fast-Charging</v>
      </c>
      <c r="AF601" t="str">
        <f>IF(EV_Data4[[#This Row],[acceleration_0_60_mph]]&lt;=3,"SportsPerformance",IF(EV_Data4[[#This Row],[acceleration_0_60_mph]]&lt;=5,"HighPerformance","Standard"))</f>
        <v>Standard</v>
      </c>
      <c r="AG601" t="str">
        <f>IF(EV_Data4[[#This Row],[customer_rating]]&gt;=4.5,"Excellent",IF(EV_Data4[[#This Row],[customer_rating]]&gt;=3.5,"Good","Average"))</f>
        <v>Good</v>
      </c>
      <c r="AH60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02" spans="1:34" x14ac:dyDescent="0.3">
      <c r="A602" t="s">
        <v>46</v>
      </c>
      <c r="B602" t="s">
        <v>57</v>
      </c>
      <c r="C602">
        <v>2026</v>
      </c>
      <c r="D602" t="s">
        <v>44</v>
      </c>
      <c r="E602" s="3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34</v>
      </c>
      <c r="N602">
        <v>7</v>
      </c>
      <c r="O602" t="s">
        <v>50</v>
      </c>
      <c r="P602">
        <v>17.100000000000001</v>
      </c>
      <c r="Q602">
        <v>1589</v>
      </c>
      <c r="R602">
        <v>5</v>
      </c>
      <c r="S602">
        <v>2</v>
      </c>
      <c r="T602" t="s">
        <v>41</v>
      </c>
      <c r="U602" t="s">
        <v>30</v>
      </c>
      <c r="V602" s="3">
        <v>200607</v>
      </c>
      <c r="W602">
        <v>3.97</v>
      </c>
      <c r="X602">
        <v>4</v>
      </c>
      <c r="Y602" s="1">
        <f>EV_Data4[[#This Row],[range_miles]]/EV_Data4[[#This Row],[battery_capacity_kwh]]</f>
        <v>3.6122177954847281</v>
      </c>
      <c r="Z602" s="4">
        <f>EV_Data4[[#This Row],[price_usd]]/EV_Data4[[#This Row],[range_miles]]</f>
        <v>463.20154411764707</v>
      </c>
      <c r="AA602" s="2">
        <f>(EV_Data4[[#This Row],[customer_rating]]*EV_Data4[[#This Row],[safety_rating]]*1000)/EV_Data4[[#This Row],[price_usd]]</f>
        <v>0.15755116126714627</v>
      </c>
      <c r="AB602">
        <f>EV_Data4[[#This Row],[horsepower]]+EV_Data4[[#This Row],[torque_nm]]/EV_Data4[[#This Row],[acceleration_0_60_mph]]</f>
        <v>1133.34008097166</v>
      </c>
      <c r="AC602" t="str">
        <f>IF(EV_Data4[[#This Row],[price_usd]]&gt;=80000,"Luxury",IF(EV_Data4[[#This Row],[price_usd]]&gt;=40000,"Mid-Range","Budget"))</f>
        <v>Luxury</v>
      </c>
      <c r="AD602" t="str">
        <f>IF(EV_Data4[[#This Row],[range_miles]]&gt;=350,"Long-Range",IF(EV_Data4[[#This Row],[range_miles]]&gt;=250,"Medium-Range","Short-Range"))</f>
        <v>Medium-Range</v>
      </c>
      <c r="AE602" t="str">
        <f>IF(EV_Data4[[#This Row],[charging_speed_kw]]&gt;=250,"Ultra-Fast",IF(EV_Data4[[#This Row],[charging_speed_kw]]&gt;=150,"Fast-Charging","Standard-Charging"))</f>
        <v>Fast-Charging</v>
      </c>
      <c r="AF602" t="str">
        <f>IF(EV_Data4[[#This Row],[acceleration_0_60_mph]]&lt;=3,"SportsPerformance",IF(EV_Data4[[#This Row],[acceleration_0_60_mph]]&lt;=5,"HighPerformance","Standard"))</f>
        <v>HighPerformance</v>
      </c>
      <c r="AG602" t="str">
        <f>IF(EV_Data4[[#This Row],[customer_rating]]&gt;=4.5,"Excellent",IF(EV_Data4[[#This Row],[customer_rating]]&gt;=3.5,"Good","Average"))</f>
        <v>Good</v>
      </c>
      <c r="AH60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03" spans="1:34" x14ac:dyDescent="0.3">
      <c r="A603" t="s">
        <v>63</v>
      </c>
      <c r="B603" t="s">
        <v>64</v>
      </c>
      <c r="C603">
        <v>2020</v>
      </c>
      <c r="D603" t="s">
        <v>44</v>
      </c>
      <c r="E603" s="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34</v>
      </c>
      <c r="N603">
        <v>5</v>
      </c>
      <c r="O603" t="s">
        <v>51</v>
      </c>
      <c r="P603">
        <v>30.4</v>
      </c>
      <c r="Q603">
        <v>1511</v>
      </c>
      <c r="R603">
        <v>4</v>
      </c>
      <c r="S603">
        <v>0</v>
      </c>
      <c r="T603" t="s">
        <v>65</v>
      </c>
      <c r="U603" t="s">
        <v>37</v>
      </c>
      <c r="V603" s="3">
        <v>158941</v>
      </c>
      <c r="W603">
        <v>3.72</v>
      </c>
      <c r="X603">
        <v>4</v>
      </c>
      <c r="Y603" s="1">
        <f>EV_Data4[[#This Row],[range_miles]]/EV_Data4[[#This Row],[battery_capacity_kwh]]</f>
        <v>3.5886673662119621</v>
      </c>
      <c r="Z603" s="4">
        <f>EV_Data4[[#This Row],[price_usd]]/EV_Data4[[#This Row],[range_miles]]</f>
        <v>142.45593567251461</v>
      </c>
      <c r="AA603" s="2">
        <f>(EV_Data4[[#This Row],[customer_rating]]*EV_Data4[[#This Row],[safety_rating]]*1000)/EV_Data4[[#This Row],[price_usd]]</f>
        <v>0.30541915803245201</v>
      </c>
      <c r="AB603">
        <f>EV_Data4[[#This Row],[horsepower]]+EV_Data4[[#This Row],[torque_nm]]/EV_Data4[[#This Row],[acceleration_0_60_mph]]</f>
        <v>522.65491651205934</v>
      </c>
      <c r="AC603" t="str">
        <f>IF(EV_Data4[[#This Row],[price_usd]]&gt;=80000,"Luxury",IF(EV_Data4[[#This Row],[price_usd]]&gt;=40000,"Mid-Range","Budget"))</f>
        <v>Mid-Range</v>
      </c>
      <c r="AD603" t="str">
        <f>IF(EV_Data4[[#This Row],[range_miles]]&gt;=350,"Long-Range",IF(EV_Data4[[#This Row],[range_miles]]&gt;=250,"Medium-Range","Short-Range"))</f>
        <v>Medium-Range</v>
      </c>
      <c r="AE603" t="str">
        <f>IF(EV_Data4[[#This Row],[charging_speed_kw]]&gt;=250,"Ultra-Fast",IF(EV_Data4[[#This Row],[charging_speed_kw]]&gt;=150,"Fast-Charging","Standard-Charging"))</f>
        <v>Standard-Charging</v>
      </c>
      <c r="AF603" t="str">
        <f>IF(EV_Data4[[#This Row],[acceleration_0_60_mph]]&lt;=3,"SportsPerformance",IF(EV_Data4[[#This Row],[acceleration_0_60_mph]]&lt;=5,"HighPerformance","Standard"))</f>
        <v>Standard</v>
      </c>
      <c r="AG603" t="str">
        <f>IF(EV_Data4[[#This Row],[customer_rating]]&gt;=4.5,"Excellent",IF(EV_Data4[[#This Row],[customer_rating]]&gt;=3.5,"Good","Average"))</f>
        <v>Good</v>
      </c>
      <c r="AH60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04" spans="1:34" x14ac:dyDescent="0.3">
      <c r="A604" t="s">
        <v>46</v>
      </c>
      <c r="B604" t="s">
        <v>78</v>
      </c>
      <c r="C604">
        <v>2022</v>
      </c>
      <c r="D604" t="s">
        <v>26</v>
      </c>
      <c r="E604" s="3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48</v>
      </c>
      <c r="N604">
        <v>5</v>
      </c>
      <c r="O604" t="s">
        <v>28</v>
      </c>
      <c r="P604">
        <v>59.1</v>
      </c>
      <c r="Q604">
        <v>2882</v>
      </c>
      <c r="R604">
        <v>3</v>
      </c>
      <c r="S604">
        <v>2</v>
      </c>
      <c r="T604" t="s">
        <v>41</v>
      </c>
      <c r="U604" t="s">
        <v>33</v>
      </c>
      <c r="V604" s="3">
        <v>108652</v>
      </c>
      <c r="W604">
        <v>4.1100000000000003</v>
      </c>
      <c r="X604">
        <v>4</v>
      </c>
      <c r="Y604" s="1">
        <f>EV_Data4[[#This Row],[range_miles]]/EV_Data4[[#This Row],[battery_capacity_kwh]]</f>
        <v>3.480040941658137</v>
      </c>
      <c r="Z604" s="4">
        <f>EV_Data4[[#This Row],[price_usd]]/EV_Data4[[#This Row],[range_miles]]</f>
        <v>194.93520588235293</v>
      </c>
      <c r="AA604" s="2">
        <f>(EV_Data4[[#This Row],[customer_rating]]*EV_Data4[[#This Row],[safety_rating]]*1000)/EV_Data4[[#This Row],[price_usd]]</f>
        <v>0.18603466581731459</v>
      </c>
      <c r="AB604">
        <f>EV_Data4[[#This Row],[horsepower]]+EV_Data4[[#This Row],[torque_nm]]/EV_Data4[[#This Row],[acceleration_0_60_mph]]</f>
        <v>551.19946091644204</v>
      </c>
      <c r="AC604" t="str">
        <f>IF(EV_Data4[[#This Row],[price_usd]]&gt;=80000,"Luxury",IF(EV_Data4[[#This Row],[price_usd]]&gt;=40000,"Mid-Range","Budget"))</f>
        <v>Mid-Range</v>
      </c>
      <c r="AD604" t="str">
        <f>IF(EV_Data4[[#This Row],[range_miles]]&gt;=350,"Long-Range",IF(EV_Data4[[#This Row],[range_miles]]&gt;=250,"Medium-Range","Short-Range"))</f>
        <v>Medium-Range</v>
      </c>
      <c r="AE604" t="str">
        <f>IF(EV_Data4[[#This Row],[charging_speed_kw]]&gt;=250,"Ultra-Fast",IF(EV_Data4[[#This Row],[charging_speed_kw]]&gt;=150,"Fast-Charging","Standard-Charging"))</f>
        <v>Ultra-Fast</v>
      </c>
      <c r="AF604" t="str">
        <f>IF(EV_Data4[[#This Row],[acceleration_0_60_mph]]&lt;=3,"SportsPerformance",IF(EV_Data4[[#This Row],[acceleration_0_60_mph]]&lt;=5,"HighPerformance","Standard"))</f>
        <v>HighPerformance</v>
      </c>
      <c r="AG604" t="str">
        <f>IF(EV_Data4[[#This Row],[customer_rating]]&gt;=4.5,"Excellent",IF(EV_Data4[[#This Row],[customer_rating]]&gt;=3.5,"Good","Average"))</f>
        <v>Good</v>
      </c>
      <c r="AH60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05" spans="1:34" x14ac:dyDescent="0.3">
      <c r="A605" t="s">
        <v>46</v>
      </c>
      <c r="B605" t="s">
        <v>49</v>
      </c>
      <c r="C605">
        <v>2025</v>
      </c>
      <c r="D605" t="s">
        <v>61</v>
      </c>
      <c r="E605" s="3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27</v>
      </c>
      <c r="N605">
        <v>5</v>
      </c>
      <c r="O605" t="s">
        <v>50</v>
      </c>
      <c r="P605">
        <v>25.4</v>
      </c>
      <c r="Q605">
        <v>1500</v>
      </c>
      <c r="R605">
        <v>4</v>
      </c>
      <c r="S605">
        <v>2</v>
      </c>
      <c r="T605" t="s">
        <v>41</v>
      </c>
      <c r="U605" t="s">
        <v>30</v>
      </c>
      <c r="V605" s="3">
        <v>444103</v>
      </c>
      <c r="W605">
        <v>3.49</v>
      </c>
      <c r="X605">
        <v>5</v>
      </c>
      <c r="Y605" s="1">
        <f>EV_Data4[[#This Row],[range_miles]]/EV_Data4[[#This Row],[battery_capacity_kwh]]</f>
        <v>4.1067285382830629</v>
      </c>
      <c r="Z605" s="4">
        <f>EV_Data4[[#This Row],[price_usd]]/EV_Data4[[#This Row],[range_miles]]</f>
        <v>694.86355932203389</v>
      </c>
      <c r="AA605" s="2">
        <f>(EV_Data4[[#This Row],[customer_rating]]*EV_Data4[[#This Row],[safety_rating]]*1000)/EV_Data4[[#This Row],[price_usd]]</f>
        <v>0.11350437857775598</v>
      </c>
      <c r="AB605">
        <f>EV_Data4[[#This Row],[horsepower]]+EV_Data4[[#This Row],[torque_nm]]/EV_Data4[[#This Row],[acceleration_0_60_mph]]</f>
        <v>1022.1506849315068</v>
      </c>
      <c r="AC605" t="str">
        <f>IF(EV_Data4[[#This Row],[price_usd]]&gt;=80000,"Luxury",IF(EV_Data4[[#This Row],[price_usd]]&gt;=40000,"Mid-Range","Budget"))</f>
        <v>Luxury</v>
      </c>
      <c r="AD605" t="str">
        <f>IF(EV_Data4[[#This Row],[range_miles]]&gt;=350,"Long-Range",IF(EV_Data4[[#This Row],[range_miles]]&gt;=250,"Medium-Range","Short-Range"))</f>
        <v>Short-Range</v>
      </c>
      <c r="AE605" t="str">
        <f>IF(EV_Data4[[#This Row],[charging_speed_kw]]&gt;=250,"Ultra-Fast",IF(EV_Data4[[#This Row],[charging_speed_kw]]&gt;=150,"Fast-Charging","Standard-Charging"))</f>
        <v>Fast-Charging</v>
      </c>
      <c r="AF605" t="str">
        <f>IF(EV_Data4[[#This Row],[acceleration_0_60_mph]]&lt;=3,"SportsPerformance",IF(EV_Data4[[#This Row],[acceleration_0_60_mph]]&lt;=5,"HighPerformance","Standard"))</f>
        <v>Standard</v>
      </c>
      <c r="AG605" t="str">
        <f>IF(EV_Data4[[#This Row],[customer_rating]]&gt;=4.5,"Excellent",IF(EV_Data4[[#This Row],[customer_rating]]&gt;=3.5,"Good","Average"))</f>
        <v>Average</v>
      </c>
      <c r="AH60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06" spans="1:34" x14ac:dyDescent="0.3">
      <c r="A606" t="s">
        <v>46</v>
      </c>
      <c r="B606" t="s">
        <v>47</v>
      </c>
      <c r="C606">
        <v>2025</v>
      </c>
      <c r="D606" t="s">
        <v>61</v>
      </c>
      <c r="E606" s="3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48</v>
      </c>
      <c r="N606">
        <v>7</v>
      </c>
      <c r="O606" t="s">
        <v>50</v>
      </c>
      <c r="P606">
        <v>18</v>
      </c>
      <c r="Q606">
        <v>1500</v>
      </c>
      <c r="R606">
        <v>3</v>
      </c>
      <c r="S606">
        <v>2</v>
      </c>
      <c r="T606" t="s">
        <v>41</v>
      </c>
      <c r="U606" t="s">
        <v>33</v>
      </c>
      <c r="V606" s="3">
        <v>156028</v>
      </c>
      <c r="W606">
        <v>3.89</v>
      </c>
      <c r="X606">
        <v>4</v>
      </c>
      <c r="Y606" s="1">
        <f>EV_Data4[[#This Row],[range_miles]]/EV_Data4[[#This Row],[battery_capacity_kwh]]</f>
        <v>3.2569974554707382</v>
      </c>
      <c r="Z606" s="4">
        <f>EV_Data4[[#This Row],[price_usd]]/EV_Data4[[#This Row],[range_miles]]</f>
        <v>302.77078125000003</v>
      </c>
      <c r="AA606" s="2">
        <f>(EV_Data4[[#This Row],[customer_rating]]*EV_Data4[[#This Row],[safety_rating]]*1000)/EV_Data4[[#This Row],[price_usd]]</f>
        <v>0.15056253880178538</v>
      </c>
      <c r="AB606">
        <f>EV_Data4[[#This Row],[horsepower]]+EV_Data4[[#This Row],[torque_nm]]/EV_Data4[[#This Row],[acceleration_0_60_mph]]</f>
        <v>579.17981888745146</v>
      </c>
      <c r="AC606" t="str">
        <f>IF(EV_Data4[[#This Row],[price_usd]]&gt;=80000,"Luxury",IF(EV_Data4[[#This Row],[price_usd]]&gt;=40000,"Mid-Range","Budget"))</f>
        <v>Mid-Range</v>
      </c>
      <c r="AD606" t="str">
        <f>IF(EV_Data4[[#This Row],[range_miles]]&gt;=350,"Long-Range",IF(EV_Data4[[#This Row],[range_miles]]&gt;=250,"Medium-Range","Short-Range"))</f>
        <v>Medium-Range</v>
      </c>
      <c r="AE606" t="str">
        <f>IF(EV_Data4[[#This Row],[charging_speed_kw]]&gt;=250,"Ultra-Fast",IF(EV_Data4[[#This Row],[charging_speed_kw]]&gt;=150,"Fast-Charging","Standard-Charging"))</f>
        <v>Ultra-Fast</v>
      </c>
      <c r="AF606" t="str">
        <f>IF(EV_Data4[[#This Row],[acceleration_0_60_mph]]&lt;=3,"SportsPerformance",IF(EV_Data4[[#This Row],[acceleration_0_60_mph]]&lt;=5,"HighPerformance","Standard"))</f>
        <v>Standard</v>
      </c>
      <c r="AG606" t="str">
        <f>IF(EV_Data4[[#This Row],[customer_rating]]&gt;=4.5,"Excellent",IF(EV_Data4[[#This Row],[customer_rating]]&gt;=3.5,"Good","Average"))</f>
        <v>Good</v>
      </c>
      <c r="AH60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07" spans="1:34" x14ac:dyDescent="0.3">
      <c r="A607" t="s">
        <v>68</v>
      </c>
      <c r="B607" t="s">
        <v>106</v>
      </c>
      <c r="C607">
        <v>2025</v>
      </c>
      <c r="D607" t="s">
        <v>56</v>
      </c>
      <c r="E607" s="3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34</v>
      </c>
      <c r="N607">
        <v>5</v>
      </c>
      <c r="O607" t="s">
        <v>28</v>
      </c>
      <c r="P607">
        <v>54.8</v>
      </c>
      <c r="Q607">
        <v>2777</v>
      </c>
      <c r="R607">
        <v>4</v>
      </c>
      <c r="S607">
        <v>0</v>
      </c>
      <c r="T607" t="s">
        <v>45</v>
      </c>
      <c r="U607" t="s">
        <v>37</v>
      </c>
      <c r="V607" s="3">
        <v>124929</v>
      </c>
      <c r="W607">
        <v>3.43</v>
      </c>
      <c r="X607">
        <v>4</v>
      </c>
      <c r="Y607" s="1">
        <f>EV_Data4[[#This Row],[range_miles]]/EV_Data4[[#This Row],[battery_capacity_kwh]]</f>
        <v>2.9291553133514983</v>
      </c>
      <c r="Z607" s="4">
        <f>EV_Data4[[#This Row],[price_usd]]/EV_Data4[[#This Row],[range_miles]]</f>
        <v>198.10269767441861</v>
      </c>
      <c r="AA607" s="2">
        <f>(EV_Data4[[#This Row],[customer_rating]]*EV_Data4[[#This Row],[safety_rating]]*1000)/EV_Data4[[#This Row],[price_usd]]</f>
        <v>0.32212561584219412</v>
      </c>
      <c r="AB607">
        <f>EV_Data4[[#This Row],[horsepower]]+EV_Data4[[#This Row],[torque_nm]]/EV_Data4[[#This Row],[acceleration_0_60_mph]]</f>
        <v>489.55166931637518</v>
      </c>
      <c r="AC607" t="str">
        <f>IF(EV_Data4[[#This Row],[price_usd]]&gt;=80000,"Luxury",IF(EV_Data4[[#This Row],[price_usd]]&gt;=40000,"Mid-Range","Budget"))</f>
        <v>Mid-Range</v>
      </c>
      <c r="AD607" t="str">
        <f>IF(EV_Data4[[#This Row],[range_miles]]&gt;=350,"Long-Range",IF(EV_Data4[[#This Row],[range_miles]]&gt;=250,"Medium-Range","Short-Range"))</f>
        <v>Short-Range</v>
      </c>
      <c r="AE607" t="str">
        <f>IF(EV_Data4[[#This Row],[charging_speed_kw]]&gt;=250,"Ultra-Fast",IF(EV_Data4[[#This Row],[charging_speed_kw]]&gt;=150,"Fast-Charging","Standard-Charging"))</f>
        <v>Standard-Charging</v>
      </c>
      <c r="AF607" t="str">
        <f>IF(EV_Data4[[#This Row],[acceleration_0_60_mph]]&lt;=3,"SportsPerformance",IF(EV_Data4[[#This Row],[acceleration_0_60_mph]]&lt;=5,"HighPerformance","Standard"))</f>
        <v>Standard</v>
      </c>
      <c r="AG607" t="str">
        <f>IF(EV_Data4[[#This Row],[customer_rating]]&gt;=4.5,"Excellent",IF(EV_Data4[[#This Row],[customer_rating]]&gt;=3.5,"Good","Average"))</f>
        <v>Average</v>
      </c>
      <c r="AH60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08" spans="1:34" x14ac:dyDescent="0.3">
      <c r="A608" t="s">
        <v>63</v>
      </c>
      <c r="B608" t="s">
        <v>88</v>
      </c>
      <c r="C608">
        <v>2026</v>
      </c>
      <c r="D608" t="s">
        <v>61</v>
      </c>
      <c r="E608" s="3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27</v>
      </c>
      <c r="N608">
        <v>7</v>
      </c>
      <c r="O608" t="s">
        <v>51</v>
      </c>
      <c r="P608">
        <v>34.200000000000003</v>
      </c>
      <c r="Q608">
        <v>1642</v>
      </c>
      <c r="R608">
        <v>4</v>
      </c>
      <c r="S608">
        <v>1</v>
      </c>
      <c r="T608" t="s">
        <v>65</v>
      </c>
      <c r="U608" t="s">
        <v>37</v>
      </c>
      <c r="V608" s="3">
        <v>217748</v>
      </c>
      <c r="W608">
        <v>3.05</v>
      </c>
      <c r="X608">
        <v>5</v>
      </c>
      <c r="Y608" s="1">
        <f>EV_Data4[[#This Row],[range_miles]]/EV_Data4[[#This Row],[battery_capacity_kwh]]</f>
        <v>3.2641509433962264</v>
      </c>
      <c r="Z608" s="4">
        <f>EV_Data4[[#This Row],[price_usd]]/EV_Data4[[#This Row],[range_miles]]</f>
        <v>245.35138728323699</v>
      </c>
      <c r="AA608" s="2">
        <f>(EV_Data4[[#This Row],[customer_rating]]*EV_Data4[[#This Row],[safety_rating]]*1000)/EV_Data4[[#This Row],[price_usd]]</f>
        <v>0.28742544313582102</v>
      </c>
      <c r="AB608">
        <f>EV_Data4[[#This Row],[horsepower]]+EV_Data4[[#This Row],[torque_nm]]/EV_Data4[[#This Row],[acceleration_0_60_mph]]</f>
        <v>524.65099457504516</v>
      </c>
      <c r="AC608" t="str">
        <f>IF(EV_Data4[[#This Row],[price_usd]]&gt;=80000,"Luxury",IF(EV_Data4[[#This Row],[price_usd]]&gt;=40000,"Mid-Range","Budget"))</f>
        <v>Mid-Range</v>
      </c>
      <c r="AD608" t="str">
        <f>IF(EV_Data4[[#This Row],[range_miles]]&gt;=350,"Long-Range",IF(EV_Data4[[#This Row],[range_miles]]&gt;=250,"Medium-Range","Short-Range"))</f>
        <v>Short-Range</v>
      </c>
      <c r="AE608" t="str">
        <f>IF(EV_Data4[[#This Row],[charging_speed_kw]]&gt;=250,"Ultra-Fast",IF(EV_Data4[[#This Row],[charging_speed_kw]]&gt;=150,"Fast-Charging","Standard-Charging"))</f>
        <v>Standard-Charging</v>
      </c>
      <c r="AF608" t="str">
        <f>IF(EV_Data4[[#This Row],[acceleration_0_60_mph]]&lt;=3,"SportsPerformance",IF(EV_Data4[[#This Row],[acceleration_0_60_mph]]&lt;=5,"HighPerformance","Standard"))</f>
        <v>Standard</v>
      </c>
      <c r="AG608" t="str">
        <f>IF(EV_Data4[[#This Row],[customer_rating]]&gt;=4.5,"Excellent",IF(EV_Data4[[#This Row],[customer_rating]]&gt;=3.5,"Good","Average"))</f>
        <v>Average</v>
      </c>
      <c r="AH60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09" spans="1:34" x14ac:dyDescent="0.3">
      <c r="A609" t="s">
        <v>24</v>
      </c>
      <c r="B609" t="s">
        <v>75</v>
      </c>
      <c r="C609">
        <v>2023</v>
      </c>
      <c r="D609" t="s">
        <v>26</v>
      </c>
      <c r="E609" s="3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27</v>
      </c>
      <c r="N609">
        <v>7</v>
      </c>
      <c r="O609" t="s">
        <v>50</v>
      </c>
      <c r="P609">
        <v>36.4</v>
      </c>
      <c r="Q609">
        <v>1606</v>
      </c>
      <c r="R609">
        <v>5</v>
      </c>
      <c r="S609">
        <v>2</v>
      </c>
      <c r="T609" t="s">
        <v>29</v>
      </c>
      <c r="U609" t="s">
        <v>37</v>
      </c>
      <c r="V609" s="3">
        <v>209760</v>
      </c>
      <c r="W609">
        <v>3.52</v>
      </c>
      <c r="X609">
        <v>3</v>
      </c>
      <c r="Y609" s="1">
        <f>EV_Data4[[#This Row],[range_miles]]/EV_Data4[[#This Row],[battery_capacity_kwh]]</f>
        <v>3.4070796460176989</v>
      </c>
      <c r="Z609" s="4">
        <f>EV_Data4[[#This Row],[price_usd]]/EV_Data4[[#This Row],[range_miles]]</f>
        <v>143.75113636363636</v>
      </c>
      <c r="AA609" s="2">
        <f>(EV_Data4[[#This Row],[customer_rating]]*EV_Data4[[#This Row],[safety_rating]]*1000)/EV_Data4[[#This Row],[price_usd]]</f>
        <v>0.39751238555991086</v>
      </c>
      <c r="AB609">
        <f>EV_Data4[[#This Row],[horsepower]]+EV_Data4[[#This Row],[torque_nm]]/EV_Data4[[#This Row],[acceleration_0_60_mph]]</f>
        <v>427.14253897550111</v>
      </c>
      <c r="AC609" t="str">
        <f>IF(EV_Data4[[#This Row],[price_usd]]&gt;=80000,"Luxury",IF(EV_Data4[[#This Row],[price_usd]]&gt;=40000,"Mid-Range","Budget"))</f>
        <v>Mid-Range</v>
      </c>
      <c r="AD609" t="str">
        <f>IF(EV_Data4[[#This Row],[range_miles]]&gt;=350,"Long-Range",IF(EV_Data4[[#This Row],[range_miles]]&gt;=250,"Medium-Range","Short-Range"))</f>
        <v>Medium-Range</v>
      </c>
      <c r="AE609" t="str">
        <f>IF(EV_Data4[[#This Row],[charging_speed_kw]]&gt;=250,"Ultra-Fast",IF(EV_Data4[[#This Row],[charging_speed_kw]]&gt;=150,"Fast-Charging","Standard-Charging"))</f>
        <v>Fast-Charging</v>
      </c>
      <c r="AF609" t="str">
        <f>IF(EV_Data4[[#This Row],[acceleration_0_60_mph]]&lt;=3,"SportsPerformance",IF(EV_Data4[[#This Row],[acceleration_0_60_mph]]&lt;=5,"HighPerformance","Standard"))</f>
        <v>HighPerformance</v>
      </c>
      <c r="AG609" t="str">
        <f>IF(EV_Data4[[#This Row],[customer_rating]]&gt;=4.5,"Excellent",IF(EV_Data4[[#This Row],[customer_rating]]&gt;=3.5,"Good","Average"))</f>
        <v>Good</v>
      </c>
      <c r="AH60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10" spans="1:34" x14ac:dyDescent="0.3">
      <c r="A610" t="s">
        <v>68</v>
      </c>
      <c r="B610" t="s">
        <v>79</v>
      </c>
      <c r="C610">
        <v>2025</v>
      </c>
      <c r="D610" t="s">
        <v>26</v>
      </c>
      <c r="E610" s="3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27</v>
      </c>
      <c r="N610">
        <v>5</v>
      </c>
      <c r="O610" t="s">
        <v>35</v>
      </c>
      <c r="P610">
        <v>68.7</v>
      </c>
      <c r="Q610">
        <v>2249</v>
      </c>
      <c r="R610">
        <v>5</v>
      </c>
      <c r="S610">
        <v>1</v>
      </c>
      <c r="T610" t="s">
        <v>45</v>
      </c>
      <c r="U610" t="s">
        <v>30</v>
      </c>
      <c r="V610" s="3">
        <v>92278</v>
      </c>
      <c r="W610">
        <v>3.9</v>
      </c>
      <c r="X610">
        <v>3</v>
      </c>
      <c r="Y610" s="1">
        <f>EV_Data4[[#This Row],[range_miles]]/EV_Data4[[#This Row],[battery_capacity_kwh]]</f>
        <v>3.6287625418060201</v>
      </c>
      <c r="Z610" s="4">
        <f>EV_Data4[[#This Row],[price_usd]]/EV_Data4[[#This Row],[range_miles]]</f>
        <v>246.79576036866359</v>
      </c>
      <c r="AA610" s="2">
        <f>(EV_Data4[[#This Row],[customer_rating]]*EV_Data4[[#This Row],[safety_rating]]*1000)/EV_Data4[[#This Row],[price_usd]]</f>
        <v>0.18205691827492948</v>
      </c>
      <c r="AB610">
        <f>EV_Data4[[#This Row],[horsepower]]+EV_Data4[[#This Row],[torque_nm]]/EV_Data4[[#This Row],[acceleration_0_60_mph]]</f>
        <v>1315.6794425087107</v>
      </c>
      <c r="AC610" t="str">
        <f>IF(EV_Data4[[#This Row],[price_usd]]&gt;=80000,"Luxury",IF(EV_Data4[[#This Row],[price_usd]]&gt;=40000,"Mid-Range","Budget"))</f>
        <v>Luxury</v>
      </c>
      <c r="AD610" t="str">
        <f>IF(EV_Data4[[#This Row],[range_miles]]&gt;=350,"Long-Range",IF(EV_Data4[[#This Row],[range_miles]]&gt;=250,"Medium-Range","Short-Range"))</f>
        <v>Long-Range</v>
      </c>
      <c r="AE610" t="str">
        <f>IF(EV_Data4[[#This Row],[charging_speed_kw]]&gt;=250,"Ultra-Fast",IF(EV_Data4[[#This Row],[charging_speed_kw]]&gt;=150,"Fast-Charging","Standard-Charging"))</f>
        <v>Fast-Charging</v>
      </c>
      <c r="AF610" t="str">
        <f>IF(EV_Data4[[#This Row],[acceleration_0_60_mph]]&lt;=3,"SportsPerformance",IF(EV_Data4[[#This Row],[acceleration_0_60_mph]]&lt;=5,"HighPerformance","Standard"))</f>
        <v>SportsPerformance</v>
      </c>
      <c r="AG610" t="str">
        <f>IF(EV_Data4[[#This Row],[customer_rating]]&gt;=4.5,"Excellent",IF(EV_Data4[[#This Row],[customer_rating]]&gt;=3.5,"Good","Average"))</f>
        <v>Good</v>
      </c>
      <c r="AH61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11" spans="1:34" x14ac:dyDescent="0.3">
      <c r="A611" t="s">
        <v>38</v>
      </c>
      <c r="B611" t="s">
        <v>39</v>
      </c>
      <c r="C611">
        <v>2023</v>
      </c>
      <c r="D611" t="s">
        <v>56</v>
      </c>
      <c r="E611" s="3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34</v>
      </c>
      <c r="N611">
        <v>7</v>
      </c>
      <c r="O611" t="s">
        <v>35</v>
      </c>
      <c r="P611">
        <v>57.5</v>
      </c>
      <c r="Q611">
        <v>2174</v>
      </c>
      <c r="R611">
        <v>5</v>
      </c>
      <c r="S611">
        <v>0</v>
      </c>
      <c r="T611" t="s">
        <v>41</v>
      </c>
      <c r="U611" t="s">
        <v>37</v>
      </c>
      <c r="V611" s="3">
        <v>19280</v>
      </c>
      <c r="W611">
        <v>3.34</v>
      </c>
      <c r="X611">
        <v>3</v>
      </c>
      <c r="Y611" s="1">
        <f>EV_Data4[[#This Row],[range_miles]]/EV_Data4[[#This Row],[battery_capacity_kwh]]</f>
        <v>3.7820512820512824</v>
      </c>
      <c r="Z611" s="4">
        <f>EV_Data4[[#This Row],[price_usd]]/EV_Data4[[#This Row],[range_miles]]</f>
        <v>216.77915254237291</v>
      </c>
      <c r="AA611" s="2">
        <f>(EV_Data4[[#This Row],[customer_rating]]*EV_Data4[[#This Row],[safety_rating]]*1000)/EV_Data4[[#This Row],[price_usd]]</f>
        <v>0.43523688223402135</v>
      </c>
      <c r="AB611">
        <f>EV_Data4[[#This Row],[horsepower]]+EV_Data4[[#This Row],[torque_nm]]/EV_Data4[[#This Row],[acceleration_0_60_mph]]</f>
        <v>411.46266471449485</v>
      </c>
      <c r="AC611" t="str">
        <f>IF(EV_Data4[[#This Row],[price_usd]]&gt;=80000,"Luxury",IF(EV_Data4[[#This Row],[price_usd]]&gt;=40000,"Mid-Range","Budget"))</f>
        <v>Budget</v>
      </c>
      <c r="AD611" t="str">
        <f>IF(EV_Data4[[#This Row],[range_miles]]&gt;=350,"Long-Range",IF(EV_Data4[[#This Row],[range_miles]]&gt;=250,"Medium-Range","Short-Range"))</f>
        <v>Short-Range</v>
      </c>
      <c r="AE611" t="str">
        <f>IF(EV_Data4[[#This Row],[charging_speed_kw]]&gt;=250,"Ultra-Fast",IF(EV_Data4[[#This Row],[charging_speed_kw]]&gt;=150,"Fast-Charging","Standard-Charging"))</f>
        <v>Standard-Charging</v>
      </c>
      <c r="AF611" t="str">
        <f>IF(EV_Data4[[#This Row],[acceleration_0_60_mph]]&lt;=3,"SportsPerformance",IF(EV_Data4[[#This Row],[acceleration_0_60_mph]]&lt;=5,"HighPerformance","Standard"))</f>
        <v>Standard</v>
      </c>
      <c r="AG611" t="str">
        <f>IF(EV_Data4[[#This Row],[customer_rating]]&gt;=4.5,"Excellent",IF(EV_Data4[[#This Row],[customer_rating]]&gt;=3.5,"Good","Average"))</f>
        <v>Average</v>
      </c>
      <c r="AH61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12" spans="1:34" x14ac:dyDescent="0.3">
      <c r="A612" t="s">
        <v>46</v>
      </c>
      <c r="B612" t="s">
        <v>57</v>
      </c>
      <c r="C612">
        <v>2023</v>
      </c>
      <c r="D612" t="s">
        <v>44</v>
      </c>
      <c r="E612" s="3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27</v>
      </c>
      <c r="N612">
        <v>7</v>
      </c>
      <c r="O612" t="s">
        <v>51</v>
      </c>
      <c r="P612">
        <v>38</v>
      </c>
      <c r="Q612">
        <v>1852</v>
      </c>
      <c r="R612">
        <v>5</v>
      </c>
      <c r="S612">
        <v>2</v>
      </c>
      <c r="T612" t="s">
        <v>41</v>
      </c>
      <c r="U612" t="s">
        <v>33</v>
      </c>
      <c r="V612" s="3">
        <v>233601</v>
      </c>
      <c r="W612">
        <v>3.61</v>
      </c>
      <c r="X612">
        <v>5</v>
      </c>
      <c r="Y612" s="1">
        <f>EV_Data4[[#This Row],[range_miles]]/EV_Data4[[#This Row],[battery_capacity_kwh]]</f>
        <v>3.622047244094488</v>
      </c>
      <c r="Z612" s="4">
        <f>EV_Data4[[#This Row],[price_usd]]/EV_Data4[[#This Row],[range_miles]]</f>
        <v>257.36866459627333</v>
      </c>
      <c r="AA612" s="2">
        <f>(EV_Data4[[#This Row],[customer_rating]]*EV_Data4[[#This Row],[safety_rating]]*1000)/EV_Data4[[#This Row],[price_usd]]</f>
        <v>0.21780390673841846</v>
      </c>
      <c r="AB612">
        <f>EV_Data4[[#This Row],[horsepower]]+EV_Data4[[#This Row],[torque_nm]]/EV_Data4[[#This Row],[acceleration_0_60_mph]]</f>
        <v>672.22505800464035</v>
      </c>
      <c r="AC612" t="str">
        <f>IF(EV_Data4[[#This Row],[price_usd]]&gt;=80000,"Luxury",IF(EV_Data4[[#This Row],[price_usd]]&gt;=40000,"Mid-Range","Budget"))</f>
        <v>Luxury</v>
      </c>
      <c r="AD612" t="str">
        <f>IF(EV_Data4[[#This Row],[range_miles]]&gt;=350,"Long-Range",IF(EV_Data4[[#This Row],[range_miles]]&gt;=250,"Medium-Range","Short-Range"))</f>
        <v>Medium-Range</v>
      </c>
      <c r="AE612" t="str">
        <f>IF(EV_Data4[[#This Row],[charging_speed_kw]]&gt;=250,"Ultra-Fast",IF(EV_Data4[[#This Row],[charging_speed_kw]]&gt;=150,"Fast-Charging","Standard-Charging"))</f>
        <v>Ultra-Fast</v>
      </c>
      <c r="AF612" t="str">
        <f>IF(EV_Data4[[#This Row],[acceleration_0_60_mph]]&lt;=3,"SportsPerformance",IF(EV_Data4[[#This Row],[acceleration_0_60_mph]]&lt;=5,"HighPerformance","Standard"))</f>
        <v>HighPerformance</v>
      </c>
      <c r="AG612" t="str">
        <f>IF(EV_Data4[[#This Row],[customer_rating]]&gt;=4.5,"Excellent",IF(EV_Data4[[#This Row],[customer_rating]]&gt;=3.5,"Good","Average"))</f>
        <v>Good</v>
      </c>
      <c r="AH61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13" spans="1:34" x14ac:dyDescent="0.3">
      <c r="A613" t="s">
        <v>76</v>
      </c>
      <c r="B613" t="s">
        <v>77</v>
      </c>
      <c r="C613">
        <v>2024</v>
      </c>
      <c r="D613" t="s">
        <v>33</v>
      </c>
      <c r="E613" s="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27</v>
      </c>
      <c r="N613">
        <v>7</v>
      </c>
      <c r="O613" t="s">
        <v>50</v>
      </c>
      <c r="P613">
        <v>20.7</v>
      </c>
      <c r="Q613">
        <v>1832</v>
      </c>
      <c r="R613">
        <v>3</v>
      </c>
      <c r="S613">
        <v>1</v>
      </c>
      <c r="T613" t="s">
        <v>41</v>
      </c>
      <c r="U613" t="s">
        <v>33</v>
      </c>
      <c r="V613" s="3">
        <v>75873</v>
      </c>
      <c r="W613">
        <v>3.24</v>
      </c>
      <c r="X613">
        <v>5</v>
      </c>
      <c r="Y613" s="1">
        <f>EV_Data4[[#This Row],[range_miles]]/EV_Data4[[#This Row],[battery_capacity_kwh]]</f>
        <v>3.2633053221288515</v>
      </c>
      <c r="Z613" s="4">
        <f>EV_Data4[[#This Row],[price_usd]]/EV_Data4[[#This Row],[range_miles]]</f>
        <v>415.13884120171679</v>
      </c>
      <c r="AA613" s="2">
        <f>(EV_Data4[[#This Row],[customer_rating]]*EV_Data4[[#This Row],[safety_rating]]*1000)/EV_Data4[[#This Row],[price_usd]]</f>
        <v>0.1004886415269311</v>
      </c>
      <c r="AB613">
        <f>EV_Data4[[#This Row],[horsepower]]+EV_Data4[[#This Row],[torque_nm]]/EV_Data4[[#This Row],[acceleration_0_60_mph]]</f>
        <v>1111.9480519480519</v>
      </c>
      <c r="AC613" t="str">
        <f>IF(EV_Data4[[#This Row],[price_usd]]&gt;=80000,"Luxury",IF(EV_Data4[[#This Row],[price_usd]]&gt;=40000,"Mid-Range","Budget"))</f>
        <v>Luxury</v>
      </c>
      <c r="AD613" t="str">
        <f>IF(EV_Data4[[#This Row],[range_miles]]&gt;=350,"Long-Range",IF(EV_Data4[[#This Row],[range_miles]]&gt;=250,"Medium-Range","Short-Range"))</f>
        <v>Short-Range</v>
      </c>
      <c r="AE613" t="str">
        <f>IF(EV_Data4[[#This Row],[charging_speed_kw]]&gt;=250,"Ultra-Fast",IF(EV_Data4[[#This Row],[charging_speed_kw]]&gt;=150,"Fast-Charging","Standard-Charging"))</f>
        <v>Standard-Charging</v>
      </c>
      <c r="AF613" t="str">
        <f>IF(EV_Data4[[#This Row],[acceleration_0_60_mph]]&lt;=3,"SportsPerformance",IF(EV_Data4[[#This Row],[acceleration_0_60_mph]]&lt;=5,"HighPerformance","Standard"))</f>
        <v>Standard</v>
      </c>
      <c r="AG613" t="str">
        <f>IF(EV_Data4[[#This Row],[customer_rating]]&gt;=4.5,"Excellent",IF(EV_Data4[[#This Row],[customer_rating]]&gt;=3.5,"Good","Average"))</f>
        <v>Average</v>
      </c>
      <c r="AH61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14" spans="1:34" x14ac:dyDescent="0.3">
      <c r="A614" t="s">
        <v>83</v>
      </c>
      <c r="B614" t="s">
        <v>84</v>
      </c>
      <c r="C614">
        <v>2024</v>
      </c>
      <c r="D614" t="s">
        <v>56</v>
      </c>
      <c r="E614" s="3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34</v>
      </c>
      <c r="N614">
        <v>7</v>
      </c>
      <c r="O614" t="s">
        <v>58</v>
      </c>
      <c r="P614">
        <v>23.5</v>
      </c>
      <c r="Q614">
        <v>1500</v>
      </c>
      <c r="R614">
        <v>5</v>
      </c>
      <c r="S614">
        <v>1</v>
      </c>
      <c r="T614" t="s">
        <v>29</v>
      </c>
      <c r="U614" t="s">
        <v>33</v>
      </c>
      <c r="V614" s="3">
        <v>74771</v>
      </c>
      <c r="W614">
        <v>3.09</v>
      </c>
      <c r="X614">
        <v>6</v>
      </c>
      <c r="Y614" s="1">
        <f>EV_Data4[[#This Row],[range_miles]]/EV_Data4[[#This Row],[battery_capacity_kwh]]</f>
        <v>3.7420718816067655</v>
      </c>
      <c r="Z614" s="4">
        <f>EV_Data4[[#This Row],[price_usd]]/EV_Data4[[#This Row],[range_miles]]</f>
        <v>476.75638418079097</v>
      </c>
      <c r="AA614" s="2">
        <f>(EV_Data4[[#This Row],[customer_rating]]*EV_Data4[[#This Row],[safety_rating]]*1000)/EV_Data4[[#This Row],[price_usd]]</f>
        <v>0.18308750231673829</v>
      </c>
      <c r="AB614">
        <f>EV_Data4[[#This Row],[horsepower]]+EV_Data4[[#This Row],[torque_nm]]/EV_Data4[[#This Row],[acceleration_0_60_mph]]</f>
        <v>676.10204081632651</v>
      </c>
      <c r="AC614" t="str">
        <f>IF(EV_Data4[[#This Row],[price_usd]]&gt;=80000,"Luxury",IF(EV_Data4[[#This Row],[price_usd]]&gt;=40000,"Mid-Range","Budget"))</f>
        <v>Luxury</v>
      </c>
      <c r="AD614" t="str">
        <f>IF(EV_Data4[[#This Row],[range_miles]]&gt;=350,"Long-Range",IF(EV_Data4[[#This Row],[range_miles]]&gt;=250,"Medium-Range","Short-Range"))</f>
        <v>Short-Range</v>
      </c>
      <c r="AE614" t="str">
        <f>IF(EV_Data4[[#This Row],[charging_speed_kw]]&gt;=250,"Ultra-Fast",IF(EV_Data4[[#This Row],[charging_speed_kw]]&gt;=150,"Fast-Charging","Standard-Charging"))</f>
        <v>Standard-Charging</v>
      </c>
      <c r="AF614" t="str">
        <f>IF(EV_Data4[[#This Row],[acceleration_0_60_mph]]&lt;=3,"SportsPerformance",IF(EV_Data4[[#This Row],[acceleration_0_60_mph]]&lt;=5,"HighPerformance","Standard"))</f>
        <v>Standard</v>
      </c>
      <c r="AG614" t="str">
        <f>IF(EV_Data4[[#This Row],[customer_rating]]&gt;=4.5,"Excellent",IF(EV_Data4[[#This Row],[customer_rating]]&gt;=3.5,"Good","Average"))</f>
        <v>Average</v>
      </c>
      <c r="AH61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15" spans="1:34" x14ac:dyDescent="0.3">
      <c r="A615" t="s">
        <v>46</v>
      </c>
      <c r="B615" t="s">
        <v>49</v>
      </c>
      <c r="C615">
        <v>2025</v>
      </c>
      <c r="D615" t="s">
        <v>44</v>
      </c>
      <c r="E615" s="3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48</v>
      </c>
      <c r="N615">
        <v>5</v>
      </c>
      <c r="O615" t="s">
        <v>35</v>
      </c>
      <c r="P615">
        <v>43</v>
      </c>
      <c r="Q615">
        <v>2400</v>
      </c>
      <c r="R615">
        <v>5</v>
      </c>
      <c r="S615">
        <v>2</v>
      </c>
      <c r="T615" t="s">
        <v>41</v>
      </c>
      <c r="U615" t="s">
        <v>66</v>
      </c>
      <c r="V615" s="3">
        <v>476519</v>
      </c>
      <c r="W615">
        <v>3.86</v>
      </c>
      <c r="X615">
        <v>5</v>
      </c>
      <c r="Y615" s="1">
        <f>EV_Data4[[#This Row],[range_miles]]/EV_Data4[[#This Row],[battery_capacity_kwh]]</f>
        <v>3.2741398446170922</v>
      </c>
      <c r="Z615" s="4">
        <f>EV_Data4[[#This Row],[price_usd]]/EV_Data4[[#This Row],[range_miles]]</f>
        <v>114.5635593220339</v>
      </c>
      <c r="AA615" s="2">
        <f>(EV_Data4[[#This Row],[customer_rating]]*EV_Data4[[#This Row],[safety_rating]]*1000)/EV_Data4[[#This Row],[price_usd]]</f>
        <v>0.57106927543736363</v>
      </c>
      <c r="AB615">
        <f>EV_Data4[[#This Row],[horsepower]]+EV_Data4[[#This Row],[torque_nm]]/EV_Data4[[#This Row],[acceleration_0_60_mph]]</f>
        <v>264.26108374384239</v>
      </c>
      <c r="AC615" t="str">
        <f>IF(EV_Data4[[#This Row],[price_usd]]&gt;=80000,"Luxury",IF(EV_Data4[[#This Row],[price_usd]]&gt;=40000,"Mid-Range","Budget"))</f>
        <v>Budget</v>
      </c>
      <c r="AD615" t="str">
        <f>IF(EV_Data4[[#This Row],[range_miles]]&gt;=350,"Long-Range",IF(EV_Data4[[#This Row],[range_miles]]&gt;=250,"Medium-Range","Short-Range"))</f>
        <v>Medium-Range</v>
      </c>
      <c r="AE615" t="str">
        <f>IF(EV_Data4[[#This Row],[charging_speed_kw]]&gt;=250,"Ultra-Fast",IF(EV_Data4[[#This Row],[charging_speed_kw]]&gt;=150,"Fast-Charging","Standard-Charging"))</f>
        <v>Ultra-Fast</v>
      </c>
      <c r="AF615" t="str">
        <f>IF(EV_Data4[[#This Row],[acceleration_0_60_mph]]&lt;=3,"SportsPerformance",IF(EV_Data4[[#This Row],[acceleration_0_60_mph]]&lt;=5,"HighPerformance","Standard"))</f>
        <v>HighPerformance</v>
      </c>
      <c r="AG615" t="str">
        <f>IF(EV_Data4[[#This Row],[customer_rating]]&gt;=4.5,"Excellent",IF(EV_Data4[[#This Row],[customer_rating]]&gt;=3.5,"Good","Average"))</f>
        <v>Good</v>
      </c>
      <c r="AH61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16" spans="1:34" x14ac:dyDescent="0.3">
      <c r="A616" t="s">
        <v>86</v>
      </c>
      <c r="B616" t="s">
        <v>87</v>
      </c>
      <c r="C616">
        <v>2025</v>
      </c>
      <c r="D616" t="s">
        <v>56</v>
      </c>
      <c r="E616" s="3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34</v>
      </c>
      <c r="N616">
        <v>5</v>
      </c>
      <c r="O616" t="s">
        <v>58</v>
      </c>
      <c r="P616">
        <v>24.9</v>
      </c>
      <c r="Q616">
        <v>1712</v>
      </c>
      <c r="R616">
        <v>4</v>
      </c>
      <c r="S616">
        <v>2</v>
      </c>
      <c r="T616" t="s">
        <v>29</v>
      </c>
      <c r="U616" t="s">
        <v>33</v>
      </c>
      <c r="V616" s="3">
        <v>62437</v>
      </c>
      <c r="W616">
        <v>3.52</v>
      </c>
      <c r="X616">
        <v>8</v>
      </c>
      <c r="Y616" s="1">
        <f>EV_Data4[[#This Row],[range_miles]]/EV_Data4[[#This Row],[battery_capacity_kwh]]</f>
        <v>3.4793491864831037</v>
      </c>
      <c r="Z616" s="4">
        <f>EV_Data4[[#This Row],[price_usd]]/EV_Data4[[#This Row],[range_miles]]</f>
        <v>243.29061151079134</v>
      </c>
      <c r="AA616" s="2">
        <f>(EV_Data4[[#This Row],[customer_rating]]*EV_Data4[[#This Row],[safety_rating]]*1000)/EV_Data4[[#This Row],[price_usd]]</f>
        <v>0.20817688648105512</v>
      </c>
      <c r="AB616">
        <f>EV_Data4[[#This Row],[horsepower]]+EV_Data4[[#This Row],[torque_nm]]/EV_Data4[[#This Row],[acceleration_0_60_mph]]</f>
        <v>465.78417266187051</v>
      </c>
      <c r="AC616" t="str">
        <f>IF(EV_Data4[[#This Row],[price_usd]]&gt;=80000,"Luxury",IF(EV_Data4[[#This Row],[price_usd]]&gt;=40000,"Mid-Range","Budget"))</f>
        <v>Mid-Range</v>
      </c>
      <c r="AD616" t="str">
        <f>IF(EV_Data4[[#This Row],[range_miles]]&gt;=350,"Long-Range",IF(EV_Data4[[#This Row],[range_miles]]&gt;=250,"Medium-Range","Short-Range"))</f>
        <v>Medium-Range</v>
      </c>
      <c r="AE616" t="str">
        <f>IF(EV_Data4[[#This Row],[charging_speed_kw]]&gt;=250,"Ultra-Fast",IF(EV_Data4[[#This Row],[charging_speed_kw]]&gt;=150,"Fast-Charging","Standard-Charging"))</f>
        <v>Standard-Charging</v>
      </c>
      <c r="AF616" t="str">
        <f>IF(EV_Data4[[#This Row],[acceleration_0_60_mph]]&lt;=3,"SportsPerformance",IF(EV_Data4[[#This Row],[acceleration_0_60_mph]]&lt;=5,"HighPerformance","Standard"))</f>
        <v>Standard</v>
      </c>
      <c r="AG616" t="str">
        <f>IF(EV_Data4[[#This Row],[customer_rating]]&gt;=4.5,"Excellent",IF(EV_Data4[[#This Row],[customer_rating]]&gt;=3.5,"Good","Average"))</f>
        <v>Good</v>
      </c>
      <c r="AH61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17" spans="1:34" x14ac:dyDescent="0.3">
      <c r="A617" t="s">
        <v>94</v>
      </c>
      <c r="B617" t="s">
        <v>120</v>
      </c>
      <c r="C617">
        <v>2025</v>
      </c>
      <c r="D617" t="s">
        <v>44</v>
      </c>
      <c r="E617" s="3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27</v>
      </c>
      <c r="N617">
        <v>5</v>
      </c>
      <c r="O617" t="s">
        <v>35</v>
      </c>
      <c r="P617">
        <v>63.1</v>
      </c>
      <c r="Q617">
        <v>2353</v>
      </c>
      <c r="R617">
        <v>5</v>
      </c>
      <c r="S617">
        <v>0</v>
      </c>
      <c r="T617" t="s">
        <v>41</v>
      </c>
      <c r="U617" t="s">
        <v>30</v>
      </c>
      <c r="V617" s="3">
        <v>25421</v>
      </c>
      <c r="W617">
        <v>3.88</v>
      </c>
      <c r="X617">
        <v>4</v>
      </c>
      <c r="Y617" s="1">
        <f>EV_Data4[[#This Row],[range_miles]]/EV_Data4[[#This Row],[battery_capacity_kwh]]</f>
        <v>3.7115384615384617</v>
      </c>
      <c r="Z617" s="4">
        <f>EV_Data4[[#This Row],[price_usd]]/EV_Data4[[#This Row],[range_miles]]</f>
        <v>273.77038860103625</v>
      </c>
      <c r="AA617" s="2">
        <f>(EV_Data4[[#This Row],[customer_rating]]*EV_Data4[[#This Row],[safety_rating]]*1000)/EV_Data4[[#This Row],[price_usd]]</f>
        <v>0.18358109368341932</v>
      </c>
      <c r="AB617">
        <f>EV_Data4[[#This Row],[horsepower]]+EV_Data4[[#This Row],[torque_nm]]/EV_Data4[[#This Row],[acceleration_0_60_mph]]</f>
        <v>1186.6379310344828</v>
      </c>
      <c r="AC617" t="str">
        <f>IF(EV_Data4[[#This Row],[price_usd]]&gt;=80000,"Luxury",IF(EV_Data4[[#This Row],[price_usd]]&gt;=40000,"Mid-Range","Budget"))</f>
        <v>Luxury</v>
      </c>
      <c r="AD617" t="str">
        <f>IF(EV_Data4[[#This Row],[range_miles]]&gt;=350,"Long-Range",IF(EV_Data4[[#This Row],[range_miles]]&gt;=250,"Medium-Range","Short-Range"))</f>
        <v>Long-Range</v>
      </c>
      <c r="AE617" t="str">
        <f>IF(EV_Data4[[#This Row],[charging_speed_kw]]&gt;=250,"Ultra-Fast",IF(EV_Data4[[#This Row],[charging_speed_kw]]&gt;=150,"Fast-Charging","Standard-Charging"))</f>
        <v>Standard-Charging</v>
      </c>
      <c r="AF617" t="str">
        <f>IF(EV_Data4[[#This Row],[acceleration_0_60_mph]]&lt;=3,"SportsPerformance",IF(EV_Data4[[#This Row],[acceleration_0_60_mph]]&lt;=5,"HighPerformance","Standard"))</f>
        <v>HighPerformance</v>
      </c>
      <c r="AG617" t="str">
        <f>IF(EV_Data4[[#This Row],[customer_rating]]&gt;=4.5,"Excellent",IF(EV_Data4[[#This Row],[customer_rating]]&gt;=3.5,"Good","Average"))</f>
        <v>Good</v>
      </c>
      <c r="AH61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18" spans="1:34" x14ac:dyDescent="0.3">
      <c r="A618" t="s">
        <v>46</v>
      </c>
      <c r="B618" t="s">
        <v>78</v>
      </c>
      <c r="C618">
        <v>2023</v>
      </c>
      <c r="D618" t="s">
        <v>61</v>
      </c>
      <c r="E618" s="3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34</v>
      </c>
      <c r="N618">
        <v>5</v>
      </c>
      <c r="O618" t="s">
        <v>35</v>
      </c>
      <c r="P618">
        <v>62.7</v>
      </c>
      <c r="Q618">
        <v>1838</v>
      </c>
      <c r="R618">
        <v>3</v>
      </c>
      <c r="S618">
        <v>2</v>
      </c>
      <c r="T618" t="s">
        <v>41</v>
      </c>
      <c r="U618" t="s">
        <v>37</v>
      </c>
      <c r="V618" s="3">
        <v>124556</v>
      </c>
      <c r="W618">
        <v>3.97</v>
      </c>
      <c r="X618">
        <v>4</v>
      </c>
      <c r="Y618" s="1">
        <f>EV_Data4[[#This Row],[range_miles]]/EV_Data4[[#This Row],[battery_capacity_kwh]]</f>
        <v>3.3020344287949923</v>
      </c>
      <c r="Z618" s="4">
        <f>EV_Data4[[#This Row],[price_usd]]/EV_Data4[[#This Row],[range_miles]]</f>
        <v>208.33862559241706</v>
      </c>
      <c r="AA618" s="2">
        <f>(EV_Data4[[#This Row],[customer_rating]]*EV_Data4[[#This Row],[safety_rating]]*1000)/EV_Data4[[#This Row],[price_usd]]</f>
        <v>0.27093150619491374</v>
      </c>
      <c r="AB618">
        <f>EV_Data4[[#This Row],[horsepower]]+EV_Data4[[#This Row],[torque_nm]]/EV_Data4[[#This Row],[acceleration_0_60_mph]]</f>
        <v>320.63118440779613</v>
      </c>
      <c r="AC618" t="str">
        <f>IF(EV_Data4[[#This Row],[price_usd]]&gt;=80000,"Luxury",IF(EV_Data4[[#This Row],[price_usd]]&gt;=40000,"Mid-Range","Budget"))</f>
        <v>Mid-Range</v>
      </c>
      <c r="AD618" t="str">
        <f>IF(EV_Data4[[#This Row],[range_miles]]&gt;=350,"Long-Range",IF(EV_Data4[[#This Row],[range_miles]]&gt;=250,"Medium-Range","Short-Range"))</f>
        <v>Short-Range</v>
      </c>
      <c r="AE618" t="str">
        <f>IF(EV_Data4[[#This Row],[charging_speed_kw]]&gt;=250,"Ultra-Fast",IF(EV_Data4[[#This Row],[charging_speed_kw]]&gt;=150,"Fast-Charging","Standard-Charging"))</f>
        <v>Fast-Charging</v>
      </c>
      <c r="AF618" t="str">
        <f>IF(EV_Data4[[#This Row],[acceleration_0_60_mph]]&lt;=3,"SportsPerformance",IF(EV_Data4[[#This Row],[acceleration_0_60_mph]]&lt;=5,"HighPerformance","Standard"))</f>
        <v>Standard</v>
      </c>
      <c r="AG618" t="str">
        <f>IF(EV_Data4[[#This Row],[customer_rating]]&gt;=4.5,"Excellent",IF(EV_Data4[[#This Row],[customer_rating]]&gt;=3.5,"Good","Average"))</f>
        <v>Good</v>
      </c>
      <c r="AH61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19" spans="1:34" x14ac:dyDescent="0.3">
      <c r="A619" t="s">
        <v>63</v>
      </c>
      <c r="B619" t="s">
        <v>96</v>
      </c>
      <c r="C619">
        <v>2025</v>
      </c>
      <c r="D619" t="s">
        <v>56</v>
      </c>
      <c r="E619" s="3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34</v>
      </c>
      <c r="N619">
        <v>5</v>
      </c>
      <c r="O619" t="s">
        <v>40</v>
      </c>
      <c r="P619">
        <v>71.900000000000006</v>
      </c>
      <c r="Q619">
        <v>1500</v>
      </c>
      <c r="R619">
        <v>4</v>
      </c>
      <c r="S619">
        <v>0</v>
      </c>
      <c r="T619" t="s">
        <v>65</v>
      </c>
      <c r="U619" t="s">
        <v>66</v>
      </c>
      <c r="V619" s="3">
        <v>165718</v>
      </c>
      <c r="W619">
        <v>3.4</v>
      </c>
      <c r="X619">
        <v>4</v>
      </c>
      <c r="Y619" s="1">
        <f>EV_Data4[[#This Row],[range_miles]]/EV_Data4[[#This Row],[battery_capacity_kwh]]</f>
        <v>3.2035175879396989</v>
      </c>
      <c r="Z619" s="4">
        <f>EV_Data4[[#This Row],[price_usd]]/EV_Data4[[#This Row],[range_miles]]</f>
        <v>76.071333333333328</v>
      </c>
      <c r="AA619" s="2">
        <f>(EV_Data4[[#This Row],[customer_rating]]*EV_Data4[[#This Row],[safety_rating]]*1000)/EV_Data4[[#This Row],[price_usd]]</f>
        <v>0.7010963394007379</v>
      </c>
      <c r="AB619">
        <f>EV_Data4[[#This Row],[horsepower]]+EV_Data4[[#This Row],[torque_nm]]/EV_Data4[[#This Row],[acceleration_0_60_mph]]</f>
        <v>190.41296060991107</v>
      </c>
      <c r="AC619" t="str">
        <f>IF(EV_Data4[[#This Row],[price_usd]]&gt;=80000,"Luxury",IF(EV_Data4[[#This Row],[price_usd]]&gt;=40000,"Mid-Range","Budget"))</f>
        <v>Budget</v>
      </c>
      <c r="AD619" t="str">
        <f>IF(EV_Data4[[#This Row],[range_miles]]&gt;=350,"Long-Range",IF(EV_Data4[[#This Row],[range_miles]]&gt;=250,"Medium-Range","Short-Range"))</f>
        <v>Medium-Range</v>
      </c>
      <c r="AE619" t="str">
        <f>IF(EV_Data4[[#This Row],[charging_speed_kw]]&gt;=250,"Ultra-Fast",IF(EV_Data4[[#This Row],[charging_speed_kw]]&gt;=150,"Fast-Charging","Standard-Charging"))</f>
        <v>Standard-Charging</v>
      </c>
      <c r="AF619" t="str">
        <f>IF(EV_Data4[[#This Row],[acceleration_0_60_mph]]&lt;=3,"SportsPerformance",IF(EV_Data4[[#This Row],[acceleration_0_60_mph]]&lt;=5,"HighPerformance","Standard"))</f>
        <v>Standard</v>
      </c>
      <c r="AG619" t="str">
        <f>IF(EV_Data4[[#This Row],[customer_rating]]&gt;=4.5,"Excellent",IF(EV_Data4[[#This Row],[customer_rating]]&gt;=3.5,"Good","Average"))</f>
        <v>Average</v>
      </c>
      <c r="AH61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20" spans="1:34" x14ac:dyDescent="0.3">
      <c r="A620" t="s">
        <v>76</v>
      </c>
      <c r="B620" t="s">
        <v>98</v>
      </c>
      <c r="C620">
        <v>2026</v>
      </c>
      <c r="D620" t="s">
        <v>56</v>
      </c>
      <c r="E620" s="3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48</v>
      </c>
      <c r="N620">
        <v>5</v>
      </c>
      <c r="O620" t="s">
        <v>50</v>
      </c>
      <c r="P620">
        <v>22.3</v>
      </c>
      <c r="Q620">
        <v>1668</v>
      </c>
      <c r="R620">
        <v>5</v>
      </c>
      <c r="S620">
        <v>1</v>
      </c>
      <c r="T620" t="s">
        <v>41</v>
      </c>
      <c r="U620" t="s">
        <v>37</v>
      </c>
      <c r="V620" s="3">
        <v>64449</v>
      </c>
      <c r="W620">
        <v>3.39</v>
      </c>
      <c r="X620">
        <v>5</v>
      </c>
      <c r="Y620" s="1">
        <f>EV_Data4[[#This Row],[range_miles]]/EV_Data4[[#This Row],[battery_capacity_kwh]]</f>
        <v>3.4315789473684211</v>
      </c>
      <c r="Z620" s="4">
        <f>EV_Data4[[#This Row],[price_usd]]/EV_Data4[[#This Row],[range_miles]]</f>
        <v>342.50564417177912</v>
      </c>
      <c r="AA620" s="2">
        <f>(EV_Data4[[#This Row],[customer_rating]]*EV_Data4[[#This Row],[safety_rating]]*1000)/EV_Data4[[#This Row],[price_usd]]</f>
        <v>0.30360880712726601</v>
      </c>
      <c r="AB620">
        <f>EV_Data4[[#This Row],[horsepower]]+EV_Data4[[#This Row],[torque_nm]]/EV_Data4[[#This Row],[acceleration_0_60_mph]]</f>
        <v>662.78169014084506</v>
      </c>
      <c r="AC620" t="str">
        <f>IF(EV_Data4[[#This Row],[price_usd]]&gt;=80000,"Luxury",IF(EV_Data4[[#This Row],[price_usd]]&gt;=40000,"Mid-Range","Budget"))</f>
        <v>Mid-Range</v>
      </c>
      <c r="AD620" t="str">
        <f>IF(EV_Data4[[#This Row],[range_miles]]&gt;=350,"Long-Range",IF(EV_Data4[[#This Row],[range_miles]]&gt;=250,"Medium-Range","Short-Range"))</f>
        <v>Short-Range</v>
      </c>
      <c r="AE620" t="str">
        <f>IF(EV_Data4[[#This Row],[charging_speed_kw]]&gt;=250,"Ultra-Fast",IF(EV_Data4[[#This Row],[charging_speed_kw]]&gt;=150,"Fast-Charging","Standard-Charging"))</f>
        <v>Standard-Charging</v>
      </c>
      <c r="AF620" t="str">
        <f>IF(EV_Data4[[#This Row],[acceleration_0_60_mph]]&lt;=3,"SportsPerformance",IF(EV_Data4[[#This Row],[acceleration_0_60_mph]]&lt;=5,"HighPerformance","Standard"))</f>
        <v>Standard</v>
      </c>
      <c r="AG620" t="str">
        <f>IF(EV_Data4[[#This Row],[customer_rating]]&gt;=4.5,"Excellent",IF(EV_Data4[[#This Row],[customer_rating]]&gt;=3.5,"Good","Average"))</f>
        <v>Average</v>
      </c>
      <c r="AH62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21" spans="1:34" x14ac:dyDescent="0.3">
      <c r="A621" t="s">
        <v>38</v>
      </c>
      <c r="B621" t="s">
        <v>55</v>
      </c>
      <c r="C621">
        <v>2025</v>
      </c>
      <c r="D621" t="s">
        <v>61</v>
      </c>
      <c r="E621" s="3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34</v>
      </c>
      <c r="N621">
        <v>7</v>
      </c>
      <c r="O621" t="s">
        <v>35</v>
      </c>
      <c r="P621">
        <v>35.299999999999997</v>
      </c>
      <c r="Q621">
        <v>1903</v>
      </c>
      <c r="R621">
        <v>5</v>
      </c>
      <c r="S621">
        <v>2</v>
      </c>
      <c r="T621" t="s">
        <v>41</v>
      </c>
      <c r="U621" t="s">
        <v>37</v>
      </c>
      <c r="V621" s="3">
        <v>16439</v>
      </c>
      <c r="W621">
        <v>3.05</v>
      </c>
      <c r="X621">
        <v>4</v>
      </c>
      <c r="Y621" s="1">
        <f>EV_Data4[[#This Row],[range_miles]]/EV_Data4[[#This Row],[battery_capacity_kwh]]</f>
        <v>3.4802784222737819</v>
      </c>
      <c r="Z621" s="4">
        <f>EV_Data4[[#This Row],[price_usd]]/EV_Data4[[#This Row],[range_miles]]</f>
        <v>371.94600000000003</v>
      </c>
      <c r="AA621" s="2">
        <f>(EV_Data4[[#This Row],[customer_rating]]*EV_Data4[[#This Row],[safety_rating]]*1000)/EV_Data4[[#This Row],[price_usd]]</f>
        <v>0.27333716901557392</v>
      </c>
      <c r="AB621">
        <f>EV_Data4[[#This Row],[horsepower]]+EV_Data4[[#This Row],[torque_nm]]/EV_Data4[[#This Row],[acceleration_0_60_mph]]</f>
        <v>735.75903614457832</v>
      </c>
      <c r="AC621" t="str">
        <f>IF(EV_Data4[[#This Row],[price_usd]]&gt;=80000,"Luxury",IF(EV_Data4[[#This Row],[price_usd]]&gt;=40000,"Mid-Range","Budget"))</f>
        <v>Mid-Range</v>
      </c>
      <c r="AD621" t="str">
        <f>IF(EV_Data4[[#This Row],[range_miles]]&gt;=350,"Long-Range",IF(EV_Data4[[#This Row],[range_miles]]&gt;=250,"Medium-Range","Short-Range"))</f>
        <v>Short-Range</v>
      </c>
      <c r="AE621" t="str">
        <f>IF(EV_Data4[[#This Row],[charging_speed_kw]]&gt;=250,"Ultra-Fast",IF(EV_Data4[[#This Row],[charging_speed_kw]]&gt;=150,"Fast-Charging","Standard-Charging"))</f>
        <v>Standard-Charging</v>
      </c>
      <c r="AF621" t="str">
        <f>IF(EV_Data4[[#This Row],[acceleration_0_60_mph]]&lt;=3,"SportsPerformance",IF(EV_Data4[[#This Row],[acceleration_0_60_mph]]&lt;=5,"HighPerformance","Standard"))</f>
        <v>Standard</v>
      </c>
      <c r="AG621" t="str">
        <f>IF(EV_Data4[[#This Row],[customer_rating]]&gt;=4.5,"Excellent",IF(EV_Data4[[#This Row],[customer_rating]]&gt;=3.5,"Good","Average"))</f>
        <v>Average</v>
      </c>
      <c r="AH62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22" spans="1:34" x14ac:dyDescent="0.3">
      <c r="A622" t="s">
        <v>46</v>
      </c>
      <c r="B622" t="s">
        <v>47</v>
      </c>
      <c r="C622">
        <v>2025</v>
      </c>
      <c r="D622" t="s">
        <v>33</v>
      </c>
      <c r="E622" s="3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27</v>
      </c>
      <c r="N622">
        <v>5</v>
      </c>
      <c r="O622" t="s">
        <v>58</v>
      </c>
      <c r="P622">
        <v>36.700000000000003</v>
      </c>
      <c r="Q622">
        <v>1557</v>
      </c>
      <c r="R622">
        <v>5</v>
      </c>
      <c r="S622">
        <v>2</v>
      </c>
      <c r="T622" t="s">
        <v>41</v>
      </c>
      <c r="U622" t="s">
        <v>30</v>
      </c>
      <c r="V622" s="3">
        <v>203592</v>
      </c>
      <c r="W622">
        <v>3.49</v>
      </c>
      <c r="X622">
        <v>5</v>
      </c>
      <c r="Y622" s="1">
        <f>EV_Data4[[#This Row],[range_miles]]/EV_Data4[[#This Row],[battery_capacity_kwh]]</f>
        <v>3.2418524871355063</v>
      </c>
      <c r="Z622" s="4">
        <f>EV_Data4[[#This Row],[price_usd]]/EV_Data4[[#This Row],[range_miles]]</f>
        <v>800.44015873015871</v>
      </c>
      <c r="AA622" s="2">
        <f>(EV_Data4[[#This Row],[customer_rating]]*EV_Data4[[#This Row],[safety_rating]]*1000)/EV_Data4[[#This Row],[price_usd]]</f>
        <v>0.11534658939965507</v>
      </c>
      <c r="AB622">
        <f>EV_Data4[[#This Row],[horsepower]]+EV_Data4[[#This Row],[torque_nm]]/EV_Data4[[#This Row],[acceleration_0_60_mph]]</f>
        <v>1131.3304721030042</v>
      </c>
      <c r="AC622" t="str">
        <f>IF(EV_Data4[[#This Row],[price_usd]]&gt;=80000,"Luxury",IF(EV_Data4[[#This Row],[price_usd]]&gt;=40000,"Mid-Range","Budget"))</f>
        <v>Luxury</v>
      </c>
      <c r="AD622" t="str">
        <f>IF(EV_Data4[[#This Row],[range_miles]]&gt;=350,"Long-Range",IF(EV_Data4[[#This Row],[range_miles]]&gt;=250,"Medium-Range","Short-Range"))</f>
        <v>Short-Range</v>
      </c>
      <c r="AE622" t="str">
        <f>IF(EV_Data4[[#This Row],[charging_speed_kw]]&gt;=250,"Ultra-Fast",IF(EV_Data4[[#This Row],[charging_speed_kw]]&gt;=150,"Fast-Charging","Standard-Charging"))</f>
        <v>Ultra-Fast</v>
      </c>
      <c r="AF622" t="str">
        <f>IF(EV_Data4[[#This Row],[acceleration_0_60_mph]]&lt;=3,"SportsPerformance",IF(EV_Data4[[#This Row],[acceleration_0_60_mph]]&lt;=5,"HighPerformance","Standard"))</f>
        <v>Standard</v>
      </c>
      <c r="AG622" t="str">
        <f>IF(EV_Data4[[#This Row],[customer_rating]]&gt;=4.5,"Excellent",IF(EV_Data4[[#This Row],[customer_rating]]&gt;=3.5,"Good","Average"))</f>
        <v>Average</v>
      </c>
      <c r="AH62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23" spans="1:34" x14ac:dyDescent="0.3">
      <c r="A623" t="s">
        <v>63</v>
      </c>
      <c r="B623" t="s">
        <v>107</v>
      </c>
      <c r="C623">
        <v>2024</v>
      </c>
      <c r="D623" t="s">
        <v>26</v>
      </c>
      <c r="E623" s="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27</v>
      </c>
      <c r="N623">
        <v>5</v>
      </c>
      <c r="O623" t="s">
        <v>50</v>
      </c>
      <c r="P623">
        <v>27.9</v>
      </c>
      <c r="Q623">
        <v>1638</v>
      </c>
      <c r="R623">
        <v>5</v>
      </c>
      <c r="S623">
        <v>0</v>
      </c>
      <c r="T623" t="s">
        <v>65</v>
      </c>
      <c r="U623" t="s">
        <v>37</v>
      </c>
      <c r="V623" s="3">
        <v>139526</v>
      </c>
      <c r="W623">
        <v>3.84</v>
      </c>
      <c r="X623">
        <v>5</v>
      </c>
      <c r="Y623" s="1">
        <f>EV_Data4[[#This Row],[range_miles]]/EV_Data4[[#This Row],[battery_capacity_kwh]]</f>
        <v>3.5702341137123748</v>
      </c>
      <c r="Z623" s="4">
        <f>EV_Data4[[#This Row],[price_usd]]/EV_Data4[[#This Row],[range_miles]]</f>
        <v>127.81707259953161</v>
      </c>
      <c r="AA623" s="2">
        <f>(EV_Data4[[#This Row],[customer_rating]]*EV_Data4[[#This Row],[safety_rating]]*1000)/EV_Data4[[#This Row],[price_usd]]</f>
        <v>0.35179080759626291</v>
      </c>
      <c r="AB623">
        <f>EV_Data4[[#This Row],[horsepower]]+EV_Data4[[#This Row],[torque_nm]]/EV_Data4[[#This Row],[acceleration_0_60_mph]]</f>
        <v>690.20185614849186</v>
      </c>
      <c r="AC623" t="str">
        <f>IF(EV_Data4[[#This Row],[price_usd]]&gt;=80000,"Luxury",IF(EV_Data4[[#This Row],[price_usd]]&gt;=40000,"Mid-Range","Budget"))</f>
        <v>Mid-Range</v>
      </c>
      <c r="AD623" t="str">
        <f>IF(EV_Data4[[#This Row],[range_miles]]&gt;=350,"Long-Range",IF(EV_Data4[[#This Row],[range_miles]]&gt;=250,"Medium-Range","Short-Range"))</f>
        <v>Long-Range</v>
      </c>
      <c r="AE623" t="str">
        <f>IF(EV_Data4[[#This Row],[charging_speed_kw]]&gt;=250,"Ultra-Fast",IF(EV_Data4[[#This Row],[charging_speed_kw]]&gt;=150,"Fast-Charging","Standard-Charging"))</f>
        <v>Fast-Charging</v>
      </c>
      <c r="AF623" t="str">
        <f>IF(EV_Data4[[#This Row],[acceleration_0_60_mph]]&lt;=3,"SportsPerformance",IF(EV_Data4[[#This Row],[acceleration_0_60_mph]]&lt;=5,"HighPerformance","Standard"))</f>
        <v>HighPerformance</v>
      </c>
      <c r="AG623" t="str">
        <f>IF(EV_Data4[[#This Row],[customer_rating]]&gt;=4.5,"Excellent",IF(EV_Data4[[#This Row],[customer_rating]]&gt;=3.5,"Good","Average"))</f>
        <v>Good</v>
      </c>
      <c r="AH62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24" spans="1:34" x14ac:dyDescent="0.3">
      <c r="A624" t="s">
        <v>24</v>
      </c>
      <c r="B624" t="s">
        <v>25</v>
      </c>
      <c r="C624">
        <v>2025</v>
      </c>
      <c r="D624" t="s">
        <v>61</v>
      </c>
      <c r="E624" s="3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27</v>
      </c>
      <c r="N624">
        <v>5</v>
      </c>
      <c r="O624" t="s">
        <v>58</v>
      </c>
      <c r="P624">
        <v>34.4</v>
      </c>
      <c r="Q624">
        <v>1500</v>
      </c>
      <c r="R624">
        <v>5</v>
      </c>
      <c r="S624">
        <v>1</v>
      </c>
      <c r="T624" t="s">
        <v>29</v>
      </c>
      <c r="U624" t="s">
        <v>37</v>
      </c>
      <c r="V624" s="3">
        <v>220284</v>
      </c>
      <c r="W624">
        <v>3.29</v>
      </c>
      <c r="X624">
        <v>4</v>
      </c>
      <c r="Y624" s="1">
        <f>EV_Data4[[#This Row],[range_miles]]/EV_Data4[[#This Row],[battery_capacity_kwh]]</f>
        <v>3.7196261682242993</v>
      </c>
      <c r="Z624" s="4">
        <f>EV_Data4[[#This Row],[price_usd]]/EV_Data4[[#This Row],[range_miles]]</f>
        <v>277.62547738693468</v>
      </c>
      <c r="AA624" s="2">
        <f>(EV_Data4[[#This Row],[customer_rating]]*EV_Data4[[#This Row],[safety_rating]]*1000)/EV_Data4[[#This Row],[price_usd]]</f>
        <v>0.2977511911405174</v>
      </c>
      <c r="AB624">
        <f>EV_Data4[[#This Row],[horsepower]]+EV_Data4[[#This Row],[torque_nm]]/EV_Data4[[#This Row],[acceleration_0_60_mph]]</f>
        <v>530.5532286212914</v>
      </c>
      <c r="AC624" t="str">
        <f>IF(EV_Data4[[#This Row],[price_usd]]&gt;=80000,"Luxury",IF(EV_Data4[[#This Row],[price_usd]]&gt;=40000,"Mid-Range","Budget"))</f>
        <v>Mid-Range</v>
      </c>
      <c r="AD624" t="str">
        <f>IF(EV_Data4[[#This Row],[range_miles]]&gt;=350,"Long-Range",IF(EV_Data4[[#This Row],[range_miles]]&gt;=250,"Medium-Range","Short-Range"))</f>
        <v>Short-Range</v>
      </c>
      <c r="AE624" t="str">
        <f>IF(EV_Data4[[#This Row],[charging_speed_kw]]&gt;=250,"Ultra-Fast",IF(EV_Data4[[#This Row],[charging_speed_kw]]&gt;=150,"Fast-Charging","Standard-Charging"))</f>
        <v>Standard-Charging</v>
      </c>
      <c r="AF624" t="str">
        <f>IF(EV_Data4[[#This Row],[acceleration_0_60_mph]]&lt;=3,"SportsPerformance",IF(EV_Data4[[#This Row],[acceleration_0_60_mph]]&lt;=5,"HighPerformance","Standard"))</f>
        <v>Standard</v>
      </c>
      <c r="AG624" t="str">
        <f>IF(EV_Data4[[#This Row],[customer_rating]]&gt;=4.5,"Excellent",IF(EV_Data4[[#This Row],[customer_rating]]&gt;=3.5,"Good","Average"))</f>
        <v>Average</v>
      </c>
      <c r="AH62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25" spans="1:34" x14ac:dyDescent="0.3">
      <c r="A625" t="s">
        <v>68</v>
      </c>
      <c r="B625" t="s">
        <v>79</v>
      </c>
      <c r="C625">
        <v>2025</v>
      </c>
      <c r="D625" t="s">
        <v>56</v>
      </c>
      <c r="E625" s="3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48</v>
      </c>
      <c r="N625">
        <v>5</v>
      </c>
      <c r="O625" t="s">
        <v>35</v>
      </c>
      <c r="P625">
        <v>68.599999999999994</v>
      </c>
      <c r="Q625">
        <v>1992</v>
      </c>
      <c r="R625">
        <v>3</v>
      </c>
      <c r="S625">
        <v>0</v>
      </c>
      <c r="T625" t="s">
        <v>45</v>
      </c>
      <c r="U625" t="s">
        <v>37</v>
      </c>
      <c r="V625" s="3">
        <v>75225</v>
      </c>
      <c r="W625">
        <v>3.06</v>
      </c>
      <c r="X625">
        <v>5</v>
      </c>
      <c r="Y625" s="1">
        <f>EV_Data4[[#This Row],[range_miles]]/EV_Data4[[#This Row],[battery_capacity_kwh]]</f>
        <v>2.9702970297029703</v>
      </c>
      <c r="Z625" s="4">
        <f>EV_Data4[[#This Row],[price_usd]]/EV_Data4[[#This Row],[range_miles]]</f>
        <v>252.81613333333331</v>
      </c>
      <c r="AA625" s="2">
        <f>(EV_Data4[[#This Row],[customer_rating]]*EV_Data4[[#This Row],[safety_rating]]*1000)/EV_Data4[[#This Row],[price_usd]]</f>
        <v>0.24207315883321792</v>
      </c>
      <c r="AB625">
        <f>EV_Data4[[#This Row],[horsepower]]+EV_Data4[[#This Row],[torque_nm]]/EV_Data4[[#This Row],[acceleration_0_60_mph]]</f>
        <v>375.7861635220126</v>
      </c>
      <c r="AC625" t="str">
        <f>IF(EV_Data4[[#This Row],[price_usd]]&gt;=80000,"Luxury",IF(EV_Data4[[#This Row],[price_usd]]&gt;=40000,"Mid-Range","Budget"))</f>
        <v>Budget</v>
      </c>
      <c r="AD625" t="str">
        <f>IF(EV_Data4[[#This Row],[range_miles]]&gt;=350,"Long-Range",IF(EV_Data4[[#This Row],[range_miles]]&gt;=250,"Medium-Range","Short-Range"))</f>
        <v>Short-Range</v>
      </c>
      <c r="AE625" t="str">
        <f>IF(EV_Data4[[#This Row],[charging_speed_kw]]&gt;=250,"Ultra-Fast",IF(EV_Data4[[#This Row],[charging_speed_kw]]&gt;=150,"Fast-Charging","Standard-Charging"))</f>
        <v>Standard-Charging</v>
      </c>
      <c r="AF625" t="str">
        <f>IF(EV_Data4[[#This Row],[acceleration_0_60_mph]]&lt;=3,"SportsPerformance",IF(EV_Data4[[#This Row],[acceleration_0_60_mph]]&lt;=5,"HighPerformance","Standard"))</f>
        <v>Standard</v>
      </c>
      <c r="AG625" t="str">
        <f>IF(EV_Data4[[#This Row],[customer_rating]]&gt;=4.5,"Excellent",IF(EV_Data4[[#This Row],[customer_rating]]&gt;=3.5,"Good","Average"))</f>
        <v>Average</v>
      </c>
      <c r="AH62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26" spans="1:34" x14ac:dyDescent="0.3">
      <c r="A626" t="s">
        <v>42</v>
      </c>
      <c r="B626" t="s">
        <v>80</v>
      </c>
      <c r="C626">
        <v>2023</v>
      </c>
      <c r="D626" t="s">
        <v>56</v>
      </c>
      <c r="E626" s="3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34</v>
      </c>
      <c r="N626">
        <v>5</v>
      </c>
      <c r="O626" t="s">
        <v>35</v>
      </c>
      <c r="P626">
        <v>56.5</v>
      </c>
      <c r="Q626">
        <v>1815</v>
      </c>
      <c r="R626">
        <v>4</v>
      </c>
      <c r="S626">
        <v>1</v>
      </c>
      <c r="T626" t="s">
        <v>45</v>
      </c>
      <c r="U626" t="s">
        <v>33</v>
      </c>
      <c r="V626" s="3">
        <v>115671</v>
      </c>
      <c r="W626">
        <v>3.43</v>
      </c>
      <c r="X626">
        <v>4</v>
      </c>
      <c r="Y626" s="1">
        <f>EV_Data4[[#This Row],[range_miles]]/EV_Data4[[#This Row],[battery_capacity_kwh]]</f>
        <v>2.9418742586002375</v>
      </c>
      <c r="Z626" s="4">
        <f>EV_Data4[[#This Row],[price_usd]]/EV_Data4[[#This Row],[range_miles]]</f>
        <v>264.25072580645161</v>
      </c>
      <c r="AA626" s="2">
        <f>(EV_Data4[[#This Row],[customer_rating]]*EV_Data4[[#This Row],[safety_rating]]*1000)/EV_Data4[[#This Row],[price_usd]]</f>
        <v>0.20935639997326586</v>
      </c>
      <c r="AB626">
        <f>EV_Data4[[#This Row],[horsepower]]+EV_Data4[[#This Row],[torque_nm]]/EV_Data4[[#This Row],[acceleration_0_60_mph]]</f>
        <v>835.38095238095241</v>
      </c>
      <c r="AC626" t="str">
        <f>IF(EV_Data4[[#This Row],[price_usd]]&gt;=80000,"Luxury",IF(EV_Data4[[#This Row],[price_usd]]&gt;=40000,"Mid-Range","Budget"))</f>
        <v>Mid-Range</v>
      </c>
      <c r="AD626" t="str">
        <f>IF(EV_Data4[[#This Row],[range_miles]]&gt;=350,"Long-Range",IF(EV_Data4[[#This Row],[range_miles]]&gt;=250,"Medium-Range","Short-Range"))</f>
        <v>Short-Range</v>
      </c>
      <c r="AE626" t="str">
        <f>IF(EV_Data4[[#This Row],[charging_speed_kw]]&gt;=250,"Ultra-Fast",IF(EV_Data4[[#This Row],[charging_speed_kw]]&gt;=150,"Fast-Charging","Standard-Charging"))</f>
        <v>Standard-Charging</v>
      </c>
      <c r="AF626" t="str">
        <f>IF(EV_Data4[[#This Row],[acceleration_0_60_mph]]&lt;=3,"SportsPerformance",IF(EV_Data4[[#This Row],[acceleration_0_60_mph]]&lt;=5,"HighPerformance","Standard"))</f>
        <v>Standard</v>
      </c>
      <c r="AG626" t="str">
        <f>IF(EV_Data4[[#This Row],[customer_rating]]&gt;=4.5,"Excellent",IF(EV_Data4[[#This Row],[customer_rating]]&gt;=3.5,"Good","Average"))</f>
        <v>Average</v>
      </c>
      <c r="AH62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27" spans="1:34" x14ac:dyDescent="0.3">
      <c r="A627" t="s">
        <v>24</v>
      </c>
      <c r="B627" t="s">
        <v>85</v>
      </c>
      <c r="C627">
        <v>2026</v>
      </c>
      <c r="D627" t="s">
        <v>61</v>
      </c>
      <c r="E627" s="3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48</v>
      </c>
      <c r="N627">
        <v>7</v>
      </c>
      <c r="O627" t="s">
        <v>40</v>
      </c>
      <c r="P627">
        <v>67.099999999999994</v>
      </c>
      <c r="Q627">
        <v>1542</v>
      </c>
      <c r="R627">
        <v>5</v>
      </c>
      <c r="S627">
        <v>1</v>
      </c>
      <c r="T627" t="s">
        <v>29</v>
      </c>
      <c r="U627" t="s">
        <v>37</v>
      </c>
      <c r="V627" s="3">
        <v>299992</v>
      </c>
      <c r="W627">
        <v>3.38</v>
      </c>
      <c r="X627">
        <v>4</v>
      </c>
      <c r="Y627" s="1">
        <f>EV_Data4[[#This Row],[range_miles]]/EV_Data4[[#This Row],[battery_capacity_kwh]]</f>
        <v>4.166666666666667</v>
      </c>
      <c r="Z627" s="4">
        <f>EV_Data4[[#This Row],[price_usd]]/EV_Data4[[#This Row],[range_miles]]</f>
        <v>210.67211428571429</v>
      </c>
      <c r="AA627" s="2">
        <f>(EV_Data4[[#This Row],[customer_rating]]*EV_Data4[[#This Row],[safety_rating]]*1000)/EV_Data4[[#This Row],[price_usd]]</f>
        <v>0.45839682626651784</v>
      </c>
      <c r="AB627">
        <f>EV_Data4[[#This Row],[horsepower]]+EV_Data4[[#This Row],[torque_nm]]/EV_Data4[[#This Row],[acceleration_0_60_mph]]</f>
        <v>292.67052023121386</v>
      </c>
      <c r="AC627" t="str">
        <f>IF(EV_Data4[[#This Row],[price_usd]]&gt;=80000,"Luxury",IF(EV_Data4[[#This Row],[price_usd]]&gt;=40000,"Mid-Range","Budget"))</f>
        <v>Budget</v>
      </c>
      <c r="AD627" t="str">
        <f>IF(EV_Data4[[#This Row],[range_miles]]&gt;=350,"Long-Range",IF(EV_Data4[[#This Row],[range_miles]]&gt;=250,"Medium-Range","Short-Range"))</f>
        <v>Short-Range</v>
      </c>
      <c r="AE627" t="str">
        <f>IF(EV_Data4[[#This Row],[charging_speed_kw]]&gt;=250,"Ultra-Fast",IF(EV_Data4[[#This Row],[charging_speed_kw]]&gt;=150,"Fast-Charging","Standard-Charging"))</f>
        <v>Standard-Charging</v>
      </c>
      <c r="AF627" t="str">
        <f>IF(EV_Data4[[#This Row],[acceleration_0_60_mph]]&lt;=3,"SportsPerformance",IF(EV_Data4[[#This Row],[acceleration_0_60_mph]]&lt;=5,"HighPerformance","Standard"))</f>
        <v>Standard</v>
      </c>
      <c r="AG627" t="str">
        <f>IF(EV_Data4[[#This Row],[customer_rating]]&gt;=4.5,"Excellent",IF(EV_Data4[[#This Row],[customer_rating]]&gt;=3.5,"Good","Average"))</f>
        <v>Average</v>
      </c>
      <c r="AH62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28" spans="1:34" x14ac:dyDescent="0.3">
      <c r="A628" t="s">
        <v>68</v>
      </c>
      <c r="B628" t="s">
        <v>79</v>
      </c>
      <c r="C628">
        <v>2023</v>
      </c>
      <c r="D628" t="s">
        <v>61</v>
      </c>
      <c r="E628" s="3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48</v>
      </c>
      <c r="N628">
        <v>7</v>
      </c>
      <c r="O628" t="s">
        <v>40</v>
      </c>
      <c r="P628">
        <v>77.2</v>
      </c>
      <c r="Q628">
        <v>1709</v>
      </c>
      <c r="R628">
        <v>4</v>
      </c>
      <c r="S628">
        <v>0</v>
      </c>
      <c r="T628" t="s">
        <v>45</v>
      </c>
      <c r="U628" t="s">
        <v>33</v>
      </c>
      <c r="V628" s="3">
        <v>139935</v>
      </c>
      <c r="W628">
        <v>3.2</v>
      </c>
      <c r="X628">
        <v>3</v>
      </c>
      <c r="Y628" s="1">
        <f>EV_Data4[[#This Row],[range_miles]]/EV_Data4[[#This Row],[battery_capacity_kwh]]</f>
        <v>3.0864197530864197</v>
      </c>
      <c r="Z628" s="4">
        <f>EV_Data4[[#This Row],[price_usd]]/EV_Data4[[#This Row],[range_miles]]</f>
        <v>294.75404444444445</v>
      </c>
      <c r="AA628" s="2">
        <f>(EV_Data4[[#This Row],[customer_rating]]*EV_Data4[[#This Row],[safety_rating]]*1000)/EV_Data4[[#This Row],[price_usd]]</f>
        <v>0.19300460828659252</v>
      </c>
      <c r="AB628">
        <f>EV_Data4[[#This Row],[horsepower]]+EV_Data4[[#This Row],[torque_nm]]/EV_Data4[[#This Row],[acceleration_0_60_mph]]</f>
        <v>846.86500655307998</v>
      </c>
      <c r="AC628" t="str">
        <f>IF(EV_Data4[[#This Row],[price_usd]]&gt;=80000,"Luxury",IF(EV_Data4[[#This Row],[price_usd]]&gt;=40000,"Mid-Range","Budget"))</f>
        <v>Mid-Range</v>
      </c>
      <c r="AD628" t="str">
        <f>IF(EV_Data4[[#This Row],[range_miles]]&gt;=350,"Long-Range",IF(EV_Data4[[#This Row],[range_miles]]&gt;=250,"Medium-Range","Short-Range"))</f>
        <v>Short-Range</v>
      </c>
      <c r="AE628" t="str">
        <f>IF(EV_Data4[[#This Row],[charging_speed_kw]]&gt;=250,"Ultra-Fast",IF(EV_Data4[[#This Row],[charging_speed_kw]]&gt;=150,"Fast-Charging","Standard-Charging"))</f>
        <v>Standard-Charging</v>
      </c>
      <c r="AF628" t="str">
        <f>IF(EV_Data4[[#This Row],[acceleration_0_60_mph]]&lt;=3,"SportsPerformance",IF(EV_Data4[[#This Row],[acceleration_0_60_mph]]&lt;=5,"HighPerformance","Standard"))</f>
        <v>Standard</v>
      </c>
      <c r="AG628" t="str">
        <f>IF(EV_Data4[[#This Row],[customer_rating]]&gt;=4.5,"Excellent",IF(EV_Data4[[#This Row],[customer_rating]]&gt;=3.5,"Good","Average"))</f>
        <v>Average</v>
      </c>
      <c r="AH62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29" spans="1:34" x14ac:dyDescent="0.3">
      <c r="A629" t="s">
        <v>38</v>
      </c>
      <c r="B629" t="s">
        <v>55</v>
      </c>
      <c r="C629">
        <v>2026</v>
      </c>
      <c r="D629" t="s">
        <v>61</v>
      </c>
      <c r="E629" s="3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48</v>
      </c>
      <c r="N629">
        <v>7</v>
      </c>
      <c r="O629" t="s">
        <v>28</v>
      </c>
      <c r="P629">
        <v>71.900000000000006</v>
      </c>
      <c r="Q629">
        <v>2378</v>
      </c>
      <c r="R629">
        <v>5</v>
      </c>
      <c r="S629">
        <v>0</v>
      </c>
      <c r="T629" t="s">
        <v>41</v>
      </c>
      <c r="U629" t="s">
        <v>37</v>
      </c>
      <c r="V629" s="3">
        <v>11602</v>
      </c>
      <c r="W629">
        <v>3.26</v>
      </c>
      <c r="X629">
        <v>4</v>
      </c>
      <c r="Y629" s="1">
        <f>EV_Data4[[#This Row],[range_miles]]/EV_Data4[[#This Row],[battery_capacity_kwh]]</f>
        <v>3.9346811819595646</v>
      </c>
      <c r="Z629" s="4">
        <f>EV_Data4[[#This Row],[price_usd]]/EV_Data4[[#This Row],[range_miles]]</f>
        <v>188.73260869565217</v>
      </c>
      <c r="AA629" s="2">
        <f>(EV_Data4[[#This Row],[customer_rating]]*EV_Data4[[#This Row],[safety_rating]]*1000)/EV_Data4[[#This Row],[price_usd]]</f>
        <v>0.3413659034102034</v>
      </c>
      <c r="AB629">
        <f>EV_Data4[[#This Row],[horsepower]]+EV_Data4[[#This Row],[torque_nm]]/EV_Data4[[#This Row],[acceleration_0_60_mph]]</f>
        <v>602.2405498281787</v>
      </c>
      <c r="AC629" t="str">
        <f>IF(EV_Data4[[#This Row],[price_usd]]&gt;=80000,"Luxury",IF(EV_Data4[[#This Row],[price_usd]]&gt;=40000,"Mid-Range","Budget"))</f>
        <v>Mid-Range</v>
      </c>
      <c r="AD629" t="str">
        <f>IF(EV_Data4[[#This Row],[range_miles]]&gt;=350,"Long-Range",IF(EV_Data4[[#This Row],[range_miles]]&gt;=250,"Medium-Range","Short-Range"))</f>
        <v>Medium-Range</v>
      </c>
      <c r="AE629" t="str">
        <f>IF(EV_Data4[[#This Row],[charging_speed_kw]]&gt;=250,"Ultra-Fast",IF(EV_Data4[[#This Row],[charging_speed_kw]]&gt;=150,"Fast-Charging","Standard-Charging"))</f>
        <v>Standard-Charging</v>
      </c>
      <c r="AF629" t="str">
        <f>IF(EV_Data4[[#This Row],[acceleration_0_60_mph]]&lt;=3,"SportsPerformance",IF(EV_Data4[[#This Row],[acceleration_0_60_mph]]&lt;=5,"HighPerformance","Standard"))</f>
        <v>Standard</v>
      </c>
      <c r="AG629" t="str">
        <f>IF(EV_Data4[[#This Row],[customer_rating]]&gt;=4.5,"Excellent",IF(EV_Data4[[#This Row],[customer_rating]]&gt;=3.5,"Good","Average"))</f>
        <v>Average</v>
      </c>
      <c r="AH62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30" spans="1:34" x14ac:dyDescent="0.3">
      <c r="A630" t="s">
        <v>46</v>
      </c>
      <c r="B630" t="s">
        <v>57</v>
      </c>
      <c r="C630">
        <v>2025</v>
      </c>
      <c r="D630" t="s">
        <v>61</v>
      </c>
      <c r="E630" s="3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34</v>
      </c>
      <c r="N630">
        <v>7</v>
      </c>
      <c r="O630" t="s">
        <v>58</v>
      </c>
      <c r="P630">
        <v>37.799999999999997</v>
      </c>
      <c r="Q630">
        <v>1513</v>
      </c>
      <c r="R630">
        <v>5</v>
      </c>
      <c r="S630">
        <v>3</v>
      </c>
      <c r="T630" t="s">
        <v>41</v>
      </c>
      <c r="U630" t="s">
        <v>33</v>
      </c>
      <c r="V630" s="3">
        <v>148099</v>
      </c>
      <c r="W630">
        <v>3.93</v>
      </c>
      <c r="X630">
        <v>6</v>
      </c>
      <c r="Y630" s="1">
        <f>EV_Data4[[#This Row],[range_miles]]/EV_Data4[[#This Row],[battery_capacity_kwh]]</f>
        <v>3.278688524590164</v>
      </c>
      <c r="Z630" s="4">
        <f>EV_Data4[[#This Row],[price_usd]]/EV_Data4[[#This Row],[range_miles]]</f>
        <v>289.27888461538458</v>
      </c>
      <c r="AA630" s="2">
        <f>(EV_Data4[[#This Row],[customer_rating]]*EV_Data4[[#This Row],[safety_rating]]*1000)/EV_Data4[[#This Row],[price_usd]]</f>
        <v>0.26125972926578311</v>
      </c>
      <c r="AB630">
        <f>EV_Data4[[#This Row],[horsepower]]+EV_Data4[[#This Row],[torque_nm]]/EV_Data4[[#This Row],[acceleration_0_60_mph]]</f>
        <v>605.30829420970269</v>
      </c>
      <c r="AC630" t="str">
        <f>IF(EV_Data4[[#This Row],[price_usd]]&gt;=80000,"Luxury",IF(EV_Data4[[#This Row],[price_usd]]&gt;=40000,"Mid-Range","Budget"))</f>
        <v>Mid-Range</v>
      </c>
      <c r="AD630" t="str">
        <f>IF(EV_Data4[[#This Row],[range_miles]]&gt;=350,"Long-Range",IF(EV_Data4[[#This Row],[range_miles]]&gt;=250,"Medium-Range","Short-Range"))</f>
        <v>Medium-Range</v>
      </c>
      <c r="AE630" t="str">
        <f>IF(EV_Data4[[#This Row],[charging_speed_kw]]&gt;=250,"Ultra-Fast",IF(EV_Data4[[#This Row],[charging_speed_kw]]&gt;=150,"Fast-Charging","Standard-Charging"))</f>
        <v>Ultra-Fast</v>
      </c>
      <c r="AF630" t="str">
        <f>IF(EV_Data4[[#This Row],[acceleration_0_60_mph]]&lt;=3,"SportsPerformance",IF(EV_Data4[[#This Row],[acceleration_0_60_mph]]&lt;=5,"HighPerformance","Standard"))</f>
        <v>Standard</v>
      </c>
      <c r="AG630" t="str">
        <f>IF(EV_Data4[[#This Row],[customer_rating]]&gt;=4.5,"Excellent",IF(EV_Data4[[#This Row],[customer_rating]]&gt;=3.5,"Good","Average"))</f>
        <v>Good</v>
      </c>
      <c r="AH630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631" spans="1:34" x14ac:dyDescent="0.3">
      <c r="A631" t="s">
        <v>63</v>
      </c>
      <c r="B631" t="s">
        <v>67</v>
      </c>
      <c r="C631">
        <v>2025</v>
      </c>
      <c r="D631" t="s">
        <v>44</v>
      </c>
      <c r="E631" s="3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27</v>
      </c>
      <c r="N631">
        <v>5</v>
      </c>
      <c r="O631" t="s">
        <v>28</v>
      </c>
      <c r="P631">
        <v>68.2</v>
      </c>
      <c r="Q631">
        <v>2527</v>
      </c>
      <c r="R631">
        <v>3</v>
      </c>
      <c r="S631">
        <v>1</v>
      </c>
      <c r="T631" t="s">
        <v>65</v>
      </c>
      <c r="U631" t="s">
        <v>33</v>
      </c>
      <c r="V631" s="3">
        <v>204628</v>
      </c>
      <c r="W631">
        <v>3.58</v>
      </c>
      <c r="X631">
        <v>3</v>
      </c>
      <c r="Y631" s="1">
        <f>EV_Data4[[#This Row],[range_miles]]/EV_Data4[[#This Row],[battery_capacity_kwh]]</f>
        <v>3.4513274336283186</v>
      </c>
      <c r="Z631" s="4">
        <f>EV_Data4[[#This Row],[price_usd]]/EV_Data4[[#This Row],[range_miles]]</f>
        <v>248.31726495726497</v>
      </c>
      <c r="AA631" s="2">
        <f>(EV_Data4[[#This Row],[customer_rating]]*EV_Data4[[#This Row],[safety_rating]]*1000)/EV_Data4[[#This Row],[price_usd]]</f>
        <v>0.12322256611338128</v>
      </c>
      <c r="AB631">
        <f>EV_Data4[[#This Row],[horsepower]]+EV_Data4[[#This Row],[torque_nm]]/EV_Data4[[#This Row],[acceleration_0_60_mph]]</f>
        <v>1203.471264367816</v>
      </c>
      <c r="AC631" t="str">
        <f>IF(EV_Data4[[#This Row],[price_usd]]&gt;=80000,"Luxury",IF(EV_Data4[[#This Row],[price_usd]]&gt;=40000,"Mid-Range","Budget"))</f>
        <v>Luxury</v>
      </c>
      <c r="AD631" t="str">
        <f>IF(EV_Data4[[#This Row],[range_miles]]&gt;=350,"Long-Range",IF(EV_Data4[[#This Row],[range_miles]]&gt;=250,"Medium-Range","Short-Range"))</f>
        <v>Long-Range</v>
      </c>
      <c r="AE631" t="str">
        <f>IF(EV_Data4[[#This Row],[charging_speed_kw]]&gt;=250,"Ultra-Fast",IF(EV_Data4[[#This Row],[charging_speed_kw]]&gt;=150,"Fast-Charging","Standard-Charging"))</f>
        <v>Standard-Charging</v>
      </c>
      <c r="AF631" t="str">
        <f>IF(EV_Data4[[#This Row],[acceleration_0_60_mph]]&lt;=3,"SportsPerformance",IF(EV_Data4[[#This Row],[acceleration_0_60_mph]]&lt;=5,"HighPerformance","Standard"))</f>
        <v>HighPerformance</v>
      </c>
      <c r="AG631" t="str">
        <f>IF(EV_Data4[[#This Row],[customer_rating]]&gt;=4.5,"Excellent",IF(EV_Data4[[#This Row],[customer_rating]]&gt;=3.5,"Good","Average"))</f>
        <v>Good</v>
      </c>
      <c r="AH63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32" spans="1:34" x14ac:dyDescent="0.3">
      <c r="A632" t="s">
        <v>38</v>
      </c>
      <c r="B632" t="s">
        <v>101</v>
      </c>
      <c r="C632">
        <v>2021</v>
      </c>
      <c r="D632" t="s">
        <v>61</v>
      </c>
      <c r="E632" s="3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48</v>
      </c>
      <c r="N632">
        <v>5</v>
      </c>
      <c r="O632" t="s">
        <v>40</v>
      </c>
      <c r="P632">
        <v>64.7</v>
      </c>
      <c r="Q632">
        <v>1615</v>
      </c>
      <c r="R632">
        <v>5</v>
      </c>
      <c r="S632">
        <v>0</v>
      </c>
      <c r="T632" t="s">
        <v>41</v>
      </c>
      <c r="U632" t="s">
        <v>37</v>
      </c>
      <c r="V632" s="3">
        <v>22786</v>
      </c>
      <c r="W632">
        <v>3.51</v>
      </c>
      <c r="X632">
        <v>4</v>
      </c>
      <c r="Y632" s="1">
        <f>EV_Data4[[#This Row],[range_miles]]/EV_Data4[[#This Row],[battery_capacity_kwh]]</f>
        <v>3.5204081632653064</v>
      </c>
      <c r="Z632" s="4">
        <f>EV_Data4[[#This Row],[price_usd]]/EV_Data4[[#This Row],[range_miles]]</f>
        <v>213.44579710144927</v>
      </c>
      <c r="AA632" s="2">
        <f>(EV_Data4[[#This Row],[customer_rating]]*EV_Data4[[#This Row],[safety_rating]]*1000)/EV_Data4[[#This Row],[price_usd]]</f>
        <v>0.39720907999587168</v>
      </c>
      <c r="AB632">
        <f>EV_Data4[[#This Row],[horsepower]]+EV_Data4[[#This Row],[torque_nm]]/EV_Data4[[#This Row],[acceleration_0_60_mph]]</f>
        <v>533.70363288718931</v>
      </c>
      <c r="AC632" t="str">
        <f>IF(EV_Data4[[#This Row],[price_usd]]&gt;=80000,"Luxury",IF(EV_Data4[[#This Row],[price_usd]]&gt;=40000,"Mid-Range","Budget"))</f>
        <v>Mid-Range</v>
      </c>
      <c r="AD632" t="str">
        <f>IF(EV_Data4[[#This Row],[range_miles]]&gt;=350,"Long-Range",IF(EV_Data4[[#This Row],[range_miles]]&gt;=250,"Medium-Range","Short-Range"))</f>
        <v>Short-Range</v>
      </c>
      <c r="AE632" t="str">
        <f>IF(EV_Data4[[#This Row],[charging_speed_kw]]&gt;=250,"Ultra-Fast",IF(EV_Data4[[#This Row],[charging_speed_kw]]&gt;=150,"Fast-Charging","Standard-Charging"))</f>
        <v>Standard-Charging</v>
      </c>
      <c r="AF632" t="str">
        <f>IF(EV_Data4[[#This Row],[acceleration_0_60_mph]]&lt;=3,"SportsPerformance",IF(EV_Data4[[#This Row],[acceleration_0_60_mph]]&lt;=5,"HighPerformance","Standard"))</f>
        <v>Standard</v>
      </c>
      <c r="AG632" t="str">
        <f>IF(EV_Data4[[#This Row],[customer_rating]]&gt;=4.5,"Excellent",IF(EV_Data4[[#This Row],[customer_rating]]&gt;=3.5,"Good","Average"))</f>
        <v>Good</v>
      </c>
      <c r="AH63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33" spans="1:34" x14ac:dyDescent="0.3">
      <c r="A633" t="s">
        <v>86</v>
      </c>
      <c r="B633" t="s">
        <v>108</v>
      </c>
      <c r="C633">
        <v>2023</v>
      </c>
      <c r="D633" t="s">
        <v>61</v>
      </c>
      <c r="E633" s="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27</v>
      </c>
      <c r="N633">
        <v>5</v>
      </c>
      <c r="O633" t="s">
        <v>40</v>
      </c>
      <c r="P633">
        <v>72.2</v>
      </c>
      <c r="Q633">
        <v>1632</v>
      </c>
      <c r="R633">
        <v>4</v>
      </c>
      <c r="S633">
        <v>1</v>
      </c>
      <c r="T633" t="s">
        <v>29</v>
      </c>
      <c r="U633" t="s">
        <v>37</v>
      </c>
      <c r="V633" s="3">
        <v>25175</v>
      </c>
      <c r="W633">
        <v>3.27</v>
      </c>
      <c r="X633">
        <v>6</v>
      </c>
      <c r="Y633" s="1">
        <f>EV_Data4[[#This Row],[range_miles]]/EV_Data4[[#This Row],[battery_capacity_kwh]]</f>
        <v>3.3629893238434163</v>
      </c>
      <c r="Z633" s="4">
        <f>EV_Data4[[#This Row],[price_usd]]/EV_Data4[[#This Row],[range_miles]]</f>
        <v>334.99391534391532</v>
      </c>
      <c r="AA633" s="2">
        <f>(EV_Data4[[#This Row],[customer_rating]]*EV_Data4[[#This Row],[safety_rating]]*1000)/EV_Data4[[#This Row],[price_usd]]</f>
        <v>0.20658986935717857</v>
      </c>
      <c r="AB633">
        <f>EV_Data4[[#This Row],[horsepower]]+EV_Data4[[#This Row],[torque_nm]]/EV_Data4[[#This Row],[acceleration_0_60_mph]]</f>
        <v>339.87779433681072</v>
      </c>
      <c r="AC633" t="str">
        <f>IF(EV_Data4[[#This Row],[price_usd]]&gt;=80000,"Luxury",IF(EV_Data4[[#This Row],[price_usd]]&gt;=40000,"Mid-Range","Budget"))</f>
        <v>Mid-Range</v>
      </c>
      <c r="AD633" t="str">
        <f>IF(EV_Data4[[#This Row],[range_miles]]&gt;=350,"Long-Range",IF(EV_Data4[[#This Row],[range_miles]]&gt;=250,"Medium-Range","Short-Range"))</f>
        <v>Short-Range</v>
      </c>
      <c r="AE633" t="str">
        <f>IF(EV_Data4[[#This Row],[charging_speed_kw]]&gt;=250,"Ultra-Fast",IF(EV_Data4[[#This Row],[charging_speed_kw]]&gt;=150,"Fast-Charging","Standard-Charging"))</f>
        <v>Standard-Charging</v>
      </c>
      <c r="AF633" t="str">
        <f>IF(EV_Data4[[#This Row],[acceleration_0_60_mph]]&lt;=3,"SportsPerformance",IF(EV_Data4[[#This Row],[acceleration_0_60_mph]]&lt;=5,"HighPerformance","Standard"))</f>
        <v>Standard</v>
      </c>
      <c r="AG633" t="str">
        <f>IF(EV_Data4[[#This Row],[customer_rating]]&gt;=4.5,"Excellent",IF(EV_Data4[[#This Row],[customer_rating]]&gt;=3.5,"Good","Average"))</f>
        <v>Average</v>
      </c>
      <c r="AH63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34" spans="1:34" x14ac:dyDescent="0.3">
      <c r="A634" t="s">
        <v>68</v>
      </c>
      <c r="B634" t="s">
        <v>69</v>
      </c>
      <c r="C634">
        <v>2024</v>
      </c>
      <c r="D634" t="s">
        <v>44</v>
      </c>
      <c r="E634" s="3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34</v>
      </c>
      <c r="N634">
        <v>7</v>
      </c>
      <c r="O634" t="s">
        <v>40</v>
      </c>
      <c r="P634">
        <v>72.599999999999994</v>
      </c>
      <c r="Q634">
        <v>1741</v>
      </c>
      <c r="R634">
        <v>4</v>
      </c>
      <c r="S634">
        <v>0</v>
      </c>
      <c r="T634" t="s">
        <v>45</v>
      </c>
      <c r="U634" t="s">
        <v>33</v>
      </c>
      <c r="V634" s="3">
        <v>59668</v>
      </c>
      <c r="W634">
        <v>3.91</v>
      </c>
      <c r="X634">
        <v>3</v>
      </c>
      <c r="Y634" s="1">
        <f>EV_Data4[[#This Row],[range_miles]]/EV_Data4[[#This Row],[battery_capacity_kwh]]</f>
        <v>3.6815920398009947</v>
      </c>
      <c r="Z634" s="4">
        <f>EV_Data4[[#This Row],[price_usd]]/EV_Data4[[#This Row],[range_miles]]</f>
        <v>307.3472972972973</v>
      </c>
      <c r="AA634" s="2">
        <f>(EV_Data4[[#This Row],[customer_rating]]*EV_Data4[[#This Row],[safety_rating]]*1000)/EV_Data4[[#This Row],[price_usd]]</f>
        <v>0.17191573930363133</v>
      </c>
      <c r="AB634">
        <f>EV_Data4[[#This Row],[horsepower]]+EV_Data4[[#This Row],[torque_nm]]/EV_Data4[[#This Row],[acceleration_0_60_mph]]</f>
        <v>1196.3829787234042</v>
      </c>
      <c r="AC634" t="str">
        <f>IF(EV_Data4[[#This Row],[price_usd]]&gt;=80000,"Luxury",IF(EV_Data4[[#This Row],[price_usd]]&gt;=40000,"Mid-Range","Budget"))</f>
        <v>Luxury</v>
      </c>
      <c r="AD634" t="str">
        <f>IF(EV_Data4[[#This Row],[range_miles]]&gt;=350,"Long-Range",IF(EV_Data4[[#This Row],[range_miles]]&gt;=250,"Medium-Range","Short-Range"))</f>
        <v>Medium-Range</v>
      </c>
      <c r="AE634" t="str">
        <f>IF(EV_Data4[[#This Row],[charging_speed_kw]]&gt;=250,"Ultra-Fast",IF(EV_Data4[[#This Row],[charging_speed_kw]]&gt;=150,"Fast-Charging","Standard-Charging"))</f>
        <v>Standard-Charging</v>
      </c>
      <c r="AF634" t="str">
        <f>IF(EV_Data4[[#This Row],[acceleration_0_60_mph]]&lt;=3,"SportsPerformance",IF(EV_Data4[[#This Row],[acceleration_0_60_mph]]&lt;=5,"HighPerformance","Standard"))</f>
        <v>HighPerformance</v>
      </c>
      <c r="AG634" t="str">
        <f>IF(EV_Data4[[#This Row],[customer_rating]]&gt;=4.5,"Excellent",IF(EV_Data4[[#This Row],[customer_rating]]&gt;=3.5,"Good","Average"))</f>
        <v>Good</v>
      </c>
      <c r="AH63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35" spans="1:34" x14ac:dyDescent="0.3">
      <c r="A635" t="s">
        <v>68</v>
      </c>
      <c r="B635" t="s">
        <v>106</v>
      </c>
      <c r="C635">
        <v>2022</v>
      </c>
      <c r="D635" t="s">
        <v>26</v>
      </c>
      <c r="E635" s="3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27</v>
      </c>
      <c r="N635">
        <v>5</v>
      </c>
      <c r="O635" t="s">
        <v>58</v>
      </c>
      <c r="P635">
        <v>37</v>
      </c>
      <c r="Q635">
        <v>1500</v>
      </c>
      <c r="R635">
        <v>5</v>
      </c>
      <c r="S635">
        <v>1</v>
      </c>
      <c r="T635" t="s">
        <v>45</v>
      </c>
      <c r="U635" t="s">
        <v>33</v>
      </c>
      <c r="V635" s="3">
        <v>72070</v>
      </c>
      <c r="W635">
        <v>3.48</v>
      </c>
      <c r="X635">
        <v>4</v>
      </c>
      <c r="Y635" s="1">
        <f>EV_Data4[[#This Row],[range_miles]]/EV_Data4[[#This Row],[battery_capacity_kwh]]</f>
        <v>3.2635983263598325</v>
      </c>
      <c r="Z635" s="4">
        <f>EV_Data4[[#This Row],[price_usd]]/EV_Data4[[#This Row],[range_miles]]</f>
        <v>349.25320512820514</v>
      </c>
      <c r="AA635" s="2">
        <f>(EV_Data4[[#This Row],[customer_rating]]*EV_Data4[[#This Row],[safety_rating]]*1000)/EV_Data4[[#This Row],[price_usd]]</f>
        <v>0.21290849523250158</v>
      </c>
      <c r="AB635">
        <f>EV_Data4[[#This Row],[horsepower]]+EV_Data4[[#This Row],[torque_nm]]/EV_Data4[[#This Row],[acceleration_0_60_mph]]</f>
        <v>1234.3007915567282</v>
      </c>
      <c r="AC635" t="str">
        <f>IF(EV_Data4[[#This Row],[price_usd]]&gt;=80000,"Luxury",IF(EV_Data4[[#This Row],[price_usd]]&gt;=40000,"Mid-Range","Budget"))</f>
        <v>Luxury</v>
      </c>
      <c r="AD635" t="str">
        <f>IF(EV_Data4[[#This Row],[range_miles]]&gt;=350,"Long-Range",IF(EV_Data4[[#This Row],[range_miles]]&gt;=250,"Medium-Range","Short-Range"))</f>
        <v>Short-Range</v>
      </c>
      <c r="AE635" t="str">
        <f>IF(EV_Data4[[#This Row],[charging_speed_kw]]&gt;=250,"Ultra-Fast",IF(EV_Data4[[#This Row],[charging_speed_kw]]&gt;=150,"Fast-Charging","Standard-Charging"))</f>
        <v>Fast-Charging</v>
      </c>
      <c r="AF635" t="str">
        <f>IF(EV_Data4[[#This Row],[acceleration_0_60_mph]]&lt;=3,"SportsPerformance",IF(EV_Data4[[#This Row],[acceleration_0_60_mph]]&lt;=5,"HighPerformance","Standard"))</f>
        <v>HighPerformance</v>
      </c>
      <c r="AG635" t="str">
        <f>IF(EV_Data4[[#This Row],[customer_rating]]&gt;=4.5,"Excellent",IF(EV_Data4[[#This Row],[customer_rating]]&gt;=3.5,"Good","Average"))</f>
        <v>Average</v>
      </c>
      <c r="AH63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36" spans="1:34" x14ac:dyDescent="0.3">
      <c r="A636" t="s">
        <v>46</v>
      </c>
      <c r="B636" t="s">
        <v>49</v>
      </c>
      <c r="C636">
        <v>2025</v>
      </c>
      <c r="D636" t="s">
        <v>44</v>
      </c>
      <c r="E636" s="3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48</v>
      </c>
      <c r="N636">
        <v>5</v>
      </c>
      <c r="O636" t="s">
        <v>50</v>
      </c>
      <c r="P636">
        <v>37.5</v>
      </c>
      <c r="Q636">
        <v>1742</v>
      </c>
      <c r="R636">
        <v>4</v>
      </c>
      <c r="S636">
        <v>3</v>
      </c>
      <c r="T636" t="s">
        <v>41</v>
      </c>
      <c r="U636" t="s">
        <v>37</v>
      </c>
      <c r="V636" s="3">
        <v>427732</v>
      </c>
      <c r="W636">
        <v>4.21</v>
      </c>
      <c r="X636">
        <v>4</v>
      </c>
      <c r="Y636" s="1">
        <f>EV_Data4[[#This Row],[range_miles]]/EV_Data4[[#This Row],[battery_capacity_kwh]]</f>
        <v>3.6745138178096211</v>
      </c>
      <c r="Z636" s="4">
        <f>EV_Data4[[#This Row],[price_usd]]/EV_Data4[[#This Row],[range_miles]]</f>
        <v>178.64938718662953</v>
      </c>
      <c r="AA636" s="2">
        <f>(EV_Data4[[#This Row],[customer_rating]]*EV_Data4[[#This Row],[safety_rating]]*1000)/EV_Data4[[#This Row],[price_usd]]</f>
        <v>0.26257060677977889</v>
      </c>
      <c r="AB636">
        <f>EV_Data4[[#This Row],[horsepower]]+EV_Data4[[#This Row],[torque_nm]]/EV_Data4[[#This Row],[acceleration_0_60_mph]]</f>
        <v>539.88888888888891</v>
      </c>
      <c r="AC636" t="str">
        <f>IF(EV_Data4[[#This Row],[price_usd]]&gt;=80000,"Luxury",IF(EV_Data4[[#This Row],[price_usd]]&gt;=40000,"Mid-Range","Budget"))</f>
        <v>Mid-Range</v>
      </c>
      <c r="AD636" t="str">
        <f>IF(EV_Data4[[#This Row],[range_miles]]&gt;=350,"Long-Range",IF(EV_Data4[[#This Row],[range_miles]]&gt;=250,"Medium-Range","Short-Range"))</f>
        <v>Long-Range</v>
      </c>
      <c r="AE636" t="str">
        <f>IF(EV_Data4[[#This Row],[charging_speed_kw]]&gt;=250,"Ultra-Fast",IF(EV_Data4[[#This Row],[charging_speed_kw]]&gt;=150,"Fast-Charging","Standard-Charging"))</f>
        <v>Fast-Charging</v>
      </c>
      <c r="AF636" t="str">
        <f>IF(EV_Data4[[#This Row],[acceleration_0_60_mph]]&lt;=3,"SportsPerformance",IF(EV_Data4[[#This Row],[acceleration_0_60_mph]]&lt;=5,"HighPerformance","Standard"))</f>
        <v>Standard</v>
      </c>
      <c r="AG636" t="str">
        <f>IF(EV_Data4[[#This Row],[customer_rating]]&gt;=4.5,"Excellent",IF(EV_Data4[[#This Row],[customer_rating]]&gt;=3.5,"Good","Average"))</f>
        <v>Good</v>
      </c>
      <c r="AH636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637" spans="1:34" x14ac:dyDescent="0.3">
      <c r="A637" t="s">
        <v>24</v>
      </c>
      <c r="B637" t="s">
        <v>70</v>
      </c>
      <c r="C637">
        <v>2025</v>
      </c>
      <c r="D637" t="s">
        <v>26</v>
      </c>
      <c r="E637" s="3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27</v>
      </c>
      <c r="N637">
        <v>5</v>
      </c>
      <c r="O637" t="s">
        <v>51</v>
      </c>
      <c r="P637">
        <v>37.299999999999997</v>
      </c>
      <c r="Q637">
        <v>1500</v>
      </c>
      <c r="R637">
        <v>4</v>
      </c>
      <c r="S637">
        <v>1</v>
      </c>
      <c r="T637" t="s">
        <v>29</v>
      </c>
      <c r="U637" t="s">
        <v>33</v>
      </c>
      <c r="V637" s="3">
        <v>206750</v>
      </c>
      <c r="W637">
        <v>3.64</v>
      </c>
      <c r="X637">
        <v>3</v>
      </c>
      <c r="Y637" s="1">
        <f>EV_Data4[[#This Row],[range_miles]]/EV_Data4[[#This Row],[battery_capacity_kwh]]</f>
        <v>3.3153638814016171</v>
      </c>
      <c r="Z637" s="4">
        <f>EV_Data4[[#This Row],[price_usd]]/EV_Data4[[#This Row],[range_miles]]</f>
        <v>371.88573170731706</v>
      </c>
      <c r="AA637" s="2">
        <f>(EV_Data4[[#This Row],[customer_rating]]*EV_Data4[[#This Row],[safety_rating]]*1000)/EV_Data4[[#This Row],[price_usd]]</f>
        <v>0.15915370454841832</v>
      </c>
      <c r="AB637">
        <f>EV_Data4[[#This Row],[horsepower]]+EV_Data4[[#This Row],[torque_nm]]/EV_Data4[[#This Row],[acceleration_0_60_mph]]</f>
        <v>1295.0331125827815</v>
      </c>
      <c r="AC637" t="str">
        <f>IF(EV_Data4[[#This Row],[price_usd]]&gt;=80000,"Luxury",IF(EV_Data4[[#This Row],[price_usd]]&gt;=40000,"Mid-Range","Budget"))</f>
        <v>Luxury</v>
      </c>
      <c r="AD637" t="str">
        <f>IF(EV_Data4[[#This Row],[range_miles]]&gt;=350,"Long-Range",IF(EV_Data4[[#This Row],[range_miles]]&gt;=250,"Medium-Range","Short-Range"))</f>
        <v>Short-Range</v>
      </c>
      <c r="AE637" t="str">
        <f>IF(EV_Data4[[#This Row],[charging_speed_kw]]&gt;=250,"Ultra-Fast",IF(EV_Data4[[#This Row],[charging_speed_kw]]&gt;=150,"Fast-Charging","Standard-Charging"))</f>
        <v>Fast-Charging</v>
      </c>
      <c r="AF637" t="str">
        <f>IF(EV_Data4[[#This Row],[acceleration_0_60_mph]]&lt;=3,"SportsPerformance",IF(EV_Data4[[#This Row],[acceleration_0_60_mph]]&lt;=5,"HighPerformance","Standard"))</f>
        <v>HighPerformance</v>
      </c>
      <c r="AG637" t="str">
        <f>IF(EV_Data4[[#This Row],[customer_rating]]&gt;=4.5,"Excellent",IF(EV_Data4[[#This Row],[customer_rating]]&gt;=3.5,"Good","Average"))</f>
        <v>Good</v>
      </c>
      <c r="AH63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38" spans="1:34" x14ac:dyDescent="0.3">
      <c r="A638" t="s">
        <v>68</v>
      </c>
      <c r="B638" t="s">
        <v>109</v>
      </c>
      <c r="C638">
        <v>2024</v>
      </c>
      <c r="D638" t="s">
        <v>33</v>
      </c>
      <c r="E638" s="3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27</v>
      </c>
      <c r="N638">
        <v>7</v>
      </c>
      <c r="O638" t="s">
        <v>50</v>
      </c>
      <c r="P638">
        <v>18.5</v>
      </c>
      <c r="Q638">
        <v>1548</v>
      </c>
      <c r="R638">
        <v>5</v>
      </c>
      <c r="S638">
        <v>0</v>
      </c>
      <c r="T638" t="s">
        <v>45</v>
      </c>
      <c r="U638" t="s">
        <v>37</v>
      </c>
      <c r="V638" s="3">
        <v>143645</v>
      </c>
      <c r="W638">
        <v>3.36</v>
      </c>
      <c r="X638">
        <v>4</v>
      </c>
      <c r="Y638" s="1">
        <f>EV_Data4[[#This Row],[range_miles]]/EV_Data4[[#This Row],[battery_capacity_kwh]]</f>
        <v>3.7142857142857144</v>
      </c>
      <c r="Z638" s="4">
        <f>EV_Data4[[#This Row],[price_usd]]/EV_Data4[[#This Row],[range_miles]]</f>
        <v>164.71894736842106</v>
      </c>
      <c r="AA638" s="2">
        <f>(EV_Data4[[#This Row],[customer_rating]]*EV_Data4[[#This Row],[safety_rating]]*1000)/EV_Data4[[#This Row],[price_usd]]</f>
        <v>0.41292271119153273</v>
      </c>
      <c r="AB638">
        <f>EV_Data4[[#This Row],[horsepower]]+EV_Data4[[#This Row],[torque_nm]]/EV_Data4[[#This Row],[acceleration_0_60_mph]]</f>
        <v>430.44707740916272</v>
      </c>
      <c r="AC638" t="str">
        <f>IF(EV_Data4[[#This Row],[price_usd]]&gt;=80000,"Luxury",IF(EV_Data4[[#This Row],[price_usd]]&gt;=40000,"Mid-Range","Budget"))</f>
        <v>Mid-Range</v>
      </c>
      <c r="AD638" t="str">
        <f>IF(EV_Data4[[#This Row],[range_miles]]&gt;=350,"Long-Range",IF(EV_Data4[[#This Row],[range_miles]]&gt;=250,"Medium-Range","Short-Range"))</f>
        <v>Short-Range</v>
      </c>
      <c r="AE638" t="str">
        <f>IF(EV_Data4[[#This Row],[charging_speed_kw]]&gt;=250,"Ultra-Fast",IF(EV_Data4[[#This Row],[charging_speed_kw]]&gt;=150,"Fast-Charging","Standard-Charging"))</f>
        <v>Standard-Charging</v>
      </c>
      <c r="AF638" t="str">
        <f>IF(EV_Data4[[#This Row],[acceleration_0_60_mph]]&lt;=3,"SportsPerformance",IF(EV_Data4[[#This Row],[acceleration_0_60_mph]]&lt;=5,"HighPerformance","Standard"))</f>
        <v>Standard</v>
      </c>
      <c r="AG638" t="str">
        <f>IF(EV_Data4[[#This Row],[customer_rating]]&gt;=4.5,"Excellent",IF(EV_Data4[[#This Row],[customer_rating]]&gt;=3.5,"Good","Average"))</f>
        <v>Average</v>
      </c>
      <c r="AH63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39" spans="1:34" x14ac:dyDescent="0.3">
      <c r="A639" t="s">
        <v>63</v>
      </c>
      <c r="B639" t="s">
        <v>96</v>
      </c>
      <c r="C639">
        <v>2025</v>
      </c>
      <c r="D639" t="s">
        <v>56</v>
      </c>
      <c r="E639" s="3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34</v>
      </c>
      <c r="N639">
        <v>7</v>
      </c>
      <c r="O639" t="s">
        <v>50</v>
      </c>
      <c r="P639">
        <v>15.2</v>
      </c>
      <c r="Q639">
        <v>1600</v>
      </c>
      <c r="R639">
        <v>4</v>
      </c>
      <c r="S639">
        <v>0</v>
      </c>
      <c r="T639" t="s">
        <v>65</v>
      </c>
      <c r="U639" t="s">
        <v>37</v>
      </c>
      <c r="V639" s="3">
        <v>212512</v>
      </c>
      <c r="W639">
        <v>3.12</v>
      </c>
      <c r="X639">
        <v>3</v>
      </c>
      <c r="Y639" s="1">
        <f>EV_Data4[[#This Row],[range_miles]]/EV_Data4[[#This Row],[battery_capacity_kwh]]</f>
        <v>3.4482758620689653</v>
      </c>
      <c r="Z639" s="4">
        <f>EV_Data4[[#This Row],[price_usd]]/EV_Data4[[#This Row],[range_miles]]</f>
        <v>347.62726666666663</v>
      </c>
      <c r="AA639" s="2">
        <f>(EV_Data4[[#This Row],[customer_rating]]*EV_Data4[[#This Row],[safety_rating]]*1000)/EV_Data4[[#This Row],[price_usd]]</f>
        <v>0.23933680691330506</v>
      </c>
      <c r="AB639">
        <f>EV_Data4[[#This Row],[horsepower]]+EV_Data4[[#This Row],[torque_nm]]/EV_Data4[[#This Row],[acceleration_0_60_mph]]</f>
        <v>685.11154598825829</v>
      </c>
      <c r="AC639" t="str">
        <f>IF(EV_Data4[[#This Row],[price_usd]]&gt;=80000,"Luxury",IF(EV_Data4[[#This Row],[price_usd]]&gt;=40000,"Mid-Range","Budget"))</f>
        <v>Mid-Range</v>
      </c>
      <c r="AD639" t="str">
        <f>IF(EV_Data4[[#This Row],[range_miles]]&gt;=350,"Long-Range",IF(EV_Data4[[#This Row],[range_miles]]&gt;=250,"Medium-Range","Short-Range"))</f>
        <v>Short-Range</v>
      </c>
      <c r="AE639" t="str">
        <f>IF(EV_Data4[[#This Row],[charging_speed_kw]]&gt;=250,"Ultra-Fast",IF(EV_Data4[[#This Row],[charging_speed_kw]]&gt;=150,"Fast-Charging","Standard-Charging"))</f>
        <v>Standard-Charging</v>
      </c>
      <c r="AF639" t="str">
        <f>IF(EV_Data4[[#This Row],[acceleration_0_60_mph]]&lt;=3,"SportsPerformance",IF(EV_Data4[[#This Row],[acceleration_0_60_mph]]&lt;=5,"HighPerformance","Standard"))</f>
        <v>Standard</v>
      </c>
      <c r="AG639" t="str">
        <f>IF(EV_Data4[[#This Row],[customer_rating]]&gt;=4.5,"Excellent",IF(EV_Data4[[#This Row],[customer_rating]]&gt;=3.5,"Good","Average"))</f>
        <v>Average</v>
      </c>
      <c r="AH63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40" spans="1:34" x14ac:dyDescent="0.3">
      <c r="A640" t="s">
        <v>63</v>
      </c>
      <c r="B640" t="s">
        <v>73</v>
      </c>
      <c r="C640">
        <v>2024</v>
      </c>
      <c r="D640" t="s">
        <v>56</v>
      </c>
      <c r="E640" s="3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48</v>
      </c>
      <c r="N640">
        <v>5</v>
      </c>
      <c r="O640" t="s">
        <v>58</v>
      </c>
      <c r="P640">
        <v>18.399999999999999</v>
      </c>
      <c r="Q640">
        <v>1597</v>
      </c>
      <c r="R640">
        <v>5</v>
      </c>
      <c r="S640">
        <v>0</v>
      </c>
      <c r="T640" t="s">
        <v>65</v>
      </c>
      <c r="U640" t="s">
        <v>33</v>
      </c>
      <c r="V640" s="3">
        <v>121424</v>
      </c>
      <c r="W640">
        <v>3.25</v>
      </c>
      <c r="X640">
        <v>3</v>
      </c>
      <c r="Y640" s="1">
        <f>EV_Data4[[#This Row],[range_miles]]/EV_Data4[[#This Row],[battery_capacity_kwh]]</f>
        <v>3.9088729016786568</v>
      </c>
      <c r="Z640" s="4">
        <f>EV_Data4[[#This Row],[price_usd]]/EV_Data4[[#This Row],[range_miles]]</f>
        <v>453.75723926380363</v>
      </c>
      <c r="AA640" s="2">
        <f>(EV_Data4[[#This Row],[customer_rating]]*EV_Data4[[#This Row],[safety_rating]]*1000)/EV_Data4[[#This Row],[price_usd]]</f>
        <v>0.21970613999567079</v>
      </c>
      <c r="AB640">
        <f>EV_Data4[[#This Row],[horsepower]]+EV_Data4[[#This Row],[torque_nm]]/EV_Data4[[#This Row],[acceleration_0_60_mph]]</f>
        <v>996.1595197255574</v>
      </c>
      <c r="AC640" t="str">
        <f>IF(EV_Data4[[#This Row],[price_usd]]&gt;=80000,"Luxury",IF(EV_Data4[[#This Row],[price_usd]]&gt;=40000,"Mid-Range","Budget"))</f>
        <v>Mid-Range</v>
      </c>
      <c r="AD640" t="str">
        <f>IF(EV_Data4[[#This Row],[range_miles]]&gt;=350,"Long-Range",IF(EV_Data4[[#This Row],[range_miles]]&gt;=250,"Medium-Range","Short-Range"))</f>
        <v>Short-Range</v>
      </c>
      <c r="AE640" t="str">
        <f>IF(EV_Data4[[#This Row],[charging_speed_kw]]&gt;=250,"Ultra-Fast",IF(EV_Data4[[#This Row],[charging_speed_kw]]&gt;=150,"Fast-Charging","Standard-Charging"))</f>
        <v>Standard-Charging</v>
      </c>
      <c r="AF640" t="str">
        <f>IF(EV_Data4[[#This Row],[acceleration_0_60_mph]]&lt;=3,"SportsPerformance",IF(EV_Data4[[#This Row],[acceleration_0_60_mph]]&lt;=5,"HighPerformance","Standard"))</f>
        <v>Standard</v>
      </c>
      <c r="AG640" t="str">
        <f>IF(EV_Data4[[#This Row],[customer_rating]]&gt;=4.5,"Excellent",IF(EV_Data4[[#This Row],[customer_rating]]&gt;=3.5,"Good","Average"))</f>
        <v>Average</v>
      </c>
      <c r="AH64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41" spans="1:34" x14ac:dyDescent="0.3">
      <c r="A641" t="s">
        <v>24</v>
      </c>
      <c r="B641" t="s">
        <v>74</v>
      </c>
      <c r="C641">
        <v>2023</v>
      </c>
      <c r="D641" t="s">
        <v>26</v>
      </c>
      <c r="E641" s="3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34</v>
      </c>
      <c r="N641">
        <v>7</v>
      </c>
      <c r="O641" t="s">
        <v>58</v>
      </c>
      <c r="P641">
        <v>30.5</v>
      </c>
      <c r="Q641">
        <v>1792</v>
      </c>
      <c r="R641">
        <v>4</v>
      </c>
      <c r="S641">
        <v>0</v>
      </c>
      <c r="T641" t="s">
        <v>29</v>
      </c>
      <c r="U641" t="s">
        <v>37</v>
      </c>
      <c r="V641" s="3">
        <v>298301</v>
      </c>
      <c r="W641">
        <v>3.59</v>
      </c>
      <c r="X641">
        <v>3</v>
      </c>
      <c r="Y641" s="1">
        <f>EV_Data4[[#This Row],[range_miles]]/EV_Data4[[#This Row],[battery_capacity_kwh]]</f>
        <v>3.5989717223650386</v>
      </c>
      <c r="Z641" s="4">
        <f>EV_Data4[[#This Row],[price_usd]]/EV_Data4[[#This Row],[range_miles]]</f>
        <v>148.36271428571428</v>
      </c>
      <c r="AA641" s="2">
        <f>(EV_Data4[[#This Row],[customer_rating]]*EV_Data4[[#This Row],[safety_rating]]*1000)/EV_Data4[[#This Row],[price_usd]]</f>
        <v>0.23045194579436434</v>
      </c>
      <c r="AB641">
        <f>EV_Data4[[#This Row],[horsepower]]+EV_Data4[[#This Row],[torque_nm]]/EV_Data4[[#This Row],[acceleration_0_60_mph]]</f>
        <v>693.66426858513194</v>
      </c>
      <c r="AC641" t="str">
        <f>IF(EV_Data4[[#This Row],[price_usd]]&gt;=80000,"Luxury",IF(EV_Data4[[#This Row],[price_usd]]&gt;=40000,"Mid-Range","Budget"))</f>
        <v>Mid-Range</v>
      </c>
      <c r="AD641" t="str">
        <f>IF(EV_Data4[[#This Row],[range_miles]]&gt;=350,"Long-Range",IF(EV_Data4[[#This Row],[range_miles]]&gt;=250,"Medium-Range","Short-Range"))</f>
        <v>Long-Range</v>
      </c>
      <c r="AE641" t="str">
        <f>IF(EV_Data4[[#This Row],[charging_speed_kw]]&gt;=250,"Ultra-Fast",IF(EV_Data4[[#This Row],[charging_speed_kw]]&gt;=150,"Fast-Charging","Standard-Charging"))</f>
        <v>Fast-Charging</v>
      </c>
      <c r="AF641" t="str">
        <f>IF(EV_Data4[[#This Row],[acceleration_0_60_mph]]&lt;=3,"SportsPerformance",IF(EV_Data4[[#This Row],[acceleration_0_60_mph]]&lt;=5,"HighPerformance","Standard"))</f>
        <v>HighPerformance</v>
      </c>
      <c r="AG641" t="str">
        <f>IF(EV_Data4[[#This Row],[customer_rating]]&gt;=4.5,"Excellent",IF(EV_Data4[[#This Row],[customer_rating]]&gt;=3.5,"Good","Average"))</f>
        <v>Good</v>
      </c>
      <c r="AH64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42" spans="1:34" x14ac:dyDescent="0.3">
      <c r="A642" t="s">
        <v>46</v>
      </c>
      <c r="B642" t="s">
        <v>47</v>
      </c>
      <c r="C642">
        <v>2024</v>
      </c>
      <c r="D642" t="s">
        <v>44</v>
      </c>
      <c r="E642" s="3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48</v>
      </c>
      <c r="N642">
        <v>5</v>
      </c>
      <c r="O642" t="s">
        <v>51</v>
      </c>
      <c r="P642">
        <v>29.7</v>
      </c>
      <c r="Q642">
        <v>1536</v>
      </c>
      <c r="R642">
        <v>5</v>
      </c>
      <c r="S642">
        <v>2</v>
      </c>
      <c r="T642" t="s">
        <v>41</v>
      </c>
      <c r="U642" t="s">
        <v>33</v>
      </c>
      <c r="V642" s="3">
        <v>201869</v>
      </c>
      <c r="W642">
        <v>3.99</v>
      </c>
      <c r="X642">
        <v>5</v>
      </c>
      <c r="Y642" s="1">
        <f>EV_Data4[[#This Row],[range_miles]]/EV_Data4[[#This Row],[battery_capacity_kwh]]</f>
        <v>3.4872761545711595</v>
      </c>
      <c r="Z642" s="4">
        <f>EV_Data4[[#This Row],[price_usd]]/EV_Data4[[#This Row],[range_miles]]</f>
        <v>199.13043243243243</v>
      </c>
      <c r="AA642" s="2">
        <f>(EV_Data4[[#This Row],[customer_rating]]*EV_Data4[[#This Row],[safety_rating]]*1000)/EV_Data4[[#This Row],[price_usd]]</f>
        <v>0.2707718667623259</v>
      </c>
      <c r="AB642">
        <f>EV_Data4[[#This Row],[horsepower]]+EV_Data4[[#This Row],[torque_nm]]/EV_Data4[[#This Row],[acceleration_0_60_mph]]</f>
        <v>596.3502109704641</v>
      </c>
      <c r="AC642" t="str">
        <f>IF(EV_Data4[[#This Row],[price_usd]]&gt;=80000,"Luxury",IF(EV_Data4[[#This Row],[price_usd]]&gt;=40000,"Mid-Range","Budget"))</f>
        <v>Mid-Range</v>
      </c>
      <c r="AD642" t="str">
        <f>IF(EV_Data4[[#This Row],[range_miles]]&gt;=350,"Long-Range",IF(EV_Data4[[#This Row],[range_miles]]&gt;=250,"Medium-Range","Short-Range"))</f>
        <v>Long-Range</v>
      </c>
      <c r="AE642" t="str">
        <f>IF(EV_Data4[[#This Row],[charging_speed_kw]]&gt;=250,"Ultra-Fast",IF(EV_Data4[[#This Row],[charging_speed_kw]]&gt;=150,"Fast-Charging","Standard-Charging"))</f>
        <v>Fast-Charging</v>
      </c>
      <c r="AF642" t="str">
        <f>IF(EV_Data4[[#This Row],[acceleration_0_60_mph]]&lt;=3,"SportsPerformance",IF(EV_Data4[[#This Row],[acceleration_0_60_mph]]&lt;=5,"HighPerformance","Standard"))</f>
        <v>HighPerformance</v>
      </c>
      <c r="AG642" t="str">
        <f>IF(EV_Data4[[#This Row],[customer_rating]]&gt;=4.5,"Excellent",IF(EV_Data4[[#This Row],[customer_rating]]&gt;=3.5,"Good","Average"))</f>
        <v>Good</v>
      </c>
      <c r="AH64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43" spans="1:34" x14ac:dyDescent="0.3">
      <c r="A643" t="s">
        <v>63</v>
      </c>
      <c r="B643" t="s">
        <v>82</v>
      </c>
      <c r="C643">
        <v>2021</v>
      </c>
      <c r="D643" t="s">
        <v>33</v>
      </c>
      <c r="E643" s="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27</v>
      </c>
      <c r="N643">
        <v>5</v>
      </c>
      <c r="O643" t="s">
        <v>35</v>
      </c>
      <c r="P643">
        <v>55.1</v>
      </c>
      <c r="Q643">
        <v>2155</v>
      </c>
      <c r="R643">
        <v>4</v>
      </c>
      <c r="S643">
        <v>1</v>
      </c>
      <c r="T643" t="s">
        <v>65</v>
      </c>
      <c r="U643" t="s">
        <v>66</v>
      </c>
      <c r="V643" s="3">
        <v>173134</v>
      </c>
      <c r="W643">
        <v>3.1</v>
      </c>
      <c r="X643">
        <v>4</v>
      </c>
      <c r="Y643" s="1">
        <f>EV_Data4[[#This Row],[range_miles]]/EV_Data4[[#This Row],[battery_capacity_kwh]]</f>
        <v>3.2667876588021776</v>
      </c>
      <c r="Z643" s="4">
        <f>EV_Data4[[#This Row],[price_usd]]/EV_Data4[[#This Row],[range_miles]]</f>
        <v>182.45905555555555</v>
      </c>
      <c r="AA643" s="2">
        <f>(EV_Data4[[#This Row],[customer_rating]]*EV_Data4[[#This Row],[safety_rating]]*1000)/EV_Data4[[#This Row],[price_usd]]</f>
        <v>0.37755807010583503</v>
      </c>
      <c r="AB643">
        <f>EV_Data4[[#This Row],[horsepower]]+EV_Data4[[#This Row],[torque_nm]]/EV_Data4[[#This Row],[acceleration_0_60_mph]]</f>
        <v>461.29120879120876</v>
      </c>
      <c r="AC643" t="str">
        <f>IF(EV_Data4[[#This Row],[price_usd]]&gt;=80000,"Luxury",IF(EV_Data4[[#This Row],[price_usd]]&gt;=40000,"Mid-Range","Budget"))</f>
        <v>Budget</v>
      </c>
      <c r="AD643" t="str">
        <f>IF(EV_Data4[[#This Row],[range_miles]]&gt;=350,"Long-Range",IF(EV_Data4[[#This Row],[range_miles]]&gt;=250,"Medium-Range","Short-Range"))</f>
        <v>Short-Range</v>
      </c>
      <c r="AE643" t="str">
        <f>IF(EV_Data4[[#This Row],[charging_speed_kw]]&gt;=250,"Ultra-Fast",IF(EV_Data4[[#This Row],[charging_speed_kw]]&gt;=150,"Fast-Charging","Standard-Charging"))</f>
        <v>Standard-Charging</v>
      </c>
      <c r="AF643" t="str">
        <f>IF(EV_Data4[[#This Row],[acceleration_0_60_mph]]&lt;=3,"SportsPerformance",IF(EV_Data4[[#This Row],[acceleration_0_60_mph]]&lt;=5,"HighPerformance","Standard"))</f>
        <v>Standard</v>
      </c>
      <c r="AG643" t="str">
        <f>IF(EV_Data4[[#This Row],[customer_rating]]&gt;=4.5,"Excellent",IF(EV_Data4[[#This Row],[customer_rating]]&gt;=3.5,"Good","Average"))</f>
        <v>Average</v>
      </c>
      <c r="AH64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44" spans="1:34" x14ac:dyDescent="0.3">
      <c r="A644" t="s">
        <v>63</v>
      </c>
      <c r="B644" t="s">
        <v>67</v>
      </c>
      <c r="C644">
        <v>2023</v>
      </c>
      <c r="D644" t="s">
        <v>26</v>
      </c>
      <c r="E644" s="3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48</v>
      </c>
      <c r="N644">
        <v>5</v>
      </c>
      <c r="O644" t="s">
        <v>58</v>
      </c>
      <c r="P644">
        <v>38.9</v>
      </c>
      <c r="Q644">
        <v>1665</v>
      </c>
      <c r="R644">
        <v>4</v>
      </c>
      <c r="S644">
        <v>0</v>
      </c>
      <c r="T644" t="s">
        <v>65</v>
      </c>
      <c r="U644" t="s">
        <v>37</v>
      </c>
      <c r="V644" s="3">
        <v>207361</v>
      </c>
      <c r="W644">
        <v>3.74</v>
      </c>
      <c r="X644">
        <v>4</v>
      </c>
      <c r="Y644" s="1">
        <f>EV_Data4[[#This Row],[range_miles]]/EV_Data4[[#This Row],[battery_capacity_kwh]]</f>
        <v>3.6541143654114365</v>
      </c>
      <c r="Z644" s="4">
        <f>EV_Data4[[#This Row],[price_usd]]/EV_Data4[[#This Row],[range_miles]]</f>
        <v>239.98072519083968</v>
      </c>
      <c r="AA644" s="2">
        <f>(EV_Data4[[#This Row],[customer_rating]]*EV_Data4[[#This Row],[safety_rating]]*1000)/EV_Data4[[#This Row],[price_usd]]</f>
        <v>0.23793259477741135</v>
      </c>
      <c r="AB644">
        <f>EV_Data4[[#This Row],[horsepower]]+EV_Data4[[#This Row],[torque_nm]]/EV_Data4[[#This Row],[acceleration_0_60_mph]]</f>
        <v>882.42857142857144</v>
      </c>
      <c r="AC644" t="str">
        <f>IF(EV_Data4[[#This Row],[price_usd]]&gt;=80000,"Luxury",IF(EV_Data4[[#This Row],[price_usd]]&gt;=40000,"Mid-Range","Budget"))</f>
        <v>Mid-Range</v>
      </c>
      <c r="AD644" t="str">
        <f>IF(EV_Data4[[#This Row],[range_miles]]&gt;=350,"Long-Range",IF(EV_Data4[[#This Row],[range_miles]]&gt;=250,"Medium-Range","Short-Range"))</f>
        <v>Medium-Range</v>
      </c>
      <c r="AE644" t="str">
        <f>IF(EV_Data4[[#This Row],[charging_speed_kw]]&gt;=250,"Ultra-Fast",IF(EV_Data4[[#This Row],[charging_speed_kw]]&gt;=150,"Fast-Charging","Standard-Charging"))</f>
        <v>Fast-Charging</v>
      </c>
      <c r="AF644" t="str">
        <f>IF(EV_Data4[[#This Row],[acceleration_0_60_mph]]&lt;=3,"SportsPerformance",IF(EV_Data4[[#This Row],[acceleration_0_60_mph]]&lt;=5,"HighPerformance","Standard"))</f>
        <v>HighPerformance</v>
      </c>
      <c r="AG644" t="str">
        <f>IF(EV_Data4[[#This Row],[customer_rating]]&gt;=4.5,"Excellent",IF(EV_Data4[[#This Row],[customer_rating]]&gt;=3.5,"Good","Average"))</f>
        <v>Good</v>
      </c>
      <c r="AH64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45" spans="1:34" x14ac:dyDescent="0.3">
      <c r="A645" t="s">
        <v>63</v>
      </c>
      <c r="B645" t="s">
        <v>67</v>
      </c>
      <c r="C645">
        <v>2022</v>
      </c>
      <c r="D645" t="s">
        <v>33</v>
      </c>
      <c r="E645" s="3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48</v>
      </c>
      <c r="N645">
        <v>5</v>
      </c>
      <c r="O645" t="s">
        <v>35</v>
      </c>
      <c r="P645">
        <v>37.799999999999997</v>
      </c>
      <c r="Q645">
        <v>1887</v>
      </c>
      <c r="R645">
        <v>5</v>
      </c>
      <c r="S645">
        <v>1</v>
      </c>
      <c r="T645" t="s">
        <v>65</v>
      </c>
      <c r="U645" t="s">
        <v>30</v>
      </c>
      <c r="V645" s="3">
        <v>201045</v>
      </c>
      <c r="W645">
        <v>3.64</v>
      </c>
      <c r="X645">
        <v>3</v>
      </c>
      <c r="Y645" s="1">
        <f>EV_Data4[[#This Row],[range_miles]]/EV_Data4[[#This Row],[battery_capacity_kwh]]</f>
        <v>3.8812785388127851</v>
      </c>
      <c r="Z645" s="4">
        <f>EV_Data4[[#This Row],[price_usd]]/EV_Data4[[#This Row],[range_miles]]</f>
        <v>421.31799999999998</v>
      </c>
      <c r="AA645" s="2">
        <f>(EV_Data4[[#This Row],[customer_rating]]*EV_Data4[[#This Row],[safety_rating]]*1000)/EV_Data4[[#This Row],[price_usd]]</f>
        <v>0.16940303765708525</v>
      </c>
      <c r="AB645">
        <f>EV_Data4[[#This Row],[horsepower]]+EV_Data4[[#This Row],[torque_nm]]/EV_Data4[[#This Row],[acceleration_0_60_mph]]</f>
        <v>1116.6018158236056</v>
      </c>
      <c r="AC645" t="str">
        <f>IF(EV_Data4[[#This Row],[price_usd]]&gt;=80000,"Luxury",IF(EV_Data4[[#This Row],[price_usd]]&gt;=40000,"Mid-Range","Budget"))</f>
        <v>Luxury</v>
      </c>
      <c r="AD645" t="str">
        <f>IF(EV_Data4[[#This Row],[range_miles]]&gt;=350,"Long-Range",IF(EV_Data4[[#This Row],[range_miles]]&gt;=250,"Medium-Range","Short-Range"))</f>
        <v>Medium-Range</v>
      </c>
      <c r="AE645" t="str">
        <f>IF(EV_Data4[[#This Row],[charging_speed_kw]]&gt;=250,"Ultra-Fast",IF(EV_Data4[[#This Row],[charging_speed_kw]]&gt;=150,"Fast-Charging","Standard-Charging"))</f>
        <v>Standard-Charging</v>
      </c>
      <c r="AF645" t="str">
        <f>IF(EV_Data4[[#This Row],[acceleration_0_60_mph]]&lt;=3,"SportsPerformance",IF(EV_Data4[[#This Row],[acceleration_0_60_mph]]&lt;=5,"HighPerformance","Standard"))</f>
        <v>Standard</v>
      </c>
      <c r="AG645" t="str">
        <f>IF(EV_Data4[[#This Row],[customer_rating]]&gt;=4.5,"Excellent",IF(EV_Data4[[#This Row],[customer_rating]]&gt;=3.5,"Good","Average"))</f>
        <v>Good</v>
      </c>
      <c r="AH64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46" spans="1:34" x14ac:dyDescent="0.3">
      <c r="A646" t="s">
        <v>46</v>
      </c>
      <c r="B646" t="s">
        <v>47</v>
      </c>
      <c r="C646">
        <v>2025</v>
      </c>
      <c r="D646" t="s">
        <v>33</v>
      </c>
      <c r="E646" s="3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48</v>
      </c>
      <c r="N646">
        <v>5</v>
      </c>
      <c r="O646" t="s">
        <v>51</v>
      </c>
      <c r="P646">
        <v>21.2</v>
      </c>
      <c r="Q646">
        <v>1756</v>
      </c>
      <c r="R646">
        <v>5</v>
      </c>
      <c r="S646">
        <v>3</v>
      </c>
      <c r="T646" t="s">
        <v>41</v>
      </c>
      <c r="U646" t="s">
        <v>30</v>
      </c>
      <c r="V646" s="3">
        <v>245844</v>
      </c>
      <c r="W646">
        <v>3.7</v>
      </c>
      <c r="X646">
        <v>5</v>
      </c>
      <c r="Y646" s="1">
        <f>EV_Data4[[#This Row],[range_miles]]/EV_Data4[[#This Row],[battery_capacity_kwh]]</f>
        <v>3.4558823529411766</v>
      </c>
      <c r="Z646" s="4">
        <f>EV_Data4[[#This Row],[price_usd]]/EV_Data4[[#This Row],[range_miles]]</f>
        <v>657.74017021276597</v>
      </c>
      <c r="AA646" s="2">
        <f>(EV_Data4[[#This Row],[customer_rating]]*EV_Data4[[#This Row],[safety_rating]]*1000)/EV_Data4[[#This Row],[price_usd]]</f>
        <v>0.11968769404771748</v>
      </c>
      <c r="AB646">
        <f>EV_Data4[[#This Row],[horsepower]]+EV_Data4[[#This Row],[torque_nm]]/EV_Data4[[#This Row],[acceleration_0_60_mph]]</f>
        <v>1186.6533864541832</v>
      </c>
      <c r="AC646" t="str">
        <f>IF(EV_Data4[[#This Row],[price_usd]]&gt;=80000,"Luxury",IF(EV_Data4[[#This Row],[price_usd]]&gt;=40000,"Mid-Range","Budget"))</f>
        <v>Luxury</v>
      </c>
      <c r="AD646" t="str">
        <f>IF(EV_Data4[[#This Row],[range_miles]]&gt;=350,"Long-Range",IF(EV_Data4[[#This Row],[range_miles]]&gt;=250,"Medium-Range","Short-Range"))</f>
        <v>Short-Range</v>
      </c>
      <c r="AE646" t="str">
        <f>IF(EV_Data4[[#This Row],[charging_speed_kw]]&gt;=250,"Ultra-Fast",IF(EV_Data4[[#This Row],[charging_speed_kw]]&gt;=150,"Fast-Charging","Standard-Charging"))</f>
        <v>Ultra-Fast</v>
      </c>
      <c r="AF646" t="str">
        <f>IF(EV_Data4[[#This Row],[acceleration_0_60_mph]]&lt;=3,"SportsPerformance",IF(EV_Data4[[#This Row],[acceleration_0_60_mph]]&lt;=5,"HighPerformance","Standard"))</f>
        <v>Standard</v>
      </c>
      <c r="AG646" t="str">
        <f>IF(EV_Data4[[#This Row],[customer_rating]]&gt;=4.5,"Excellent",IF(EV_Data4[[#This Row],[customer_rating]]&gt;=3.5,"Good","Average"))</f>
        <v>Good</v>
      </c>
      <c r="AH646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647" spans="1:34" x14ac:dyDescent="0.3">
      <c r="A647" t="s">
        <v>86</v>
      </c>
      <c r="B647" t="s">
        <v>108</v>
      </c>
      <c r="C647">
        <v>2024</v>
      </c>
      <c r="D647" t="s">
        <v>61</v>
      </c>
      <c r="E647" s="3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48</v>
      </c>
      <c r="N647">
        <v>7</v>
      </c>
      <c r="O647" t="s">
        <v>35</v>
      </c>
      <c r="P647">
        <v>53.4</v>
      </c>
      <c r="Q647">
        <v>2242</v>
      </c>
      <c r="R647">
        <v>5</v>
      </c>
      <c r="S647">
        <v>2</v>
      </c>
      <c r="T647" t="s">
        <v>29</v>
      </c>
      <c r="U647" t="s">
        <v>37</v>
      </c>
      <c r="V647" s="3">
        <v>41240</v>
      </c>
      <c r="W647">
        <v>3.53</v>
      </c>
      <c r="X647">
        <v>8</v>
      </c>
      <c r="Y647" s="1">
        <f>EV_Data4[[#This Row],[range_miles]]/EV_Data4[[#This Row],[battery_capacity_kwh]]</f>
        <v>3.6140888208269528</v>
      </c>
      <c r="Z647" s="4">
        <f>EV_Data4[[#This Row],[price_usd]]/EV_Data4[[#This Row],[range_miles]]</f>
        <v>263.02707627118644</v>
      </c>
      <c r="AA647" s="2">
        <f>(EV_Data4[[#This Row],[customer_rating]]*EV_Data4[[#This Row],[safety_rating]]*1000)/EV_Data4[[#This Row],[price_usd]]</f>
        <v>0.28433626170148429</v>
      </c>
      <c r="AB647">
        <f>EV_Data4[[#This Row],[horsepower]]+EV_Data4[[#This Row],[torque_nm]]/EV_Data4[[#This Row],[acceleration_0_60_mph]]</f>
        <v>300.29065743944636</v>
      </c>
      <c r="AC647" t="str">
        <f>IF(EV_Data4[[#This Row],[price_usd]]&gt;=80000,"Luxury",IF(EV_Data4[[#This Row],[price_usd]]&gt;=40000,"Mid-Range","Budget"))</f>
        <v>Mid-Range</v>
      </c>
      <c r="AD647" t="str">
        <f>IF(EV_Data4[[#This Row],[range_miles]]&gt;=350,"Long-Range",IF(EV_Data4[[#This Row],[range_miles]]&gt;=250,"Medium-Range","Short-Range"))</f>
        <v>Short-Range</v>
      </c>
      <c r="AE647" t="str">
        <f>IF(EV_Data4[[#This Row],[charging_speed_kw]]&gt;=250,"Ultra-Fast",IF(EV_Data4[[#This Row],[charging_speed_kw]]&gt;=150,"Fast-Charging","Standard-Charging"))</f>
        <v>Standard-Charging</v>
      </c>
      <c r="AF647" t="str">
        <f>IF(EV_Data4[[#This Row],[acceleration_0_60_mph]]&lt;=3,"SportsPerformance",IF(EV_Data4[[#This Row],[acceleration_0_60_mph]]&lt;=5,"HighPerformance","Standard"))</f>
        <v>Standard</v>
      </c>
      <c r="AG647" t="str">
        <f>IF(EV_Data4[[#This Row],[customer_rating]]&gt;=4.5,"Excellent",IF(EV_Data4[[#This Row],[customer_rating]]&gt;=3.5,"Good","Average"))</f>
        <v>Good</v>
      </c>
      <c r="AH64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48" spans="1:34" x14ac:dyDescent="0.3">
      <c r="A648" t="s">
        <v>42</v>
      </c>
      <c r="B648" t="s">
        <v>115</v>
      </c>
      <c r="C648">
        <v>2024</v>
      </c>
      <c r="D648" t="s">
        <v>26</v>
      </c>
      <c r="E648" s="3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48</v>
      </c>
      <c r="N648">
        <v>7</v>
      </c>
      <c r="O648" t="s">
        <v>50</v>
      </c>
      <c r="P648">
        <v>23.8</v>
      </c>
      <c r="Q648">
        <v>1907</v>
      </c>
      <c r="R648">
        <v>4</v>
      </c>
      <c r="S648">
        <v>2</v>
      </c>
      <c r="T648" t="s">
        <v>45</v>
      </c>
      <c r="U648" t="s">
        <v>33</v>
      </c>
      <c r="V648" s="3">
        <v>86275</v>
      </c>
      <c r="W648">
        <v>3.61</v>
      </c>
      <c r="X648">
        <v>3</v>
      </c>
      <c r="Y648" s="1">
        <f>EV_Data4[[#This Row],[range_miles]]/EV_Data4[[#This Row],[battery_capacity_kwh]]</f>
        <v>3.4293193717277486</v>
      </c>
      <c r="Z648" s="4">
        <f>EV_Data4[[#This Row],[price_usd]]/EV_Data4[[#This Row],[range_miles]]</f>
        <v>260.74874045801528</v>
      </c>
      <c r="AA648" s="2">
        <f>(EV_Data4[[#This Row],[customer_rating]]*EV_Data4[[#This Row],[safety_rating]]*1000)/EV_Data4[[#This Row],[price_usd]]</f>
        <v>0.21137016316927604</v>
      </c>
      <c r="AB648">
        <f>EV_Data4[[#This Row],[horsepower]]+EV_Data4[[#This Row],[torque_nm]]/EV_Data4[[#This Row],[acceleration_0_60_mph]]</f>
        <v>954.58762886597935</v>
      </c>
      <c r="AC648" t="str">
        <f>IF(EV_Data4[[#This Row],[price_usd]]&gt;=80000,"Luxury",IF(EV_Data4[[#This Row],[price_usd]]&gt;=40000,"Mid-Range","Budget"))</f>
        <v>Mid-Range</v>
      </c>
      <c r="AD648" t="str">
        <f>IF(EV_Data4[[#This Row],[range_miles]]&gt;=350,"Long-Range",IF(EV_Data4[[#This Row],[range_miles]]&gt;=250,"Medium-Range","Short-Range"))</f>
        <v>Medium-Range</v>
      </c>
      <c r="AE648" t="str">
        <f>IF(EV_Data4[[#This Row],[charging_speed_kw]]&gt;=250,"Ultra-Fast",IF(EV_Data4[[#This Row],[charging_speed_kw]]&gt;=150,"Fast-Charging","Standard-Charging"))</f>
        <v>Fast-Charging</v>
      </c>
      <c r="AF648" t="str">
        <f>IF(EV_Data4[[#This Row],[acceleration_0_60_mph]]&lt;=3,"SportsPerformance",IF(EV_Data4[[#This Row],[acceleration_0_60_mph]]&lt;=5,"HighPerformance","Standard"))</f>
        <v>HighPerformance</v>
      </c>
      <c r="AG648" t="str">
        <f>IF(EV_Data4[[#This Row],[customer_rating]]&gt;=4.5,"Excellent",IF(EV_Data4[[#This Row],[customer_rating]]&gt;=3.5,"Good","Average"))</f>
        <v>Good</v>
      </c>
      <c r="AH64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49" spans="1:34" x14ac:dyDescent="0.3">
      <c r="A649" t="s">
        <v>83</v>
      </c>
      <c r="B649" t="s">
        <v>104</v>
      </c>
      <c r="C649">
        <v>2023</v>
      </c>
      <c r="D649" t="s">
        <v>56</v>
      </c>
      <c r="E649" s="3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34</v>
      </c>
      <c r="N649">
        <v>7</v>
      </c>
      <c r="O649" t="s">
        <v>58</v>
      </c>
      <c r="P649">
        <v>27.3</v>
      </c>
      <c r="Q649">
        <v>1509</v>
      </c>
      <c r="R649">
        <v>5</v>
      </c>
      <c r="S649">
        <v>2</v>
      </c>
      <c r="T649" t="s">
        <v>29</v>
      </c>
      <c r="U649" t="s">
        <v>33</v>
      </c>
      <c r="V649" s="3">
        <v>22686</v>
      </c>
      <c r="W649">
        <v>3</v>
      </c>
      <c r="X649">
        <v>7</v>
      </c>
      <c r="Y649" s="1">
        <f>EV_Data4[[#This Row],[range_miles]]/EV_Data4[[#This Row],[battery_capacity_kwh]]</f>
        <v>3.4905660377358489</v>
      </c>
      <c r="Z649" s="4">
        <f>EV_Data4[[#This Row],[price_usd]]/EV_Data4[[#This Row],[range_miles]]</f>
        <v>532.22545945945944</v>
      </c>
      <c r="AA649" s="2">
        <f>(EV_Data4[[#This Row],[customer_rating]]*EV_Data4[[#This Row],[safety_rating]]*1000)/EV_Data4[[#This Row],[price_usd]]</f>
        <v>0.15234348458908542</v>
      </c>
      <c r="AB649">
        <f>EV_Data4[[#This Row],[horsepower]]+EV_Data4[[#This Row],[torque_nm]]/EV_Data4[[#This Row],[acceleration_0_60_mph]]</f>
        <v>909.9415204678362</v>
      </c>
      <c r="AC649" t="str">
        <f>IF(EV_Data4[[#This Row],[price_usd]]&gt;=80000,"Luxury",IF(EV_Data4[[#This Row],[price_usd]]&gt;=40000,"Mid-Range","Budget"))</f>
        <v>Luxury</v>
      </c>
      <c r="AD649" t="str">
        <f>IF(EV_Data4[[#This Row],[range_miles]]&gt;=350,"Long-Range",IF(EV_Data4[[#This Row],[range_miles]]&gt;=250,"Medium-Range","Short-Range"))</f>
        <v>Short-Range</v>
      </c>
      <c r="AE649" t="str">
        <f>IF(EV_Data4[[#This Row],[charging_speed_kw]]&gt;=250,"Ultra-Fast",IF(EV_Data4[[#This Row],[charging_speed_kw]]&gt;=150,"Fast-Charging","Standard-Charging"))</f>
        <v>Standard-Charging</v>
      </c>
      <c r="AF649" t="str">
        <f>IF(EV_Data4[[#This Row],[acceleration_0_60_mph]]&lt;=3,"SportsPerformance",IF(EV_Data4[[#This Row],[acceleration_0_60_mph]]&lt;=5,"HighPerformance","Standard"))</f>
        <v>Standard</v>
      </c>
      <c r="AG649" t="str">
        <f>IF(EV_Data4[[#This Row],[customer_rating]]&gt;=4.5,"Excellent",IF(EV_Data4[[#This Row],[customer_rating]]&gt;=3.5,"Good","Average"))</f>
        <v>Average</v>
      </c>
      <c r="AH64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50" spans="1:34" x14ac:dyDescent="0.3">
      <c r="A650" t="s">
        <v>76</v>
      </c>
      <c r="B650" t="s">
        <v>77</v>
      </c>
      <c r="C650">
        <v>2023</v>
      </c>
      <c r="D650" t="s">
        <v>33</v>
      </c>
      <c r="E650" s="3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27</v>
      </c>
      <c r="N650">
        <v>7</v>
      </c>
      <c r="O650" t="s">
        <v>58</v>
      </c>
      <c r="P650">
        <v>15.4</v>
      </c>
      <c r="Q650">
        <v>1576</v>
      </c>
      <c r="R650">
        <v>5</v>
      </c>
      <c r="S650">
        <v>1</v>
      </c>
      <c r="T650" t="s">
        <v>41</v>
      </c>
      <c r="U650" t="s">
        <v>37</v>
      </c>
      <c r="V650" s="3">
        <v>52208</v>
      </c>
      <c r="W650">
        <v>3.39</v>
      </c>
      <c r="X650">
        <v>4</v>
      </c>
      <c r="Y650" s="1">
        <f>EV_Data4[[#This Row],[range_miles]]/EV_Data4[[#This Row],[battery_capacity_kwh]]</f>
        <v>3.4150326797385619</v>
      </c>
      <c r="Z650" s="4">
        <f>EV_Data4[[#This Row],[price_usd]]/EV_Data4[[#This Row],[range_miles]]</f>
        <v>294.26167464114832</v>
      </c>
      <c r="AA650" s="2">
        <f>(EV_Data4[[#This Row],[customer_rating]]*EV_Data4[[#This Row],[safety_rating]]*1000)/EV_Data4[[#This Row],[price_usd]]</f>
        <v>0.27560666392523397</v>
      </c>
      <c r="AB650">
        <f>EV_Data4[[#This Row],[horsepower]]+EV_Data4[[#This Row],[torque_nm]]/EV_Data4[[#This Row],[acceleration_0_60_mph]]</f>
        <v>703.18801996672209</v>
      </c>
      <c r="AC650" t="str">
        <f>IF(EV_Data4[[#This Row],[price_usd]]&gt;=80000,"Luxury",IF(EV_Data4[[#This Row],[price_usd]]&gt;=40000,"Mid-Range","Budget"))</f>
        <v>Mid-Range</v>
      </c>
      <c r="AD650" t="str">
        <f>IF(EV_Data4[[#This Row],[range_miles]]&gt;=350,"Long-Range",IF(EV_Data4[[#This Row],[range_miles]]&gt;=250,"Medium-Range","Short-Range"))</f>
        <v>Short-Range</v>
      </c>
      <c r="AE650" t="str">
        <f>IF(EV_Data4[[#This Row],[charging_speed_kw]]&gt;=250,"Ultra-Fast",IF(EV_Data4[[#This Row],[charging_speed_kw]]&gt;=150,"Fast-Charging","Standard-Charging"))</f>
        <v>Standard-Charging</v>
      </c>
      <c r="AF650" t="str">
        <f>IF(EV_Data4[[#This Row],[acceleration_0_60_mph]]&lt;=3,"SportsPerformance",IF(EV_Data4[[#This Row],[acceleration_0_60_mph]]&lt;=5,"HighPerformance","Standard"))</f>
        <v>Standard</v>
      </c>
      <c r="AG650" t="str">
        <f>IF(EV_Data4[[#This Row],[customer_rating]]&gt;=4.5,"Excellent",IF(EV_Data4[[#This Row],[customer_rating]]&gt;=3.5,"Good","Average"))</f>
        <v>Average</v>
      </c>
      <c r="AH65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51" spans="1:34" x14ac:dyDescent="0.3">
      <c r="A651" t="s">
        <v>68</v>
      </c>
      <c r="B651" t="s">
        <v>79</v>
      </c>
      <c r="C651">
        <v>2024</v>
      </c>
      <c r="D651" t="s">
        <v>61</v>
      </c>
      <c r="E651" s="3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34</v>
      </c>
      <c r="N651">
        <v>7</v>
      </c>
      <c r="O651" t="s">
        <v>35</v>
      </c>
      <c r="P651">
        <v>41.7</v>
      </c>
      <c r="Q651">
        <v>1827</v>
      </c>
      <c r="R651">
        <v>5</v>
      </c>
      <c r="S651">
        <v>1</v>
      </c>
      <c r="T651" t="s">
        <v>45</v>
      </c>
      <c r="U651" t="s">
        <v>37</v>
      </c>
      <c r="V651" s="3">
        <v>85467</v>
      </c>
      <c r="W651">
        <v>3.29</v>
      </c>
      <c r="X651">
        <v>5</v>
      </c>
      <c r="Y651" s="1">
        <f>EV_Data4[[#This Row],[range_miles]]/EV_Data4[[#This Row],[battery_capacity_kwh]]</f>
        <v>3.4839924670433144</v>
      </c>
      <c r="Z651" s="4">
        <f>EV_Data4[[#This Row],[price_usd]]/EV_Data4[[#This Row],[range_miles]]</f>
        <v>325.21367567567569</v>
      </c>
      <c r="AA651" s="2">
        <f>(EV_Data4[[#This Row],[customer_rating]]*EV_Data4[[#This Row],[safety_rating]]*1000)/EV_Data4[[#This Row],[price_usd]]</f>
        <v>0.27341691192468387</v>
      </c>
      <c r="AB651">
        <f>EV_Data4[[#This Row],[horsepower]]+EV_Data4[[#This Row],[torque_nm]]/EV_Data4[[#This Row],[acceleration_0_60_mph]]</f>
        <v>756.8526912181303</v>
      </c>
      <c r="AC651" t="str">
        <f>IF(EV_Data4[[#This Row],[price_usd]]&gt;=80000,"Luxury",IF(EV_Data4[[#This Row],[price_usd]]&gt;=40000,"Mid-Range","Budget"))</f>
        <v>Mid-Range</v>
      </c>
      <c r="AD651" t="str">
        <f>IF(EV_Data4[[#This Row],[range_miles]]&gt;=350,"Long-Range",IF(EV_Data4[[#This Row],[range_miles]]&gt;=250,"Medium-Range","Short-Range"))</f>
        <v>Short-Range</v>
      </c>
      <c r="AE651" t="str">
        <f>IF(EV_Data4[[#This Row],[charging_speed_kw]]&gt;=250,"Ultra-Fast",IF(EV_Data4[[#This Row],[charging_speed_kw]]&gt;=150,"Fast-Charging","Standard-Charging"))</f>
        <v>Standard-Charging</v>
      </c>
      <c r="AF651" t="str">
        <f>IF(EV_Data4[[#This Row],[acceleration_0_60_mph]]&lt;=3,"SportsPerformance",IF(EV_Data4[[#This Row],[acceleration_0_60_mph]]&lt;=5,"HighPerformance","Standard"))</f>
        <v>Standard</v>
      </c>
      <c r="AG651" t="str">
        <f>IF(EV_Data4[[#This Row],[customer_rating]]&gt;=4.5,"Excellent",IF(EV_Data4[[#This Row],[customer_rating]]&gt;=3.5,"Good","Average"))</f>
        <v>Average</v>
      </c>
      <c r="AH65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52" spans="1:34" x14ac:dyDescent="0.3">
      <c r="A652" t="s">
        <v>46</v>
      </c>
      <c r="B652" t="s">
        <v>47</v>
      </c>
      <c r="C652">
        <v>2023</v>
      </c>
      <c r="D652" t="s">
        <v>61</v>
      </c>
      <c r="E652" s="3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34</v>
      </c>
      <c r="N652">
        <v>5</v>
      </c>
      <c r="O652" t="s">
        <v>50</v>
      </c>
      <c r="P652">
        <v>24.7</v>
      </c>
      <c r="Q652">
        <v>1779</v>
      </c>
      <c r="R652">
        <v>4</v>
      </c>
      <c r="S652">
        <v>3</v>
      </c>
      <c r="T652" t="s">
        <v>41</v>
      </c>
      <c r="U652" t="s">
        <v>30</v>
      </c>
      <c r="V652" s="3">
        <v>165942</v>
      </c>
      <c r="W652">
        <v>3.71</v>
      </c>
      <c r="X652">
        <v>5</v>
      </c>
      <c r="Y652" s="1">
        <f>EV_Data4[[#This Row],[range_miles]]/EV_Data4[[#This Row],[battery_capacity_kwh]]</f>
        <v>3.4261838440111423</v>
      </c>
      <c r="Z652" s="4">
        <f>EV_Data4[[#This Row],[price_usd]]/EV_Data4[[#This Row],[range_miles]]</f>
        <v>500.69890243902438</v>
      </c>
      <c r="AA652" s="2">
        <f>(EV_Data4[[#This Row],[customer_rating]]*EV_Data4[[#This Row],[safety_rating]]*1000)/EV_Data4[[#This Row],[price_usd]]</f>
        <v>0.12048199618208467</v>
      </c>
      <c r="AB652">
        <f>EV_Data4[[#This Row],[horsepower]]+EV_Data4[[#This Row],[torque_nm]]/EV_Data4[[#This Row],[acceleration_0_60_mph]]</f>
        <v>1043.5079365079364</v>
      </c>
      <c r="AC652" t="str">
        <f>IF(EV_Data4[[#This Row],[price_usd]]&gt;=80000,"Luxury",IF(EV_Data4[[#This Row],[price_usd]]&gt;=40000,"Mid-Range","Budget"))</f>
        <v>Luxury</v>
      </c>
      <c r="AD652" t="str">
        <f>IF(EV_Data4[[#This Row],[range_miles]]&gt;=350,"Long-Range",IF(EV_Data4[[#This Row],[range_miles]]&gt;=250,"Medium-Range","Short-Range"))</f>
        <v>Short-Range</v>
      </c>
      <c r="AE652" t="str">
        <f>IF(EV_Data4[[#This Row],[charging_speed_kw]]&gt;=250,"Ultra-Fast",IF(EV_Data4[[#This Row],[charging_speed_kw]]&gt;=150,"Fast-Charging","Standard-Charging"))</f>
        <v>Fast-Charging</v>
      </c>
      <c r="AF652" t="str">
        <f>IF(EV_Data4[[#This Row],[acceleration_0_60_mph]]&lt;=3,"SportsPerformance",IF(EV_Data4[[#This Row],[acceleration_0_60_mph]]&lt;=5,"HighPerformance","Standard"))</f>
        <v>Standard</v>
      </c>
      <c r="AG652" t="str">
        <f>IF(EV_Data4[[#This Row],[customer_rating]]&gt;=4.5,"Excellent",IF(EV_Data4[[#This Row],[customer_rating]]&gt;=3.5,"Good","Average"))</f>
        <v>Good</v>
      </c>
      <c r="AH652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653" spans="1:34" x14ac:dyDescent="0.3">
      <c r="A653" t="s">
        <v>68</v>
      </c>
      <c r="B653" t="s">
        <v>109</v>
      </c>
      <c r="C653">
        <v>2024</v>
      </c>
      <c r="D653" t="s">
        <v>56</v>
      </c>
      <c r="E653" s="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34</v>
      </c>
      <c r="N653">
        <v>5</v>
      </c>
      <c r="O653" t="s">
        <v>40</v>
      </c>
      <c r="P653">
        <v>65.599999999999994</v>
      </c>
      <c r="Q653">
        <v>1663</v>
      </c>
      <c r="R653">
        <v>4</v>
      </c>
      <c r="S653">
        <v>2</v>
      </c>
      <c r="T653" t="s">
        <v>45</v>
      </c>
      <c r="U653" t="s">
        <v>37</v>
      </c>
      <c r="V653" s="3">
        <v>117101</v>
      </c>
      <c r="W653">
        <v>3.46</v>
      </c>
      <c r="X653">
        <v>4</v>
      </c>
      <c r="Y653" s="1">
        <f>EV_Data4[[#This Row],[range_miles]]/EV_Data4[[#This Row],[battery_capacity_kwh]]</f>
        <v>3.8261997405966279</v>
      </c>
      <c r="Z653" s="4">
        <f>EV_Data4[[#This Row],[price_usd]]/EV_Data4[[#This Row],[range_miles]]</f>
        <v>118.95989830508474</v>
      </c>
      <c r="AA653" s="2">
        <f>(EV_Data4[[#This Row],[customer_rating]]*EV_Data4[[#This Row],[safety_rating]]*1000)/EV_Data4[[#This Row],[price_usd]]</f>
        <v>0.39437873523537487</v>
      </c>
      <c r="AB653">
        <f>EV_Data4[[#This Row],[horsepower]]+EV_Data4[[#This Row],[torque_nm]]/EV_Data4[[#This Row],[acceleration_0_60_mph]]</f>
        <v>275.00502512562815</v>
      </c>
      <c r="AC653" t="str">
        <f>IF(EV_Data4[[#This Row],[price_usd]]&gt;=80000,"Luxury",IF(EV_Data4[[#This Row],[price_usd]]&gt;=40000,"Mid-Range","Budget"))</f>
        <v>Budget</v>
      </c>
      <c r="AD653" t="str">
        <f>IF(EV_Data4[[#This Row],[range_miles]]&gt;=350,"Long-Range",IF(EV_Data4[[#This Row],[range_miles]]&gt;=250,"Medium-Range","Short-Range"))</f>
        <v>Medium-Range</v>
      </c>
      <c r="AE653" t="str">
        <f>IF(EV_Data4[[#This Row],[charging_speed_kw]]&gt;=250,"Ultra-Fast",IF(EV_Data4[[#This Row],[charging_speed_kw]]&gt;=150,"Fast-Charging","Standard-Charging"))</f>
        <v>Standard-Charging</v>
      </c>
      <c r="AF653" t="str">
        <f>IF(EV_Data4[[#This Row],[acceleration_0_60_mph]]&lt;=3,"SportsPerformance",IF(EV_Data4[[#This Row],[acceleration_0_60_mph]]&lt;=5,"HighPerformance","Standard"))</f>
        <v>Standard</v>
      </c>
      <c r="AG653" t="str">
        <f>IF(EV_Data4[[#This Row],[customer_rating]]&gt;=4.5,"Excellent",IF(EV_Data4[[#This Row],[customer_rating]]&gt;=3.5,"Good","Average"))</f>
        <v>Average</v>
      </c>
      <c r="AH65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54" spans="1:34" x14ac:dyDescent="0.3">
      <c r="A654" t="s">
        <v>42</v>
      </c>
      <c r="B654" t="s">
        <v>54</v>
      </c>
      <c r="C654">
        <v>2021</v>
      </c>
      <c r="D654" t="s">
        <v>33</v>
      </c>
      <c r="E654" s="3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48</v>
      </c>
      <c r="N654">
        <v>5</v>
      </c>
      <c r="O654" t="s">
        <v>40</v>
      </c>
      <c r="P654">
        <v>71.2</v>
      </c>
      <c r="Q654">
        <v>1660</v>
      </c>
      <c r="R654">
        <v>4</v>
      </c>
      <c r="S654">
        <v>0</v>
      </c>
      <c r="T654" t="s">
        <v>45</v>
      </c>
      <c r="U654" t="s">
        <v>30</v>
      </c>
      <c r="V654" s="3">
        <v>89918</v>
      </c>
      <c r="W654">
        <v>3.29</v>
      </c>
      <c r="X654">
        <v>4</v>
      </c>
      <c r="Y654" s="1">
        <f>EV_Data4[[#This Row],[range_miles]]/EV_Data4[[#This Row],[battery_capacity_kwh]]</f>
        <v>3.5319148936170213</v>
      </c>
      <c r="Z654" s="4">
        <f>EV_Data4[[#This Row],[price_usd]]/EV_Data4[[#This Row],[range_miles]]</f>
        <v>406.96140562248996</v>
      </c>
      <c r="AA654" s="2">
        <f>(EV_Data4[[#This Row],[customer_rating]]*EV_Data4[[#This Row],[safety_rating]]*1000)/EV_Data4[[#This Row],[price_usd]]</f>
        <v>0.12986834842888409</v>
      </c>
      <c r="AB654">
        <f>EV_Data4[[#This Row],[horsepower]]+EV_Data4[[#This Row],[torque_nm]]/EV_Data4[[#This Row],[acceleration_0_60_mph]]</f>
        <v>1155.2293577981652</v>
      </c>
      <c r="AC654" t="str">
        <f>IF(EV_Data4[[#This Row],[price_usd]]&gt;=80000,"Luxury",IF(EV_Data4[[#This Row],[price_usd]]&gt;=40000,"Mid-Range","Budget"))</f>
        <v>Luxury</v>
      </c>
      <c r="AD654" t="str">
        <f>IF(EV_Data4[[#This Row],[range_miles]]&gt;=350,"Long-Range",IF(EV_Data4[[#This Row],[range_miles]]&gt;=250,"Medium-Range","Short-Range"))</f>
        <v>Short-Range</v>
      </c>
      <c r="AE654" t="str">
        <f>IF(EV_Data4[[#This Row],[charging_speed_kw]]&gt;=250,"Ultra-Fast",IF(EV_Data4[[#This Row],[charging_speed_kw]]&gt;=150,"Fast-Charging","Standard-Charging"))</f>
        <v>Standard-Charging</v>
      </c>
      <c r="AF654" t="str">
        <f>IF(EV_Data4[[#This Row],[acceleration_0_60_mph]]&lt;=3,"SportsPerformance",IF(EV_Data4[[#This Row],[acceleration_0_60_mph]]&lt;=5,"HighPerformance","Standard"))</f>
        <v>Standard</v>
      </c>
      <c r="AG654" t="str">
        <f>IF(EV_Data4[[#This Row],[customer_rating]]&gt;=4.5,"Excellent",IF(EV_Data4[[#This Row],[customer_rating]]&gt;=3.5,"Good","Average"))</f>
        <v>Average</v>
      </c>
      <c r="AH65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55" spans="1:34" x14ac:dyDescent="0.3">
      <c r="A655" t="s">
        <v>38</v>
      </c>
      <c r="B655" t="s">
        <v>55</v>
      </c>
      <c r="C655">
        <v>2022</v>
      </c>
      <c r="D655" t="s">
        <v>44</v>
      </c>
      <c r="E655" s="3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34</v>
      </c>
      <c r="N655">
        <v>5</v>
      </c>
      <c r="O655" t="s">
        <v>40</v>
      </c>
      <c r="P655">
        <v>66.900000000000006</v>
      </c>
      <c r="Q655">
        <v>1708</v>
      </c>
      <c r="R655">
        <v>5</v>
      </c>
      <c r="S655">
        <v>2</v>
      </c>
      <c r="T655" t="s">
        <v>41</v>
      </c>
      <c r="U655" t="s">
        <v>37</v>
      </c>
      <c r="V655" s="3">
        <v>18445</v>
      </c>
      <c r="W655">
        <v>3.56</v>
      </c>
      <c r="X655">
        <v>4</v>
      </c>
      <c r="Y655" s="1">
        <f>EV_Data4[[#This Row],[range_miles]]/EV_Data4[[#This Row],[battery_capacity_kwh]]</f>
        <v>3.344907407407407</v>
      </c>
      <c r="Z655" s="4">
        <f>EV_Data4[[#This Row],[price_usd]]/EV_Data4[[#This Row],[range_miles]]</f>
        <v>187.90878892733565</v>
      </c>
      <c r="AA655" s="2">
        <f>(EV_Data4[[#This Row],[customer_rating]]*EV_Data4[[#This Row],[safety_rating]]*1000)/EV_Data4[[#This Row],[price_usd]]</f>
        <v>0.32777442637633958</v>
      </c>
      <c r="AB655">
        <f>EV_Data4[[#This Row],[horsepower]]+EV_Data4[[#This Row],[torque_nm]]/EV_Data4[[#This Row],[acceleration_0_60_mph]]</f>
        <v>771.68456375838923</v>
      </c>
      <c r="AC655" t="str">
        <f>IF(EV_Data4[[#This Row],[price_usd]]&gt;=80000,"Luxury",IF(EV_Data4[[#This Row],[price_usd]]&gt;=40000,"Mid-Range","Budget"))</f>
        <v>Mid-Range</v>
      </c>
      <c r="AD655" t="str">
        <f>IF(EV_Data4[[#This Row],[range_miles]]&gt;=350,"Long-Range",IF(EV_Data4[[#This Row],[range_miles]]&gt;=250,"Medium-Range","Short-Range"))</f>
        <v>Medium-Range</v>
      </c>
      <c r="AE655" t="str">
        <f>IF(EV_Data4[[#This Row],[charging_speed_kw]]&gt;=250,"Ultra-Fast",IF(EV_Data4[[#This Row],[charging_speed_kw]]&gt;=150,"Fast-Charging","Standard-Charging"))</f>
        <v>Standard-Charging</v>
      </c>
      <c r="AF655" t="str">
        <f>IF(EV_Data4[[#This Row],[acceleration_0_60_mph]]&lt;=3,"SportsPerformance",IF(EV_Data4[[#This Row],[acceleration_0_60_mph]]&lt;=5,"HighPerformance","Standard"))</f>
        <v>Standard</v>
      </c>
      <c r="AG655" t="str">
        <f>IF(EV_Data4[[#This Row],[customer_rating]]&gt;=4.5,"Excellent",IF(EV_Data4[[#This Row],[customer_rating]]&gt;=3.5,"Good","Average"))</f>
        <v>Good</v>
      </c>
      <c r="AH65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56" spans="1:34" x14ac:dyDescent="0.3">
      <c r="A656" t="s">
        <v>24</v>
      </c>
      <c r="B656" t="s">
        <v>25</v>
      </c>
      <c r="C656">
        <v>2025</v>
      </c>
      <c r="D656" t="s">
        <v>26</v>
      </c>
      <c r="E656" s="3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48</v>
      </c>
      <c r="N656">
        <v>7</v>
      </c>
      <c r="O656" t="s">
        <v>40</v>
      </c>
      <c r="P656">
        <v>67.8</v>
      </c>
      <c r="Q656">
        <v>1781</v>
      </c>
      <c r="R656">
        <v>3</v>
      </c>
      <c r="S656">
        <v>0</v>
      </c>
      <c r="T656" t="s">
        <v>29</v>
      </c>
      <c r="U656" t="s">
        <v>37</v>
      </c>
      <c r="V656" s="3">
        <v>241176</v>
      </c>
      <c r="W656">
        <v>3.98</v>
      </c>
      <c r="X656">
        <v>3</v>
      </c>
      <c r="Y656" s="1">
        <f>EV_Data4[[#This Row],[range_miles]]/EV_Data4[[#This Row],[battery_capacity_kwh]]</f>
        <v>3.6277302943969612</v>
      </c>
      <c r="Z656" s="4">
        <f>EV_Data4[[#This Row],[price_usd]]/EV_Data4[[#This Row],[range_miles]]</f>
        <v>151.85293193717277</v>
      </c>
      <c r="AA656" s="2">
        <f>(EV_Data4[[#This Row],[customer_rating]]*EV_Data4[[#This Row],[safety_rating]]*1000)/EV_Data4[[#This Row],[price_usd]]</f>
        <v>0.20583431682142167</v>
      </c>
      <c r="AB656">
        <f>EV_Data4[[#This Row],[horsepower]]+EV_Data4[[#This Row],[torque_nm]]/EV_Data4[[#This Row],[acceleration_0_60_mph]]</f>
        <v>679.86460807600952</v>
      </c>
      <c r="AC656" t="str">
        <f>IF(EV_Data4[[#This Row],[price_usd]]&gt;=80000,"Luxury",IF(EV_Data4[[#This Row],[price_usd]]&gt;=40000,"Mid-Range","Budget"))</f>
        <v>Mid-Range</v>
      </c>
      <c r="AD656" t="str">
        <f>IF(EV_Data4[[#This Row],[range_miles]]&gt;=350,"Long-Range",IF(EV_Data4[[#This Row],[range_miles]]&gt;=250,"Medium-Range","Short-Range"))</f>
        <v>Long-Range</v>
      </c>
      <c r="AE656" t="str">
        <f>IF(EV_Data4[[#This Row],[charging_speed_kw]]&gt;=250,"Ultra-Fast",IF(EV_Data4[[#This Row],[charging_speed_kw]]&gt;=150,"Fast-Charging","Standard-Charging"))</f>
        <v>Fast-Charging</v>
      </c>
      <c r="AF656" t="str">
        <f>IF(EV_Data4[[#This Row],[acceleration_0_60_mph]]&lt;=3,"SportsPerformance",IF(EV_Data4[[#This Row],[acceleration_0_60_mph]]&lt;=5,"HighPerformance","Standard"))</f>
        <v>HighPerformance</v>
      </c>
      <c r="AG656" t="str">
        <f>IF(EV_Data4[[#This Row],[customer_rating]]&gt;=4.5,"Excellent",IF(EV_Data4[[#This Row],[customer_rating]]&gt;=3.5,"Good","Average"))</f>
        <v>Good</v>
      </c>
      <c r="AH65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57" spans="1:34" x14ac:dyDescent="0.3">
      <c r="A657" t="s">
        <v>46</v>
      </c>
      <c r="B657" t="s">
        <v>72</v>
      </c>
      <c r="C657">
        <v>2024</v>
      </c>
      <c r="D657" t="s">
        <v>26</v>
      </c>
      <c r="E657" s="3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48</v>
      </c>
      <c r="N657">
        <v>7</v>
      </c>
      <c r="O657" t="s">
        <v>28</v>
      </c>
      <c r="P657">
        <v>67.400000000000006</v>
      </c>
      <c r="Q657">
        <v>2274</v>
      </c>
      <c r="R657">
        <v>4</v>
      </c>
      <c r="S657">
        <v>3</v>
      </c>
      <c r="T657" t="s">
        <v>41</v>
      </c>
      <c r="U657" t="s">
        <v>30</v>
      </c>
      <c r="V657" s="3">
        <v>239165</v>
      </c>
      <c r="W657">
        <v>4.2699999999999996</v>
      </c>
      <c r="X657">
        <v>5</v>
      </c>
      <c r="Y657" s="1">
        <f>EV_Data4[[#This Row],[range_miles]]/EV_Data4[[#This Row],[battery_capacity_kwh]]</f>
        <v>3.4363295880149813</v>
      </c>
      <c r="Z657" s="4">
        <f>EV_Data4[[#This Row],[price_usd]]/EV_Data4[[#This Row],[range_miles]]</f>
        <v>514.89019073569489</v>
      </c>
      <c r="AA657" s="2">
        <f>(EV_Data4[[#This Row],[customer_rating]]*EV_Data4[[#This Row],[safety_rating]]*1000)/EV_Data4[[#This Row],[price_usd]]</f>
        <v>9.038725222224045E-2</v>
      </c>
      <c r="AB657">
        <f>EV_Data4[[#This Row],[horsepower]]+EV_Data4[[#This Row],[torque_nm]]/EV_Data4[[#This Row],[acceleration_0_60_mph]]</f>
        <v>1209.655172413793</v>
      </c>
      <c r="AC657" t="str">
        <f>IF(EV_Data4[[#This Row],[price_usd]]&gt;=80000,"Luxury",IF(EV_Data4[[#This Row],[price_usd]]&gt;=40000,"Mid-Range","Budget"))</f>
        <v>Luxury</v>
      </c>
      <c r="AD657" t="str">
        <f>IF(EV_Data4[[#This Row],[range_miles]]&gt;=350,"Long-Range",IF(EV_Data4[[#This Row],[range_miles]]&gt;=250,"Medium-Range","Short-Range"))</f>
        <v>Long-Range</v>
      </c>
      <c r="AE657" t="str">
        <f>IF(EV_Data4[[#This Row],[charging_speed_kw]]&gt;=250,"Ultra-Fast",IF(EV_Data4[[#This Row],[charging_speed_kw]]&gt;=150,"Fast-Charging","Standard-Charging"))</f>
        <v>Ultra-Fast</v>
      </c>
      <c r="AF657" t="str">
        <f>IF(EV_Data4[[#This Row],[acceleration_0_60_mph]]&lt;=3,"SportsPerformance",IF(EV_Data4[[#This Row],[acceleration_0_60_mph]]&lt;=5,"HighPerformance","Standard"))</f>
        <v>HighPerformance</v>
      </c>
      <c r="AG657" t="str">
        <f>IF(EV_Data4[[#This Row],[customer_rating]]&gt;=4.5,"Excellent",IF(EV_Data4[[#This Row],[customer_rating]]&gt;=3.5,"Good","Average"))</f>
        <v>Good</v>
      </c>
      <c r="AH657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658" spans="1:34" x14ac:dyDescent="0.3">
      <c r="A658" t="s">
        <v>63</v>
      </c>
      <c r="B658" t="s">
        <v>82</v>
      </c>
      <c r="C658">
        <v>2025</v>
      </c>
      <c r="D658" t="s">
        <v>61</v>
      </c>
      <c r="E658" s="3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27</v>
      </c>
      <c r="N658">
        <v>7</v>
      </c>
      <c r="O658" t="s">
        <v>58</v>
      </c>
      <c r="P658">
        <v>39.5</v>
      </c>
      <c r="Q658">
        <v>1698</v>
      </c>
      <c r="R658">
        <v>4</v>
      </c>
      <c r="S658">
        <v>1</v>
      </c>
      <c r="T658" t="s">
        <v>65</v>
      </c>
      <c r="U658" t="s">
        <v>66</v>
      </c>
      <c r="V658" s="3">
        <v>210399</v>
      </c>
      <c r="W658">
        <v>3.56</v>
      </c>
      <c r="X658">
        <v>4</v>
      </c>
      <c r="Y658" s="1">
        <f>EV_Data4[[#This Row],[range_miles]]/EV_Data4[[#This Row],[battery_capacity_kwh]]</f>
        <v>3.615023474178404</v>
      </c>
      <c r="Z658" s="4">
        <f>EV_Data4[[#This Row],[price_usd]]/EV_Data4[[#This Row],[range_miles]]</f>
        <v>145.67238095238096</v>
      </c>
      <c r="AA658" s="2">
        <f>(EV_Data4[[#This Row],[customer_rating]]*EV_Data4[[#This Row],[safety_rating]]*1000)/EV_Data4[[#This Row],[price_usd]]</f>
        <v>0.4231757677192966</v>
      </c>
      <c r="AB658">
        <f>EV_Data4[[#This Row],[horsepower]]+EV_Data4[[#This Row],[torque_nm]]/EV_Data4[[#This Row],[acceleration_0_60_mph]]</f>
        <v>378.13297150610583</v>
      </c>
      <c r="AC658" t="str">
        <f>IF(EV_Data4[[#This Row],[price_usd]]&gt;=80000,"Luxury",IF(EV_Data4[[#This Row],[price_usd]]&gt;=40000,"Mid-Range","Budget"))</f>
        <v>Budget</v>
      </c>
      <c r="AD658" t="str">
        <f>IF(EV_Data4[[#This Row],[range_miles]]&gt;=350,"Long-Range",IF(EV_Data4[[#This Row],[range_miles]]&gt;=250,"Medium-Range","Short-Range"))</f>
        <v>Short-Range</v>
      </c>
      <c r="AE658" t="str">
        <f>IF(EV_Data4[[#This Row],[charging_speed_kw]]&gt;=250,"Ultra-Fast",IF(EV_Data4[[#This Row],[charging_speed_kw]]&gt;=150,"Fast-Charging","Standard-Charging"))</f>
        <v>Standard-Charging</v>
      </c>
      <c r="AF658" t="str">
        <f>IF(EV_Data4[[#This Row],[acceleration_0_60_mph]]&lt;=3,"SportsPerformance",IF(EV_Data4[[#This Row],[acceleration_0_60_mph]]&lt;=5,"HighPerformance","Standard"))</f>
        <v>Standard</v>
      </c>
      <c r="AG658" t="str">
        <f>IF(EV_Data4[[#This Row],[customer_rating]]&gt;=4.5,"Excellent",IF(EV_Data4[[#This Row],[customer_rating]]&gt;=3.5,"Good","Average"))</f>
        <v>Good</v>
      </c>
      <c r="AH65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59" spans="1:34" x14ac:dyDescent="0.3">
      <c r="A659" t="s">
        <v>24</v>
      </c>
      <c r="B659" t="s">
        <v>25</v>
      </c>
      <c r="C659">
        <v>2023</v>
      </c>
      <c r="D659" t="s">
        <v>56</v>
      </c>
      <c r="E659" s="3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34</v>
      </c>
      <c r="N659">
        <v>5</v>
      </c>
      <c r="O659" t="s">
        <v>58</v>
      </c>
      <c r="P659">
        <v>30.7</v>
      </c>
      <c r="Q659">
        <v>1500</v>
      </c>
      <c r="R659">
        <v>5</v>
      </c>
      <c r="S659">
        <v>0</v>
      </c>
      <c r="T659" t="s">
        <v>29</v>
      </c>
      <c r="U659" t="s">
        <v>66</v>
      </c>
      <c r="V659" s="3">
        <v>272903</v>
      </c>
      <c r="W659">
        <v>3.24</v>
      </c>
      <c r="X659">
        <v>3</v>
      </c>
      <c r="Y659" s="1">
        <f>EV_Data4[[#This Row],[range_miles]]/EV_Data4[[#This Row],[battery_capacity_kwh]]</f>
        <v>3.8715953307392996</v>
      </c>
      <c r="Z659" s="4">
        <f>EV_Data4[[#This Row],[price_usd]]/EV_Data4[[#This Row],[range_miles]]</f>
        <v>160.05417085427135</v>
      </c>
      <c r="AA659" s="2">
        <f>(EV_Data4[[#This Row],[customer_rating]]*EV_Data4[[#This Row],[safety_rating]]*1000)/EV_Data4[[#This Row],[price_usd]]</f>
        <v>0.50862176687666694</v>
      </c>
      <c r="AB659">
        <f>EV_Data4[[#This Row],[horsepower]]+EV_Data4[[#This Row],[torque_nm]]/EV_Data4[[#This Row],[acceleration_0_60_mph]]</f>
        <v>194.16901408450704</v>
      </c>
      <c r="AC659" t="str">
        <f>IF(EV_Data4[[#This Row],[price_usd]]&gt;=80000,"Luxury",IF(EV_Data4[[#This Row],[price_usd]]&gt;=40000,"Mid-Range","Budget"))</f>
        <v>Budget</v>
      </c>
      <c r="AD659" t="str">
        <f>IF(EV_Data4[[#This Row],[range_miles]]&gt;=350,"Long-Range",IF(EV_Data4[[#This Row],[range_miles]]&gt;=250,"Medium-Range","Short-Range"))</f>
        <v>Short-Range</v>
      </c>
      <c r="AE659" t="str">
        <f>IF(EV_Data4[[#This Row],[charging_speed_kw]]&gt;=250,"Ultra-Fast",IF(EV_Data4[[#This Row],[charging_speed_kw]]&gt;=150,"Fast-Charging","Standard-Charging"))</f>
        <v>Standard-Charging</v>
      </c>
      <c r="AF659" t="str">
        <f>IF(EV_Data4[[#This Row],[acceleration_0_60_mph]]&lt;=3,"SportsPerformance",IF(EV_Data4[[#This Row],[acceleration_0_60_mph]]&lt;=5,"HighPerformance","Standard"))</f>
        <v>Standard</v>
      </c>
      <c r="AG659" t="str">
        <f>IF(EV_Data4[[#This Row],[customer_rating]]&gt;=4.5,"Excellent",IF(EV_Data4[[#This Row],[customer_rating]]&gt;=3.5,"Good","Average"))</f>
        <v>Average</v>
      </c>
      <c r="AH65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60" spans="1:34" x14ac:dyDescent="0.3">
      <c r="A660" t="s">
        <v>83</v>
      </c>
      <c r="B660" t="s">
        <v>104</v>
      </c>
      <c r="C660">
        <v>2026</v>
      </c>
      <c r="D660" t="s">
        <v>61</v>
      </c>
      <c r="E660" s="3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48</v>
      </c>
      <c r="N660">
        <v>7</v>
      </c>
      <c r="O660" t="s">
        <v>40</v>
      </c>
      <c r="P660">
        <v>66</v>
      </c>
      <c r="Q660">
        <v>1641</v>
      </c>
      <c r="R660">
        <v>4</v>
      </c>
      <c r="S660">
        <v>1</v>
      </c>
      <c r="T660" t="s">
        <v>29</v>
      </c>
      <c r="U660" t="s">
        <v>30</v>
      </c>
      <c r="V660" s="3">
        <v>20689</v>
      </c>
      <c r="W660">
        <v>3.65</v>
      </c>
      <c r="X660">
        <v>7</v>
      </c>
      <c r="Y660" s="1">
        <f>EV_Data4[[#This Row],[range_miles]]/EV_Data4[[#This Row],[battery_capacity_kwh]]</f>
        <v>3.5499398315282793</v>
      </c>
      <c r="Z660" s="4">
        <f>EV_Data4[[#This Row],[price_usd]]/EV_Data4[[#This Row],[range_miles]]</f>
        <v>377.41583050847458</v>
      </c>
      <c r="AA660" s="2">
        <f>(EV_Data4[[#This Row],[customer_rating]]*EV_Data4[[#This Row],[safety_rating]]*1000)/EV_Data4[[#This Row],[price_usd]]</f>
        <v>0.13113261666065043</v>
      </c>
      <c r="AB660">
        <f>EV_Data4[[#This Row],[horsepower]]+EV_Data4[[#This Row],[torque_nm]]/EV_Data4[[#This Row],[acceleration_0_60_mph]]</f>
        <v>1164.9373881932022</v>
      </c>
      <c r="AC660" t="str">
        <f>IF(EV_Data4[[#This Row],[price_usd]]&gt;=80000,"Luxury",IF(EV_Data4[[#This Row],[price_usd]]&gt;=40000,"Mid-Range","Budget"))</f>
        <v>Luxury</v>
      </c>
      <c r="AD660" t="str">
        <f>IF(EV_Data4[[#This Row],[range_miles]]&gt;=350,"Long-Range",IF(EV_Data4[[#This Row],[range_miles]]&gt;=250,"Medium-Range","Short-Range"))</f>
        <v>Medium-Range</v>
      </c>
      <c r="AE660" t="str">
        <f>IF(EV_Data4[[#This Row],[charging_speed_kw]]&gt;=250,"Ultra-Fast",IF(EV_Data4[[#This Row],[charging_speed_kw]]&gt;=150,"Fast-Charging","Standard-Charging"))</f>
        <v>Standard-Charging</v>
      </c>
      <c r="AF660" t="str">
        <f>IF(EV_Data4[[#This Row],[acceleration_0_60_mph]]&lt;=3,"SportsPerformance",IF(EV_Data4[[#This Row],[acceleration_0_60_mph]]&lt;=5,"HighPerformance","Standard"))</f>
        <v>Standard</v>
      </c>
      <c r="AG660" t="str">
        <f>IF(EV_Data4[[#This Row],[customer_rating]]&gt;=4.5,"Excellent",IF(EV_Data4[[#This Row],[customer_rating]]&gt;=3.5,"Good","Average"))</f>
        <v>Good</v>
      </c>
      <c r="AH66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61" spans="1:34" x14ac:dyDescent="0.3">
      <c r="A661" t="s">
        <v>42</v>
      </c>
      <c r="B661" t="s">
        <v>43</v>
      </c>
      <c r="C661">
        <v>2024</v>
      </c>
      <c r="D661" t="s">
        <v>61</v>
      </c>
      <c r="E661" s="3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48</v>
      </c>
      <c r="N661">
        <v>5</v>
      </c>
      <c r="O661" t="s">
        <v>35</v>
      </c>
      <c r="P661">
        <v>55.4</v>
      </c>
      <c r="Q661">
        <v>2177</v>
      </c>
      <c r="R661">
        <v>4</v>
      </c>
      <c r="S661">
        <v>0</v>
      </c>
      <c r="T661" t="s">
        <v>45</v>
      </c>
      <c r="U661" t="s">
        <v>37</v>
      </c>
      <c r="V661" s="3">
        <v>135755</v>
      </c>
      <c r="W661">
        <v>3.26</v>
      </c>
      <c r="X661">
        <v>4</v>
      </c>
      <c r="Y661" s="1">
        <f>EV_Data4[[#This Row],[range_miles]]/EV_Data4[[#This Row],[battery_capacity_kwh]]</f>
        <v>3.5053380782918149</v>
      </c>
      <c r="Z661" s="4">
        <f>EV_Data4[[#This Row],[price_usd]]/EV_Data4[[#This Row],[range_miles]]</f>
        <v>287.27507614213198</v>
      </c>
      <c r="AA661" s="2">
        <f>(EV_Data4[[#This Row],[customer_rating]]*EV_Data4[[#This Row],[safety_rating]]*1000)/EV_Data4[[#This Row],[price_usd]]</f>
        <v>0.23041641582670988</v>
      </c>
      <c r="AB661">
        <f>EV_Data4[[#This Row],[horsepower]]+EV_Data4[[#This Row],[torque_nm]]/EV_Data4[[#This Row],[acceleration_0_60_mph]]</f>
        <v>694.7709923664122</v>
      </c>
      <c r="AC661" t="str">
        <f>IF(EV_Data4[[#This Row],[price_usd]]&gt;=80000,"Luxury",IF(EV_Data4[[#This Row],[price_usd]]&gt;=40000,"Mid-Range","Budget"))</f>
        <v>Mid-Range</v>
      </c>
      <c r="AD661" t="str">
        <f>IF(EV_Data4[[#This Row],[range_miles]]&gt;=350,"Long-Range",IF(EV_Data4[[#This Row],[range_miles]]&gt;=250,"Medium-Range","Short-Range"))</f>
        <v>Short-Range</v>
      </c>
      <c r="AE661" t="str">
        <f>IF(EV_Data4[[#This Row],[charging_speed_kw]]&gt;=250,"Ultra-Fast",IF(EV_Data4[[#This Row],[charging_speed_kw]]&gt;=150,"Fast-Charging","Standard-Charging"))</f>
        <v>Standard-Charging</v>
      </c>
      <c r="AF661" t="str">
        <f>IF(EV_Data4[[#This Row],[acceleration_0_60_mph]]&lt;=3,"SportsPerformance",IF(EV_Data4[[#This Row],[acceleration_0_60_mph]]&lt;=5,"HighPerformance","Standard"))</f>
        <v>Standard</v>
      </c>
      <c r="AG661" t="str">
        <f>IF(EV_Data4[[#This Row],[customer_rating]]&gt;=4.5,"Excellent",IF(EV_Data4[[#This Row],[customer_rating]]&gt;=3.5,"Good","Average"))</f>
        <v>Average</v>
      </c>
      <c r="AH66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62" spans="1:34" x14ac:dyDescent="0.3">
      <c r="A662" t="s">
        <v>24</v>
      </c>
      <c r="B662" t="s">
        <v>85</v>
      </c>
      <c r="C662">
        <v>2024</v>
      </c>
      <c r="D662" t="s">
        <v>56</v>
      </c>
      <c r="E662" s="3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48</v>
      </c>
      <c r="N662">
        <v>7</v>
      </c>
      <c r="O662" t="s">
        <v>35</v>
      </c>
      <c r="P662">
        <v>68.2</v>
      </c>
      <c r="Q662">
        <v>2030</v>
      </c>
      <c r="R662">
        <v>5</v>
      </c>
      <c r="S662">
        <v>1</v>
      </c>
      <c r="T662" t="s">
        <v>29</v>
      </c>
      <c r="U662" t="s">
        <v>33</v>
      </c>
      <c r="V662" s="3">
        <v>287315</v>
      </c>
      <c r="W662">
        <v>3.19</v>
      </c>
      <c r="X662">
        <v>3</v>
      </c>
      <c r="Y662" s="1">
        <f>EV_Data4[[#This Row],[range_miles]]/EV_Data4[[#This Row],[battery_capacity_kwh]]</f>
        <v>3.2235701906412477</v>
      </c>
      <c r="Z662" s="4">
        <f>EV_Data4[[#This Row],[price_usd]]/EV_Data4[[#This Row],[range_miles]]</f>
        <v>384.78483870967739</v>
      </c>
      <c r="AA662" s="2">
        <f>(EV_Data4[[#This Row],[customer_rating]]*EV_Data4[[#This Row],[safety_rating]]*1000)/EV_Data4[[#This Row],[price_usd]]</f>
        <v>0.22285880197255889</v>
      </c>
      <c r="AB662">
        <f>EV_Data4[[#This Row],[horsepower]]+EV_Data4[[#This Row],[torque_nm]]/EV_Data4[[#This Row],[acceleration_0_60_mph]]</f>
        <v>865.03914590747331</v>
      </c>
      <c r="AC662" t="str">
        <f>IF(EV_Data4[[#This Row],[price_usd]]&gt;=80000,"Luxury",IF(EV_Data4[[#This Row],[price_usd]]&gt;=40000,"Mid-Range","Budget"))</f>
        <v>Mid-Range</v>
      </c>
      <c r="AD662" t="str">
        <f>IF(EV_Data4[[#This Row],[range_miles]]&gt;=350,"Long-Range",IF(EV_Data4[[#This Row],[range_miles]]&gt;=250,"Medium-Range","Short-Range"))</f>
        <v>Short-Range</v>
      </c>
      <c r="AE662" t="str">
        <f>IF(EV_Data4[[#This Row],[charging_speed_kw]]&gt;=250,"Ultra-Fast",IF(EV_Data4[[#This Row],[charging_speed_kw]]&gt;=150,"Fast-Charging","Standard-Charging"))</f>
        <v>Standard-Charging</v>
      </c>
      <c r="AF662" t="str">
        <f>IF(EV_Data4[[#This Row],[acceleration_0_60_mph]]&lt;=3,"SportsPerformance",IF(EV_Data4[[#This Row],[acceleration_0_60_mph]]&lt;=5,"HighPerformance","Standard"))</f>
        <v>Standard</v>
      </c>
      <c r="AG662" t="str">
        <f>IF(EV_Data4[[#This Row],[customer_rating]]&gt;=4.5,"Excellent",IF(EV_Data4[[#This Row],[customer_rating]]&gt;=3.5,"Good","Average"))</f>
        <v>Average</v>
      </c>
      <c r="AH66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63" spans="1:34" x14ac:dyDescent="0.3">
      <c r="A663" t="s">
        <v>99</v>
      </c>
      <c r="B663" t="s">
        <v>100</v>
      </c>
      <c r="C663">
        <v>2023</v>
      </c>
      <c r="D663" t="s">
        <v>44</v>
      </c>
      <c r="E663" s="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34</v>
      </c>
      <c r="N663">
        <v>7</v>
      </c>
      <c r="O663" t="s">
        <v>50</v>
      </c>
      <c r="P663">
        <v>25.3</v>
      </c>
      <c r="Q663">
        <v>1829</v>
      </c>
      <c r="R663">
        <v>3</v>
      </c>
      <c r="S663">
        <v>0</v>
      </c>
      <c r="T663" t="s">
        <v>29</v>
      </c>
      <c r="U663" t="s">
        <v>30</v>
      </c>
      <c r="V663" s="3">
        <v>9428</v>
      </c>
      <c r="W663">
        <v>3.64</v>
      </c>
      <c r="X663">
        <v>8</v>
      </c>
      <c r="Y663" s="1">
        <f>EV_Data4[[#This Row],[range_miles]]/EV_Data4[[#This Row],[battery_capacity_kwh]]</f>
        <v>3.3333333333333335</v>
      </c>
      <c r="Z663" s="4">
        <f>EV_Data4[[#This Row],[price_usd]]/EV_Data4[[#This Row],[range_miles]]</f>
        <v>553.94718253968256</v>
      </c>
      <c r="AA663" s="2">
        <f>(EV_Data4[[#This Row],[customer_rating]]*EV_Data4[[#This Row],[safety_rating]]*1000)/EV_Data4[[#This Row],[price_usd]]</f>
        <v>7.8226471221792174E-2</v>
      </c>
      <c r="AB663">
        <f>EV_Data4[[#This Row],[horsepower]]+EV_Data4[[#This Row],[torque_nm]]/EV_Data4[[#This Row],[acceleration_0_60_mph]]</f>
        <v>719.73563218390802</v>
      </c>
      <c r="AC663" t="str">
        <f>IF(EV_Data4[[#This Row],[price_usd]]&gt;=80000,"Luxury",IF(EV_Data4[[#This Row],[price_usd]]&gt;=40000,"Mid-Range","Budget"))</f>
        <v>Luxury</v>
      </c>
      <c r="AD663" t="str">
        <f>IF(EV_Data4[[#This Row],[range_miles]]&gt;=350,"Long-Range",IF(EV_Data4[[#This Row],[range_miles]]&gt;=250,"Medium-Range","Short-Range"))</f>
        <v>Medium-Range</v>
      </c>
      <c r="AE663" t="str">
        <f>IF(EV_Data4[[#This Row],[charging_speed_kw]]&gt;=250,"Ultra-Fast",IF(EV_Data4[[#This Row],[charging_speed_kw]]&gt;=150,"Fast-Charging","Standard-Charging"))</f>
        <v>Ultra-Fast</v>
      </c>
      <c r="AF663" t="str">
        <f>IF(EV_Data4[[#This Row],[acceleration_0_60_mph]]&lt;=3,"SportsPerformance",IF(EV_Data4[[#This Row],[acceleration_0_60_mph]]&lt;=5,"HighPerformance","Standard"))</f>
        <v>HighPerformance</v>
      </c>
      <c r="AG663" t="str">
        <f>IF(EV_Data4[[#This Row],[customer_rating]]&gt;=4.5,"Excellent",IF(EV_Data4[[#This Row],[customer_rating]]&gt;=3.5,"Good","Average"))</f>
        <v>Good</v>
      </c>
      <c r="AH66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64" spans="1:34" x14ac:dyDescent="0.3">
      <c r="A664" t="s">
        <v>42</v>
      </c>
      <c r="B664" t="s">
        <v>54</v>
      </c>
      <c r="C664">
        <v>2023</v>
      </c>
      <c r="D664" t="s">
        <v>61</v>
      </c>
      <c r="E664" s="3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34</v>
      </c>
      <c r="N664">
        <v>7</v>
      </c>
      <c r="O664" t="s">
        <v>50</v>
      </c>
      <c r="P664">
        <v>33.200000000000003</v>
      </c>
      <c r="Q664">
        <v>1795</v>
      </c>
      <c r="R664">
        <v>4</v>
      </c>
      <c r="S664">
        <v>0</v>
      </c>
      <c r="T664" t="s">
        <v>45</v>
      </c>
      <c r="U664" t="s">
        <v>37</v>
      </c>
      <c r="V664" s="3">
        <v>121472</v>
      </c>
      <c r="W664">
        <v>3.23</v>
      </c>
      <c r="X664">
        <v>4</v>
      </c>
      <c r="Y664" s="1">
        <f>EV_Data4[[#This Row],[range_miles]]/EV_Data4[[#This Row],[battery_capacity_kwh]]</f>
        <v>3.3933933933933935</v>
      </c>
      <c r="Z664" s="4">
        <f>EV_Data4[[#This Row],[price_usd]]/EV_Data4[[#This Row],[range_miles]]</f>
        <v>186.41141592920354</v>
      </c>
      <c r="AA664" s="2">
        <f>(EV_Data4[[#This Row],[customer_rating]]*EV_Data4[[#This Row],[safety_rating]]*1000)/EV_Data4[[#This Row],[price_usd]]</f>
        <v>0.30667725636841908</v>
      </c>
      <c r="AB664">
        <f>EV_Data4[[#This Row],[horsepower]]+EV_Data4[[#This Row],[torque_nm]]/EV_Data4[[#This Row],[acceleration_0_60_mph]]</f>
        <v>409.56304985337243</v>
      </c>
      <c r="AC664" t="str">
        <f>IF(EV_Data4[[#This Row],[price_usd]]&gt;=80000,"Luxury",IF(EV_Data4[[#This Row],[price_usd]]&gt;=40000,"Mid-Range","Budget"))</f>
        <v>Mid-Range</v>
      </c>
      <c r="AD664" t="str">
        <f>IF(EV_Data4[[#This Row],[range_miles]]&gt;=350,"Long-Range",IF(EV_Data4[[#This Row],[range_miles]]&gt;=250,"Medium-Range","Short-Range"))</f>
        <v>Short-Range</v>
      </c>
      <c r="AE664" t="str">
        <f>IF(EV_Data4[[#This Row],[charging_speed_kw]]&gt;=250,"Ultra-Fast",IF(EV_Data4[[#This Row],[charging_speed_kw]]&gt;=150,"Fast-Charging","Standard-Charging"))</f>
        <v>Standard-Charging</v>
      </c>
      <c r="AF664" t="str">
        <f>IF(EV_Data4[[#This Row],[acceleration_0_60_mph]]&lt;=3,"SportsPerformance",IF(EV_Data4[[#This Row],[acceleration_0_60_mph]]&lt;=5,"HighPerformance","Standard"))</f>
        <v>Standard</v>
      </c>
      <c r="AG664" t="str">
        <f>IF(EV_Data4[[#This Row],[customer_rating]]&gt;=4.5,"Excellent",IF(EV_Data4[[#This Row],[customer_rating]]&gt;=3.5,"Good","Average"))</f>
        <v>Average</v>
      </c>
      <c r="AH66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65" spans="1:34" x14ac:dyDescent="0.3">
      <c r="A665" t="s">
        <v>63</v>
      </c>
      <c r="B665" t="s">
        <v>64</v>
      </c>
      <c r="C665">
        <v>2023</v>
      </c>
      <c r="D665" t="s">
        <v>56</v>
      </c>
      <c r="E665" s="3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34</v>
      </c>
      <c r="N665">
        <v>7</v>
      </c>
      <c r="O665" t="s">
        <v>50</v>
      </c>
      <c r="P665">
        <v>32.1</v>
      </c>
      <c r="Q665">
        <v>1500</v>
      </c>
      <c r="R665">
        <v>4</v>
      </c>
      <c r="S665">
        <v>0</v>
      </c>
      <c r="T665" t="s">
        <v>65</v>
      </c>
      <c r="U665" t="s">
        <v>37</v>
      </c>
      <c r="V665" s="3">
        <v>203886</v>
      </c>
      <c r="W665">
        <v>3.06</v>
      </c>
      <c r="X665">
        <v>3</v>
      </c>
      <c r="Y665" s="1">
        <f>EV_Data4[[#This Row],[range_miles]]/EV_Data4[[#This Row],[battery_capacity_kwh]]</f>
        <v>3.1</v>
      </c>
      <c r="Z665" s="4">
        <f>EV_Data4[[#This Row],[price_usd]]/EV_Data4[[#This Row],[range_miles]]</f>
        <v>281.51145161290322</v>
      </c>
      <c r="AA665" s="2">
        <f>(EV_Data4[[#This Row],[customer_rating]]*EV_Data4[[#This Row],[safety_rating]]*1000)/EV_Data4[[#This Row],[price_usd]]</f>
        <v>0.23376118888190534</v>
      </c>
      <c r="AB665">
        <f>EV_Data4[[#This Row],[horsepower]]+EV_Data4[[#This Row],[torque_nm]]/EV_Data4[[#This Row],[acceleration_0_60_mph]]</f>
        <v>594.51212938005392</v>
      </c>
      <c r="AC665" t="str">
        <f>IF(EV_Data4[[#This Row],[price_usd]]&gt;=80000,"Luxury",IF(EV_Data4[[#This Row],[price_usd]]&gt;=40000,"Mid-Range","Budget"))</f>
        <v>Mid-Range</v>
      </c>
      <c r="AD665" t="str">
        <f>IF(EV_Data4[[#This Row],[range_miles]]&gt;=350,"Long-Range",IF(EV_Data4[[#This Row],[range_miles]]&gt;=250,"Medium-Range","Short-Range"))</f>
        <v>Short-Range</v>
      </c>
      <c r="AE665" t="str">
        <f>IF(EV_Data4[[#This Row],[charging_speed_kw]]&gt;=250,"Ultra-Fast",IF(EV_Data4[[#This Row],[charging_speed_kw]]&gt;=150,"Fast-Charging","Standard-Charging"))</f>
        <v>Standard-Charging</v>
      </c>
      <c r="AF665" t="str">
        <f>IF(EV_Data4[[#This Row],[acceleration_0_60_mph]]&lt;=3,"SportsPerformance",IF(EV_Data4[[#This Row],[acceleration_0_60_mph]]&lt;=5,"HighPerformance","Standard"))</f>
        <v>Standard</v>
      </c>
      <c r="AG665" t="str">
        <f>IF(EV_Data4[[#This Row],[customer_rating]]&gt;=4.5,"Excellent",IF(EV_Data4[[#This Row],[customer_rating]]&gt;=3.5,"Good","Average"))</f>
        <v>Average</v>
      </c>
      <c r="AH66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66" spans="1:34" x14ac:dyDescent="0.3">
      <c r="A666" t="s">
        <v>46</v>
      </c>
      <c r="B666" t="s">
        <v>72</v>
      </c>
      <c r="C666">
        <v>2022</v>
      </c>
      <c r="D666" t="s">
        <v>26</v>
      </c>
      <c r="E666" s="3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48</v>
      </c>
      <c r="N666">
        <v>5</v>
      </c>
      <c r="O666" t="s">
        <v>28</v>
      </c>
      <c r="P666">
        <v>75.099999999999994</v>
      </c>
      <c r="Q666">
        <v>2605</v>
      </c>
      <c r="R666">
        <v>4</v>
      </c>
      <c r="S666">
        <v>2</v>
      </c>
      <c r="T666" t="s">
        <v>41</v>
      </c>
      <c r="U666" t="s">
        <v>30</v>
      </c>
      <c r="V666" s="3">
        <v>172224</v>
      </c>
      <c r="W666">
        <v>4.09</v>
      </c>
      <c r="X666">
        <v>4</v>
      </c>
      <c r="Y666" s="1">
        <f>EV_Data4[[#This Row],[range_miles]]/EV_Data4[[#This Row],[battery_capacity_kwh]]</f>
        <v>3.6426712922810061</v>
      </c>
      <c r="Z666" s="4">
        <f>EV_Data4[[#This Row],[price_usd]]/EV_Data4[[#This Row],[range_miles]]</f>
        <v>384.55595238095236</v>
      </c>
      <c r="AA666" s="2">
        <f>(EV_Data4[[#This Row],[customer_rating]]*EV_Data4[[#This Row],[safety_rating]]*1000)/EV_Data4[[#This Row],[price_usd]]</f>
        <v>0.1012918424775638</v>
      </c>
      <c r="AB666">
        <f>EV_Data4[[#This Row],[horsepower]]+EV_Data4[[#This Row],[torque_nm]]/EV_Data4[[#This Row],[acceleration_0_60_mph]]</f>
        <v>1363.7795275590552</v>
      </c>
      <c r="AC666" t="str">
        <f>IF(EV_Data4[[#This Row],[price_usd]]&gt;=80000,"Luxury",IF(EV_Data4[[#This Row],[price_usd]]&gt;=40000,"Mid-Range","Budget"))</f>
        <v>Luxury</v>
      </c>
      <c r="AD666" t="str">
        <f>IF(EV_Data4[[#This Row],[range_miles]]&gt;=350,"Long-Range",IF(EV_Data4[[#This Row],[range_miles]]&gt;=250,"Medium-Range","Short-Range"))</f>
        <v>Long-Range</v>
      </c>
      <c r="AE666" t="str">
        <f>IF(EV_Data4[[#This Row],[charging_speed_kw]]&gt;=250,"Ultra-Fast",IF(EV_Data4[[#This Row],[charging_speed_kw]]&gt;=150,"Fast-Charging","Standard-Charging"))</f>
        <v>Fast-Charging</v>
      </c>
      <c r="AF666" t="str">
        <f>IF(EV_Data4[[#This Row],[acceleration_0_60_mph]]&lt;=3,"SportsPerformance",IF(EV_Data4[[#This Row],[acceleration_0_60_mph]]&lt;=5,"HighPerformance","Standard"))</f>
        <v>SportsPerformance</v>
      </c>
      <c r="AG666" t="str">
        <f>IF(EV_Data4[[#This Row],[customer_rating]]&gt;=4.5,"Excellent",IF(EV_Data4[[#This Row],[customer_rating]]&gt;=3.5,"Good","Average"))</f>
        <v>Good</v>
      </c>
      <c r="AH66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67" spans="1:34" x14ac:dyDescent="0.3">
      <c r="A667" t="s">
        <v>46</v>
      </c>
      <c r="B667" t="s">
        <v>57</v>
      </c>
      <c r="C667">
        <v>2025</v>
      </c>
      <c r="D667" t="s">
        <v>26</v>
      </c>
      <c r="E667" s="3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27</v>
      </c>
      <c r="N667">
        <v>7</v>
      </c>
      <c r="O667" t="s">
        <v>50</v>
      </c>
      <c r="P667">
        <v>34.700000000000003</v>
      </c>
      <c r="Q667">
        <v>1588</v>
      </c>
      <c r="R667">
        <v>4</v>
      </c>
      <c r="S667">
        <v>2</v>
      </c>
      <c r="T667" t="s">
        <v>41</v>
      </c>
      <c r="U667" t="s">
        <v>33</v>
      </c>
      <c r="V667" s="3">
        <v>244941</v>
      </c>
      <c r="W667">
        <v>3.69</v>
      </c>
      <c r="X667">
        <v>5</v>
      </c>
      <c r="Y667" s="1">
        <f>EV_Data4[[#This Row],[range_miles]]/EV_Data4[[#This Row],[battery_capacity_kwh]]</f>
        <v>3.3738191632928478</v>
      </c>
      <c r="Z667" s="4">
        <f>EV_Data4[[#This Row],[price_usd]]/EV_Data4[[#This Row],[range_miles]]</f>
        <v>398.18279999999999</v>
      </c>
      <c r="AA667" s="2">
        <f>(EV_Data4[[#This Row],[customer_rating]]*EV_Data4[[#This Row],[safety_rating]]*1000)/EV_Data4[[#This Row],[price_usd]]</f>
        <v>0.14827360699658548</v>
      </c>
      <c r="AB667">
        <f>EV_Data4[[#This Row],[horsepower]]+EV_Data4[[#This Row],[torque_nm]]/EV_Data4[[#This Row],[acceleration_0_60_mph]]</f>
        <v>907.57517899761342</v>
      </c>
      <c r="AC667" t="str">
        <f>IF(EV_Data4[[#This Row],[price_usd]]&gt;=80000,"Luxury",IF(EV_Data4[[#This Row],[price_usd]]&gt;=40000,"Mid-Range","Budget"))</f>
        <v>Luxury</v>
      </c>
      <c r="AD667" t="str">
        <f>IF(EV_Data4[[#This Row],[range_miles]]&gt;=350,"Long-Range",IF(EV_Data4[[#This Row],[range_miles]]&gt;=250,"Medium-Range","Short-Range"))</f>
        <v>Medium-Range</v>
      </c>
      <c r="AE667" t="str">
        <f>IF(EV_Data4[[#This Row],[charging_speed_kw]]&gt;=250,"Ultra-Fast",IF(EV_Data4[[#This Row],[charging_speed_kw]]&gt;=150,"Fast-Charging","Standard-Charging"))</f>
        <v>Fast-Charging</v>
      </c>
      <c r="AF667" t="str">
        <f>IF(EV_Data4[[#This Row],[acceleration_0_60_mph]]&lt;=3,"SportsPerformance",IF(EV_Data4[[#This Row],[acceleration_0_60_mph]]&lt;=5,"HighPerformance","Standard"))</f>
        <v>HighPerformance</v>
      </c>
      <c r="AG667" t="str">
        <f>IF(EV_Data4[[#This Row],[customer_rating]]&gt;=4.5,"Excellent",IF(EV_Data4[[#This Row],[customer_rating]]&gt;=3.5,"Good","Average"))</f>
        <v>Good</v>
      </c>
      <c r="AH66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68" spans="1:34" x14ac:dyDescent="0.3">
      <c r="A668" t="s">
        <v>63</v>
      </c>
      <c r="B668" t="s">
        <v>96</v>
      </c>
      <c r="C668">
        <v>2023</v>
      </c>
      <c r="D668" t="s">
        <v>33</v>
      </c>
      <c r="E668" s="3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27</v>
      </c>
      <c r="N668">
        <v>5</v>
      </c>
      <c r="O668" t="s">
        <v>28</v>
      </c>
      <c r="P668">
        <v>74</v>
      </c>
      <c r="Q668">
        <v>2356</v>
      </c>
      <c r="R668">
        <v>5</v>
      </c>
      <c r="S668">
        <v>1</v>
      </c>
      <c r="T668" t="s">
        <v>65</v>
      </c>
      <c r="U668" t="s">
        <v>33</v>
      </c>
      <c r="V668" s="3">
        <v>238674</v>
      </c>
      <c r="W668">
        <v>3.59</v>
      </c>
      <c r="X668">
        <v>4</v>
      </c>
      <c r="Y668" s="1">
        <f>EV_Data4[[#This Row],[range_miles]]/EV_Data4[[#This Row],[battery_capacity_kwh]]</f>
        <v>3.6352657004830919</v>
      </c>
      <c r="Z668" s="4">
        <f>EV_Data4[[#This Row],[price_usd]]/EV_Data4[[#This Row],[range_miles]]</f>
        <v>261.34318936877077</v>
      </c>
      <c r="AA668" s="2">
        <f>(EV_Data4[[#This Row],[customer_rating]]*EV_Data4[[#This Row],[safety_rating]]*1000)/EV_Data4[[#This Row],[price_usd]]</f>
        <v>0.22818483098432199</v>
      </c>
      <c r="AB668">
        <f>EV_Data4[[#This Row],[horsepower]]+EV_Data4[[#This Row],[torque_nm]]/EV_Data4[[#This Row],[acceleration_0_60_mph]]</f>
        <v>956.65467625899282</v>
      </c>
      <c r="AC668" t="str">
        <f>IF(EV_Data4[[#This Row],[price_usd]]&gt;=80000,"Luxury",IF(EV_Data4[[#This Row],[price_usd]]&gt;=40000,"Mid-Range","Budget"))</f>
        <v>Mid-Range</v>
      </c>
      <c r="AD668" t="str">
        <f>IF(EV_Data4[[#This Row],[range_miles]]&gt;=350,"Long-Range",IF(EV_Data4[[#This Row],[range_miles]]&gt;=250,"Medium-Range","Short-Range"))</f>
        <v>Medium-Range</v>
      </c>
      <c r="AE668" t="str">
        <f>IF(EV_Data4[[#This Row],[charging_speed_kw]]&gt;=250,"Ultra-Fast",IF(EV_Data4[[#This Row],[charging_speed_kw]]&gt;=150,"Fast-Charging","Standard-Charging"))</f>
        <v>Standard-Charging</v>
      </c>
      <c r="AF668" t="str">
        <f>IF(EV_Data4[[#This Row],[acceleration_0_60_mph]]&lt;=3,"SportsPerformance",IF(EV_Data4[[#This Row],[acceleration_0_60_mph]]&lt;=5,"HighPerformance","Standard"))</f>
        <v>Standard</v>
      </c>
      <c r="AG668" t="str">
        <f>IF(EV_Data4[[#This Row],[customer_rating]]&gt;=4.5,"Excellent",IF(EV_Data4[[#This Row],[customer_rating]]&gt;=3.5,"Good","Average"))</f>
        <v>Good</v>
      </c>
      <c r="AH66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69" spans="1:34" x14ac:dyDescent="0.3">
      <c r="A669" t="s">
        <v>46</v>
      </c>
      <c r="B669" t="s">
        <v>49</v>
      </c>
      <c r="C669">
        <v>2022</v>
      </c>
      <c r="D669" t="s">
        <v>56</v>
      </c>
      <c r="E669" s="3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34</v>
      </c>
      <c r="N669">
        <v>5</v>
      </c>
      <c r="O669" t="s">
        <v>51</v>
      </c>
      <c r="P669">
        <v>23</v>
      </c>
      <c r="Q669">
        <v>1503</v>
      </c>
      <c r="R669">
        <v>5</v>
      </c>
      <c r="S669">
        <v>2</v>
      </c>
      <c r="T669" t="s">
        <v>41</v>
      </c>
      <c r="U669" t="s">
        <v>33</v>
      </c>
      <c r="V669" s="3">
        <v>455317</v>
      </c>
      <c r="W669">
        <v>3.27</v>
      </c>
      <c r="X669">
        <v>6</v>
      </c>
      <c r="Y669" s="1">
        <f>EV_Data4[[#This Row],[range_miles]]/EV_Data4[[#This Row],[battery_capacity_kwh]]</f>
        <v>3.0241935483870965</v>
      </c>
      <c r="Z669" s="4">
        <f>EV_Data4[[#This Row],[price_usd]]/EV_Data4[[#This Row],[range_miles]]</f>
        <v>503.60059999999999</v>
      </c>
      <c r="AA669" s="2">
        <f>(EV_Data4[[#This Row],[customer_rating]]*EV_Data4[[#This Row],[safety_rating]]*1000)/EV_Data4[[#This Row],[price_usd]]</f>
        <v>0.21644136246064841</v>
      </c>
      <c r="AB669">
        <f>EV_Data4[[#This Row],[horsepower]]+EV_Data4[[#This Row],[torque_nm]]/EV_Data4[[#This Row],[acceleration_0_60_mph]]</f>
        <v>568.71972318339101</v>
      </c>
      <c r="AC669" t="str">
        <f>IF(EV_Data4[[#This Row],[price_usd]]&gt;=80000,"Luxury",IF(EV_Data4[[#This Row],[price_usd]]&gt;=40000,"Mid-Range","Budget"))</f>
        <v>Mid-Range</v>
      </c>
      <c r="AD669" t="str">
        <f>IF(EV_Data4[[#This Row],[range_miles]]&gt;=350,"Long-Range",IF(EV_Data4[[#This Row],[range_miles]]&gt;=250,"Medium-Range","Short-Range"))</f>
        <v>Short-Range</v>
      </c>
      <c r="AE669" t="str">
        <f>IF(EV_Data4[[#This Row],[charging_speed_kw]]&gt;=250,"Ultra-Fast",IF(EV_Data4[[#This Row],[charging_speed_kw]]&gt;=150,"Fast-Charging","Standard-Charging"))</f>
        <v>Ultra-Fast</v>
      </c>
      <c r="AF669" t="str">
        <f>IF(EV_Data4[[#This Row],[acceleration_0_60_mph]]&lt;=3,"SportsPerformance",IF(EV_Data4[[#This Row],[acceleration_0_60_mph]]&lt;=5,"HighPerformance","Standard"))</f>
        <v>Standard</v>
      </c>
      <c r="AG669" t="str">
        <f>IF(EV_Data4[[#This Row],[customer_rating]]&gt;=4.5,"Excellent",IF(EV_Data4[[#This Row],[customer_rating]]&gt;=3.5,"Good","Average"))</f>
        <v>Average</v>
      </c>
      <c r="AH66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70" spans="1:34" x14ac:dyDescent="0.3">
      <c r="A670" t="s">
        <v>46</v>
      </c>
      <c r="B670" t="s">
        <v>57</v>
      </c>
      <c r="C670">
        <v>2025</v>
      </c>
      <c r="D670" t="s">
        <v>26</v>
      </c>
      <c r="E670" s="3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48</v>
      </c>
      <c r="N670">
        <v>5</v>
      </c>
      <c r="O670" t="s">
        <v>35</v>
      </c>
      <c r="P670">
        <v>61.5</v>
      </c>
      <c r="Q670">
        <v>2369</v>
      </c>
      <c r="R670">
        <v>5</v>
      </c>
      <c r="S670">
        <v>3</v>
      </c>
      <c r="T670" t="s">
        <v>41</v>
      </c>
      <c r="U670" t="s">
        <v>30</v>
      </c>
      <c r="V670" s="3">
        <v>108193</v>
      </c>
      <c r="W670">
        <v>3.98</v>
      </c>
      <c r="X670">
        <v>5</v>
      </c>
      <c r="Y670" s="1">
        <f>EV_Data4[[#This Row],[range_miles]]/EV_Data4[[#This Row],[battery_capacity_kwh]]</f>
        <v>3.4498834498834499</v>
      </c>
      <c r="Z670" s="4">
        <f>EV_Data4[[#This Row],[price_usd]]/EV_Data4[[#This Row],[range_miles]]</f>
        <v>457.90824324324325</v>
      </c>
      <c r="AA670" s="2">
        <f>(EV_Data4[[#This Row],[customer_rating]]*EV_Data4[[#This Row],[safety_rating]]*1000)/EV_Data4[[#This Row],[price_usd]]</f>
        <v>0.14681921699762226</v>
      </c>
      <c r="AB670">
        <f>EV_Data4[[#This Row],[horsepower]]+EV_Data4[[#This Row],[torque_nm]]/EV_Data4[[#This Row],[acceleration_0_60_mph]]</f>
        <v>1226.5251989389922</v>
      </c>
      <c r="AC670" t="str">
        <f>IF(EV_Data4[[#This Row],[price_usd]]&gt;=80000,"Luxury",IF(EV_Data4[[#This Row],[price_usd]]&gt;=40000,"Mid-Range","Budget"))</f>
        <v>Luxury</v>
      </c>
      <c r="AD670" t="str">
        <f>IF(EV_Data4[[#This Row],[range_miles]]&gt;=350,"Long-Range",IF(EV_Data4[[#This Row],[range_miles]]&gt;=250,"Medium-Range","Short-Range"))</f>
        <v>Medium-Range</v>
      </c>
      <c r="AE670" t="str">
        <f>IF(EV_Data4[[#This Row],[charging_speed_kw]]&gt;=250,"Ultra-Fast",IF(EV_Data4[[#This Row],[charging_speed_kw]]&gt;=150,"Fast-Charging","Standard-Charging"))</f>
        <v>Ultra-Fast</v>
      </c>
      <c r="AF670" t="str">
        <f>IF(EV_Data4[[#This Row],[acceleration_0_60_mph]]&lt;=3,"SportsPerformance",IF(EV_Data4[[#This Row],[acceleration_0_60_mph]]&lt;=5,"HighPerformance","Standard"))</f>
        <v>HighPerformance</v>
      </c>
      <c r="AG670" t="str">
        <f>IF(EV_Data4[[#This Row],[customer_rating]]&gt;=4.5,"Excellent",IF(EV_Data4[[#This Row],[customer_rating]]&gt;=3.5,"Good","Average"))</f>
        <v>Good</v>
      </c>
      <c r="AH670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671" spans="1:34" x14ac:dyDescent="0.3">
      <c r="A671" t="s">
        <v>63</v>
      </c>
      <c r="B671" t="s">
        <v>64</v>
      </c>
      <c r="C671">
        <v>2024</v>
      </c>
      <c r="D671" t="s">
        <v>56</v>
      </c>
      <c r="E671" s="3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27</v>
      </c>
      <c r="N671">
        <v>7</v>
      </c>
      <c r="O671" t="s">
        <v>50</v>
      </c>
      <c r="P671">
        <v>33.700000000000003</v>
      </c>
      <c r="Q671">
        <v>1739</v>
      </c>
      <c r="R671">
        <v>5</v>
      </c>
      <c r="S671">
        <v>1</v>
      </c>
      <c r="T671" t="s">
        <v>65</v>
      </c>
      <c r="U671" t="s">
        <v>66</v>
      </c>
      <c r="V671" s="3">
        <v>191198</v>
      </c>
      <c r="W671">
        <v>3.48</v>
      </c>
      <c r="X671">
        <v>5</v>
      </c>
      <c r="Y671" s="1">
        <f>EV_Data4[[#This Row],[range_miles]]/EV_Data4[[#This Row],[battery_capacity_kwh]]</f>
        <v>3.553370786516854</v>
      </c>
      <c r="Z671" s="4">
        <f>EV_Data4[[#This Row],[price_usd]]/EV_Data4[[#This Row],[range_miles]]</f>
        <v>96.917826086956524</v>
      </c>
      <c r="AA671" s="2">
        <f>(EV_Data4[[#This Row],[customer_rating]]*EV_Data4[[#This Row],[safety_rating]]*1000)/EV_Data4[[#This Row],[price_usd]]</f>
        <v>0.70961871859988146</v>
      </c>
      <c r="AB671">
        <f>EV_Data4[[#This Row],[horsepower]]+EV_Data4[[#This Row],[torque_nm]]/EV_Data4[[#This Row],[acceleration_0_60_mph]]</f>
        <v>260.3671497584541</v>
      </c>
      <c r="AC671" t="str">
        <f>IF(EV_Data4[[#This Row],[price_usd]]&gt;=80000,"Luxury",IF(EV_Data4[[#This Row],[price_usd]]&gt;=40000,"Mid-Range","Budget"))</f>
        <v>Budget</v>
      </c>
      <c r="AD671" t="str">
        <f>IF(EV_Data4[[#This Row],[range_miles]]&gt;=350,"Long-Range",IF(EV_Data4[[#This Row],[range_miles]]&gt;=250,"Medium-Range","Short-Range"))</f>
        <v>Medium-Range</v>
      </c>
      <c r="AE671" t="str">
        <f>IF(EV_Data4[[#This Row],[charging_speed_kw]]&gt;=250,"Ultra-Fast",IF(EV_Data4[[#This Row],[charging_speed_kw]]&gt;=150,"Fast-Charging","Standard-Charging"))</f>
        <v>Standard-Charging</v>
      </c>
      <c r="AF671" t="str">
        <f>IF(EV_Data4[[#This Row],[acceleration_0_60_mph]]&lt;=3,"SportsPerformance",IF(EV_Data4[[#This Row],[acceleration_0_60_mph]]&lt;=5,"HighPerformance","Standard"))</f>
        <v>Standard</v>
      </c>
      <c r="AG671" t="str">
        <f>IF(EV_Data4[[#This Row],[customer_rating]]&gt;=4.5,"Excellent",IF(EV_Data4[[#This Row],[customer_rating]]&gt;=3.5,"Good","Average"))</f>
        <v>Average</v>
      </c>
      <c r="AH67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72" spans="1:34" x14ac:dyDescent="0.3">
      <c r="A672" t="s">
        <v>46</v>
      </c>
      <c r="B672" t="s">
        <v>49</v>
      </c>
      <c r="C672">
        <v>2026</v>
      </c>
      <c r="D672" t="s">
        <v>56</v>
      </c>
      <c r="E672" s="3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34</v>
      </c>
      <c r="N672">
        <v>7</v>
      </c>
      <c r="O672" t="s">
        <v>58</v>
      </c>
      <c r="P672">
        <v>17.399999999999999</v>
      </c>
      <c r="Q672">
        <v>1500</v>
      </c>
      <c r="R672">
        <v>5</v>
      </c>
      <c r="S672">
        <v>2</v>
      </c>
      <c r="T672" t="s">
        <v>41</v>
      </c>
      <c r="U672" t="s">
        <v>30</v>
      </c>
      <c r="V672" s="3">
        <v>463970</v>
      </c>
      <c r="W672">
        <v>3.62</v>
      </c>
      <c r="X672">
        <v>6</v>
      </c>
      <c r="Y672" s="1">
        <f>EV_Data4[[#This Row],[range_miles]]/EV_Data4[[#This Row],[battery_capacity_kwh]]</f>
        <v>3.6462585034013606</v>
      </c>
      <c r="Z672" s="4">
        <f>EV_Data4[[#This Row],[price_usd]]/EV_Data4[[#This Row],[range_miles]]</f>
        <v>422.95097014925375</v>
      </c>
      <c r="AA672" s="2">
        <f>(EV_Data4[[#This Row],[customer_rating]]*EV_Data4[[#This Row],[safety_rating]]*1000)/EV_Data4[[#This Row],[price_usd]]</f>
        <v>0.15968118812684792</v>
      </c>
      <c r="AB672">
        <f>EV_Data4[[#This Row],[horsepower]]+EV_Data4[[#This Row],[torque_nm]]/EV_Data4[[#This Row],[acceleration_0_60_mph]]</f>
        <v>958.963133640553</v>
      </c>
      <c r="AC672" t="str">
        <f>IF(EV_Data4[[#This Row],[price_usd]]&gt;=80000,"Luxury",IF(EV_Data4[[#This Row],[price_usd]]&gt;=40000,"Mid-Range","Budget"))</f>
        <v>Luxury</v>
      </c>
      <c r="AD672" t="str">
        <f>IF(EV_Data4[[#This Row],[range_miles]]&gt;=350,"Long-Range",IF(EV_Data4[[#This Row],[range_miles]]&gt;=250,"Medium-Range","Short-Range"))</f>
        <v>Medium-Range</v>
      </c>
      <c r="AE672" t="str">
        <f>IF(EV_Data4[[#This Row],[charging_speed_kw]]&gt;=250,"Ultra-Fast",IF(EV_Data4[[#This Row],[charging_speed_kw]]&gt;=150,"Fast-Charging","Standard-Charging"))</f>
        <v>Fast-Charging</v>
      </c>
      <c r="AF672" t="str">
        <f>IF(EV_Data4[[#This Row],[acceleration_0_60_mph]]&lt;=3,"SportsPerformance",IF(EV_Data4[[#This Row],[acceleration_0_60_mph]]&lt;=5,"HighPerformance","Standard"))</f>
        <v>Standard</v>
      </c>
      <c r="AG672" t="str">
        <f>IF(EV_Data4[[#This Row],[customer_rating]]&gt;=4.5,"Excellent",IF(EV_Data4[[#This Row],[customer_rating]]&gt;=3.5,"Good","Average"))</f>
        <v>Good</v>
      </c>
      <c r="AH67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73" spans="1:34" x14ac:dyDescent="0.3">
      <c r="A673" t="s">
        <v>86</v>
      </c>
      <c r="B673" t="s">
        <v>105</v>
      </c>
      <c r="C673">
        <v>2025</v>
      </c>
      <c r="D673" t="s">
        <v>56</v>
      </c>
      <c r="E673" s="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34</v>
      </c>
      <c r="N673">
        <v>5</v>
      </c>
      <c r="O673" t="s">
        <v>58</v>
      </c>
      <c r="P673">
        <v>30</v>
      </c>
      <c r="Q673">
        <v>1500</v>
      </c>
      <c r="R673">
        <v>5</v>
      </c>
      <c r="S673">
        <v>1</v>
      </c>
      <c r="T673" t="s">
        <v>29</v>
      </c>
      <c r="U673" t="s">
        <v>33</v>
      </c>
      <c r="V673" s="3">
        <v>22856</v>
      </c>
      <c r="W673">
        <v>3.44</v>
      </c>
      <c r="X673">
        <v>7</v>
      </c>
      <c r="Y673" s="1">
        <f>EV_Data4[[#This Row],[range_miles]]/EV_Data4[[#This Row],[battery_capacity_kwh]]</f>
        <v>3.2640949554896141</v>
      </c>
      <c r="Z673" s="4">
        <f>EV_Data4[[#This Row],[price_usd]]/EV_Data4[[#This Row],[range_miles]]</f>
        <v>367.79540909090912</v>
      </c>
      <c r="AA673" s="2">
        <f>(EV_Data4[[#This Row],[customer_rating]]*EV_Data4[[#This Row],[safety_rating]]*1000)/EV_Data4[[#This Row],[price_usd]]</f>
        <v>0.21256877124992538</v>
      </c>
      <c r="AB673">
        <f>EV_Data4[[#This Row],[horsepower]]+EV_Data4[[#This Row],[torque_nm]]/EV_Data4[[#This Row],[acceleration_0_60_mph]]</f>
        <v>564.70175438596493</v>
      </c>
      <c r="AC673" t="str">
        <f>IF(EV_Data4[[#This Row],[price_usd]]&gt;=80000,"Luxury",IF(EV_Data4[[#This Row],[price_usd]]&gt;=40000,"Mid-Range","Budget"))</f>
        <v>Luxury</v>
      </c>
      <c r="AD673" t="str">
        <f>IF(EV_Data4[[#This Row],[range_miles]]&gt;=350,"Long-Range",IF(EV_Data4[[#This Row],[range_miles]]&gt;=250,"Medium-Range","Short-Range"))</f>
        <v>Short-Range</v>
      </c>
      <c r="AE673" t="str">
        <f>IF(EV_Data4[[#This Row],[charging_speed_kw]]&gt;=250,"Ultra-Fast",IF(EV_Data4[[#This Row],[charging_speed_kw]]&gt;=150,"Fast-Charging","Standard-Charging"))</f>
        <v>Standard-Charging</v>
      </c>
      <c r="AF673" t="str">
        <f>IF(EV_Data4[[#This Row],[acceleration_0_60_mph]]&lt;=3,"SportsPerformance",IF(EV_Data4[[#This Row],[acceleration_0_60_mph]]&lt;=5,"HighPerformance","Standard"))</f>
        <v>Standard</v>
      </c>
      <c r="AG673" t="str">
        <f>IF(EV_Data4[[#This Row],[customer_rating]]&gt;=4.5,"Excellent",IF(EV_Data4[[#This Row],[customer_rating]]&gt;=3.5,"Good","Average"))</f>
        <v>Average</v>
      </c>
      <c r="AH67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74" spans="1:34" x14ac:dyDescent="0.3">
      <c r="A674" t="s">
        <v>46</v>
      </c>
      <c r="B674" t="s">
        <v>78</v>
      </c>
      <c r="C674">
        <v>2023</v>
      </c>
      <c r="D674" t="s">
        <v>26</v>
      </c>
      <c r="E674" s="3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34</v>
      </c>
      <c r="N674">
        <v>5</v>
      </c>
      <c r="O674" t="s">
        <v>58</v>
      </c>
      <c r="P674">
        <v>36.6</v>
      </c>
      <c r="Q674">
        <v>1535</v>
      </c>
      <c r="R674">
        <v>4</v>
      </c>
      <c r="S674">
        <v>2</v>
      </c>
      <c r="T674" t="s">
        <v>41</v>
      </c>
      <c r="U674" t="s">
        <v>33</v>
      </c>
      <c r="V674" s="3">
        <v>103295</v>
      </c>
      <c r="W674">
        <v>3.51</v>
      </c>
      <c r="X674">
        <v>6</v>
      </c>
      <c r="Y674" s="1">
        <f>EV_Data4[[#This Row],[range_miles]]/EV_Data4[[#This Row],[battery_capacity_kwh]]</f>
        <v>3.5172413793103448</v>
      </c>
      <c r="Z674" s="4">
        <f>EV_Data4[[#This Row],[price_usd]]/EV_Data4[[#This Row],[range_miles]]</f>
        <v>331.16839215686275</v>
      </c>
      <c r="AA674" s="2">
        <f>(EV_Data4[[#This Row],[customer_rating]]*EV_Data4[[#This Row],[safety_rating]]*1000)/EV_Data4[[#This Row],[price_usd]]</f>
        <v>0.16625627575995341</v>
      </c>
      <c r="AB674">
        <f>EV_Data4[[#This Row],[horsepower]]+EV_Data4[[#This Row],[torque_nm]]/EV_Data4[[#This Row],[acceleration_0_60_mph]]</f>
        <v>771.85074626865674</v>
      </c>
      <c r="AC674" t="str">
        <f>IF(EV_Data4[[#This Row],[price_usd]]&gt;=80000,"Luxury",IF(EV_Data4[[#This Row],[price_usd]]&gt;=40000,"Mid-Range","Budget"))</f>
        <v>Luxury</v>
      </c>
      <c r="AD674" t="str">
        <f>IF(EV_Data4[[#This Row],[range_miles]]&gt;=350,"Long-Range",IF(EV_Data4[[#This Row],[range_miles]]&gt;=250,"Medium-Range","Short-Range"))</f>
        <v>Medium-Range</v>
      </c>
      <c r="AE674" t="str">
        <f>IF(EV_Data4[[#This Row],[charging_speed_kw]]&gt;=250,"Ultra-Fast",IF(EV_Data4[[#This Row],[charging_speed_kw]]&gt;=150,"Fast-Charging","Standard-Charging"))</f>
        <v>Ultra-Fast</v>
      </c>
      <c r="AF674" t="str">
        <f>IF(EV_Data4[[#This Row],[acceleration_0_60_mph]]&lt;=3,"SportsPerformance",IF(EV_Data4[[#This Row],[acceleration_0_60_mph]]&lt;=5,"HighPerformance","Standard"))</f>
        <v>HighPerformance</v>
      </c>
      <c r="AG674" t="str">
        <f>IF(EV_Data4[[#This Row],[customer_rating]]&gt;=4.5,"Excellent",IF(EV_Data4[[#This Row],[customer_rating]]&gt;=3.5,"Good","Average"))</f>
        <v>Good</v>
      </c>
      <c r="AH67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75" spans="1:34" x14ac:dyDescent="0.3">
      <c r="A675" t="s">
        <v>68</v>
      </c>
      <c r="B675" t="s">
        <v>90</v>
      </c>
      <c r="C675">
        <v>2024</v>
      </c>
      <c r="D675" t="s">
        <v>56</v>
      </c>
      <c r="E675" s="3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34</v>
      </c>
      <c r="N675">
        <v>7</v>
      </c>
      <c r="O675" t="s">
        <v>50</v>
      </c>
      <c r="P675">
        <v>24</v>
      </c>
      <c r="Q675">
        <v>1538</v>
      </c>
      <c r="R675">
        <v>3</v>
      </c>
      <c r="S675">
        <v>0</v>
      </c>
      <c r="T675" t="s">
        <v>45</v>
      </c>
      <c r="U675" t="s">
        <v>66</v>
      </c>
      <c r="V675" s="3">
        <v>89552</v>
      </c>
      <c r="W675">
        <v>3.4</v>
      </c>
      <c r="X675">
        <v>5</v>
      </c>
      <c r="Y675" s="1">
        <f>EV_Data4[[#This Row],[range_miles]]/EV_Data4[[#This Row],[battery_capacity_kwh]]</f>
        <v>3.5770234986945173</v>
      </c>
      <c r="Z675" s="4">
        <f>EV_Data4[[#This Row],[price_usd]]/EV_Data4[[#This Row],[range_miles]]</f>
        <v>116.27186131386861</v>
      </c>
      <c r="AA675" s="2">
        <f>(EV_Data4[[#This Row],[customer_rating]]*EV_Data4[[#This Row],[safety_rating]]*1000)/EV_Data4[[#This Row],[price_usd]]</f>
        <v>0.3201658333461504</v>
      </c>
      <c r="AB675">
        <f>EV_Data4[[#This Row],[horsepower]]+EV_Data4[[#This Row],[torque_nm]]/EV_Data4[[#This Row],[acceleration_0_60_mph]]</f>
        <v>330.18181818181819</v>
      </c>
      <c r="AC675" t="str">
        <f>IF(EV_Data4[[#This Row],[price_usd]]&gt;=80000,"Luxury",IF(EV_Data4[[#This Row],[price_usd]]&gt;=40000,"Mid-Range","Budget"))</f>
        <v>Budget</v>
      </c>
      <c r="AD675" t="str">
        <f>IF(EV_Data4[[#This Row],[range_miles]]&gt;=350,"Long-Range",IF(EV_Data4[[#This Row],[range_miles]]&gt;=250,"Medium-Range","Short-Range"))</f>
        <v>Medium-Range</v>
      </c>
      <c r="AE675" t="str">
        <f>IF(EV_Data4[[#This Row],[charging_speed_kw]]&gt;=250,"Ultra-Fast",IF(EV_Data4[[#This Row],[charging_speed_kw]]&gt;=150,"Fast-Charging","Standard-Charging"))</f>
        <v>Standard-Charging</v>
      </c>
      <c r="AF675" t="str">
        <f>IF(EV_Data4[[#This Row],[acceleration_0_60_mph]]&lt;=3,"SportsPerformance",IF(EV_Data4[[#This Row],[acceleration_0_60_mph]]&lt;=5,"HighPerformance","Standard"))</f>
        <v>Standard</v>
      </c>
      <c r="AG675" t="str">
        <f>IF(EV_Data4[[#This Row],[customer_rating]]&gt;=4.5,"Excellent",IF(EV_Data4[[#This Row],[customer_rating]]&gt;=3.5,"Good","Average"))</f>
        <v>Average</v>
      </c>
      <c r="AH67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76" spans="1:34" x14ac:dyDescent="0.3">
      <c r="A676" t="s">
        <v>24</v>
      </c>
      <c r="B676" t="s">
        <v>74</v>
      </c>
      <c r="C676">
        <v>2025</v>
      </c>
      <c r="D676" t="s">
        <v>61</v>
      </c>
      <c r="E676" s="3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34</v>
      </c>
      <c r="N676">
        <v>7</v>
      </c>
      <c r="O676" t="s">
        <v>35</v>
      </c>
      <c r="P676">
        <v>66.5</v>
      </c>
      <c r="Q676">
        <v>1837</v>
      </c>
      <c r="R676">
        <v>5</v>
      </c>
      <c r="S676">
        <v>0</v>
      </c>
      <c r="T676" t="s">
        <v>29</v>
      </c>
      <c r="U676" t="s">
        <v>33</v>
      </c>
      <c r="V676" s="3">
        <v>299914</v>
      </c>
      <c r="W676">
        <v>3.54</v>
      </c>
      <c r="X676">
        <v>4</v>
      </c>
      <c r="Y676" s="1">
        <f>EV_Data4[[#This Row],[range_miles]]/EV_Data4[[#This Row],[battery_capacity_kwh]]</f>
        <v>3.3774834437086092</v>
      </c>
      <c r="Z676" s="4">
        <f>EV_Data4[[#This Row],[price_usd]]/EV_Data4[[#This Row],[range_miles]]</f>
        <v>347.0660294117647</v>
      </c>
      <c r="AA676" s="2">
        <f>(EV_Data4[[#This Row],[customer_rating]]*EV_Data4[[#This Row],[safety_rating]]*1000)/EV_Data4[[#This Row],[price_usd]]</f>
        <v>0.2499948094298042</v>
      </c>
      <c r="AB676">
        <f>EV_Data4[[#This Row],[horsepower]]+EV_Data4[[#This Row],[torque_nm]]/EV_Data4[[#This Row],[acceleration_0_60_mph]]</f>
        <v>881.80426098535281</v>
      </c>
      <c r="AC676" t="str">
        <f>IF(EV_Data4[[#This Row],[price_usd]]&gt;=80000,"Luxury",IF(EV_Data4[[#This Row],[price_usd]]&gt;=40000,"Mid-Range","Budget"))</f>
        <v>Mid-Range</v>
      </c>
      <c r="AD676" t="str">
        <f>IF(EV_Data4[[#This Row],[range_miles]]&gt;=350,"Long-Range",IF(EV_Data4[[#This Row],[range_miles]]&gt;=250,"Medium-Range","Short-Range"))</f>
        <v>Short-Range</v>
      </c>
      <c r="AE676" t="str">
        <f>IF(EV_Data4[[#This Row],[charging_speed_kw]]&gt;=250,"Ultra-Fast",IF(EV_Data4[[#This Row],[charging_speed_kw]]&gt;=150,"Fast-Charging","Standard-Charging"))</f>
        <v>Standard-Charging</v>
      </c>
      <c r="AF676" t="str">
        <f>IF(EV_Data4[[#This Row],[acceleration_0_60_mph]]&lt;=3,"SportsPerformance",IF(EV_Data4[[#This Row],[acceleration_0_60_mph]]&lt;=5,"HighPerformance","Standard"))</f>
        <v>Standard</v>
      </c>
      <c r="AG676" t="str">
        <f>IF(EV_Data4[[#This Row],[customer_rating]]&gt;=4.5,"Excellent",IF(EV_Data4[[#This Row],[customer_rating]]&gt;=3.5,"Good","Average"))</f>
        <v>Good</v>
      </c>
      <c r="AH67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77" spans="1:34" x14ac:dyDescent="0.3">
      <c r="A677" t="s">
        <v>134</v>
      </c>
      <c r="B677">
        <v>4</v>
      </c>
      <c r="C677">
        <v>2025</v>
      </c>
      <c r="D677" t="s">
        <v>61</v>
      </c>
      <c r="E677" s="3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27</v>
      </c>
      <c r="N677">
        <v>5</v>
      </c>
      <c r="O677" t="s">
        <v>50</v>
      </c>
      <c r="P677">
        <v>33.200000000000003</v>
      </c>
      <c r="Q677">
        <v>1818</v>
      </c>
      <c r="R677">
        <v>5</v>
      </c>
      <c r="S677">
        <v>0</v>
      </c>
      <c r="T677" t="s">
        <v>123</v>
      </c>
      <c r="U677" t="s">
        <v>33</v>
      </c>
      <c r="V677" s="3">
        <v>7428</v>
      </c>
      <c r="W677">
        <v>3.03</v>
      </c>
      <c r="X677">
        <v>4</v>
      </c>
      <c r="Y677" s="1">
        <f>EV_Data4[[#This Row],[range_miles]]/EV_Data4[[#This Row],[battery_capacity_kwh]]</f>
        <v>3.7530266343825667</v>
      </c>
      <c r="Z677" s="4">
        <f>EV_Data4[[#This Row],[price_usd]]/EV_Data4[[#This Row],[range_miles]]</f>
        <v>520.51141935483872</v>
      </c>
      <c r="AA677" s="2">
        <f>(EV_Data4[[#This Row],[customer_rating]]*EV_Data4[[#This Row],[safety_rating]]*1000)/EV_Data4[[#This Row],[price_usd]]</f>
        <v>0.18778057857985078</v>
      </c>
      <c r="AB677">
        <f>EV_Data4[[#This Row],[horsepower]]+EV_Data4[[#This Row],[torque_nm]]/EV_Data4[[#This Row],[acceleration_0_60_mph]]</f>
        <v>537.33333333333337</v>
      </c>
      <c r="AC677" t="str">
        <f>IF(EV_Data4[[#This Row],[price_usd]]&gt;=80000,"Luxury",IF(EV_Data4[[#This Row],[price_usd]]&gt;=40000,"Mid-Range","Budget"))</f>
        <v>Luxury</v>
      </c>
      <c r="AD677" t="str">
        <f>IF(EV_Data4[[#This Row],[range_miles]]&gt;=350,"Long-Range",IF(EV_Data4[[#This Row],[range_miles]]&gt;=250,"Medium-Range","Short-Range"))</f>
        <v>Short-Range</v>
      </c>
      <c r="AE677" t="str">
        <f>IF(EV_Data4[[#This Row],[charging_speed_kw]]&gt;=250,"Ultra-Fast",IF(EV_Data4[[#This Row],[charging_speed_kw]]&gt;=150,"Fast-Charging","Standard-Charging"))</f>
        <v>Standard-Charging</v>
      </c>
      <c r="AF677" t="str">
        <f>IF(EV_Data4[[#This Row],[acceleration_0_60_mph]]&lt;=3,"SportsPerformance",IF(EV_Data4[[#This Row],[acceleration_0_60_mph]]&lt;=5,"HighPerformance","Standard"))</f>
        <v>Standard</v>
      </c>
      <c r="AG677" t="str">
        <f>IF(EV_Data4[[#This Row],[customer_rating]]&gt;=4.5,"Excellent",IF(EV_Data4[[#This Row],[customer_rating]]&gt;=3.5,"Good","Average"))</f>
        <v>Average</v>
      </c>
      <c r="AH67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78" spans="1:34" x14ac:dyDescent="0.3">
      <c r="A678" t="s">
        <v>46</v>
      </c>
      <c r="B678" t="s">
        <v>57</v>
      </c>
      <c r="C678">
        <v>2025</v>
      </c>
      <c r="D678" t="s">
        <v>56</v>
      </c>
      <c r="E678" s="3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34</v>
      </c>
      <c r="N678">
        <v>7</v>
      </c>
      <c r="O678" t="s">
        <v>40</v>
      </c>
      <c r="P678">
        <v>79.5</v>
      </c>
      <c r="Q678">
        <v>1535</v>
      </c>
      <c r="R678">
        <v>5</v>
      </c>
      <c r="S678">
        <v>2</v>
      </c>
      <c r="T678" t="s">
        <v>41</v>
      </c>
      <c r="U678" t="s">
        <v>66</v>
      </c>
      <c r="V678" s="3">
        <v>173989</v>
      </c>
      <c r="W678">
        <v>4.17</v>
      </c>
      <c r="X678">
        <v>6</v>
      </c>
      <c r="Y678" s="1">
        <f>EV_Data4[[#This Row],[range_miles]]/EV_Data4[[#This Row],[battery_capacity_kwh]]</f>
        <v>3.3039092055485497</v>
      </c>
      <c r="Z678" s="4">
        <f>EV_Data4[[#This Row],[price_usd]]/EV_Data4[[#This Row],[range_miles]]</f>
        <v>111.02507633587786</v>
      </c>
      <c r="AA678" s="2">
        <f>(EV_Data4[[#This Row],[customer_rating]]*EV_Data4[[#This Row],[safety_rating]]*1000)/EV_Data4[[#This Row],[price_usd]]</f>
        <v>0.71677638330106985</v>
      </c>
      <c r="AB678">
        <f>EV_Data4[[#This Row],[horsepower]]+EV_Data4[[#This Row],[torque_nm]]/EV_Data4[[#This Row],[acceleration_0_60_mph]]</f>
        <v>181.10419906687403</v>
      </c>
      <c r="AC678" t="str">
        <f>IF(EV_Data4[[#This Row],[price_usd]]&gt;=80000,"Luxury",IF(EV_Data4[[#This Row],[price_usd]]&gt;=40000,"Mid-Range","Budget"))</f>
        <v>Budget</v>
      </c>
      <c r="AD678" t="str">
        <f>IF(EV_Data4[[#This Row],[range_miles]]&gt;=350,"Long-Range",IF(EV_Data4[[#This Row],[range_miles]]&gt;=250,"Medium-Range","Short-Range"))</f>
        <v>Medium-Range</v>
      </c>
      <c r="AE678" t="str">
        <f>IF(EV_Data4[[#This Row],[charging_speed_kw]]&gt;=250,"Ultra-Fast",IF(EV_Data4[[#This Row],[charging_speed_kw]]&gt;=150,"Fast-Charging","Standard-Charging"))</f>
        <v>Fast-Charging</v>
      </c>
      <c r="AF678" t="str">
        <f>IF(EV_Data4[[#This Row],[acceleration_0_60_mph]]&lt;=3,"SportsPerformance",IF(EV_Data4[[#This Row],[acceleration_0_60_mph]]&lt;=5,"HighPerformance","Standard"))</f>
        <v>Standard</v>
      </c>
      <c r="AG678" t="str">
        <f>IF(EV_Data4[[#This Row],[customer_rating]]&gt;=4.5,"Excellent",IF(EV_Data4[[#This Row],[customer_rating]]&gt;=3.5,"Good","Average"))</f>
        <v>Good</v>
      </c>
      <c r="AH67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79" spans="1:34" x14ac:dyDescent="0.3">
      <c r="A679" t="s">
        <v>24</v>
      </c>
      <c r="B679" t="s">
        <v>85</v>
      </c>
      <c r="C679">
        <v>2026</v>
      </c>
      <c r="D679" t="s">
        <v>44</v>
      </c>
      <c r="E679" s="3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48</v>
      </c>
      <c r="N679">
        <v>7</v>
      </c>
      <c r="O679" t="s">
        <v>40</v>
      </c>
      <c r="P679">
        <v>69.5</v>
      </c>
      <c r="Q679">
        <v>1604</v>
      </c>
      <c r="R679">
        <v>4</v>
      </c>
      <c r="S679">
        <v>1</v>
      </c>
      <c r="T679" t="s">
        <v>29</v>
      </c>
      <c r="U679" t="s">
        <v>37</v>
      </c>
      <c r="V679" s="3">
        <v>290062</v>
      </c>
      <c r="W679">
        <v>3.77</v>
      </c>
      <c r="X679">
        <v>4</v>
      </c>
      <c r="Y679" s="1">
        <f>EV_Data4[[#This Row],[range_miles]]/EV_Data4[[#This Row],[battery_capacity_kwh]]</f>
        <v>3.4055354993983156</v>
      </c>
      <c r="Z679" s="4">
        <f>EV_Data4[[#This Row],[price_usd]]/EV_Data4[[#This Row],[range_miles]]</f>
        <v>202.23257950530035</v>
      </c>
      <c r="AA679" s="2">
        <f>(EV_Data4[[#This Row],[customer_rating]]*EV_Data4[[#This Row],[safety_rating]]*1000)/EV_Data4[[#This Row],[price_usd]]</f>
        <v>0.26348978592677991</v>
      </c>
      <c r="AB679">
        <f>EV_Data4[[#This Row],[horsepower]]+EV_Data4[[#This Row],[torque_nm]]/EV_Data4[[#This Row],[acceleration_0_60_mph]]</f>
        <v>700.9473684210526</v>
      </c>
      <c r="AC679" t="str">
        <f>IF(EV_Data4[[#This Row],[price_usd]]&gt;=80000,"Luxury",IF(EV_Data4[[#This Row],[price_usd]]&gt;=40000,"Mid-Range","Budget"))</f>
        <v>Mid-Range</v>
      </c>
      <c r="AD679" t="str">
        <f>IF(EV_Data4[[#This Row],[range_miles]]&gt;=350,"Long-Range",IF(EV_Data4[[#This Row],[range_miles]]&gt;=250,"Medium-Range","Short-Range"))</f>
        <v>Medium-Range</v>
      </c>
      <c r="AE679" t="str">
        <f>IF(EV_Data4[[#This Row],[charging_speed_kw]]&gt;=250,"Ultra-Fast",IF(EV_Data4[[#This Row],[charging_speed_kw]]&gt;=150,"Fast-Charging","Standard-Charging"))</f>
        <v>Standard-Charging</v>
      </c>
      <c r="AF679" t="str">
        <f>IF(EV_Data4[[#This Row],[acceleration_0_60_mph]]&lt;=3,"SportsPerformance",IF(EV_Data4[[#This Row],[acceleration_0_60_mph]]&lt;=5,"HighPerformance","Standard"))</f>
        <v>HighPerformance</v>
      </c>
      <c r="AG679" t="str">
        <f>IF(EV_Data4[[#This Row],[customer_rating]]&gt;=4.5,"Excellent",IF(EV_Data4[[#This Row],[customer_rating]]&gt;=3.5,"Good","Average"))</f>
        <v>Good</v>
      </c>
      <c r="AH67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80" spans="1:34" x14ac:dyDescent="0.3">
      <c r="A680" t="s">
        <v>59</v>
      </c>
      <c r="B680" t="s">
        <v>60</v>
      </c>
      <c r="C680">
        <v>2025</v>
      </c>
      <c r="D680" t="s">
        <v>33</v>
      </c>
      <c r="E680" s="3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27</v>
      </c>
      <c r="N680">
        <v>7</v>
      </c>
      <c r="O680" t="s">
        <v>51</v>
      </c>
      <c r="P680">
        <v>30.8</v>
      </c>
      <c r="Q680">
        <v>1735</v>
      </c>
      <c r="R680">
        <v>5</v>
      </c>
      <c r="S680">
        <v>1</v>
      </c>
      <c r="T680" t="s">
        <v>41</v>
      </c>
      <c r="U680" t="s">
        <v>33</v>
      </c>
      <c r="V680" s="3">
        <v>2336</v>
      </c>
      <c r="W680">
        <v>3.5</v>
      </c>
      <c r="X680">
        <v>5</v>
      </c>
      <c r="Y680" s="1">
        <f>EV_Data4[[#This Row],[range_miles]]/EV_Data4[[#This Row],[battery_capacity_kwh]]</f>
        <v>3.6133333333333333</v>
      </c>
      <c r="Z680" s="4">
        <f>EV_Data4[[#This Row],[price_usd]]/EV_Data4[[#This Row],[range_miles]]</f>
        <v>247.37675276752771</v>
      </c>
      <c r="AA680" s="2">
        <f>(EV_Data4[[#This Row],[customer_rating]]*EV_Data4[[#This Row],[safety_rating]]*1000)/EV_Data4[[#This Row],[price_usd]]</f>
        <v>0.26104169059548826</v>
      </c>
      <c r="AB680">
        <f>EV_Data4[[#This Row],[horsepower]]+EV_Data4[[#This Row],[torque_nm]]/EV_Data4[[#This Row],[acceleration_0_60_mph]]</f>
        <v>529.07008760951192</v>
      </c>
      <c r="AC680" t="str">
        <f>IF(EV_Data4[[#This Row],[price_usd]]&gt;=80000,"Luxury",IF(EV_Data4[[#This Row],[price_usd]]&gt;=40000,"Mid-Range","Budget"))</f>
        <v>Mid-Range</v>
      </c>
      <c r="AD680" t="str">
        <f>IF(EV_Data4[[#This Row],[range_miles]]&gt;=350,"Long-Range",IF(EV_Data4[[#This Row],[range_miles]]&gt;=250,"Medium-Range","Short-Range"))</f>
        <v>Medium-Range</v>
      </c>
      <c r="AE680" t="str">
        <f>IF(EV_Data4[[#This Row],[charging_speed_kw]]&gt;=250,"Ultra-Fast",IF(EV_Data4[[#This Row],[charging_speed_kw]]&gt;=150,"Fast-Charging","Standard-Charging"))</f>
        <v>Standard-Charging</v>
      </c>
      <c r="AF680" t="str">
        <f>IF(EV_Data4[[#This Row],[acceleration_0_60_mph]]&lt;=3,"SportsPerformance",IF(EV_Data4[[#This Row],[acceleration_0_60_mph]]&lt;=5,"HighPerformance","Standard"))</f>
        <v>Standard</v>
      </c>
      <c r="AG680" t="str">
        <f>IF(EV_Data4[[#This Row],[customer_rating]]&gt;=4.5,"Excellent",IF(EV_Data4[[#This Row],[customer_rating]]&gt;=3.5,"Good","Average"))</f>
        <v>Good</v>
      </c>
      <c r="AH68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81" spans="1:34" x14ac:dyDescent="0.3">
      <c r="A681" t="s">
        <v>52</v>
      </c>
      <c r="B681" t="s">
        <v>62</v>
      </c>
      <c r="C681">
        <v>2024</v>
      </c>
      <c r="D681" t="s">
        <v>56</v>
      </c>
      <c r="E681" s="3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48</v>
      </c>
      <c r="N681">
        <v>5</v>
      </c>
      <c r="O681" t="s">
        <v>28</v>
      </c>
      <c r="P681">
        <v>69.400000000000006</v>
      </c>
      <c r="Q681">
        <v>2466</v>
      </c>
      <c r="R681">
        <v>4</v>
      </c>
      <c r="S681">
        <v>1</v>
      </c>
      <c r="T681" t="s">
        <v>29</v>
      </c>
      <c r="U681" t="s">
        <v>33</v>
      </c>
      <c r="V681" s="3">
        <v>46123</v>
      </c>
      <c r="W681">
        <v>3.85</v>
      </c>
      <c r="X681">
        <v>5</v>
      </c>
      <c r="Y681" s="1">
        <f>EV_Data4[[#This Row],[range_miles]]/EV_Data4[[#This Row],[battery_capacity_kwh]]</f>
        <v>3.6891679748822606</v>
      </c>
      <c r="Z681" s="4">
        <f>EV_Data4[[#This Row],[price_usd]]/EV_Data4[[#This Row],[range_miles]]</f>
        <v>310.13085106382977</v>
      </c>
      <c r="AA681" s="2">
        <f>(EV_Data4[[#This Row],[customer_rating]]*EV_Data4[[#This Row],[safety_rating]]*1000)/EV_Data4[[#This Row],[price_usd]]</f>
        <v>0.21130408235370793</v>
      </c>
      <c r="AB681">
        <f>EV_Data4[[#This Row],[horsepower]]+EV_Data4[[#This Row],[torque_nm]]/EV_Data4[[#This Row],[acceleration_0_60_mph]]</f>
        <v>308.53500660501982</v>
      </c>
      <c r="AC681" t="str">
        <f>IF(EV_Data4[[#This Row],[price_usd]]&gt;=80000,"Luxury",IF(EV_Data4[[#This Row],[price_usd]]&gt;=40000,"Mid-Range","Budget"))</f>
        <v>Mid-Range</v>
      </c>
      <c r="AD681" t="str">
        <f>IF(EV_Data4[[#This Row],[range_miles]]&gt;=350,"Long-Range",IF(EV_Data4[[#This Row],[range_miles]]&gt;=250,"Medium-Range","Short-Range"))</f>
        <v>Short-Range</v>
      </c>
      <c r="AE681" t="str">
        <f>IF(EV_Data4[[#This Row],[charging_speed_kw]]&gt;=250,"Ultra-Fast",IF(EV_Data4[[#This Row],[charging_speed_kw]]&gt;=150,"Fast-Charging","Standard-Charging"))</f>
        <v>Standard-Charging</v>
      </c>
      <c r="AF681" t="str">
        <f>IF(EV_Data4[[#This Row],[acceleration_0_60_mph]]&lt;=3,"SportsPerformance",IF(EV_Data4[[#This Row],[acceleration_0_60_mph]]&lt;=5,"HighPerformance","Standard"))</f>
        <v>Standard</v>
      </c>
      <c r="AG681" t="str">
        <f>IF(EV_Data4[[#This Row],[customer_rating]]&gt;=4.5,"Excellent",IF(EV_Data4[[#This Row],[customer_rating]]&gt;=3.5,"Good","Average"))</f>
        <v>Good</v>
      </c>
      <c r="AH68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82" spans="1:34" x14ac:dyDescent="0.3">
      <c r="A682" t="s">
        <v>76</v>
      </c>
      <c r="B682" t="s">
        <v>81</v>
      </c>
      <c r="C682">
        <v>2024</v>
      </c>
      <c r="D682" t="s">
        <v>33</v>
      </c>
      <c r="E682" s="3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27</v>
      </c>
      <c r="N682">
        <v>5</v>
      </c>
      <c r="O682" t="s">
        <v>50</v>
      </c>
      <c r="P682">
        <v>22.8</v>
      </c>
      <c r="Q682">
        <v>1998</v>
      </c>
      <c r="R682">
        <v>3</v>
      </c>
      <c r="S682">
        <v>1</v>
      </c>
      <c r="T682" t="s">
        <v>41</v>
      </c>
      <c r="U682" t="s">
        <v>33</v>
      </c>
      <c r="V682" s="3">
        <v>49332</v>
      </c>
      <c r="W682">
        <v>3.58</v>
      </c>
      <c r="X682">
        <v>4</v>
      </c>
      <c r="Y682" s="1">
        <f>EV_Data4[[#This Row],[range_miles]]/EV_Data4[[#This Row],[battery_capacity_kwh]]</f>
        <v>3.5220125786163523</v>
      </c>
      <c r="Z682" s="4">
        <f>EV_Data4[[#This Row],[price_usd]]/EV_Data4[[#This Row],[range_miles]]</f>
        <v>292.44557142857138</v>
      </c>
      <c r="AA682" s="2">
        <f>(EV_Data4[[#This Row],[customer_rating]]*EV_Data4[[#This Row],[safety_rating]]*1000)/EV_Data4[[#This Row],[price_usd]]</f>
        <v>0.1311599374535628</v>
      </c>
      <c r="AB682">
        <f>EV_Data4[[#This Row],[horsepower]]+EV_Data4[[#This Row],[torque_nm]]/EV_Data4[[#This Row],[acceleration_0_60_mph]]</f>
        <v>1062.8950695322376</v>
      </c>
      <c r="AC682" t="str">
        <f>IF(EV_Data4[[#This Row],[price_usd]]&gt;=80000,"Luxury",IF(EV_Data4[[#This Row],[price_usd]]&gt;=40000,"Mid-Range","Budget"))</f>
        <v>Luxury</v>
      </c>
      <c r="AD682" t="str">
        <f>IF(EV_Data4[[#This Row],[range_miles]]&gt;=350,"Long-Range",IF(EV_Data4[[#This Row],[range_miles]]&gt;=250,"Medium-Range","Short-Range"))</f>
        <v>Medium-Range</v>
      </c>
      <c r="AE682" t="str">
        <f>IF(EV_Data4[[#This Row],[charging_speed_kw]]&gt;=250,"Ultra-Fast",IF(EV_Data4[[#This Row],[charging_speed_kw]]&gt;=150,"Fast-Charging","Standard-Charging"))</f>
        <v>Standard-Charging</v>
      </c>
      <c r="AF682" t="str">
        <f>IF(EV_Data4[[#This Row],[acceleration_0_60_mph]]&lt;=3,"SportsPerformance",IF(EV_Data4[[#This Row],[acceleration_0_60_mph]]&lt;=5,"HighPerformance","Standard"))</f>
        <v>Standard</v>
      </c>
      <c r="AG682" t="str">
        <f>IF(EV_Data4[[#This Row],[customer_rating]]&gt;=4.5,"Excellent",IF(EV_Data4[[#This Row],[customer_rating]]&gt;=3.5,"Good","Average"))</f>
        <v>Good</v>
      </c>
      <c r="AH68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83" spans="1:34" x14ac:dyDescent="0.3">
      <c r="A683" t="s">
        <v>63</v>
      </c>
      <c r="B683" t="s">
        <v>96</v>
      </c>
      <c r="C683">
        <v>2024</v>
      </c>
      <c r="D683" t="s">
        <v>56</v>
      </c>
      <c r="E683" s="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34</v>
      </c>
      <c r="N683">
        <v>5</v>
      </c>
      <c r="O683" t="s">
        <v>50</v>
      </c>
      <c r="P683">
        <v>28</v>
      </c>
      <c r="Q683">
        <v>1522</v>
      </c>
      <c r="R683">
        <v>5</v>
      </c>
      <c r="S683">
        <v>0</v>
      </c>
      <c r="T683" t="s">
        <v>65</v>
      </c>
      <c r="U683" t="s">
        <v>66</v>
      </c>
      <c r="V683" s="3">
        <v>118103</v>
      </c>
      <c r="W683">
        <v>3.49</v>
      </c>
      <c r="X683">
        <v>4</v>
      </c>
      <c r="Y683" s="1">
        <f>EV_Data4[[#This Row],[range_miles]]/EV_Data4[[#This Row],[battery_capacity_kwh]]</f>
        <v>3.5030864197530867</v>
      </c>
      <c r="Z683" s="4">
        <f>EV_Data4[[#This Row],[price_usd]]/EV_Data4[[#This Row],[range_miles]]</f>
        <v>119.95237885462555</v>
      </c>
      <c r="AA683" s="2">
        <f>(EV_Data4[[#This Row],[customer_rating]]*EV_Data4[[#This Row],[safety_rating]]*1000)/EV_Data4[[#This Row],[price_usd]]</f>
        <v>0.64085637508864579</v>
      </c>
      <c r="AB683">
        <f>EV_Data4[[#This Row],[horsepower]]+EV_Data4[[#This Row],[torque_nm]]/EV_Data4[[#This Row],[acceleration_0_60_mph]]</f>
        <v>367.40302613480054</v>
      </c>
      <c r="AC683" t="str">
        <f>IF(EV_Data4[[#This Row],[price_usd]]&gt;=80000,"Luxury",IF(EV_Data4[[#This Row],[price_usd]]&gt;=40000,"Mid-Range","Budget"))</f>
        <v>Budget</v>
      </c>
      <c r="AD683" t="str">
        <f>IF(EV_Data4[[#This Row],[range_miles]]&gt;=350,"Long-Range",IF(EV_Data4[[#This Row],[range_miles]]&gt;=250,"Medium-Range","Short-Range"))</f>
        <v>Short-Range</v>
      </c>
      <c r="AE683" t="str">
        <f>IF(EV_Data4[[#This Row],[charging_speed_kw]]&gt;=250,"Ultra-Fast",IF(EV_Data4[[#This Row],[charging_speed_kw]]&gt;=150,"Fast-Charging","Standard-Charging"))</f>
        <v>Standard-Charging</v>
      </c>
      <c r="AF683" t="str">
        <f>IF(EV_Data4[[#This Row],[acceleration_0_60_mph]]&lt;=3,"SportsPerformance",IF(EV_Data4[[#This Row],[acceleration_0_60_mph]]&lt;=5,"HighPerformance","Standard"))</f>
        <v>Standard</v>
      </c>
      <c r="AG683" t="str">
        <f>IF(EV_Data4[[#This Row],[customer_rating]]&gt;=4.5,"Excellent",IF(EV_Data4[[#This Row],[customer_rating]]&gt;=3.5,"Good","Average"))</f>
        <v>Average</v>
      </c>
      <c r="AH68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84" spans="1:34" x14ac:dyDescent="0.3">
      <c r="A684" t="s">
        <v>46</v>
      </c>
      <c r="B684" t="s">
        <v>72</v>
      </c>
      <c r="C684">
        <v>2022</v>
      </c>
      <c r="D684" t="s">
        <v>26</v>
      </c>
      <c r="E684" s="3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27</v>
      </c>
      <c r="N684">
        <v>5</v>
      </c>
      <c r="O684" t="s">
        <v>28</v>
      </c>
      <c r="P684">
        <v>70.2</v>
      </c>
      <c r="Q684">
        <v>2610</v>
      </c>
      <c r="R684">
        <v>5</v>
      </c>
      <c r="S684">
        <v>2</v>
      </c>
      <c r="T684" t="s">
        <v>41</v>
      </c>
      <c r="U684" t="s">
        <v>37</v>
      </c>
      <c r="V684" s="3">
        <v>220959</v>
      </c>
      <c r="W684">
        <v>4</v>
      </c>
      <c r="X684">
        <v>5</v>
      </c>
      <c r="Y684" s="1">
        <f>EV_Data4[[#This Row],[range_miles]]/EV_Data4[[#This Row],[battery_capacity_kwh]]</f>
        <v>3.9442231075697212</v>
      </c>
      <c r="Z684" s="4">
        <f>EV_Data4[[#This Row],[price_usd]]/EV_Data4[[#This Row],[range_miles]]</f>
        <v>133.7365993265993</v>
      </c>
      <c r="AA684" s="2">
        <f>(EV_Data4[[#This Row],[customer_rating]]*EV_Data4[[#This Row],[safety_rating]]*1000)/EV_Data4[[#This Row],[price_usd]]</f>
        <v>0.50352758840245049</v>
      </c>
      <c r="AB684">
        <f>EV_Data4[[#This Row],[horsepower]]+EV_Data4[[#This Row],[torque_nm]]/EV_Data4[[#This Row],[acceleration_0_60_mph]]</f>
        <v>351.79452054794524</v>
      </c>
      <c r="AC684" t="str">
        <f>IF(EV_Data4[[#This Row],[price_usd]]&gt;=80000,"Luxury",IF(EV_Data4[[#This Row],[price_usd]]&gt;=40000,"Mid-Range","Budget"))</f>
        <v>Budget</v>
      </c>
      <c r="AD684" t="str">
        <f>IF(EV_Data4[[#This Row],[range_miles]]&gt;=350,"Long-Range",IF(EV_Data4[[#This Row],[range_miles]]&gt;=250,"Medium-Range","Short-Range"))</f>
        <v>Medium-Range</v>
      </c>
      <c r="AE684" t="str">
        <f>IF(EV_Data4[[#This Row],[charging_speed_kw]]&gt;=250,"Ultra-Fast",IF(EV_Data4[[#This Row],[charging_speed_kw]]&gt;=150,"Fast-Charging","Standard-Charging"))</f>
        <v>Fast-Charging</v>
      </c>
      <c r="AF684" t="str">
        <f>IF(EV_Data4[[#This Row],[acceleration_0_60_mph]]&lt;=3,"SportsPerformance",IF(EV_Data4[[#This Row],[acceleration_0_60_mph]]&lt;=5,"HighPerformance","Standard"))</f>
        <v>HighPerformance</v>
      </c>
      <c r="AG684" t="str">
        <f>IF(EV_Data4[[#This Row],[customer_rating]]&gt;=4.5,"Excellent",IF(EV_Data4[[#This Row],[customer_rating]]&gt;=3.5,"Good","Average"))</f>
        <v>Good</v>
      </c>
      <c r="AH68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85" spans="1:34" x14ac:dyDescent="0.3">
      <c r="A685" t="s">
        <v>83</v>
      </c>
      <c r="B685" t="s">
        <v>116</v>
      </c>
      <c r="C685">
        <v>2024</v>
      </c>
      <c r="D685" t="s">
        <v>44</v>
      </c>
      <c r="E685" s="3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34</v>
      </c>
      <c r="N685">
        <v>5</v>
      </c>
      <c r="O685" t="s">
        <v>58</v>
      </c>
      <c r="P685">
        <v>22.8</v>
      </c>
      <c r="Q685">
        <v>1527</v>
      </c>
      <c r="R685">
        <v>4</v>
      </c>
      <c r="S685">
        <v>2</v>
      </c>
      <c r="T685" t="s">
        <v>29</v>
      </c>
      <c r="U685" t="s">
        <v>33</v>
      </c>
      <c r="V685" s="3">
        <v>68789</v>
      </c>
      <c r="W685">
        <v>3.44</v>
      </c>
      <c r="X685">
        <v>6</v>
      </c>
      <c r="Y685" s="1">
        <f>EV_Data4[[#This Row],[range_miles]]/EV_Data4[[#This Row],[battery_capacity_kwh]]</f>
        <v>3.6413641364136411</v>
      </c>
      <c r="Z685" s="4">
        <f>EV_Data4[[#This Row],[price_usd]]/EV_Data4[[#This Row],[range_miles]]</f>
        <v>252.98398791540785</v>
      </c>
      <c r="AA685" s="2">
        <f>(EV_Data4[[#This Row],[customer_rating]]*EV_Data4[[#This Row],[safety_rating]]*1000)/EV_Data4[[#This Row],[price_usd]]</f>
        <v>0.16432264081769621</v>
      </c>
      <c r="AB685">
        <f>EV_Data4[[#This Row],[horsepower]]+EV_Data4[[#This Row],[torque_nm]]/EV_Data4[[#This Row],[acceleration_0_60_mph]]</f>
        <v>702.69550173010384</v>
      </c>
      <c r="AC685" t="str">
        <f>IF(EV_Data4[[#This Row],[price_usd]]&gt;=80000,"Luxury",IF(EV_Data4[[#This Row],[price_usd]]&gt;=40000,"Mid-Range","Budget"))</f>
        <v>Luxury</v>
      </c>
      <c r="AD685" t="str">
        <f>IF(EV_Data4[[#This Row],[range_miles]]&gt;=350,"Long-Range",IF(EV_Data4[[#This Row],[range_miles]]&gt;=250,"Medium-Range","Short-Range"))</f>
        <v>Medium-Range</v>
      </c>
      <c r="AE685" t="str">
        <f>IF(EV_Data4[[#This Row],[charging_speed_kw]]&gt;=250,"Ultra-Fast",IF(EV_Data4[[#This Row],[charging_speed_kw]]&gt;=150,"Fast-Charging","Standard-Charging"))</f>
        <v>Standard-Charging</v>
      </c>
      <c r="AF685" t="str">
        <f>IF(EV_Data4[[#This Row],[acceleration_0_60_mph]]&lt;=3,"SportsPerformance",IF(EV_Data4[[#This Row],[acceleration_0_60_mph]]&lt;=5,"HighPerformance","Standard"))</f>
        <v>Standard</v>
      </c>
      <c r="AG685" t="str">
        <f>IF(EV_Data4[[#This Row],[customer_rating]]&gt;=4.5,"Excellent",IF(EV_Data4[[#This Row],[customer_rating]]&gt;=3.5,"Good","Average"))</f>
        <v>Average</v>
      </c>
      <c r="AH68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86" spans="1:34" x14ac:dyDescent="0.3">
      <c r="A686" t="s">
        <v>94</v>
      </c>
      <c r="B686" t="s">
        <v>120</v>
      </c>
      <c r="C686">
        <v>2025</v>
      </c>
      <c r="D686" t="s">
        <v>26</v>
      </c>
      <c r="E686" s="3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34</v>
      </c>
      <c r="N686">
        <v>7</v>
      </c>
      <c r="O686" t="s">
        <v>50</v>
      </c>
      <c r="P686">
        <v>29.3</v>
      </c>
      <c r="Q686">
        <v>1500</v>
      </c>
      <c r="R686">
        <v>4</v>
      </c>
      <c r="S686">
        <v>1</v>
      </c>
      <c r="T686" t="s">
        <v>41</v>
      </c>
      <c r="U686" t="s">
        <v>30</v>
      </c>
      <c r="V686" s="3">
        <v>26219</v>
      </c>
      <c r="W686">
        <v>4.08</v>
      </c>
      <c r="X686">
        <v>6</v>
      </c>
      <c r="Y686" s="1">
        <f>EV_Data4[[#This Row],[range_miles]]/EV_Data4[[#This Row],[battery_capacity_kwh]]</f>
        <v>3.8065661047027506</v>
      </c>
      <c r="Z686" s="4">
        <f>EV_Data4[[#This Row],[price_usd]]/EV_Data4[[#This Row],[range_miles]]</f>
        <v>243.13564102564104</v>
      </c>
      <c r="AA686" s="2">
        <f>(EV_Data4[[#This Row],[customer_rating]]*EV_Data4[[#This Row],[safety_rating]]*1000)/EV_Data4[[#This Row],[price_usd]]</f>
        <v>0.15646393051007337</v>
      </c>
      <c r="AB686">
        <f>EV_Data4[[#This Row],[horsepower]]+EV_Data4[[#This Row],[torque_nm]]/EV_Data4[[#This Row],[acceleration_0_60_mph]]</f>
        <v>1259.6439169139467</v>
      </c>
      <c r="AC686" t="str">
        <f>IF(EV_Data4[[#This Row],[price_usd]]&gt;=80000,"Luxury",IF(EV_Data4[[#This Row],[price_usd]]&gt;=40000,"Mid-Range","Budget"))</f>
        <v>Luxury</v>
      </c>
      <c r="AD686" t="str">
        <f>IF(EV_Data4[[#This Row],[range_miles]]&gt;=350,"Long-Range",IF(EV_Data4[[#This Row],[range_miles]]&gt;=250,"Medium-Range","Short-Range"))</f>
        <v>Long-Range</v>
      </c>
      <c r="AE686" t="str">
        <f>IF(EV_Data4[[#This Row],[charging_speed_kw]]&gt;=250,"Ultra-Fast",IF(EV_Data4[[#This Row],[charging_speed_kw]]&gt;=150,"Fast-Charging","Standard-Charging"))</f>
        <v>Fast-Charging</v>
      </c>
      <c r="AF686" t="str">
        <f>IF(EV_Data4[[#This Row],[acceleration_0_60_mph]]&lt;=3,"SportsPerformance",IF(EV_Data4[[#This Row],[acceleration_0_60_mph]]&lt;=5,"HighPerformance","Standard"))</f>
        <v>HighPerformance</v>
      </c>
      <c r="AG686" t="str">
        <f>IF(EV_Data4[[#This Row],[customer_rating]]&gt;=4.5,"Excellent",IF(EV_Data4[[#This Row],[customer_rating]]&gt;=3.5,"Good","Average"))</f>
        <v>Good</v>
      </c>
      <c r="AH68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87" spans="1:34" x14ac:dyDescent="0.3">
      <c r="A687" t="s">
        <v>42</v>
      </c>
      <c r="B687" t="s">
        <v>115</v>
      </c>
      <c r="C687">
        <v>2025</v>
      </c>
      <c r="D687" t="s">
        <v>26</v>
      </c>
      <c r="E687" s="3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27</v>
      </c>
      <c r="N687">
        <v>5</v>
      </c>
      <c r="O687" t="s">
        <v>28</v>
      </c>
      <c r="P687">
        <v>63.5</v>
      </c>
      <c r="Q687">
        <v>2775</v>
      </c>
      <c r="R687">
        <v>5</v>
      </c>
      <c r="S687">
        <v>0</v>
      </c>
      <c r="T687" t="s">
        <v>45</v>
      </c>
      <c r="U687" t="s">
        <v>30</v>
      </c>
      <c r="V687" s="3">
        <v>56222</v>
      </c>
      <c r="W687">
        <v>3.63</v>
      </c>
      <c r="X687">
        <v>5</v>
      </c>
      <c r="Y687" s="1">
        <f>EV_Data4[[#This Row],[range_miles]]/EV_Data4[[#This Row],[battery_capacity_kwh]]</f>
        <v>3.6758893280632412</v>
      </c>
      <c r="Z687" s="4">
        <f>EV_Data4[[#This Row],[price_usd]]/EV_Data4[[#This Row],[range_miles]]</f>
        <v>288.5355107526882</v>
      </c>
      <c r="AA687" s="2">
        <f>(EV_Data4[[#This Row],[customer_rating]]*EV_Data4[[#This Row],[safety_rating]]*1000)/EV_Data4[[#This Row],[price_usd]]</f>
        <v>0.1690964223203178</v>
      </c>
      <c r="AB687">
        <f>EV_Data4[[#This Row],[horsepower]]+EV_Data4[[#This Row],[torque_nm]]/EV_Data4[[#This Row],[acceleration_0_60_mph]]</f>
        <v>1245.5525606469002</v>
      </c>
      <c r="AC687" t="str">
        <f>IF(EV_Data4[[#This Row],[price_usd]]&gt;=80000,"Luxury",IF(EV_Data4[[#This Row],[price_usd]]&gt;=40000,"Mid-Range","Budget"))</f>
        <v>Luxury</v>
      </c>
      <c r="AD687" t="str">
        <f>IF(EV_Data4[[#This Row],[range_miles]]&gt;=350,"Long-Range",IF(EV_Data4[[#This Row],[range_miles]]&gt;=250,"Medium-Range","Short-Range"))</f>
        <v>Long-Range</v>
      </c>
      <c r="AE687" t="str">
        <f>IF(EV_Data4[[#This Row],[charging_speed_kw]]&gt;=250,"Ultra-Fast",IF(EV_Data4[[#This Row],[charging_speed_kw]]&gt;=150,"Fast-Charging","Standard-Charging"))</f>
        <v>Fast-Charging</v>
      </c>
      <c r="AF687" t="str">
        <f>IF(EV_Data4[[#This Row],[acceleration_0_60_mph]]&lt;=3,"SportsPerformance",IF(EV_Data4[[#This Row],[acceleration_0_60_mph]]&lt;=5,"HighPerformance","Standard"))</f>
        <v>HighPerformance</v>
      </c>
      <c r="AG687" t="str">
        <f>IF(EV_Data4[[#This Row],[customer_rating]]&gt;=4.5,"Excellent",IF(EV_Data4[[#This Row],[customer_rating]]&gt;=3.5,"Good","Average"))</f>
        <v>Good</v>
      </c>
      <c r="AH68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88" spans="1:34" x14ac:dyDescent="0.3">
      <c r="A688" t="s">
        <v>42</v>
      </c>
      <c r="B688" t="s">
        <v>71</v>
      </c>
      <c r="C688">
        <v>2026</v>
      </c>
      <c r="D688" t="s">
        <v>44</v>
      </c>
      <c r="E688" s="3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34</v>
      </c>
      <c r="N688">
        <v>7</v>
      </c>
      <c r="O688" t="s">
        <v>35</v>
      </c>
      <c r="P688">
        <v>67.400000000000006</v>
      </c>
      <c r="Q688">
        <v>1906</v>
      </c>
      <c r="R688">
        <v>3</v>
      </c>
      <c r="S688">
        <v>1</v>
      </c>
      <c r="T688" t="s">
        <v>45</v>
      </c>
      <c r="U688" t="s">
        <v>37</v>
      </c>
      <c r="V688" s="3">
        <v>112175</v>
      </c>
      <c r="W688">
        <v>3.57</v>
      </c>
      <c r="X688">
        <v>4</v>
      </c>
      <c r="Y688" s="1">
        <f>EV_Data4[[#This Row],[range_miles]]/EV_Data4[[#This Row],[battery_capacity_kwh]]</f>
        <v>3.5483870967741935</v>
      </c>
      <c r="Z688" s="4">
        <f>EV_Data4[[#This Row],[price_usd]]/EV_Data4[[#This Row],[range_miles]]</f>
        <v>117.24015151515151</v>
      </c>
      <c r="AA688" s="2">
        <f>(EV_Data4[[#This Row],[customer_rating]]*EV_Data4[[#This Row],[safety_rating]]*1000)/EV_Data4[[#This Row],[price_usd]]</f>
        <v>0.27682108079117579</v>
      </c>
      <c r="AB688">
        <f>EV_Data4[[#This Row],[horsepower]]+EV_Data4[[#This Row],[torque_nm]]/EV_Data4[[#This Row],[acceleration_0_60_mph]]</f>
        <v>378.29770992366412</v>
      </c>
      <c r="AC688" t="str">
        <f>IF(EV_Data4[[#This Row],[price_usd]]&gt;=80000,"Luxury",IF(EV_Data4[[#This Row],[price_usd]]&gt;=40000,"Mid-Range","Budget"))</f>
        <v>Budget</v>
      </c>
      <c r="AD688" t="str">
        <f>IF(EV_Data4[[#This Row],[range_miles]]&gt;=350,"Long-Range",IF(EV_Data4[[#This Row],[range_miles]]&gt;=250,"Medium-Range","Short-Range"))</f>
        <v>Medium-Range</v>
      </c>
      <c r="AE688" t="str">
        <f>IF(EV_Data4[[#This Row],[charging_speed_kw]]&gt;=250,"Ultra-Fast",IF(EV_Data4[[#This Row],[charging_speed_kw]]&gt;=150,"Fast-Charging","Standard-Charging"))</f>
        <v>Standard-Charging</v>
      </c>
      <c r="AF688" t="str">
        <f>IF(EV_Data4[[#This Row],[acceleration_0_60_mph]]&lt;=3,"SportsPerformance",IF(EV_Data4[[#This Row],[acceleration_0_60_mph]]&lt;=5,"HighPerformance","Standard"))</f>
        <v>Standard</v>
      </c>
      <c r="AG688" t="str">
        <f>IF(EV_Data4[[#This Row],[customer_rating]]&gt;=4.5,"Excellent",IF(EV_Data4[[#This Row],[customer_rating]]&gt;=3.5,"Good","Average"))</f>
        <v>Good</v>
      </c>
      <c r="AH68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89" spans="1:34" x14ac:dyDescent="0.3">
      <c r="A689" t="s">
        <v>63</v>
      </c>
      <c r="B689" t="s">
        <v>96</v>
      </c>
      <c r="C689">
        <v>2025</v>
      </c>
      <c r="D689" t="s">
        <v>61</v>
      </c>
      <c r="E689" s="3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48</v>
      </c>
      <c r="N689">
        <v>5</v>
      </c>
      <c r="O689" t="s">
        <v>58</v>
      </c>
      <c r="P689">
        <v>18</v>
      </c>
      <c r="Q689">
        <v>1566</v>
      </c>
      <c r="R689">
        <v>5</v>
      </c>
      <c r="S689">
        <v>0</v>
      </c>
      <c r="T689" t="s">
        <v>65</v>
      </c>
      <c r="U689" t="s">
        <v>37</v>
      </c>
      <c r="V689" s="3">
        <v>196546</v>
      </c>
      <c r="W689">
        <v>3.22</v>
      </c>
      <c r="X689">
        <v>5</v>
      </c>
      <c r="Y689" s="1">
        <f>EV_Data4[[#This Row],[range_miles]]/EV_Data4[[#This Row],[battery_capacity_kwh]]</f>
        <v>3.4452296819787986</v>
      </c>
      <c r="Z689" s="4">
        <f>EV_Data4[[#This Row],[price_usd]]/EV_Data4[[#This Row],[range_miles]]</f>
        <v>231.12061538461538</v>
      </c>
      <c r="AA689" s="2">
        <f>(EV_Data4[[#This Row],[customer_rating]]*EV_Data4[[#This Row],[safety_rating]]*1000)/EV_Data4[[#This Row],[price_usd]]</f>
        <v>0.35723382973303769</v>
      </c>
      <c r="AB689">
        <f>EV_Data4[[#This Row],[horsepower]]+EV_Data4[[#This Row],[torque_nm]]/EV_Data4[[#This Row],[acceleration_0_60_mph]]</f>
        <v>552.81180811808122</v>
      </c>
      <c r="AC689" t="str">
        <f>IF(EV_Data4[[#This Row],[price_usd]]&gt;=80000,"Luxury",IF(EV_Data4[[#This Row],[price_usd]]&gt;=40000,"Mid-Range","Budget"))</f>
        <v>Mid-Range</v>
      </c>
      <c r="AD689" t="str">
        <f>IF(EV_Data4[[#This Row],[range_miles]]&gt;=350,"Long-Range",IF(EV_Data4[[#This Row],[range_miles]]&gt;=250,"Medium-Range","Short-Range"))</f>
        <v>Short-Range</v>
      </c>
      <c r="AE689" t="str">
        <f>IF(EV_Data4[[#This Row],[charging_speed_kw]]&gt;=250,"Ultra-Fast",IF(EV_Data4[[#This Row],[charging_speed_kw]]&gt;=150,"Fast-Charging","Standard-Charging"))</f>
        <v>Standard-Charging</v>
      </c>
      <c r="AF689" t="str">
        <f>IF(EV_Data4[[#This Row],[acceleration_0_60_mph]]&lt;=3,"SportsPerformance",IF(EV_Data4[[#This Row],[acceleration_0_60_mph]]&lt;=5,"HighPerformance","Standard"))</f>
        <v>Standard</v>
      </c>
      <c r="AG689" t="str">
        <f>IF(EV_Data4[[#This Row],[customer_rating]]&gt;=4.5,"Excellent",IF(EV_Data4[[#This Row],[customer_rating]]&gt;=3.5,"Good","Average"))</f>
        <v>Average</v>
      </c>
      <c r="AH68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90" spans="1:34" x14ac:dyDescent="0.3">
      <c r="A690" t="s">
        <v>76</v>
      </c>
      <c r="B690" t="s">
        <v>81</v>
      </c>
      <c r="C690">
        <v>2023</v>
      </c>
      <c r="D690" t="s">
        <v>61</v>
      </c>
      <c r="E690" s="3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34</v>
      </c>
      <c r="N690">
        <v>5</v>
      </c>
      <c r="O690" t="s">
        <v>28</v>
      </c>
      <c r="P690">
        <v>79.099999999999994</v>
      </c>
      <c r="Q690">
        <v>3000</v>
      </c>
      <c r="R690">
        <v>3</v>
      </c>
      <c r="S690">
        <v>1</v>
      </c>
      <c r="T690" t="s">
        <v>41</v>
      </c>
      <c r="U690" t="s">
        <v>37</v>
      </c>
      <c r="V690" s="3">
        <v>49683</v>
      </c>
      <c r="W690">
        <v>3.43</v>
      </c>
      <c r="X690">
        <v>4</v>
      </c>
      <c r="Y690" s="1">
        <f>EV_Data4[[#This Row],[range_miles]]/EV_Data4[[#This Row],[battery_capacity_kwh]]</f>
        <v>3.9307535641547862</v>
      </c>
      <c r="Z690" s="4">
        <f>EV_Data4[[#This Row],[price_usd]]/EV_Data4[[#This Row],[range_miles]]</f>
        <v>198.98663212435233</v>
      </c>
      <c r="AA690" s="2">
        <f>(EV_Data4[[#This Row],[customer_rating]]*EV_Data4[[#This Row],[safety_rating]]*1000)/EV_Data4[[#This Row],[price_usd]]</f>
        <v>0.26793790923023969</v>
      </c>
      <c r="AB690">
        <f>EV_Data4[[#This Row],[horsepower]]+EV_Data4[[#This Row],[torque_nm]]/EV_Data4[[#This Row],[acceleration_0_60_mph]]</f>
        <v>342.63233190271819</v>
      </c>
      <c r="AC690" t="str">
        <f>IF(EV_Data4[[#This Row],[price_usd]]&gt;=80000,"Luxury",IF(EV_Data4[[#This Row],[price_usd]]&gt;=40000,"Mid-Range","Budget"))</f>
        <v>Budget</v>
      </c>
      <c r="AD690" t="str">
        <f>IF(EV_Data4[[#This Row],[range_miles]]&gt;=350,"Long-Range",IF(EV_Data4[[#This Row],[range_miles]]&gt;=250,"Medium-Range","Short-Range"))</f>
        <v>Short-Range</v>
      </c>
      <c r="AE690" t="str">
        <f>IF(EV_Data4[[#This Row],[charging_speed_kw]]&gt;=250,"Ultra-Fast",IF(EV_Data4[[#This Row],[charging_speed_kw]]&gt;=150,"Fast-Charging","Standard-Charging"))</f>
        <v>Standard-Charging</v>
      </c>
      <c r="AF690" t="str">
        <f>IF(EV_Data4[[#This Row],[acceleration_0_60_mph]]&lt;=3,"SportsPerformance",IF(EV_Data4[[#This Row],[acceleration_0_60_mph]]&lt;=5,"HighPerformance","Standard"))</f>
        <v>Standard</v>
      </c>
      <c r="AG690" t="str">
        <f>IF(EV_Data4[[#This Row],[customer_rating]]&gt;=4.5,"Excellent",IF(EV_Data4[[#This Row],[customer_rating]]&gt;=3.5,"Good","Average"))</f>
        <v>Average</v>
      </c>
      <c r="AH69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91" spans="1:34" x14ac:dyDescent="0.3">
      <c r="A691" t="s">
        <v>46</v>
      </c>
      <c r="B691" t="s">
        <v>57</v>
      </c>
      <c r="C691">
        <v>2025</v>
      </c>
      <c r="D691" t="s">
        <v>61</v>
      </c>
      <c r="E691" s="3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34</v>
      </c>
      <c r="N691">
        <v>5</v>
      </c>
      <c r="O691" t="s">
        <v>58</v>
      </c>
      <c r="P691">
        <v>26.8</v>
      </c>
      <c r="Q691">
        <v>1500</v>
      </c>
      <c r="R691">
        <v>4</v>
      </c>
      <c r="S691">
        <v>2</v>
      </c>
      <c r="T691" t="s">
        <v>41</v>
      </c>
      <c r="U691" t="s">
        <v>37</v>
      </c>
      <c r="V691" s="3">
        <v>180408</v>
      </c>
      <c r="W691">
        <v>3.58</v>
      </c>
      <c r="X691">
        <v>5</v>
      </c>
      <c r="Y691" s="1">
        <f>EV_Data4[[#This Row],[range_miles]]/EV_Data4[[#This Row],[battery_capacity_kwh]]</f>
        <v>3.6652542372881354</v>
      </c>
      <c r="Z691" s="4">
        <f>EV_Data4[[#This Row],[price_usd]]/EV_Data4[[#This Row],[range_miles]]</f>
        <v>275.78907514450867</v>
      </c>
      <c r="AA691" s="2">
        <f>(EV_Data4[[#This Row],[customer_rating]]*EV_Data4[[#This Row],[safety_rating]]*1000)/EV_Data4[[#This Row],[price_usd]]</f>
        <v>0.30013722055747133</v>
      </c>
      <c r="AB691">
        <f>EV_Data4[[#This Row],[horsepower]]+EV_Data4[[#This Row],[torque_nm]]/EV_Data4[[#This Row],[acceleration_0_60_mph]]</f>
        <v>351.57262103505843</v>
      </c>
      <c r="AC691" t="str">
        <f>IF(EV_Data4[[#This Row],[price_usd]]&gt;=80000,"Luxury",IF(EV_Data4[[#This Row],[price_usd]]&gt;=40000,"Mid-Range","Budget"))</f>
        <v>Mid-Range</v>
      </c>
      <c r="AD691" t="str">
        <f>IF(EV_Data4[[#This Row],[range_miles]]&gt;=350,"Long-Range",IF(EV_Data4[[#This Row],[range_miles]]&gt;=250,"Medium-Range","Short-Range"))</f>
        <v>Short-Range</v>
      </c>
      <c r="AE691" t="str">
        <f>IF(EV_Data4[[#This Row],[charging_speed_kw]]&gt;=250,"Ultra-Fast",IF(EV_Data4[[#This Row],[charging_speed_kw]]&gt;=150,"Fast-Charging","Standard-Charging"))</f>
        <v>Ultra-Fast</v>
      </c>
      <c r="AF691" t="str">
        <f>IF(EV_Data4[[#This Row],[acceleration_0_60_mph]]&lt;=3,"SportsPerformance",IF(EV_Data4[[#This Row],[acceleration_0_60_mph]]&lt;=5,"HighPerformance","Standard"))</f>
        <v>Standard</v>
      </c>
      <c r="AG691" t="str">
        <f>IF(EV_Data4[[#This Row],[customer_rating]]&gt;=4.5,"Excellent",IF(EV_Data4[[#This Row],[customer_rating]]&gt;=3.5,"Good","Average"))</f>
        <v>Good</v>
      </c>
      <c r="AH69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92" spans="1:34" x14ac:dyDescent="0.3">
      <c r="A692" t="s">
        <v>63</v>
      </c>
      <c r="B692" t="s">
        <v>96</v>
      </c>
      <c r="C692">
        <v>2023</v>
      </c>
      <c r="D692" t="s">
        <v>44</v>
      </c>
      <c r="E692" s="3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48</v>
      </c>
      <c r="N692">
        <v>7</v>
      </c>
      <c r="O692" t="s">
        <v>28</v>
      </c>
      <c r="P692">
        <v>52.9</v>
      </c>
      <c r="Q692">
        <v>2502</v>
      </c>
      <c r="R692">
        <v>5</v>
      </c>
      <c r="S692">
        <v>1</v>
      </c>
      <c r="T692" t="s">
        <v>65</v>
      </c>
      <c r="U692" t="s">
        <v>33</v>
      </c>
      <c r="V692" s="3">
        <v>154361</v>
      </c>
      <c r="W692">
        <v>3.89</v>
      </c>
      <c r="X692">
        <v>4</v>
      </c>
      <c r="Y692" s="1">
        <f>EV_Data4[[#This Row],[range_miles]]/EV_Data4[[#This Row],[battery_capacity_kwh]]</f>
        <v>3.6380772855796422</v>
      </c>
      <c r="Z692" s="4">
        <f>EV_Data4[[#This Row],[price_usd]]/EV_Data4[[#This Row],[range_miles]]</f>
        <v>200.41595854922278</v>
      </c>
      <c r="AA692" s="2">
        <f>(EV_Data4[[#This Row],[customer_rating]]*EV_Data4[[#This Row],[safety_rating]]*1000)/EV_Data4[[#This Row],[price_usd]]</f>
        <v>0.25142010347391486</v>
      </c>
      <c r="AB692">
        <f>EV_Data4[[#This Row],[horsepower]]+EV_Data4[[#This Row],[torque_nm]]/EV_Data4[[#This Row],[acceleration_0_60_mph]]</f>
        <v>1038.860655737705</v>
      </c>
      <c r="AC692" t="str">
        <f>IF(EV_Data4[[#This Row],[price_usd]]&gt;=80000,"Luxury",IF(EV_Data4[[#This Row],[price_usd]]&gt;=40000,"Mid-Range","Budget"))</f>
        <v>Mid-Range</v>
      </c>
      <c r="AD692" t="str">
        <f>IF(EV_Data4[[#This Row],[range_miles]]&gt;=350,"Long-Range",IF(EV_Data4[[#This Row],[range_miles]]&gt;=250,"Medium-Range","Short-Range"))</f>
        <v>Long-Range</v>
      </c>
      <c r="AE692" t="str">
        <f>IF(EV_Data4[[#This Row],[charging_speed_kw]]&gt;=250,"Ultra-Fast",IF(EV_Data4[[#This Row],[charging_speed_kw]]&gt;=150,"Fast-Charging","Standard-Charging"))</f>
        <v>Standard-Charging</v>
      </c>
      <c r="AF692" t="str">
        <f>IF(EV_Data4[[#This Row],[acceleration_0_60_mph]]&lt;=3,"SportsPerformance",IF(EV_Data4[[#This Row],[acceleration_0_60_mph]]&lt;=5,"HighPerformance","Standard"))</f>
        <v>HighPerformance</v>
      </c>
      <c r="AG692" t="str">
        <f>IF(EV_Data4[[#This Row],[customer_rating]]&gt;=4.5,"Excellent",IF(EV_Data4[[#This Row],[customer_rating]]&gt;=3.5,"Good","Average"))</f>
        <v>Good</v>
      </c>
      <c r="AH69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93" spans="1:34" x14ac:dyDescent="0.3">
      <c r="A693" t="s">
        <v>24</v>
      </c>
      <c r="B693" t="s">
        <v>25</v>
      </c>
      <c r="C693">
        <v>2024</v>
      </c>
      <c r="D693" t="s">
        <v>56</v>
      </c>
      <c r="E693" s="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34</v>
      </c>
      <c r="N693">
        <v>7</v>
      </c>
      <c r="O693" t="s">
        <v>40</v>
      </c>
      <c r="P693">
        <v>66.8</v>
      </c>
      <c r="Q693">
        <v>1591</v>
      </c>
      <c r="R693">
        <v>5</v>
      </c>
      <c r="S693">
        <v>0</v>
      </c>
      <c r="T693" t="s">
        <v>29</v>
      </c>
      <c r="U693" t="s">
        <v>33</v>
      </c>
      <c r="V693" s="3">
        <v>214102</v>
      </c>
      <c r="W693">
        <v>3.4</v>
      </c>
      <c r="X693">
        <v>5</v>
      </c>
      <c r="Y693" s="1">
        <f>EV_Data4[[#This Row],[range_miles]]/EV_Data4[[#This Row],[battery_capacity_kwh]]</f>
        <v>3.2716049382716048</v>
      </c>
      <c r="Z693" s="4">
        <f>EV_Data4[[#This Row],[price_usd]]/EV_Data4[[#This Row],[range_miles]]</f>
        <v>413.63006289308174</v>
      </c>
      <c r="AA693" s="2">
        <f>(EV_Data4[[#This Row],[customer_rating]]*EV_Data4[[#This Row],[safety_rating]]*1000)/EV_Data4[[#This Row],[price_usd]]</f>
        <v>0.25848759213942274</v>
      </c>
      <c r="AB693">
        <f>EV_Data4[[#This Row],[horsepower]]+EV_Data4[[#This Row],[torque_nm]]/EV_Data4[[#This Row],[acceleration_0_60_mph]]</f>
        <v>713.91891891891896</v>
      </c>
      <c r="AC693" t="str">
        <f>IF(EV_Data4[[#This Row],[price_usd]]&gt;=80000,"Luxury",IF(EV_Data4[[#This Row],[price_usd]]&gt;=40000,"Mid-Range","Budget"))</f>
        <v>Mid-Range</v>
      </c>
      <c r="AD693" t="str">
        <f>IF(EV_Data4[[#This Row],[range_miles]]&gt;=350,"Long-Range",IF(EV_Data4[[#This Row],[range_miles]]&gt;=250,"Medium-Range","Short-Range"))</f>
        <v>Short-Range</v>
      </c>
      <c r="AE693" t="str">
        <f>IF(EV_Data4[[#This Row],[charging_speed_kw]]&gt;=250,"Ultra-Fast",IF(EV_Data4[[#This Row],[charging_speed_kw]]&gt;=150,"Fast-Charging","Standard-Charging"))</f>
        <v>Standard-Charging</v>
      </c>
      <c r="AF693" t="str">
        <f>IF(EV_Data4[[#This Row],[acceleration_0_60_mph]]&lt;=3,"SportsPerformance",IF(EV_Data4[[#This Row],[acceleration_0_60_mph]]&lt;=5,"HighPerformance","Standard"))</f>
        <v>Standard</v>
      </c>
      <c r="AG693" t="str">
        <f>IF(EV_Data4[[#This Row],[customer_rating]]&gt;=4.5,"Excellent",IF(EV_Data4[[#This Row],[customer_rating]]&gt;=3.5,"Good","Average"))</f>
        <v>Average</v>
      </c>
      <c r="AH69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94" spans="1:34" x14ac:dyDescent="0.3">
      <c r="A694" t="s">
        <v>68</v>
      </c>
      <c r="B694" t="s">
        <v>79</v>
      </c>
      <c r="C694">
        <v>2025</v>
      </c>
      <c r="D694" t="s">
        <v>33</v>
      </c>
      <c r="E694" s="3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27</v>
      </c>
      <c r="N694">
        <v>5</v>
      </c>
      <c r="O694" t="s">
        <v>40</v>
      </c>
      <c r="P694">
        <v>64.099999999999994</v>
      </c>
      <c r="Q694">
        <v>1602</v>
      </c>
      <c r="R694">
        <v>3</v>
      </c>
      <c r="S694">
        <v>0</v>
      </c>
      <c r="T694" t="s">
        <v>45</v>
      </c>
      <c r="U694" t="s">
        <v>33</v>
      </c>
      <c r="V694" s="3">
        <v>143294</v>
      </c>
      <c r="W694">
        <v>3.17</v>
      </c>
      <c r="X694">
        <v>4</v>
      </c>
      <c r="Y694" s="1">
        <f>EV_Data4[[#This Row],[range_miles]]/EV_Data4[[#This Row],[battery_capacity_kwh]]</f>
        <v>3.3601609657947686</v>
      </c>
      <c r="Z694" s="4">
        <f>EV_Data4[[#This Row],[price_usd]]/EV_Data4[[#This Row],[range_miles]]</f>
        <v>432.98778443113775</v>
      </c>
      <c r="AA694" s="2">
        <f>(EV_Data4[[#This Row],[customer_rating]]*EV_Data4[[#This Row],[safety_rating]]*1000)/EV_Data4[[#This Row],[price_usd]]</f>
        <v>0.13151897081634142</v>
      </c>
      <c r="AB694">
        <f>EV_Data4[[#This Row],[horsepower]]+EV_Data4[[#This Row],[torque_nm]]/EV_Data4[[#This Row],[acceleration_0_60_mph]]</f>
        <v>1031.3353204172877</v>
      </c>
      <c r="AC694" t="str">
        <f>IF(EV_Data4[[#This Row],[price_usd]]&gt;=80000,"Luxury",IF(EV_Data4[[#This Row],[price_usd]]&gt;=40000,"Mid-Range","Budget"))</f>
        <v>Mid-Range</v>
      </c>
      <c r="AD694" t="str">
        <f>IF(EV_Data4[[#This Row],[range_miles]]&gt;=350,"Long-Range",IF(EV_Data4[[#This Row],[range_miles]]&gt;=250,"Medium-Range","Short-Range"))</f>
        <v>Short-Range</v>
      </c>
      <c r="AE694" t="str">
        <f>IF(EV_Data4[[#This Row],[charging_speed_kw]]&gt;=250,"Ultra-Fast",IF(EV_Data4[[#This Row],[charging_speed_kw]]&gt;=150,"Fast-Charging","Standard-Charging"))</f>
        <v>Standard-Charging</v>
      </c>
      <c r="AF694" t="str">
        <f>IF(EV_Data4[[#This Row],[acceleration_0_60_mph]]&lt;=3,"SportsPerformance",IF(EV_Data4[[#This Row],[acceleration_0_60_mph]]&lt;=5,"HighPerformance","Standard"))</f>
        <v>Standard</v>
      </c>
      <c r="AG694" t="str">
        <f>IF(EV_Data4[[#This Row],[customer_rating]]&gt;=4.5,"Excellent",IF(EV_Data4[[#This Row],[customer_rating]]&gt;=3.5,"Good","Average"))</f>
        <v>Average</v>
      </c>
      <c r="AH69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695" spans="1:34" x14ac:dyDescent="0.3">
      <c r="A695" t="s">
        <v>63</v>
      </c>
      <c r="B695" t="s">
        <v>82</v>
      </c>
      <c r="C695">
        <v>2021</v>
      </c>
      <c r="D695" t="s">
        <v>26</v>
      </c>
      <c r="E695" s="3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34</v>
      </c>
      <c r="N695">
        <v>7</v>
      </c>
      <c r="O695" t="s">
        <v>58</v>
      </c>
      <c r="P695">
        <v>35.9</v>
      </c>
      <c r="Q695">
        <v>1500</v>
      </c>
      <c r="R695">
        <v>5</v>
      </c>
      <c r="S695">
        <v>1</v>
      </c>
      <c r="T695" t="s">
        <v>65</v>
      </c>
      <c r="U695" t="s">
        <v>33</v>
      </c>
      <c r="V695" s="3">
        <v>145646</v>
      </c>
      <c r="W695">
        <v>4.13</v>
      </c>
      <c r="X695">
        <v>4</v>
      </c>
      <c r="Y695" s="1">
        <f>EV_Data4[[#This Row],[range_miles]]/EV_Data4[[#This Row],[battery_capacity_kwh]]</f>
        <v>3.7140366172624235</v>
      </c>
      <c r="Z695" s="4">
        <f>EV_Data4[[#This Row],[price_usd]]/EV_Data4[[#This Row],[range_miles]]</f>
        <v>204.07845070422536</v>
      </c>
      <c r="AA695" s="2">
        <f>(EV_Data4[[#This Row],[customer_rating]]*EV_Data4[[#This Row],[safety_rating]]*1000)/EV_Data4[[#This Row],[price_usd]]</f>
        <v>0.23752717759510233</v>
      </c>
      <c r="AB695">
        <f>EV_Data4[[#This Row],[horsepower]]+EV_Data4[[#This Row],[torque_nm]]/EV_Data4[[#This Row],[acceleration_0_60_mph]]</f>
        <v>1184.5</v>
      </c>
      <c r="AC695" t="str">
        <f>IF(EV_Data4[[#This Row],[price_usd]]&gt;=80000,"Luxury",IF(EV_Data4[[#This Row],[price_usd]]&gt;=40000,"Mid-Range","Budget"))</f>
        <v>Luxury</v>
      </c>
      <c r="AD695" t="str">
        <f>IF(EV_Data4[[#This Row],[range_miles]]&gt;=350,"Long-Range",IF(EV_Data4[[#This Row],[range_miles]]&gt;=250,"Medium-Range","Short-Range"))</f>
        <v>Long-Range</v>
      </c>
      <c r="AE695" t="str">
        <f>IF(EV_Data4[[#This Row],[charging_speed_kw]]&gt;=250,"Ultra-Fast",IF(EV_Data4[[#This Row],[charging_speed_kw]]&gt;=150,"Fast-Charging","Standard-Charging"))</f>
        <v>Fast-Charging</v>
      </c>
      <c r="AF695" t="str">
        <f>IF(EV_Data4[[#This Row],[acceleration_0_60_mph]]&lt;=3,"SportsPerformance",IF(EV_Data4[[#This Row],[acceleration_0_60_mph]]&lt;=5,"HighPerformance","Standard"))</f>
        <v>HighPerformance</v>
      </c>
      <c r="AG695" t="str">
        <f>IF(EV_Data4[[#This Row],[customer_rating]]&gt;=4.5,"Excellent",IF(EV_Data4[[#This Row],[customer_rating]]&gt;=3.5,"Good","Average"))</f>
        <v>Good</v>
      </c>
      <c r="AH69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96" spans="1:34" x14ac:dyDescent="0.3">
      <c r="A696" t="s">
        <v>46</v>
      </c>
      <c r="B696" t="s">
        <v>47</v>
      </c>
      <c r="C696">
        <v>2026</v>
      </c>
      <c r="D696" t="s">
        <v>61</v>
      </c>
      <c r="E696" s="3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34</v>
      </c>
      <c r="N696">
        <v>7</v>
      </c>
      <c r="O696" t="s">
        <v>35</v>
      </c>
      <c r="P696">
        <v>57.6</v>
      </c>
      <c r="Q696">
        <v>2416</v>
      </c>
      <c r="R696">
        <v>4</v>
      </c>
      <c r="S696">
        <v>2</v>
      </c>
      <c r="T696" t="s">
        <v>41</v>
      </c>
      <c r="U696" t="s">
        <v>30</v>
      </c>
      <c r="V696" s="3">
        <v>120535</v>
      </c>
      <c r="W696">
        <v>3.74</v>
      </c>
      <c r="X696">
        <v>4</v>
      </c>
      <c r="Y696" s="1">
        <f>EV_Data4[[#This Row],[range_miles]]/EV_Data4[[#This Row],[battery_capacity_kwh]]</f>
        <v>3.6432926829268295</v>
      </c>
      <c r="Z696" s="4">
        <f>EV_Data4[[#This Row],[price_usd]]/EV_Data4[[#This Row],[range_miles]]</f>
        <v>534.08656903765689</v>
      </c>
      <c r="AA696" s="2">
        <f>(EV_Data4[[#This Row],[customer_rating]]*EV_Data4[[#This Row],[safety_rating]]*1000)/EV_Data4[[#This Row],[price_usd]]</f>
        <v>0.11719849531546803</v>
      </c>
      <c r="AB696">
        <f>EV_Data4[[#This Row],[horsepower]]+EV_Data4[[#This Row],[torque_nm]]/EV_Data4[[#This Row],[acceleration_0_60_mph]]</f>
        <v>1064.072837632777</v>
      </c>
      <c r="AC696" t="str">
        <f>IF(EV_Data4[[#This Row],[price_usd]]&gt;=80000,"Luxury",IF(EV_Data4[[#This Row],[price_usd]]&gt;=40000,"Mid-Range","Budget"))</f>
        <v>Luxury</v>
      </c>
      <c r="AD696" t="str">
        <f>IF(EV_Data4[[#This Row],[range_miles]]&gt;=350,"Long-Range",IF(EV_Data4[[#This Row],[range_miles]]&gt;=250,"Medium-Range","Short-Range"))</f>
        <v>Short-Range</v>
      </c>
      <c r="AE696" t="str">
        <f>IF(EV_Data4[[#This Row],[charging_speed_kw]]&gt;=250,"Ultra-Fast",IF(EV_Data4[[#This Row],[charging_speed_kw]]&gt;=150,"Fast-Charging","Standard-Charging"))</f>
        <v>Fast-Charging</v>
      </c>
      <c r="AF696" t="str">
        <f>IF(EV_Data4[[#This Row],[acceleration_0_60_mph]]&lt;=3,"SportsPerformance",IF(EV_Data4[[#This Row],[acceleration_0_60_mph]]&lt;=5,"HighPerformance","Standard"))</f>
        <v>Standard</v>
      </c>
      <c r="AG696" t="str">
        <f>IF(EV_Data4[[#This Row],[customer_rating]]&gt;=4.5,"Excellent",IF(EV_Data4[[#This Row],[customer_rating]]&gt;=3.5,"Good","Average"))</f>
        <v>Good</v>
      </c>
      <c r="AH69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97" spans="1:34" x14ac:dyDescent="0.3">
      <c r="A697" t="s">
        <v>42</v>
      </c>
      <c r="B697" t="s">
        <v>43</v>
      </c>
      <c r="C697">
        <v>2025</v>
      </c>
      <c r="D697" t="s">
        <v>44</v>
      </c>
      <c r="E697" s="3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48</v>
      </c>
      <c r="N697">
        <v>5</v>
      </c>
      <c r="O697" t="s">
        <v>35</v>
      </c>
      <c r="P697">
        <v>40.5</v>
      </c>
      <c r="Q697">
        <v>2061</v>
      </c>
      <c r="R697">
        <v>4</v>
      </c>
      <c r="S697">
        <v>2</v>
      </c>
      <c r="T697" t="s">
        <v>45</v>
      </c>
      <c r="U697" t="s">
        <v>37</v>
      </c>
      <c r="V697" s="3">
        <v>66783</v>
      </c>
      <c r="W697">
        <v>3.42</v>
      </c>
      <c r="X697">
        <v>4</v>
      </c>
      <c r="Y697" s="1">
        <f>EV_Data4[[#This Row],[range_miles]]/EV_Data4[[#This Row],[battery_capacity_kwh]]</f>
        <v>3.4514435695538057</v>
      </c>
      <c r="Z697" s="4">
        <f>EV_Data4[[#This Row],[price_usd]]/EV_Data4[[#This Row],[range_miles]]</f>
        <v>144.3842205323194</v>
      </c>
      <c r="AA697" s="2">
        <f>(EV_Data4[[#This Row],[customer_rating]]*EV_Data4[[#This Row],[safety_rating]]*1000)/EV_Data4[[#This Row],[price_usd]]</f>
        <v>0.36025549699062887</v>
      </c>
      <c r="AB697">
        <f>EV_Data4[[#This Row],[horsepower]]+EV_Data4[[#This Row],[torque_nm]]/EV_Data4[[#This Row],[acceleration_0_60_mph]]</f>
        <v>374.89378757515033</v>
      </c>
      <c r="AC697" t="str">
        <f>IF(EV_Data4[[#This Row],[price_usd]]&gt;=80000,"Luxury",IF(EV_Data4[[#This Row],[price_usd]]&gt;=40000,"Mid-Range","Budget"))</f>
        <v>Budget</v>
      </c>
      <c r="AD697" t="str">
        <f>IF(EV_Data4[[#This Row],[range_miles]]&gt;=350,"Long-Range",IF(EV_Data4[[#This Row],[range_miles]]&gt;=250,"Medium-Range","Short-Range"))</f>
        <v>Medium-Range</v>
      </c>
      <c r="AE697" t="str">
        <f>IF(EV_Data4[[#This Row],[charging_speed_kw]]&gt;=250,"Ultra-Fast",IF(EV_Data4[[#This Row],[charging_speed_kw]]&gt;=150,"Fast-Charging","Standard-Charging"))</f>
        <v>Standard-Charging</v>
      </c>
      <c r="AF697" t="str">
        <f>IF(EV_Data4[[#This Row],[acceleration_0_60_mph]]&lt;=3,"SportsPerformance",IF(EV_Data4[[#This Row],[acceleration_0_60_mph]]&lt;=5,"HighPerformance","Standard"))</f>
        <v>HighPerformance</v>
      </c>
      <c r="AG697" t="str">
        <f>IF(EV_Data4[[#This Row],[customer_rating]]&gt;=4.5,"Excellent",IF(EV_Data4[[#This Row],[customer_rating]]&gt;=3.5,"Good","Average"))</f>
        <v>Average</v>
      </c>
      <c r="AH69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698" spans="1:34" x14ac:dyDescent="0.3">
      <c r="A698" t="s">
        <v>63</v>
      </c>
      <c r="B698" t="s">
        <v>67</v>
      </c>
      <c r="C698">
        <v>2023</v>
      </c>
      <c r="D698" t="s">
        <v>44</v>
      </c>
      <c r="E698" s="3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27</v>
      </c>
      <c r="N698">
        <v>5</v>
      </c>
      <c r="O698" t="s">
        <v>40</v>
      </c>
      <c r="P698">
        <v>74</v>
      </c>
      <c r="Q698">
        <v>1616</v>
      </c>
      <c r="R698">
        <v>5</v>
      </c>
      <c r="S698">
        <v>1</v>
      </c>
      <c r="T698" t="s">
        <v>65</v>
      </c>
      <c r="U698" t="s">
        <v>37</v>
      </c>
      <c r="V698" s="3">
        <v>200483</v>
      </c>
      <c r="W698">
        <v>3.75</v>
      </c>
      <c r="X698">
        <v>4</v>
      </c>
      <c r="Y698" s="1">
        <f>EV_Data4[[#This Row],[range_miles]]/EV_Data4[[#This Row],[battery_capacity_kwh]]</f>
        <v>3.4424498416050686</v>
      </c>
      <c r="Z698" s="4">
        <f>EV_Data4[[#This Row],[price_usd]]/EV_Data4[[#This Row],[range_miles]]</f>
        <v>150.16705521472392</v>
      </c>
      <c r="AA698" s="2">
        <f>(EV_Data4[[#This Row],[customer_rating]]*EV_Data4[[#This Row],[safety_rating]]*1000)/EV_Data4[[#This Row],[price_usd]]</f>
        <v>0.38300902512253227</v>
      </c>
      <c r="AB698">
        <f>EV_Data4[[#This Row],[horsepower]]+EV_Data4[[#This Row],[torque_nm]]/EV_Data4[[#This Row],[acceleration_0_60_mph]]</f>
        <v>609.68421052631584</v>
      </c>
      <c r="AC698" t="str">
        <f>IF(EV_Data4[[#This Row],[price_usd]]&gt;=80000,"Luxury",IF(EV_Data4[[#This Row],[price_usd]]&gt;=40000,"Mid-Range","Budget"))</f>
        <v>Mid-Range</v>
      </c>
      <c r="AD698" t="str">
        <f>IF(EV_Data4[[#This Row],[range_miles]]&gt;=350,"Long-Range",IF(EV_Data4[[#This Row],[range_miles]]&gt;=250,"Medium-Range","Short-Range"))</f>
        <v>Medium-Range</v>
      </c>
      <c r="AE698" t="str">
        <f>IF(EV_Data4[[#This Row],[charging_speed_kw]]&gt;=250,"Ultra-Fast",IF(EV_Data4[[#This Row],[charging_speed_kw]]&gt;=150,"Fast-Charging","Standard-Charging"))</f>
        <v>Standard-Charging</v>
      </c>
      <c r="AF698" t="str">
        <f>IF(EV_Data4[[#This Row],[acceleration_0_60_mph]]&lt;=3,"SportsPerformance",IF(EV_Data4[[#This Row],[acceleration_0_60_mph]]&lt;=5,"HighPerformance","Standard"))</f>
        <v>HighPerformance</v>
      </c>
      <c r="AG698" t="str">
        <f>IF(EV_Data4[[#This Row],[customer_rating]]&gt;=4.5,"Excellent",IF(EV_Data4[[#This Row],[customer_rating]]&gt;=3.5,"Good","Average"))</f>
        <v>Good</v>
      </c>
      <c r="AH69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699" spans="1:34" x14ac:dyDescent="0.3">
      <c r="A699" t="s">
        <v>42</v>
      </c>
      <c r="B699" t="s">
        <v>80</v>
      </c>
      <c r="C699">
        <v>2021</v>
      </c>
      <c r="D699" t="s">
        <v>44</v>
      </c>
      <c r="E699" s="3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27</v>
      </c>
      <c r="N699">
        <v>5</v>
      </c>
      <c r="O699" t="s">
        <v>35</v>
      </c>
      <c r="P699">
        <v>57.2</v>
      </c>
      <c r="Q699">
        <v>2142</v>
      </c>
      <c r="R699">
        <v>5</v>
      </c>
      <c r="S699">
        <v>2</v>
      </c>
      <c r="T699" t="s">
        <v>45</v>
      </c>
      <c r="U699" t="s">
        <v>37</v>
      </c>
      <c r="V699" s="3">
        <v>116742</v>
      </c>
      <c r="W699">
        <v>3.9</v>
      </c>
      <c r="X699">
        <v>5</v>
      </c>
      <c r="Y699" s="1">
        <f>EV_Data4[[#This Row],[range_miles]]/EV_Data4[[#This Row],[battery_capacity_kwh]]</f>
        <v>3.6760691537761598</v>
      </c>
      <c r="Z699" s="4">
        <f>EV_Data4[[#This Row],[price_usd]]/EV_Data4[[#This Row],[range_miles]]</f>
        <v>150.10284653465348</v>
      </c>
      <c r="AA699" s="2">
        <f>(EV_Data4[[#This Row],[customer_rating]]*EV_Data4[[#This Row],[safety_rating]]*1000)/EV_Data4[[#This Row],[price_usd]]</f>
        <v>0.32156170150664021</v>
      </c>
      <c r="AB699">
        <f>EV_Data4[[#This Row],[horsepower]]+EV_Data4[[#This Row],[torque_nm]]/EV_Data4[[#This Row],[acceleration_0_60_mph]]</f>
        <v>813.72438162544165</v>
      </c>
      <c r="AC699" t="str">
        <f>IF(EV_Data4[[#This Row],[price_usd]]&gt;=80000,"Luxury",IF(EV_Data4[[#This Row],[price_usd]]&gt;=40000,"Mid-Range","Budget"))</f>
        <v>Mid-Range</v>
      </c>
      <c r="AD699" t="str">
        <f>IF(EV_Data4[[#This Row],[range_miles]]&gt;=350,"Long-Range",IF(EV_Data4[[#This Row],[range_miles]]&gt;=250,"Medium-Range","Short-Range"))</f>
        <v>Long-Range</v>
      </c>
      <c r="AE699" t="str">
        <f>IF(EV_Data4[[#This Row],[charging_speed_kw]]&gt;=250,"Ultra-Fast",IF(EV_Data4[[#This Row],[charging_speed_kw]]&gt;=150,"Fast-Charging","Standard-Charging"))</f>
        <v>Standard-Charging</v>
      </c>
      <c r="AF699" t="str">
        <f>IF(EV_Data4[[#This Row],[acceleration_0_60_mph]]&lt;=3,"SportsPerformance",IF(EV_Data4[[#This Row],[acceleration_0_60_mph]]&lt;=5,"HighPerformance","Standard"))</f>
        <v>Standard</v>
      </c>
      <c r="AG699" t="str">
        <f>IF(EV_Data4[[#This Row],[customer_rating]]&gt;=4.5,"Excellent",IF(EV_Data4[[#This Row],[customer_rating]]&gt;=3.5,"Good","Average"))</f>
        <v>Good</v>
      </c>
      <c r="AH69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00" spans="1:34" x14ac:dyDescent="0.3">
      <c r="A700" t="s">
        <v>46</v>
      </c>
      <c r="B700" t="s">
        <v>57</v>
      </c>
      <c r="C700">
        <v>2025</v>
      </c>
      <c r="D700" t="s">
        <v>44</v>
      </c>
      <c r="E700" s="3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34</v>
      </c>
      <c r="N700">
        <v>5</v>
      </c>
      <c r="O700" t="s">
        <v>28</v>
      </c>
      <c r="P700">
        <v>69.3</v>
      </c>
      <c r="Q700">
        <v>2123</v>
      </c>
      <c r="R700">
        <v>4</v>
      </c>
      <c r="S700">
        <v>2</v>
      </c>
      <c r="T700" t="s">
        <v>41</v>
      </c>
      <c r="U700" t="s">
        <v>33</v>
      </c>
      <c r="V700" s="3">
        <v>161378</v>
      </c>
      <c r="W700">
        <v>4</v>
      </c>
      <c r="X700">
        <v>6</v>
      </c>
      <c r="Y700" s="1">
        <f>EV_Data4[[#This Row],[range_miles]]/EV_Data4[[#This Row],[battery_capacity_kwh]]</f>
        <v>3.2934682612695489</v>
      </c>
      <c r="Z700" s="4">
        <f>EV_Data4[[#This Row],[price_usd]]/EV_Data4[[#This Row],[range_miles]]</f>
        <v>249.11332402234638</v>
      </c>
      <c r="AA700" s="2">
        <f>(EV_Data4[[#This Row],[customer_rating]]*EV_Data4[[#This Row],[safety_rating]]*1000)/EV_Data4[[#This Row],[price_usd]]</f>
        <v>0.17940725413048758</v>
      </c>
      <c r="AB700">
        <f>EV_Data4[[#This Row],[horsepower]]+EV_Data4[[#This Row],[torque_nm]]/EV_Data4[[#This Row],[acceleration_0_60_mph]]</f>
        <v>797.41281138790032</v>
      </c>
      <c r="AC700" t="str">
        <f>IF(EV_Data4[[#This Row],[price_usd]]&gt;=80000,"Luxury",IF(EV_Data4[[#This Row],[price_usd]]&gt;=40000,"Mid-Range","Budget"))</f>
        <v>Luxury</v>
      </c>
      <c r="AD700" t="str">
        <f>IF(EV_Data4[[#This Row],[range_miles]]&gt;=350,"Long-Range",IF(EV_Data4[[#This Row],[range_miles]]&gt;=250,"Medium-Range","Short-Range"))</f>
        <v>Long-Range</v>
      </c>
      <c r="AE700" t="str">
        <f>IF(EV_Data4[[#This Row],[charging_speed_kw]]&gt;=250,"Ultra-Fast",IF(EV_Data4[[#This Row],[charging_speed_kw]]&gt;=150,"Fast-Charging","Standard-Charging"))</f>
        <v>Ultra-Fast</v>
      </c>
      <c r="AF700" t="str">
        <f>IF(EV_Data4[[#This Row],[acceleration_0_60_mph]]&lt;=3,"SportsPerformance",IF(EV_Data4[[#This Row],[acceleration_0_60_mph]]&lt;=5,"HighPerformance","Standard"))</f>
        <v>Standard</v>
      </c>
      <c r="AG700" t="str">
        <f>IF(EV_Data4[[#This Row],[customer_rating]]&gt;=4.5,"Excellent",IF(EV_Data4[[#This Row],[customer_rating]]&gt;=3.5,"Good","Average"))</f>
        <v>Good</v>
      </c>
      <c r="AH70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01" spans="1:34" x14ac:dyDescent="0.3">
      <c r="A701" t="s">
        <v>68</v>
      </c>
      <c r="B701" t="s">
        <v>106</v>
      </c>
      <c r="C701">
        <v>2024</v>
      </c>
      <c r="D701" t="s">
        <v>33</v>
      </c>
      <c r="E701" s="3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27</v>
      </c>
      <c r="N701">
        <v>5</v>
      </c>
      <c r="O701" t="s">
        <v>50</v>
      </c>
      <c r="P701">
        <v>17.5</v>
      </c>
      <c r="Q701">
        <v>1865</v>
      </c>
      <c r="R701">
        <v>4</v>
      </c>
      <c r="S701">
        <v>1</v>
      </c>
      <c r="T701" t="s">
        <v>45</v>
      </c>
      <c r="U701" t="s">
        <v>37</v>
      </c>
      <c r="V701" s="3">
        <v>133250</v>
      </c>
      <c r="W701">
        <v>3.71</v>
      </c>
      <c r="X701">
        <v>4</v>
      </c>
      <c r="Y701" s="1">
        <f>EV_Data4[[#This Row],[range_miles]]/EV_Data4[[#This Row],[battery_capacity_kwh]]</f>
        <v>3.3082706766917291</v>
      </c>
      <c r="Z701" s="4">
        <f>EV_Data4[[#This Row],[price_usd]]/EV_Data4[[#This Row],[range_miles]]</f>
        <v>233.76198863636364</v>
      </c>
      <c r="AA701" s="2">
        <f>(EV_Data4[[#This Row],[customer_rating]]*EV_Data4[[#This Row],[safety_rating]]*1000)/EV_Data4[[#This Row],[price_usd]]</f>
        <v>0.36070099467431299</v>
      </c>
      <c r="AB701">
        <f>EV_Data4[[#This Row],[horsepower]]+EV_Data4[[#This Row],[torque_nm]]/EV_Data4[[#This Row],[acceleration_0_60_mph]]</f>
        <v>424.94871794871796</v>
      </c>
      <c r="AC701" t="str">
        <f>IF(EV_Data4[[#This Row],[price_usd]]&gt;=80000,"Luxury",IF(EV_Data4[[#This Row],[price_usd]]&gt;=40000,"Mid-Range","Budget"))</f>
        <v>Mid-Range</v>
      </c>
      <c r="AD701" t="str">
        <f>IF(EV_Data4[[#This Row],[range_miles]]&gt;=350,"Long-Range",IF(EV_Data4[[#This Row],[range_miles]]&gt;=250,"Medium-Range","Short-Range"))</f>
        <v>Short-Range</v>
      </c>
      <c r="AE701" t="str">
        <f>IF(EV_Data4[[#This Row],[charging_speed_kw]]&gt;=250,"Ultra-Fast",IF(EV_Data4[[#This Row],[charging_speed_kw]]&gt;=150,"Fast-Charging","Standard-Charging"))</f>
        <v>Standard-Charging</v>
      </c>
      <c r="AF701" t="str">
        <f>IF(EV_Data4[[#This Row],[acceleration_0_60_mph]]&lt;=3,"SportsPerformance",IF(EV_Data4[[#This Row],[acceleration_0_60_mph]]&lt;=5,"HighPerformance","Standard"))</f>
        <v>Standard</v>
      </c>
      <c r="AG701" t="str">
        <f>IF(EV_Data4[[#This Row],[customer_rating]]&gt;=4.5,"Excellent",IF(EV_Data4[[#This Row],[customer_rating]]&gt;=3.5,"Good","Average"))</f>
        <v>Good</v>
      </c>
      <c r="AH70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02" spans="1:34" x14ac:dyDescent="0.3">
      <c r="A702" t="s">
        <v>68</v>
      </c>
      <c r="B702" t="s">
        <v>106</v>
      </c>
      <c r="C702">
        <v>2025</v>
      </c>
      <c r="D702" t="s">
        <v>44</v>
      </c>
      <c r="E702" s="3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48</v>
      </c>
      <c r="N702">
        <v>5</v>
      </c>
      <c r="O702" t="s">
        <v>51</v>
      </c>
      <c r="P702">
        <v>18.399999999999999</v>
      </c>
      <c r="Q702">
        <v>1805</v>
      </c>
      <c r="R702">
        <v>5</v>
      </c>
      <c r="S702">
        <v>0</v>
      </c>
      <c r="T702" t="s">
        <v>45</v>
      </c>
      <c r="U702" t="s">
        <v>37</v>
      </c>
      <c r="V702" s="3">
        <v>108288</v>
      </c>
      <c r="W702">
        <v>3.54</v>
      </c>
      <c r="X702">
        <v>4</v>
      </c>
      <c r="Y702" s="1">
        <f>EV_Data4[[#This Row],[range_miles]]/EV_Data4[[#This Row],[battery_capacity_kwh]]</f>
        <v>3.4620505992010657</v>
      </c>
      <c r="Z702" s="4">
        <f>EV_Data4[[#This Row],[price_usd]]/EV_Data4[[#This Row],[range_miles]]</f>
        <v>190.75184615384617</v>
      </c>
      <c r="AA702" s="2">
        <f>(EV_Data4[[#This Row],[customer_rating]]*EV_Data4[[#This Row],[safety_rating]]*1000)/EV_Data4[[#This Row],[price_usd]]</f>
        <v>0.35688736150955691</v>
      </c>
      <c r="AB702">
        <f>EV_Data4[[#This Row],[horsepower]]+EV_Data4[[#This Row],[torque_nm]]/EV_Data4[[#This Row],[acceleration_0_60_mph]]</f>
        <v>590.48123620309048</v>
      </c>
      <c r="AC702" t="str">
        <f>IF(EV_Data4[[#This Row],[price_usd]]&gt;=80000,"Luxury",IF(EV_Data4[[#This Row],[price_usd]]&gt;=40000,"Mid-Range","Budget"))</f>
        <v>Mid-Range</v>
      </c>
      <c r="AD702" t="str">
        <f>IF(EV_Data4[[#This Row],[range_miles]]&gt;=350,"Long-Range",IF(EV_Data4[[#This Row],[range_miles]]&gt;=250,"Medium-Range","Short-Range"))</f>
        <v>Medium-Range</v>
      </c>
      <c r="AE702" t="str">
        <f>IF(EV_Data4[[#This Row],[charging_speed_kw]]&gt;=250,"Ultra-Fast",IF(EV_Data4[[#This Row],[charging_speed_kw]]&gt;=150,"Fast-Charging","Standard-Charging"))</f>
        <v>Standard-Charging</v>
      </c>
      <c r="AF702" t="str">
        <f>IF(EV_Data4[[#This Row],[acceleration_0_60_mph]]&lt;=3,"SportsPerformance",IF(EV_Data4[[#This Row],[acceleration_0_60_mph]]&lt;=5,"HighPerformance","Standard"))</f>
        <v>HighPerformance</v>
      </c>
      <c r="AG702" t="str">
        <f>IF(EV_Data4[[#This Row],[customer_rating]]&gt;=4.5,"Excellent",IF(EV_Data4[[#This Row],[customer_rating]]&gt;=3.5,"Good","Average"))</f>
        <v>Good</v>
      </c>
      <c r="AH70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03" spans="1:34" x14ac:dyDescent="0.3">
      <c r="A703" t="s">
        <v>46</v>
      </c>
      <c r="B703" t="s">
        <v>57</v>
      </c>
      <c r="C703">
        <v>2025</v>
      </c>
      <c r="D703" t="s">
        <v>56</v>
      </c>
      <c r="E703" s="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34</v>
      </c>
      <c r="N703">
        <v>5</v>
      </c>
      <c r="O703" t="s">
        <v>35</v>
      </c>
      <c r="P703">
        <v>60.9</v>
      </c>
      <c r="Q703">
        <v>2154</v>
      </c>
      <c r="R703">
        <v>4</v>
      </c>
      <c r="S703">
        <v>3</v>
      </c>
      <c r="T703" t="s">
        <v>41</v>
      </c>
      <c r="U703" t="s">
        <v>33</v>
      </c>
      <c r="V703" s="3">
        <v>134937</v>
      </c>
      <c r="W703">
        <v>3.58</v>
      </c>
      <c r="X703">
        <v>5</v>
      </c>
      <c r="Y703" s="1">
        <f>EV_Data4[[#This Row],[range_miles]]/EV_Data4[[#This Row],[battery_capacity_kwh]]</f>
        <v>3.4048640915593702</v>
      </c>
      <c r="Z703" s="4">
        <f>EV_Data4[[#This Row],[price_usd]]/EV_Data4[[#This Row],[range_miles]]</f>
        <v>416.15802521008402</v>
      </c>
      <c r="AA703" s="2">
        <f>(EV_Data4[[#This Row],[customer_rating]]*EV_Data4[[#This Row],[safety_rating]]*1000)/EV_Data4[[#This Row],[price_usd]]</f>
        <v>0.14457985568466891</v>
      </c>
      <c r="AB703">
        <f>EV_Data4[[#This Row],[horsepower]]+EV_Data4[[#This Row],[torque_nm]]/EV_Data4[[#This Row],[acceleration_0_60_mph]]</f>
        <v>794.88040712468194</v>
      </c>
      <c r="AC703" t="str">
        <f>IF(EV_Data4[[#This Row],[price_usd]]&gt;=80000,"Luxury",IF(EV_Data4[[#This Row],[price_usd]]&gt;=40000,"Mid-Range","Budget"))</f>
        <v>Luxury</v>
      </c>
      <c r="AD703" t="str">
        <f>IF(EV_Data4[[#This Row],[range_miles]]&gt;=350,"Long-Range",IF(EV_Data4[[#This Row],[range_miles]]&gt;=250,"Medium-Range","Short-Range"))</f>
        <v>Short-Range</v>
      </c>
      <c r="AE703" t="str">
        <f>IF(EV_Data4[[#This Row],[charging_speed_kw]]&gt;=250,"Ultra-Fast",IF(EV_Data4[[#This Row],[charging_speed_kw]]&gt;=150,"Fast-Charging","Standard-Charging"))</f>
        <v>Ultra-Fast</v>
      </c>
      <c r="AF703" t="str">
        <f>IF(EV_Data4[[#This Row],[acceleration_0_60_mph]]&lt;=3,"SportsPerformance",IF(EV_Data4[[#This Row],[acceleration_0_60_mph]]&lt;=5,"HighPerformance","Standard"))</f>
        <v>Standard</v>
      </c>
      <c r="AG703" t="str">
        <f>IF(EV_Data4[[#This Row],[customer_rating]]&gt;=4.5,"Excellent",IF(EV_Data4[[#This Row],[customer_rating]]&gt;=3.5,"Good","Average"))</f>
        <v>Good</v>
      </c>
      <c r="AH703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704" spans="1:34" x14ac:dyDescent="0.3">
      <c r="A704" t="s">
        <v>63</v>
      </c>
      <c r="B704" t="s">
        <v>82</v>
      </c>
      <c r="C704">
        <v>2024</v>
      </c>
      <c r="D704" t="s">
        <v>61</v>
      </c>
      <c r="E704" s="3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34</v>
      </c>
      <c r="N704">
        <v>7</v>
      </c>
      <c r="O704" t="s">
        <v>51</v>
      </c>
      <c r="P704">
        <v>19.399999999999999</v>
      </c>
      <c r="Q704">
        <v>1666</v>
      </c>
      <c r="R704">
        <v>4</v>
      </c>
      <c r="S704">
        <v>0</v>
      </c>
      <c r="T704" t="s">
        <v>65</v>
      </c>
      <c r="U704" t="s">
        <v>33</v>
      </c>
      <c r="V704" s="3">
        <v>173863</v>
      </c>
      <c r="W704">
        <v>3.01</v>
      </c>
      <c r="X704">
        <v>5</v>
      </c>
      <c r="Y704" s="1">
        <f>EV_Data4[[#This Row],[range_miles]]/EV_Data4[[#This Row],[battery_capacity_kwh]]</f>
        <v>3.6809815950920246</v>
      </c>
      <c r="Z704" s="4">
        <f>EV_Data4[[#This Row],[price_usd]]/EV_Data4[[#This Row],[range_miles]]</f>
        <v>382.43349999999998</v>
      </c>
      <c r="AA704" s="2">
        <f>(EV_Data4[[#This Row],[customer_rating]]*EV_Data4[[#This Row],[safety_rating]]*1000)/EV_Data4[[#This Row],[price_usd]]</f>
        <v>0.17490332015602422</v>
      </c>
      <c r="AB704">
        <f>EV_Data4[[#This Row],[horsepower]]+EV_Data4[[#This Row],[torque_nm]]/EV_Data4[[#This Row],[acceleration_0_60_mph]]</f>
        <v>868.47286821705427</v>
      </c>
      <c r="AC704" t="str">
        <f>IF(EV_Data4[[#This Row],[price_usd]]&gt;=80000,"Luxury",IF(EV_Data4[[#This Row],[price_usd]]&gt;=40000,"Mid-Range","Budget"))</f>
        <v>Mid-Range</v>
      </c>
      <c r="AD704" t="str">
        <f>IF(EV_Data4[[#This Row],[range_miles]]&gt;=350,"Long-Range",IF(EV_Data4[[#This Row],[range_miles]]&gt;=250,"Medium-Range","Short-Range"))</f>
        <v>Short-Range</v>
      </c>
      <c r="AE704" t="str">
        <f>IF(EV_Data4[[#This Row],[charging_speed_kw]]&gt;=250,"Ultra-Fast",IF(EV_Data4[[#This Row],[charging_speed_kw]]&gt;=150,"Fast-Charging","Standard-Charging"))</f>
        <v>Standard-Charging</v>
      </c>
      <c r="AF704" t="str">
        <f>IF(EV_Data4[[#This Row],[acceleration_0_60_mph]]&lt;=3,"SportsPerformance",IF(EV_Data4[[#This Row],[acceleration_0_60_mph]]&lt;=5,"HighPerformance","Standard"))</f>
        <v>Standard</v>
      </c>
      <c r="AG704" t="str">
        <f>IF(EV_Data4[[#This Row],[customer_rating]]&gt;=4.5,"Excellent",IF(EV_Data4[[#This Row],[customer_rating]]&gt;=3.5,"Good","Average"))</f>
        <v>Average</v>
      </c>
      <c r="AH70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05" spans="1:34" x14ac:dyDescent="0.3">
      <c r="A705" t="s">
        <v>46</v>
      </c>
      <c r="B705" t="s">
        <v>47</v>
      </c>
      <c r="C705">
        <v>2024</v>
      </c>
      <c r="D705" t="s">
        <v>44</v>
      </c>
      <c r="E705" s="3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34</v>
      </c>
      <c r="N705">
        <v>5</v>
      </c>
      <c r="O705" t="s">
        <v>50</v>
      </c>
      <c r="P705">
        <v>20.8</v>
      </c>
      <c r="Q705">
        <v>1657</v>
      </c>
      <c r="R705">
        <v>4</v>
      </c>
      <c r="S705">
        <v>3</v>
      </c>
      <c r="T705" t="s">
        <v>41</v>
      </c>
      <c r="U705" t="s">
        <v>37</v>
      </c>
      <c r="V705" s="3">
        <v>136524</v>
      </c>
      <c r="W705">
        <v>4.42</v>
      </c>
      <c r="X705">
        <v>6</v>
      </c>
      <c r="Y705" s="1">
        <f>EV_Data4[[#This Row],[range_miles]]/EV_Data4[[#This Row],[battery_capacity_kwh]]</f>
        <v>3.6372007366482508</v>
      </c>
      <c r="Z705" s="4">
        <f>EV_Data4[[#This Row],[price_usd]]/EV_Data4[[#This Row],[range_miles]]</f>
        <v>138.71751898734178</v>
      </c>
      <c r="AA705" s="2">
        <f>(EV_Data4[[#This Row],[customer_rating]]*EV_Data4[[#This Row],[safety_rating]]*1000)/EV_Data4[[#This Row],[price_usd]]</f>
        <v>0.32266648075626603</v>
      </c>
      <c r="AB705">
        <f>EV_Data4[[#This Row],[horsepower]]+EV_Data4[[#This Row],[torque_nm]]/EV_Data4[[#This Row],[acceleration_0_60_mph]]</f>
        <v>418.24644549763036</v>
      </c>
      <c r="AC705" t="str">
        <f>IF(EV_Data4[[#This Row],[price_usd]]&gt;=80000,"Luxury",IF(EV_Data4[[#This Row],[price_usd]]&gt;=40000,"Mid-Range","Budget"))</f>
        <v>Mid-Range</v>
      </c>
      <c r="AD705" t="str">
        <f>IF(EV_Data4[[#This Row],[range_miles]]&gt;=350,"Long-Range",IF(EV_Data4[[#This Row],[range_miles]]&gt;=250,"Medium-Range","Short-Range"))</f>
        <v>Long-Range</v>
      </c>
      <c r="AE705" t="str">
        <f>IF(EV_Data4[[#This Row],[charging_speed_kw]]&gt;=250,"Ultra-Fast",IF(EV_Data4[[#This Row],[charging_speed_kw]]&gt;=150,"Fast-Charging","Standard-Charging"))</f>
        <v>Ultra-Fast</v>
      </c>
      <c r="AF705" t="str">
        <f>IF(EV_Data4[[#This Row],[acceleration_0_60_mph]]&lt;=3,"SportsPerformance",IF(EV_Data4[[#This Row],[acceleration_0_60_mph]]&lt;=5,"HighPerformance","Standard"))</f>
        <v>HighPerformance</v>
      </c>
      <c r="AG705" t="str">
        <f>IF(EV_Data4[[#This Row],[customer_rating]]&gt;=4.5,"Excellent",IF(EV_Data4[[#This Row],[customer_rating]]&gt;=3.5,"Good","Average"))</f>
        <v>Good</v>
      </c>
      <c r="AH705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706" spans="1:34" x14ac:dyDescent="0.3">
      <c r="A706" t="s">
        <v>46</v>
      </c>
      <c r="B706" t="s">
        <v>72</v>
      </c>
      <c r="C706">
        <v>2025</v>
      </c>
      <c r="D706" t="s">
        <v>33</v>
      </c>
      <c r="E706" s="3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27</v>
      </c>
      <c r="N706">
        <v>5</v>
      </c>
      <c r="O706" t="s">
        <v>28</v>
      </c>
      <c r="P706">
        <v>67.5</v>
      </c>
      <c r="Q706">
        <v>2776</v>
      </c>
      <c r="R706">
        <v>5</v>
      </c>
      <c r="S706">
        <v>2</v>
      </c>
      <c r="T706" t="s">
        <v>41</v>
      </c>
      <c r="U706" t="s">
        <v>30</v>
      </c>
      <c r="V706" s="3">
        <v>208796</v>
      </c>
      <c r="W706">
        <v>3.95</v>
      </c>
      <c r="X706">
        <v>5</v>
      </c>
      <c r="Y706" s="1">
        <f>EV_Data4[[#This Row],[range_miles]]/EV_Data4[[#This Row],[battery_capacity_kwh]]</f>
        <v>3.776041666666667</v>
      </c>
      <c r="Z706" s="4">
        <f>EV_Data4[[#This Row],[price_usd]]/EV_Data4[[#This Row],[range_miles]]</f>
        <v>554.17806896551724</v>
      </c>
      <c r="AA706" s="2">
        <f>(EV_Data4[[#This Row],[customer_rating]]*EV_Data4[[#This Row],[safety_rating]]*1000)/EV_Data4[[#This Row],[price_usd]]</f>
        <v>0.12289091194639043</v>
      </c>
      <c r="AB706">
        <f>EV_Data4[[#This Row],[horsepower]]+EV_Data4[[#This Row],[torque_nm]]/EV_Data4[[#This Row],[acceleration_0_60_mph]]</f>
        <v>1133.2831325301204</v>
      </c>
      <c r="AC706" t="str">
        <f>IF(EV_Data4[[#This Row],[price_usd]]&gt;=80000,"Luxury",IF(EV_Data4[[#This Row],[price_usd]]&gt;=40000,"Mid-Range","Budget"))</f>
        <v>Luxury</v>
      </c>
      <c r="AD706" t="str">
        <f>IF(EV_Data4[[#This Row],[range_miles]]&gt;=350,"Long-Range",IF(EV_Data4[[#This Row],[range_miles]]&gt;=250,"Medium-Range","Short-Range"))</f>
        <v>Medium-Range</v>
      </c>
      <c r="AE706" t="str">
        <f>IF(EV_Data4[[#This Row],[charging_speed_kw]]&gt;=250,"Ultra-Fast",IF(EV_Data4[[#This Row],[charging_speed_kw]]&gt;=150,"Fast-Charging","Standard-Charging"))</f>
        <v>Ultra-Fast</v>
      </c>
      <c r="AF706" t="str">
        <f>IF(EV_Data4[[#This Row],[acceleration_0_60_mph]]&lt;=3,"SportsPerformance",IF(EV_Data4[[#This Row],[acceleration_0_60_mph]]&lt;=5,"HighPerformance","Standard"))</f>
        <v>Standard</v>
      </c>
      <c r="AG706" t="str">
        <f>IF(EV_Data4[[#This Row],[customer_rating]]&gt;=4.5,"Excellent",IF(EV_Data4[[#This Row],[customer_rating]]&gt;=3.5,"Good","Average"))</f>
        <v>Good</v>
      </c>
      <c r="AH70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07" spans="1:34" x14ac:dyDescent="0.3">
      <c r="A707" t="s">
        <v>121</v>
      </c>
      <c r="B707" t="s">
        <v>135</v>
      </c>
      <c r="C707">
        <v>2026</v>
      </c>
      <c r="D707" t="s">
        <v>44</v>
      </c>
      <c r="E707" s="3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34</v>
      </c>
      <c r="N707">
        <v>5</v>
      </c>
      <c r="O707" t="s">
        <v>35</v>
      </c>
      <c r="P707">
        <v>41.7</v>
      </c>
      <c r="Q707">
        <v>2235</v>
      </c>
      <c r="R707">
        <v>4</v>
      </c>
      <c r="S707">
        <v>0</v>
      </c>
      <c r="T707" t="s">
        <v>123</v>
      </c>
      <c r="U707" t="s">
        <v>33</v>
      </c>
      <c r="V707" s="3">
        <v>22605</v>
      </c>
      <c r="W707">
        <v>3.33</v>
      </c>
      <c r="X707">
        <v>3</v>
      </c>
      <c r="Y707" s="1">
        <f>EV_Data4[[#This Row],[range_miles]]/EV_Data4[[#This Row],[battery_capacity_kwh]]</f>
        <v>3.3245033112582782</v>
      </c>
      <c r="Z707" s="4">
        <f>EV_Data4[[#This Row],[price_usd]]/EV_Data4[[#This Row],[range_miles]]</f>
        <v>271.85207171314738</v>
      </c>
      <c r="AA707" s="2">
        <f>(EV_Data4[[#This Row],[customer_rating]]*EV_Data4[[#This Row],[safety_rating]]*1000)/EV_Data4[[#This Row],[price_usd]]</f>
        <v>0.19520810987109671</v>
      </c>
      <c r="AB707">
        <f>EV_Data4[[#This Row],[horsepower]]+EV_Data4[[#This Row],[torque_nm]]/EV_Data4[[#This Row],[acceleration_0_60_mph]]</f>
        <v>572.58115183246071</v>
      </c>
      <c r="AC707" t="str">
        <f>IF(EV_Data4[[#This Row],[price_usd]]&gt;=80000,"Luxury",IF(EV_Data4[[#This Row],[price_usd]]&gt;=40000,"Mid-Range","Budget"))</f>
        <v>Mid-Range</v>
      </c>
      <c r="AD707" t="str">
        <f>IF(EV_Data4[[#This Row],[range_miles]]&gt;=350,"Long-Range",IF(EV_Data4[[#This Row],[range_miles]]&gt;=250,"Medium-Range","Short-Range"))</f>
        <v>Medium-Range</v>
      </c>
      <c r="AE707" t="str">
        <f>IF(EV_Data4[[#This Row],[charging_speed_kw]]&gt;=250,"Ultra-Fast",IF(EV_Data4[[#This Row],[charging_speed_kw]]&gt;=150,"Fast-Charging","Standard-Charging"))</f>
        <v>Standard-Charging</v>
      </c>
      <c r="AF707" t="str">
        <f>IF(EV_Data4[[#This Row],[acceleration_0_60_mph]]&lt;=3,"SportsPerformance",IF(EV_Data4[[#This Row],[acceleration_0_60_mph]]&lt;=5,"HighPerformance","Standard"))</f>
        <v>Standard</v>
      </c>
      <c r="AG707" t="str">
        <f>IF(EV_Data4[[#This Row],[customer_rating]]&gt;=4.5,"Excellent",IF(EV_Data4[[#This Row],[customer_rating]]&gt;=3.5,"Good","Average"))</f>
        <v>Average</v>
      </c>
      <c r="AH70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08" spans="1:34" x14ac:dyDescent="0.3">
      <c r="A708" t="s">
        <v>63</v>
      </c>
      <c r="B708" t="s">
        <v>67</v>
      </c>
      <c r="C708">
        <v>2023</v>
      </c>
      <c r="D708" t="s">
        <v>56</v>
      </c>
      <c r="E708" s="3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34</v>
      </c>
      <c r="N708">
        <v>7</v>
      </c>
      <c r="O708" t="s">
        <v>50</v>
      </c>
      <c r="P708">
        <v>28.5</v>
      </c>
      <c r="Q708">
        <v>1500</v>
      </c>
      <c r="R708">
        <v>4</v>
      </c>
      <c r="S708">
        <v>2</v>
      </c>
      <c r="T708" t="s">
        <v>65</v>
      </c>
      <c r="U708" t="s">
        <v>37</v>
      </c>
      <c r="V708" s="3">
        <v>222794</v>
      </c>
      <c r="W708">
        <v>3.15</v>
      </c>
      <c r="X708">
        <v>4</v>
      </c>
      <c r="Y708" s="1">
        <f>EV_Data4[[#This Row],[range_miles]]/EV_Data4[[#This Row],[battery_capacity_kwh]]</f>
        <v>3.6516853932584268</v>
      </c>
      <c r="Z708" s="4">
        <f>EV_Data4[[#This Row],[price_usd]]/EV_Data4[[#This Row],[range_miles]]</f>
        <v>205.84223076923078</v>
      </c>
      <c r="AA708" s="2">
        <f>(EV_Data4[[#This Row],[customer_rating]]*EV_Data4[[#This Row],[safety_rating]]*1000)/EV_Data4[[#This Row],[price_usd]]</f>
        <v>0.23543049587267917</v>
      </c>
      <c r="AB708">
        <f>EV_Data4[[#This Row],[horsepower]]+EV_Data4[[#This Row],[torque_nm]]/EV_Data4[[#This Row],[acceleration_0_60_mph]]</f>
        <v>716.59016393442619</v>
      </c>
      <c r="AC708" t="str">
        <f>IF(EV_Data4[[#This Row],[price_usd]]&gt;=80000,"Luxury",IF(EV_Data4[[#This Row],[price_usd]]&gt;=40000,"Mid-Range","Budget"))</f>
        <v>Mid-Range</v>
      </c>
      <c r="AD708" t="str">
        <f>IF(EV_Data4[[#This Row],[range_miles]]&gt;=350,"Long-Range",IF(EV_Data4[[#This Row],[range_miles]]&gt;=250,"Medium-Range","Short-Range"))</f>
        <v>Medium-Range</v>
      </c>
      <c r="AE708" t="str">
        <f>IF(EV_Data4[[#This Row],[charging_speed_kw]]&gt;=250,"Ultra-Fast",IF(EV_Data4[[#This Row],[charging_speed_kw]]&gt;=150,"Fast-Charging","Standard-Charging"))</f>
        <v>Standard-Charging</v>
      </c>
      <c r="AF708" t="str">
        <f>IF(EV_Data4[[#This Row],[acceleration_0_60_mph]]&lt;=3,"SportsPerformance",IF(EV_Data4[[#This Row],[acceleration_0_60_mph]]&lt;=5,"HighPerformance","Standard"))</f>
        <v>Standard</v>
      </c>
      <c r="AG708" t="str">
        <f>IF(EV_Data4[[#This Row],[customer_rating]]&gt;=4.5,"Excellent",IF(EV_Data4[[#This Row],[customer_rating]]&gt;=3.5,"Good","Average"))</f>
        <v>Average</v>
      </c>
      <c r="AH70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09" spans="1:34" x14ac:dyDescent="0.3">
      <c r="A709" t="s">
        <v>76</v>
      </c>
      <c r="B709" t="s">
        <v>81</v>
      </c>
      <c r="C709">
        <v>2025</v>
      </c>
      <c r="D709" t="s">
        <v>61</v>
      </c>
      <c r="E709" s="3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34</v>
      </c>
      <c r="N709">
        <v>5</v>
      </c>
      <c r="O709" t="s">
        <v>40</v>
      </c>
      <c r="P709">
        <v>65.400000000000006</v>
      </c>
      <c r="Q709">
        <v>1526</v>
      </c>
      <c r="R709">
        <v>4</v>
      </c>
      <c r="S709">
        <v>2</v>
      </c>
      <c r="T709" t="s">
        <v>41</v>
      </c>
      <c r="U709" t="s">
        <v>37</v>
      </c>
      <c r="V709" s="3">
        <v>34530</v>
      </c>
      <c r="W709">
        <v>3.75</v>
      </c>
      <c r="X709">
        <v>4</v>
      </c>
      <c r="Y709" s="1">
        <f>EV_Data4[[#This Row],[range_miles]]/EV_Data4[[#This Row],[battery_capacity_kwh]]</f>
        <v>3.6039360393603936</v>
      </c>
      <c r="Z709" s="4">
        <f>EV_Data4[[#This Row],[price_usd]]/EV_Data4[[#This Row],[range_miles]]</f>
        <v>147.290204778157</v>
      </c>
      <c r="AA709" s="2">
        <f>(EV_Data4[[#This Row],[customer_rating]]*EV_Data4[[#This Row],[safety_rating]]*1000)/EV_Data4[[#This Row],[price_usd]]</f>
        <v>0.3475759934359115</v>
      </c>
      <c r="AB709">
        <f>EV_Data4[[#This Row],[horsepower]]+EV_Data4[[#This Row],[torque_nm]]/EV_Data4[[#This Row],[acceleration_0_60_mph]]</f>
        <v>381.11142061281339</v>
      </c>
      <c r="AC709" t="str">
        <f>IF(EV_Data4[[#This Row],[price_usd]]&gt;=80000,"Luxury",IF(EV_Data4[[#This Row],[price_usd]]&gt;=40000,"Mid-Range","Budget"))</f>
        <v>Mid-Range</v>
      </c>
      <c r="AD709" t="str">
        <f>IF(EV_Data4[[#This Row],[range_miles]]&gt;=350,"Long-Range",IF(EV_Data4[[#This Row],[range_miles]]&gt;=250,"Medium-Range","Short-Range"))</f>
        <v>Medium-Range</v>
      </c>
      <c r="AE709" t="str">
        <f>IF(EV_Data4[[#This Row],[charging_speed_kw]]&gt;=250,"Ultra-Fast",IF(EV_Data4[[#This Row],[charging_speed_kw]]&gt;=150,"Fast-Charging","Standard-Charging"))</f>
        <v>Standard-Charging</v>
      </c>
      <c r="AF709" t="str">
        <f>IF(EV_Data4[[#This Row],[acceleration_0_60_mph]]&lt;=3,"SportsPerformance",IF(EV_Data4[[#This Row],[acceleration_0_60_mph]]&lt;=5,"HighPerformance","Standard"))</f>
        <v>Standard</v>
      </c>
      <c r="AG709" t="str">
        <f>IF(EV_Data4[[#This Row],[customer_rating]]&gt;=4.5,"Excellent",IF(EV_Data4[[#This Row],[customer_rating]]&gt;=3.5,"Good","Average"))</f>
        <v>Good</v>
      </c>
      <c r="AH70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10" spans="1:34" x14ac:dyDescent="0.3">
      <c r="A710" t="s">
        <v>63</v>
      </c>
      <c r="B710" t="s">
        <v>82</v>
      </c>
      <c r="C710">
        <v>2021</v>
      </c>
      <c r="D710" t="s">
        <v>56</v>
      </c>
      <c r="E710" s="3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48</v>
      </c>
      <c r="N710">
        <v>7</v>
      </c>
      <c r="O710" t="s">
        <v>50</v>
      </c>
      <c r="P710">
        <v>18.7</v>
      </c>
      <c r="Q710">
        <v>1500</v>
      </c>
      <c r="R710">
        <v>4</v>
      </c>
      <c r="S710">
        <v>0</v>
      </c>
      <c r="T710" t="s">
        <v>65</v>
      </c>
      <c r="U710" t="s">
        <v>37</v>
      </c>
      <c r="V710" s="3">
        <v>132992</v>
      </c>
      <c r="W710">
        <v>3.34</v>
      </c>
      <c r="X710">
        <v>4</v>
      </c>
      <c r="Y710" s="1">
        <f>EV_Data4[[#This Row],[range_miles]]/EV_Data4[[#This Row],[battery_capacity_kwh]]</f>
        <v>3.655913978494624</v>
      </c>
      <c r="Z710" s="4">
        <f>EV_Data4[[#This Row],[price_usd]]/EV_Data4[[#This Row],[range_miles]]</f>
        <v>219.15887254901963</v>
      </c>
      <c r="AA710" s="2">
        <f>(EV_Data4[[#This Row],[customer_rating]]*EV_Data4[[#This Row],[safety_rating]]*1000)/EV_Data4[[#This Row],[price_usd]]</f>
        <v>0.29882520984306976</v>
      </c>
      <c r="AB710">
        <f>EV_Data4[[#This Row],[horsepower]]+EV_Data4[[#This Row],[torque_nm]]/EV_Data4[[#This Row],[acceleration_0_60_mph]]</f>
        <v>549.08446866485019</v>
      </c>
      <c r="AC710" t="str">
        <f>IF(EV_Data4[[#This Row],[price_usd]]&gt;=80000,"Luxury",IF(EV_Data4[[#This Row],[price_usd]]&gt;=40000,"Mid-Range","Budget"))</f>
        <v>Mid-Range</v>
      </c>
      <c r="AD710" t="str">
        <f>IF(EV_Data4[[#This Row],[range_miles]]&gt;=350,"Long-Range",IF(EV_Data4[[#This Row],[range_miles]]&gt;=250,"Medium-Range","Short-Range"))</f>
        <v>Short-Range</v>
      </c>
      <c r="AE710" t="str">
        <f>IF(EV_Data4[[#This Row],[charging_speed_kw]]&gt;=250,"Ultra-Fast",IF(EV_Data4[[#This Row],[charging_speed_kw]]&gt;=150,"Fast-Charging","Standard-Charging"))</f>
        <v>Standard-Charging</v>
      </c>
      <c r="AF710" t="str">
        <f>IF(EV_Data4[[#This Row],[acceleration_0_60_mph]]&lt;=3,"SportsPerformance",IF(EV_Data4[[#This Row],[acceleration_0_60_mph]]&lt;=5,"HighPerformance","Standard"))</f>
        <v>Standard</v>
      </c>
      <c r="AG710" t="str">
        <f>IF(EV_Data4[[#This Row],[customer_rating]]&gt;=4.5,"Excellent",IF(EV_Data4[[#This Row],[customer_rating]]&gt;=3.5,"Good","Average"))</f>
        <v>Average</v>
      </c>
      <c r="AH71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11" spans="1:34" x14ac:dyDescent="0.3">
      <c r="A711" t="s">
        <v>83</v>
      </c>
      <c r="B711" t="s">
        <v>84</v>
      </c>
      <c r="C711">
        <v>2022</v>
      </c>
      <c r="D711" t="s">
        <v>44</v>
      </c>
      <c r="E711" s="3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27</v>
      </c>
      <c r="N711">
        <v>5</v>
      </c>
      <c r="O711" t="s">
        <v>58</v>
      </c>
      <c r="P711">
        <v>18.5</v>
      </c>
      <c r="Q711">
        <v>1500</v>
      </c>
      <c r="R711">
        <v>5</v>
      </c>
      <c r="S711">
        <v>1</v>
      </c>
      <c r="T711" t="s">
        <v>29</v>
      </c>
      <c r="U711" t="s">
        <v>30</v>
      </c>
      <c r="V711" s="3">
        <v>58674</v>
      </c>
      <c r="W711">
        <v>3.4</v>
      </c>
      <c r="X711">
        <v>5</v>
      </c>
      <c r="Y711" s="1">
        <f>EV_Data4[[#This Row],[range_miles]]/EV_Data4[[#This Row],[battery_capacity_kwh]]</f>
        <v>3.4822335025380711</v>
      </c>
      <c r="Z711" s="4">
        <f>EV_Data4[[#This Row],[price_usd]]/EV_Data4[[#This Row],[range_miles]]</f>
        <v>336.4260932944606</v>
      </c>
      <c r="AA711" s="2">
        <f>(EV_Data4[[#This Row],[customer_rating]]*EV_Data4[[#This Row],[safety_rating]]*1000)/EV_Data4[[#This Row],[price_usd]]</f>
        <v>0.14732115969483722</v>
      </c>
      <c r="AB711">
        <f>EV_Data4[[#This Row],[horsepower]]+EV_Data4[[#This Row],[torque_nm]]/EV_Data4[[#This Row],[acceleration_0_60_mph]]</f>
        <v>1174.6963562753035</v>
      </c>
      <c r="AC711" t="str">
        <f>IF(EV_Data4[[#This Row],[price_usd]]&gt;=80000,"Luxury",IF(EV_Data4[[#This Row],[price_usd]]&gt;=40000,"Mid-Range","Budget"))</f>
        <v>Luxury</v>
      </c>
      <c r="AD711" t="str">
        <f>IF(EV_Data4[[#This Row],[range_miles]]&gt;=350,"Long-Range",IF(EV_Data4[[#This Row],[range_miles]]&gt;=250,"Medium-Range","Short-Range"))</f>
        <v>Medium-Range</v>
      </c>
      <c r="AE711" t="str">
        <f>IF(EV_Data4[[#This Row],[charging_speed_kw]]&gt;=250,"Ultra-Fast",IF(EV_Data4[[#This Row],[charging_speed_kw]]&gt;=150,"Fast-Charging","Standard-Charging"))</f>
        <v>Standard-Charging</v>
      </c>
      <c r="AF711" t="str">
        <f>IF(EV_Data4[[#This Row],[acceleration_0_60_mph]]&lt;=3,"SportsPerformance",IF(EV_Data4[[#This Row],[acceleration_0_60_mph]]&lt;=5,"HighPerformance","Standard"))</f>
        <v>HighPerformance</v>
      </c>
      <c r="AG711" t="str">
        <f>IF(EV_Data4[[#This Row],[customer_rating]]&gt;=4.5,"Excellent",IF(EV_Data4[[#This Row],[customer_rating]]&gt;=3.5,"Good","Average"))</f>
        <v>Average</v>
      </c>
      <c r="AH71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12" spans="1:34" x14ac:dyDescent="0.3">
      <c r="A712" t="s">
        <v>38</v>
      </c>
      <c r="B712" t="s">
        <v>101</v>
      </c>
      <c r="C712">
        <v>2025</v>
      </c>
      <c r="D712" t="s">
        <v>56</v>
      </c>
      <c r="E712" s="3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48</v>
      </c>
      <c r="N712">
        <v>7</v>
      </c>
      <c r="O712" t="s">
        <v>50</v>
      </c>
      <c r="P712">
        <v>27</v>
      </c>
      <c r="Q712">
        <v>1852</v>
      </c>
      <c r="R712">
        <v>4</v>
      </c>
      <c r="S712">
        <v>2</v>
      </c>
      <c r="T712" t="s">
        <v>41</v>
      </c>
      <c r="U712" t="s">
        <v>37</v>
      </c>
      <c r="V712" s="3">
        <v>16274</v>
      </c>
      <c r="W712">
        <v>3.18</v>
      </c>
      <c r="X712">
        <v>4</v>
      </c>
      <c r="Y712" s="1">
        <f>EV_Data4[[#This Row],[range_miles]]/EV_Data4[[#This Row],[battery_capacity_kwh]]</f>
        <v>3.6044657097288675</v>
      </c>
      <c r="Z712" s="4">
        <f>EV_Data4[[#This Row],[price_usd]]/EV_Data4[[#This Row],[range_miles]]</f>
        <v>168.18610619469027</v>
      </c>
      <c r="AA712" s="2">
        <f>(EV_Data4[[#This Row],[customer_rating]]*EV_Data4[[#This Row],[safety_rating]]*1000)/EV_Data4[[#This Row],[price_usd]]</f>
        <v>0.33464824838476975</v>
      </c>
      <c r="AB712">
        <f>EV_Data4[[#This Row],[horsepower]]+EV_Data4[[#This Row],[torque_nm]]/EV_Data4[[#This Row],[acceleration_0_60_mph]]</f>
        <v>341.92709766162312</v>
      </c>
      <c r="AC712" t="str">
        <f>IF(EV_Data4[[#This Row],[price_usd]]&gt;=80000,"Luxury",IF(EV_Data4[[#This Row],[price_usd]]&gt;=40000,"Mid-Range","Budget"))</f>
        <v>Budget</v>
      </c>
      <c r="AD712" t="str">
        <f>IF(EV_Data4[[#This Row],[range_miles]]&gt;=350,"Long-Range",IF(EV_Data4[[#This Row],[range_miles]]&gt;=250,"Medium-Range","Short-Range"))</f>
        <v>Short-Range</v>
      </c>
      <c r="AE712" t="str">
        <f>IF(EV_Data4[[#This Row],[charging_speed_kw]]&gt;=250,"Ultra-Fast",IF(EV_Data4[[#This Row],[charging_speed_kw]]&gt;=150,"Fast-Charging","Standard-Charging"))</f>
        <v>Standard-Charging</v>
      </c>
      <c r="AF712" t="str">
        <f>IF(EV_Data4[[#This Row],[acceleration_0_60_mph]]&lt;=3,"SportsPerformance",IF(EV_Data4[[#This Row],[acceleration_0_60_mph]]&lt;=5,"HighPerformance","Standard"))</f>
        <v>Standard</v>
      </c>
      <c r="AG712" t="str">
        <f>IF(EV_Data4[[#This Row],[customer_rating]]&gt;=4.5,"Excellent",IF(EV_Data4[[#This Row],[customer_rating]]&gt;=3.5,"Good","Average"))</f>
        <v>Average</v>
      </c>
      <c r="AH71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13" spans="1:34" x14ac:dyDescent="0.3">
      <c r="A713" t="s">
        <v>42</v>
      </c>
      <c r="B713" t="s">
        <v>115</v>
      </c>
      <c r="C713">
        <v>2024</v>
      </c>
      <c r="D713" t="s">
        <v>61</v>
      </c>
      <c r="E713" s="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48</v>
      </c>
      <c r="N713">
        <v>5</v>
      </c>
      <c r="O713" t="s">
        <v>58</v>
      </c>
      <c r="P713">
        <v>38.700000000000003</v>
      </c>
      <c r="Q713">
        <v>1504</v>
      </c>
      <c r="R713">
        <v>4</v>
      </c>
      <c r="S713">
        <v>0</v>
      </c>
      <c r="T713" t="s">
        <v>45</v>
      </c>
      <c r="U713" t="s">
        <v>33</v>
      </c>
      <c r="V713" s="3">
        <v>72998</v>
      </c>
      <c r="W713">
        <v>3.35</v>
      </c>
      <c r="X713">
        <v>4</v>
      </c>
      <c r="Y713" s="1">
        <f>EV_Data4[[#This Row],[range_miles]]/EV_Data4[[#This Row],[battery_capacity_kwh]]</f>
        <v>3.0324400564174891</v>
      </c>
      <c r="Z713" s="4">
        <f>EV_Data4[[#This Row],[price_usd]]/EV_Data4[[#This Row],[range_miles]]</f>
        <v>327.37958139534885</v>
      </c>
      <c r="AA713" s="2">
        <f>(EV_Data4[[#This Row],[customer_rating]]*EV_Data4[[#This Row],[safety_rating]]*1000)/EV_Data4[[#This Row],[price_usd]]</f>
        <v>0.19037711860252965</v>
      </c>
      <c r="AB713">
        <f>EV_Data4[[#This Row],[horsepower]]+EV_Data4[[#This Row],[torque_nm]]/EV_Data4[[#This Row],[acceleration_0_60_mph]]</f>
        <v>862.65737051792826</v>
      </c>
      <c r="AC713" t="str">
        <f>IF(EV_Data4[[#This Row],[price_usd]]&gt;=80000,"Luxury",IF(EV_Data4[[#This Row],[price_usd]]&gt;=40000,"Mid-Range","Budget"))</f>
        <v>Mid-Range</v>
      </c>
      <c r="AD713" t="str">
        <f>IF(EV_Data4[[#This Row],[range_miles]]&gt;=350,"Long-Range",IF(EV_Data4[[#This Row],[range_miles]]&gt;=250,"Medium-Range","Short-Range"))</f>
        <v>Short-Range</v>
      </c>
      <c r="AE713" t="str">
        <f>IF(EV_Data4[[#This Row],[charging_speed_kw]]&gt;=250,"Ultra-Fast",IF(EV_Data4[[#This Row],[charging_speed_kw]]&gt;=150,"Fast-Charging","Standard-Charging"))</f>
        <v>Standard-Charging</v>
      </c>
      <c r="AF713" t="str">
        <f>IF(EV_Data4[[#This Row],[acceleration_0_60_mph]]&lt;=3,"SportsPerformance",IF(EV_Data4[[#This Row],[acceleration_0_60_mph]]&lt;=5,"HighPerformance","Standard"))</f>
        <v>Standard</v>
      </c>
      <c r="AG713" t="str">
        <f>IF(EV_Data4[[#This Row],[customer_rating]]&gt;=4.5,"Excellent",IF(EV_Data4[[#This Row],[customer_rating]]&gt;=3.5,"Good","Average"))</f>
        <v>Average</v>
      </c>
      <c r="AH71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14" spans="1:34" x14ac:dyDescent="0.3">
      <c r="A714" t="s">
        <v>68</v>
      </c>
      <c r="B714" t="s">
        <v>90</v>
      </c>
      <c r="C714">
        <v>2022</v>
      </c>
      <c r="D714" t="s">
        <v>44</v>
      </c>
      <c r="E714" s="3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27</v>
      </c>
      <c r="N714">
        <v>5</v>
      </c>
      <c r="O714" t="s">
        <v>51</v>
      </c>
      <c r="P714">
        <v>29.8</v>
      </c>
      <c r="Q714">
        <v>1778</v>
      </c>
      <c r="R714">
        <v>5</v>
      </c>
      <c r="S714">
        <v>2</v>
      </c>
      <c r="T714" t="s">
        <v>45</v>
      </c>
      <c r="U714" t="s">
        <v>33</v>
      </c>
      <c r="V714" s="3">
        <v>100096</v>
      </c>
      <c r="W714">
        <v>3.57</v>
      </c>
      <c r="X714">
        <v>4</v>
      </c>
      <c r="Y714" s="1">
        <f>EV_Data4[[#This Row],[range_miles]]/EV_Data4[[#This Row],[battery_capacity_kwh]]</f>
        <v>3.7082405345211584</v>
      </c>
      <c r="Z714" s="4">
        <f>EV_Data4[[#This Row],[price_usd]]/EV_Data4[[#This Row],[range_miles]]</f>
        <v>203.44459459459461</v>
      </c>
      <c r="AA714" s="2">
        <f>(EV_Data4[[#This Row],[customer_rating]]*EV_Data4[[#This Row],[safety_rating]]*1000)/EV_Data4[[#This Row],[price_usd]]</f>
        <v>0.26348010725190241</v>
      </c>
      <c r="AB714">
        <f>EV_Data4[[#This Row],[horsepower]]+EV_Data4[[#This Row],[torque_nm]]/EV_Data4[[#This Row],[acceleration_0_60_mph]]</f>
        <v>913.74747474747471</v>
      </c>
      <c r="AC714" t="str">
        <f>IF(EV_Data4[[#This Row],[price_usd]]&gt;=80000,"Luxury",IF(EV_Data4[[#This Row],[price_usd]]&gt;=40000,"Mid-Range","Budget"))</f>
        <v>Mid-Range</v>
      </c>
      <c r="AD714" t="str">
        <f>IF(EV_Data4[[#This Row],[range_miles]]&gt;=350,"Long-Range",IF(EV_Data4[[#This Row],[range_miles]]&gt;=250,"Medium-Range","Short-Range"))</f>
        <v>Medium-Range</v>
      </c>
      <c r="AE714" t="str">
        <f>IF(EV_Data4[[#This Row],[charging_speed_kw]]&gt;=250,"Ultra-Fast",IF(EV_Data4[[#This Row],[charging_speed_kw]]&gt;=150,"Fast-Charging","Standard-Charging"))</f>
        <v>Standard-Charging</v>
      </c>
      <c r="AF714" t="str">
        <f>IF(EV_Data4[[#This Row],[acceleration_0_60_mph]]&lt;=3,"SportsPerformance",IF(EV_Data4[[#This Row],[acceleration_0_60_mph]]&lt;=5,"HighPerformance","Standard"))</f>
        <v>HighPerformance</v>
      </c>
      <c r="AG714" t="str">
        <f>IF(EV_Data4[[#This Row],[customer_rating]]&gt;=4.5,"Excellent",IF(EV_Data4[[#This Row],[customer_rating]]&gt;=3.5,"Good","Average"))</f>
        <v>Good</v>
      </c>
      <c r="AH71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15" spans="1:34" x14ac:dyDescent="0.3">
      <c r="A715" t="s">
        <v>24</v>
      </c>
      <c r="B715" t="s">
        <v>70</v>
      </c>
      <c r="C715">
        <v>2024</v>
      </c>
      <c r="D715" t="s">
        <v>26</v>
      </c>
      <c r="E715" s="3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34</v>
      </c>
      <c r="N715">
        <v>7</v>
      </c>
      <c r="O715" t="s">
        <v>28</v>
      </c>
      <c r="P715">
        <v>78</v>
      </c>
      <c r="Q715">
        <v>2339</v>
      </c>
      <c r="R715">
        <v>5</v>
      </c>
      <c r="S715">
        <v>0</v>
      </c>
      <c r="T715" t="s">
        <v>29</v>
      </c>
      <c r="U715" t="s">
        <v>33</v>
      </c>
      <c r="V715" s="3">
        <v>260956</v>
      </c>
      <c r="W715">
        <v>3.68</v>
      </c>
      <c r="X715">
        <v>4</v>
      </c>
      <c r="Y715" s="1">
        <f>EV_Data4[[#This Row],[range_miles]]/EV_Data4[[#This Row],[battery_capacity_kwh]]</f>
        <v>3.4660633484162897</v>
      </c>
      <c r="Z715" s="4">
        <f>EV_Data4[[#This Row],[price_usd]]/EV_Data4[[#This Row],[range_miles]]</f>
        <v>203.94164490861618</v>
      </c>
      <c r="AA715" s="2">
        <f>(EV_Data4[[#This Row],[customer_rating]]*EV_Data4[[#This Row],[safety_rating]]*1000)/EV_Data4[[#This Row],[price_usd]]</f>
        <v>0.23556628406349286</v>
      </c>
      <c r="AB715">
        <f>EV_Data4[[#This Row],[horsepower]]+EV_Data4[[#This Row],[torque_nm]]/EV_Data4[[#This Row],[acceleration_0_60_mph]]</f>
        <v>1167.6546762589928</v>
      </c>
      <c r="AC715" t="str">
        <f>IF(EV_Data4[[#This Row],[price_usd]]&gt;=80000,"Luxury",IF(EV_Data4[[#This Row],[price_usd]]&gt;=40000,"Mid-Range","Budget"))</f>
        <v>Mid-Range</v>
      </c>
      <c r="AD715" t="str">
        <f>IF(EV_Data4[[#This Row],[range_miles]]&gt;=350,"Long-Range",IF(EV_Data4[[#This Row],[range_miles]]&gt;=250,"Medium-Range","Short-Range"))</f>
        <v>Long-Range</v>
      </c>
      <c r="AE715" t="str">
        <f>IF(EV_Data4[[#This Row],[charging_speed_kw]]&gt;=250,"Ultra-Fast",IF(EV_Data4[[#This Row],[charging_speed_kw]]&gt;=150,"Fast-Charging","Standard-Charging"))</f>
        <v>Fast-Charging</v>
      </c>
      <c r="AF715" t="str">
        <f>IF(EV_Data4[[#This Row],[acceleration_0_60_mph]]&lt;=3,"SportsPerformance",IF(EV_Data4[[#This Row],[acceleration_0_60_mph]]&lt;=5,"HighPerformance","Standard"))</f>
        <v>SportsPerformance</v>
      </c>
      <c r="AG715" t="str">
        <f>IF(EV_Data4[[#This Row],[customer_rating]]&gt;=4.5,"Excellent",IF(EV_Data4[[#This Row],[customer_rating]]&gt;=3.5,"Good","Average"))</f>
        <v>Good</v>
      </c>
      <c r="AH71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16" spans="1:34" x14ac:dyDescent="0.3">
      <c r="A716" t="s">
        <v>63</v>
      </c>
      <c r="B716" t="s">
        <v>88</v>
      </c>
      <c r="C716">
        <v>2025</v>
      </c>
      <c r="D716" t="s">
        <v>56</v>
      </c>
      <c r="E716" s="3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27</v>
      </c>
      <c r="N716">
        <v>5</v>
      </c>
      <c r="O716" t="s">
        <v>40</v>
      </c>
      <c r="P716">
        <v>71.2</v>
      </c>
      <c r="Q716">
        <v>1500</v>
      </c>
      <c r="R716">
        <v>5</v>
      </c>
      <c r="S716">
        <v>0</v>
      </c>
      <c r="T716" t="s">
        <v>65</v>
      </c>
      <c r="U716" t="s">
        <v>66</v>
      </c>
      <c r="V716" s="3">
        <v>183226</v>
      </c>
      <c r="W716">
        <v>3.75</v>
      </c>
      <c r="X716">
        <v>4</v>
      </c>
      <c r="Y716" s="1">
        <f>EV_Data4[[#This Row],[range_miles]]/EV_Data4[[#This Row],[battery_capacity_kwh]]</f>
        <v>3.2506203473945412</v>
      </c>
      <c r="Z716" s="4">
        <f>EV_Data4[[#This Row],[price_usd]]/EV_Data4[[#This Row],[range_miles]]</f>
        <v>88.66419847328244</v>
      </c>
      <c r="AA716" s="2">
        <f>(EV_Data4[[#This Row],[customer_rating]]*EV_Data4[[#This Row],[safety_rating]]*1000)/EV_Data4[[#This Row],[price_usd]]</f>
        <v>0.80714523706824182</v>
      </c>
      <c r="AB716">
        <f>EV_Data4[[#This Row],[horsepower]]+EV_Data4[[#This Row],[torque_nm]]/EV_Data4[[#This Row],[acceleration_0_60_mph]]</f>
        <v>202.28257686676426</v>
      </c>
      <c r="AC716" t="str">
        <f>IF(EV_Data4[[#This Row],[price_usd]]&gt;=80000,"Luxury",IF(EV_Data4[[#This Row],[price_usd]]&gt;=40000,"Mid-Range","Budget"))</f>
        <v>Budget</v>
      </c>
      <c r="AD716" t="str">
        <f>IF(EV_Data4[[#This Row],[range_miles]]&gt;=350,"Long-Range",IF(EV_Data4[[#This Row],[range_miles]]&gt;=250,"Medium-Range","Short-Range"))</f>
        <v>Medium-Range</v>
      </c>
      <c r="AE716" t="str">
        <f>IF(EV_Data4[[#This Row],[charging_speed_kw]]&gt;=250,"Ultra-Fast",IF(EV_Data4[[#This Row],[charging_speed_kw]]&gt;=150,"Fast-Charging","Standard-Charging"))</f>
        <v>Standard-Charging</v>
      </c>
      <c r="AF716" t="str">
        <f>IF(EV_Data4[[#This Row],[acceleration_0_60_mph]]&lt;=3,"SportsPerformance",IF(EV_Data4[[#This Row],[acceleration_0_60_mph]]&lt;=5,"HighPerformance","Standard"))</f>
        <v>Standard</v>
      </c>
      <c r="AG716" t="str">
        <f>IF(EV_Data4[[#This Row],[customer_rating]]&gt;=4.5,"Excellent",IF(EV_Data4[[#This Row],[customer_rating]]&gt;=3.5,"Good","Average"))</f>
        <v>Good</v>
      </c>
      <c r="AH71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17" spans="1:34" x14ac:dyDescent="0.3">
      <c r="A717" t="s">
        <v>94</v>
      </c>
      <c r="B717" t="s">
        <v>128</v>
      </c>
      <c r="C717">
        <v>2026</v>
      </c>
      <c r="D717" t="s">
        <v>61</v>
      </c>
      <c r="E717" s="3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48</v>
      </c>
      <c r="N717">
        <v>5</v>
      </c>
      <c r="O717" t="s">
        <v>51</v>
      </c>
      <c r="P717">
        <v>28</v>
      </c>
      <c r="Q717">
        <v>1649</v>
      </c>
      <c r="R717">
        <v>5</v>
      </c>
      <c r="S717">
        <v>0</v>
      </c>
      <c r="T717" t="s">
        <v>41</v>
      </c>
      <c r="U717" t="s">
        <v>33</v>
      </c>
      <c r="V717" s="3">
        <v>21561</v>
      </c>
      <c r="W717">
        <v>3.72</v>
      </c>
      <c r="X717">
        <v>5</v>
      </c>
      <c r="Y717" s="1">
        <f>EV_Data4[[#This Row],[range_miles]]/EV_Data4[[#This Row],[battery_capacity_kwh]]</f>
        <v>3.6338418862690709</v>
      </c>
      <c r="Z717" s="4">
        <f>EV_Data4[[#This Row],[price_usd]]/EV_Data4[[#This Row],[range_miles]]</f>
        <v>332.36045801526717</v>
      </c>
      <c r="AA717" s="2">
        <f>(EV_Data4[[#This Row],[customer_rating]]*EV_Data4[[#This Row],[safety_rating]]*1000)/EV_Data4[[#This Row],[price_usd]]</f>
        <v>0.21360051925597195</v>
      </c>
      <c r="AB717">
        <f>EV_Data4[[#This Row],[horsepower]]+EV_Data4[[#This Row],[torque_nm]]/EV_Data4[[#This Row],[acceleration_0_60_mph]]</f>
        <v>1144.3729903536978</v>
      </c>
      <c r="AC717" t="str">
        <f>IF(EV_Data4[[#This Row],[price_usd]]&gt;=80000,"Luxury",IF(EV_Data4[[#This Row],[price_usd]]&gt;=40000,"Mid-Range","Budget"))</f>
        <v>Luxury</v>
      </c>
      <c r="AD717" t="str">
        <f>IF(EV_Data4[[#This Row],[range_miles]]&gt;=350,"Long-Range",IF(EV_Data4[[#This Row],[range_miles]]&gt;=250,"Medium-Range","Short-Range"))</f>
        <v>Medium-Range</v>
      </c>
      <c r="AE717" t="str">
        <f>IF(EV_Data4[[#This Row],[charging_speed_kw]]&gt;=250,"Ultra-Fast",IF(EV_Data4[[#This Row],[charging_speed_kw]]&gt;=150,"Fast-Charging","Standard-Charging"))</f>
        <v>Standard-Charging</v>
      </c>
      <c r="AF717" t="str">
        <f>IF(EV_Data4[[#This Row],[acceleration_0_60_mph]]&lt;=3,"SportsPerformance",IF(EV_Data4[[#This Row],[acceleration_0_60_mph]]&lt;=5,"HighPerformance","Standard"))</f>
        <v>Standard</v>
      </c>
      <c r="AG717" t="str">
        <f>IF(EV_Data4[[#This Row],[customer_rating]]&gt;=4.5,"Excellent",IF(EV_Data4[[#This Row],[customer_rating]]&gt;=3.5,"Good","Average"))</f>
        <v>Good</v>
      </c>
      <c r="AH71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18" spans="1:34" x14ac:dyDescent="0.3">
      <c r="A718" t="s">
        <v>52</v>
      </c>
      <c r="B718" t="s">
        <v>62</v>
      </c>
      <c r="C718">
        <v>2023</v>
      </c>
      <c r="D718" t="s">
        <v>44</v>
      </c>
      <c r="E718" s="3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27</v>
      </c>
      <c r="N718">
        <v>7</v>
      </c>
      <c r="O718" t="s">
        <v>28</v>
      </c>
      <c r="P718">
        <v>65.8</v>
      </c>
      <c r="Q718">
        <v>2651</v>
      </c>
      <c r="R718">
        <v>5</v>
      </c>
      <c r="S718">
        <v>1</v>
      </c>
      <c r="T718" t="s">
        <v>29</v>
      </c>
      <c r="U718" t="s">
        <v>30</v>
      </c>
      <c r="V718" s="3">
        <v>29039</v>
      </c>
      <c r="W718">
        <v>3.99</v>
      </c>
      <c r="X718">
        <v>8</v>
      </c>
      <c r="Y718" s="1">
        <f>EV_Data4[[#This Row],[range_miles]]/EV_Data4[[#This Row],[battery_capacity_kwh]]</f>
        <v>3.4563758389261743</v>
      </c>
      <c r="Z718" s="4">
        <f>EV_Data4[[#This Row],[price_usd]]/EV_Data4[[#This Row],[range_miles]]</f>
        <v>430.61042071197409</v>
      </c>
      <c r="AA718" s="2">
        <f>(EV_Data4[[#This Row],[customer_rating]]*EV_Data4[[#This Row],[safety_rating]]*1000)/EV_Data4[[#This Row],[price_usd]]</f>
        <v>0.14993391634454051</v>
      </c>
      <c r="AB718">
        <f>EV_Data4[[#This Row],[horsepower]]+EV_Data4[[#This Row],[torque_nm]]/EV_Data4[[#This Row],[acceleration_0_60_mph]]</f>
        <v>890.18493150684935</v>
      </c>
      <c r="AC718" t="str">
        <f>IF(EV_Data4[[#This Row],[price_usd]]&gt;=80000,"Luxury",IF(EV_Data4[[#This Row],[price_usd]]&gt;=40000,"Mid-Range","Budget"))</f>
        <v>Luxury</v>
      </c>
      <c r="AD718" t="str">
        <f>IF(EV_Data4[[#This Row],[range_miles]]&gt;=350,"Long-Range",IF(EV_Data4[[#This Row],[range_miles]]&gt;=250,"Medium-Range","Short-Range"))</f>
        <v>Medium-Range</v>
      </c>
      <c r="AE718" t="str">
        <f>IF(EV_Data4[[#This Row],[charging_speed_kw]]&gt;=250,"Ultra-Fast",IF(EV_Data4[[#This Row],[charging_speed_kw]]&gt;=150,"Fast-Charging","Standard-Charging"))</f>
        <v>Standard-Charging</v>
      </c>
      <c r="AF718" t="str">
        <f>IF(EV_Data4[[#This Row],[acceleration_0_60_mph]]&lt;=3,"SportsPerformance",IF(EV_Data4[[#This Row],[acceleration_0_60_mph]]&lt;=5,"HighPerformance","Standard"))</f>
        <v>Standard</v>
      </c>
      <c r="AG718" t="str">
        <f>IF(EV_Data4[[#This Row],[customer_rating]]&gt;=4.5,"Excellent",IF(EV_Data4[[#This Row],[customer_rating]]&gt;=3.5,"Good","Average"))</f>
        <v>Good</v>
      </c>
      <c r="AH71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19" spans="1:34" x14ac:dyDescent="0.3">
      <c r="A719" t="s">
        <v>59</v>
      </c>
      <c r="B719" t="s">
        <v>60</v>
      </c>
      <c r="C719">
        <v>2026</v>
      </c>
      <c r="D719" t="s">
        <v>56</v>
      </c>
      <c r="E719" s="3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34</v>
      </c>
      <c r="N719">
        <v>5</v>
      </c>
      <c r="O719" t="s">
        <v>51</v>
      </c>
      <c r="P719">
        <v>33.299999999999997</v>
      </c>
      <c r="Q719">
        <v>1746</v>
      </c>
      <c r="R719">
        <v>4</v>
      </c>
      <c r="S719">
        <v>2</v>
      </c>
      <c r="T719" t="s">
        <v>41</v>
      </c>
      <c r="U719" t="s">
        <v>33</v>
      </c>
      <c r="V719" s="3">
        <v>28442</v>
      </c>
      <c r="W719">
        <v>3.61</v>
      </c>
      <c r="X719">
        <v>5</v>
      </c>
      <c r="Y719" s="1">
        <f>EV_Data4[[#This Row],[range_miles]]/EV_Data4[[#This Row],[battery_capacity_kwh]]</f>
        <v>3.5006119951040389</v>
      </c>
      <c r="Z719" s="4">
        <f>EV_Data4[[#This Row],[price_usd]]/EV_Data4[[#This Row],[range_miles]]</f>
        <v>311.45926573426573</v>
      </c>
      <c r="AA719" s="2">
        <f>(EV_Data4[[#This Row],[customer_rating]]*EV_Data4[[#This Row],[safety_rating]]*1000)/EV_Data4[[#This Row],[price_usd]]</f>
        <v>0.16210630424007896</v>
      </c>
      <c r="AB719">
        <f>EV_Data4[[#This Row],[horsepower]]+EV_Data4[[#This Row],[torque_nm]]/EV_Data4[[#This Row],[acceleration_0_60_mph]]</f>
        <v>837.81504702194354</v>
      </c>
      <c r="AC719" t="str">
        <f>IF(EV_Data4[[#This Row],[price_usd]]&gt;=80000,"Luxury",IF(EV_Data4[[#This Row],[price_usd]]&gt;=40000,"Mid-Range","Budget"))</f>
        <v>Luxury</v>
      </c>
      <c r="AD719" t="str">
        <f>IF(EV_Data4[[#This Row],[range_miles]]&gt;=350,"Long-Range",IF(EV_Data4[[#This Row],[range_miles]]&gt;=250,"Medium-Range","Short-Range"))</f>
        <v>Medium-Range</v>
      </c>
      <c r="AE719" t="str">
        <f>IF(EV_Data4[[#This Row],[charging_speed_kw]]&gt;=250,"Ultra-Fast",IF(EV_Data4[[#This Row],[charging_speed_kw]]&gt;=150,"Fast-Charging","Standard-Charging"))</f>
        <v>Standard-Charging</v>
      </c>
      <c r="AF719" t="str">
        <f>IF(EV_Data4[[#This Row],[acceleration_0_60_mph]]&lt;=3,"SportsPerformance",IF(EV_Data4[[#This Row],[acceleration_0_60_mph]]&lt;=5,"HighPerformance","Standard"))</f>
        <v>Standard</v>
      </c>
      <c r="AG719" t="str">
        <f>IF(EV_Data4[[#This Row],[customer_rating]]&gt;=4.5,"Excellent",IF(EV_Data4[[#This Row],[customer_rating]]&gt;=3.5,"Good","Average"))</f>
        <v>Good</v>
      </c>
      <c r="AH71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20" spans="1:34" x14ac:dyDescent="0.3">
      <c r="A720" t="s">
        <v>46</v>
      </c>
      <c r="B720" t="s">
        <v>47</v>
      </c>
      <c r="C720">
        <v>2025</v>
      </c>
      <c r="D720" t="s">
        <v>33</v>
      </c>
      <c r="E720" s="3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27</v>
      </c>
      <c r="N720">
        <v>7</v>
      </c>
      <c r="O720" t="s">
        <v>58</v>
      </c>
      <c r="P720">
        <v>24.8</v>
      </c>
      <c r="Q720">
        <v>1593</v>
      </c>
      <c r="R720">
        <v>4</v>
      </c>
      <c r="S720">
        <v>2</v>
      </c>
      <c r="T720" t="s">
        <v>41</v>
      </c>
      <c r="U720" t="s">
        <v>30</v>
      </c>
      <c r="V720" s="3">
        <v>106799</v>
      </c>
      <c r="W720">
        <v>3.65</v>
      </c>
      <c r="X720">
        <v>5</v>
      </c>
      <c r="Y720" s="1">
        <f>EV_Data4[[#This Row],[range_miles]]/EV_Data4[[#This Row],[battery_capacity_kwh]]</f>
        <v>3.7574850299401201</v>
      </c>
      <c r="Z720" s="4">
        <f>EV_Data4[[#This Row],[price_usd]]/EV_Data4[[#This Row],[range_miles]]</f>
        <v>423.19330677290839</v>
      </c>
      <c r="AA720" s="2">
        <f>(EV_Data4[[#This Row],[customer_rating]]*EV_Data4[[#This Row],[safety_rating]]*1000)/EV_Data4[[#This Row],[price_usd]]</f>
        <v>0.13744860740083553</v>
      </c>
      <c r="AB720">
        <f>EV_Data4[[#This Row],[horsepower]]+EV_Data4[[#This Row],[torque_nm]]/EV_Data4[[#This Row],[acceleration_0_60_mph]]</f>
        <v>875.19867549668879</v>
      </c>
      <c r="AC720" t="str">
        <f>IF(EV_Data4[[#This Row],[price_usd]]&gt;=80000,"Luxury",IF(EV_Data4[[#This Row],[price_usd]]&gt;=40000,"Mid-Range","Budget"))</f>
        <v>Luxury</v>
      </c>
      <c r="AD720" t="str">
        <f>IF(EV_Data4[[#This Row],[range_miles]]&gt;=350,"Long-Range",IF(EV_Data4[[#This Row],[range_miles]]&gt;=250,"Medium-Range","Short-Range"))</f>
        <v>Medium-Range</v>
      </c>
      <c r="AE720" t="str">
        <f>IF(EV_Data4[[#This Row],[charging_speed_kw]]&gt;=250,"Ultra-Fast",IF(EV_Data4[[#This Row],[charging_speed_kw]]&gt;=150,"Fast-Charging","Standard-Charging"))</f>
        <v>Ultra-Fast</v>
      </c>
      <c r="AF720" t="str">
        <f>IF(EV_Data4[[#This Row],[acceleration_0_60_mph]]&lt;=3,"SportsPerformance",IF(EV_Data4[[#This Row],[acceleration_0_60_mph]]&lt;=5,"HighPerformance","Standard"))</f>
        <v>Standard</v>
      </c>
      <c r="AG720" t="str">
        <f>IF(EV_Data4[[#This Row],[customer_rating]]&gt;=4.5,"Excellent",IF(EV_Data4[[#This Row],[customer_rating]]&gt;=3.5,"Good","Average"))</f>
        <v>Good</v>
      </c>
      <c r="AH72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21" spans="1:34" x14ac:dyDescent="0.3">
      <c r="A721" t="s">
        <v>38</v>
      </c>
      <c r="B721" t="s">
        <v>39</v>
      </c>
      <c r="C721">
        <v>2024</v>
      </c>
      <c r="D721" t="s">
        <v>61</v>
      </c>
      <c r="E721" s="3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48</v>
      </c>
      <c r="N721">
        <v>7</v>
      </c>
      <c r="O721" t="s">
        <v>28</v>
      </c>
      <c r="P721">
        <v>64</v>
      </c>
      <c r="Q721">
        <v>2655</v>
      </c>
      <c r="R721">
        <v>5</v>
      </c>
      <c r="S721">
        <v>2</v>
      </c>
      <c r="T721" t="s">
        <v>41</v>
      </c>
      <c r="U721" t="s">
        <v>37</v>
      </c>
      <c r="V721" s="3">
        <v>22516</v>
      </c>
      <c r="W721">
        <v>3.7</v>
      </c>
      <c r="X721">
        <v>4</v>
      </c>
      <c r="Y721" s="1">
        <f>EV_Data4[[#This Row],[range_miles]]/EV_Data4[[#This Row],[battery_capacity_kwh]]</f>
        <v>3.9399293286219081</v>
      </c>
      <c r="Z721" s="4">
        <f>EV_Data4[[#This Row],[price_usd]]/EV_Data4[[#This Row],[range_miles]]</f>
        <v>265.71282511210762</v>
      </c>
      <c r="AA721" s="2">
        <f>(EV_Data4[[#This Row],[customer_rating]]*EV_Data4[[#This Row],[safety_rating]]*1000)/EV_Data4[[#This Row],[price_usd]]</f>
        <v>0.31221541986392132</v>
      </c>
      <c r="AB721">
        <f>EV_Data4[[#This Row],[horsepower]]+EV_Data4[[#This Row],[torque_nm]]/EV_Data4[[#This Row],[acceleration_0_60_mph]]</f>
        <v>877.95309568480297</v>
      </c>
      <c r="AC721" t="str">
        <f>IF(EV_Data4[[#This Row],[price_usd]]&gt;=80000,"Luxury",IF(EV_Data4[[#This Row],[price_usd]]&gt;=40000,"Mid-Range","Budget"))</f>
        <v>Mid-Range</v>
      </c>
      <c r="AD721" t="str">
        <f>IF(EV_Data4[[#This Row],[range_miles]]&gt;=350,"Long-Range",IF(EV_Data4[[#This Row],[range_miles]]&gt;=250,"Medium-Range","Short-Range"))</f>
        <v>Short-Range</v>
      </c>
      <c r="AE721" t="str">
        <f>IF(EV_Data4[[#This Row],[charging_speed_kw]]&gt;=250,"Ultra-Fast",IF(EV_Data4[[#This Row],[charging_speed_kw]]&gt;=150,"Fast-Charging","Standard-Charging"))</f>
        <v>Standard-Charging</v>
      </c>
      <c r="AF721" t="str">
        <f>IF(EV_Data4[[#This Row],[acceleration_0_60_mph]]&lt;=3,"SportsPerformance",IF(EV_Data4[[#This Row],[acceleration_0_60_mph]]&lt;=5,"HighPerformance","Standard"))</f>
        <v>Standard</v>
      </c>
      <c r="AG721" t="str">
        <f>IF(EV_Data4[[#This Row],[customer_rating]]&gt;=4.5,"Excellent",IF(EV_Data4[[#This Row],[customer_rating]]&gt;=3.5,"Good","Average"))</f>
        <v>Good</v>
      </c>
      <c r="AH72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22" spans="1:34" x14ac:dyDescent="0.3">
      <c r="A722" t="s">
        <v>92</v>
      </c>
      <c r="B722" t="s">
        <v>93</v>
      </c>
      <c r="C722">
        <v>2025</v>
      </c>
      <c r="D722" t="s">
        <v>61</v>
      </c>
      <c r="E722" s="3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27</v>
      </c>
      <c r="N722">
        <v>7</v>
      </c>
      <c r="O722" t="s">
        <v>28</v>
      </c>
      <c r="P722">
        <v>60.4</v>
      </c>
      <c r="Q722">
        <v>2579</v>
      </c>
      <c r="R722">
        <v>5</v>
      </c>
      <c r="S722">
        <v>0</v>
      </c>
      <c r="T722" t="s">
        <v>65</v>
      </c>
      <c r="U722" t="s">
        <v>33</v>
      </c>
      <c r="V722" s="3">
        <v>21427</v>
      </c>
      <c r="W722">
        <v>3</v>
      </c>
      <c r="X722">
        <v>3</v>
      </c>
      <c r="Y722" s="1">
        <f>EV_Data4[[#This Row],[range_miles]]/EV_Data4[[#This Row],[battery_capacity_kwh]]</f>
        <v>3.6281179138321993</v>
      </c>
      <c r="Z722" s="4">
        <f>EV_Data4[[#This Row],[price_usd]]/EV_Data4[[#This Row],[range_miles]]</f>
        <v>438.4511875</v>
      </c>
      <c r="AA722" s="2">
        <f>(EV_Data4[[#This Row],[customer_rating]]*EV_Data4[[#This Row],[safety_rating]]*1000)/EV_Data4[[#This Row],[price_usd]]</f>
        <v>0.21382083723972123</v>
      </c>
      <c r="AB722">
        <f>EV_Data4[[#This Row],[horsepower]]+EV_Data4[[#This Row],[torque_nm]]/EV_Data4[[#This Row],[acceleration_0_60_mph]]</f>
        <v>602.27461139896377</v>
      </c>
      <c r="AC722" t="str">
        <f>IF(EV_Data4[[#This Row],[price_usd]]&gt;=80000,"Luxury",IF(EV_Data4[[#This Row],[price_usd]]&gt;=40000,"Mid-Range","Budget"))</f>
        <v>Mid-Range</v>
      </c>
      <c r="AD722" t="str">
        <f>IF(EV_Data4[[#This Row],[range_miles]]&gt;=350,"Long-Range",IF(EV_Data4[[#This Row],[range_miles]]&gt;=250,"Medium-Range","Short-Range"))</f>
        <v>Short-Range</v>
      </c>
      <c r="AE722" t="str">
        <f>IF(EV_Data4[[#This Row],[charging_speed_kw]]&gt;=250,"Ultra-Fast",IF(EV_Data4[[#This Row],[charging_speed_kw]]&gt;=150,"Fast-Charging","Standard-Charging"))</f>
        <v>Standard-Charging</v>
      </c>
      <c r="AF722" t="str">
        <f>IF(EV_Data4[[#This Row],[acceleration_0_60_mph]]&lt;=3,"SportsPerformance",IF(EV_Data4[[#This Row],[acceleration_0_60_mph]]&lt;=5,"HighPerformance","Standard"))</f>
        <v>Standard</v>
      </c>
      <c r="AG722" t="str">
        <f>IF(EV_Data4[[#This Row],[customer_rating]]&gt;=4.5,"Excellent",IF(EV_Data4[[#This Row],[customer_rating]]&gt;=3.5,"Good","Average"))</f>
        <v>Average</v>
      </c>
      <c r="AH72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23" spans="1:34" x14ac:dyDescent="0.3">
      <c r="A723" t="s">
        <v>46</v>
      </c>
      <c r="B723" t="s">
        <v>78</v>
      </c>
      <c r="C723">
        <v>2022</v>
      </c>
      <c r="D723" t="s">
        <v>61</v>
      </c>
      <c r="E723" s="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34</v>
      </c>
      <c r="N723">
        <v>5</v>
      </c>
      <c r="O723" t="s">
        <v>58</v>
      </c>
      <c r="P723">
        <v>32.799999999999997</v>
      </c>
      <c r="Q723">
        <v>1627</v>
      </c>
      <c r="R723">
        <v>5</v>
      </c>
      <c r="S723">
        <v>2</v>
      </c>
      <c r="T723" t="s">
        <v>41</v>
      </c>
      <c r="U723" t="s">
        <v>37</v>
      </c>
      <c r="V723" s="3">
        <v>112809</v>
      </c>
      <c r="W723">
        <v>3.72</v>
      </c>
      <c r="X723">
        <v>5</v>
      </c>
      <c r="Y723" s="1">
        <f>EV_Data4[[#This Row],[range_miles]]/EV_Data4[[#This Row],[battery_capacity_kwh]]</f>
        <v>3.5519801980198022</v>
      </c>
      <c r="Z723" s="4">
        <f>EV_Data4[[#This Row],[price_usd]]/EV_Data4[[#This Row],[range_miles]]</f>
        <v>158.07578397212544</v>
      </c>
      <c r="AA723" s="2">
        <f>(EV_Data4[[#This Row],[customer_rating]]*EV_Data4[[#This Row],[safety_rating]]*1000)/EV_Data4[[#This Row],[price_usd]]</f>
        <v>0.40998286227551511</v>
      </c>
      <c r="AB723">
        <f>EV_Data4[[#This Row],[horsepower]]+EV_Data4[[#This Row],[torque_nm]]/EV_Data4[[#This Row],[acceleration_0_60_mph]]</f>
        <v>354.25557011795541</v>
      </c>
      <c r="AC723" t="str">
        <f>IF(EV_Data4[[#This Row],[price_usd]]&gt;=80000,"Luxury",IF(EV_Data4[[#This Row],[price_usd]]&gt;=40000,"Mid-Range","Budget"))</f>
        <v>Mid-Range</v>
      </c>
      <c r="AD723" t="str">
        <f>IF(EV_Data4[[#This Row],[range_miles]]&gt;=350,"Long-Range",IF(EV_Data4[[#This Row],[range_miles]]&gt;=250,"Medium-Range","Short-Range"))</f>
        <v>Medium-Range</v>
      </c>
      <c r="AE723" t="str">
        <f>IF(EV_Data4[[#This Row],[charging_speed_kw]]&gt;=250,"Ultra-Fast",IF(EV_Data4[[#This Row],[charging_speed_kw]]&gt;=150,"Fast-Charging","Standard-Charging"))</f>
        <v>Ultra-Fast</v>
      </c>
      <c r="AF723" t="str">
        <f>IF(EV_Data4[[#This Row],[acceleration_0_60_mph]]&lt;=3,"SportsPerformance",IF(EV_Data4[[#This Row],[acceleration_0_60_mph]]&lt;=5,"HighPerformance","Standard"))</f>
        <v>Standard</v>
      </c>
      <c r="AG723" t="str">
        <f>IF(EV_Data4[[#This Row],[customer_rating]]&gt;=4.5,"Excellent",IF(EV_Data4[[#This Row],[customer_rating]]&gt;=3.5,"Good","Average"))</f>
        <v>Good</v>
      </c>
      <c r="AH72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24" spans="1:34" x14ac:dyDescent="0.3">
      <c r="A724" t="s">
        <v>46</v>
      </c>
      <c r="B724" t="s">
        <v>72</v>
      </c>
      <c r="C724">
        <v>2026</v>
      </c>
      <c r="D724" t="s">
        <v>56</v>
      </c>
      <c r="E724" s="3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48</v>
      </c>
      <c r="N724">
        <v>5</v>
      </c>
      <c r="O724" t="s">
        <v>28</v>
      </c>
      <c r="P724">
        <v>58.6</v>
      </c>
      <c r="Q724">
        <v>2449</v>
      </c>
      <c r="R724">
        <v>3</v>
      </c>
      <c r="S724">
        <v>2</v>
      </c>
      <c r="T724" t="s">
        <v>41</v>
      </c>
      <c r="U724" t="s">
        <v>30</v>
      </c>
      <c r="V724" s="3">
        <v>118722</v>
      </c>
      <c r="W724">
        <v>3.89</v>
      </c>
      <c r="X724">
        <v>5</v>
      </c>
      <c r="Y724" s="1">
        <f>EV_Data4[[#This Row],[range_miles]]/EV_Data4[[#This Row],[battery_capacity_kwh]]</f>
        <v>3.551532033426184</v>
      </c>
      <c r="Z724" s="4">
        <f>EV_Data4[[#This Row],[price_usd]]/EV_Data4[[#This Row],[range_miles]]</f>
        <v>396.47615686274509</v>
      </c>
      <c r="AA724" s="2">
        <f>(EV_Data4[[#This Row],[customer_rating]]*EV_Data4[[#This Row],[safety_rating]]*1000)/EV_Data4[[#This Row],[price_usd]]</f>
        <v>0.11542864580932691</v>
      </c>
      <c r="AB724">
        <f>EV_Data4[[#This Row],[horsepower]]+EV_Data4[[#This Row],[torque_nm]]/EV_Data4[[#This Row],[acceleration_0_60_mph]]</f>
        <v>869.69104204753194</v>
      </c>
      <c r="AC724" t="str">
        <f>IF(EV_Data4[[#This Row],[price_usd]]&gt;=80000,"Luxury",IF(EV_Data4[[#This Row],[price_usd]]&gt;=40000,"Mid-Range","Budget"))</f>
        <v>Luxury</v>
      </c>
      <c r="AD724" t="str">
        <f>IF(EV_Data4[[#This Row],[range_miles]]&gt;=350,"Long-Range",IF(EV_Data4[[#This Row],[range_miles]]&gt;=250,"Medium-Range","Short-Range"))</f>
        <v>Medium-Range</v>
      </c>
      <c r="AE724" t="str">
        <f>IF(EV_Data4[[#This Row],[charging_speed_kw]]&gt;=250,"Ultra-Fast",IF(EV_Data4[[#This Row],[charging_speed_kw]]&gt;=150,"Fast-Charging","Standard-Charging"))</f>
        <v>Ultra-Fast</v>
      </c>
      <c r="AF724" t="str">
        <f>IF(EV_Data4[[#This Row],[acceleration_0_60_mph]]&lt;=3,"SportsPerformance",IF(EV_Data4[[#This Row],[acceleration_0_60_mph]]&lt;=5,"HighPerformance","Standard"))</f>
        <v>Standard</v>
      </c>
      <c r="AG724" t="str">
        <f>IF(EV_Data4[[#This Row],[customer_rating]]&gt;=4.5,"Excellent",IF(EV_Data4[[#This Row],[customer_rating]]&gt;=3.5,"Good","Average"))</f>
        <v>Good</v>
      </c>
      <c r="AH72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25" spans="1:34" x14ac:dyDescent="0.3">
      <c r="A725" t="s">
        <v>38</v>
      </c>
      <c r="B725" t="s">
        <v>118</v>
      </c>
      <c r="C725">
        <v>2024</v>
      </c>
      <c r="D725" t="s">
        <v>26</v>
      </c>
      <c r="E725" s="3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27</v>
      </c>
      <c r="N725">
        <v>5</v>
      </c>
      <c r="O725" t="s">
        <v>58</v>
      </c>
      <c r="P725">
        <v>36</v>
      </c>
      <c r="Q725">
        <v>1500</v>
      </c>
      <c r="R725">
        <v>4</v>
      </c>
      <c r="S725">
        <v>1</v>
      </c>
      <c r="T725" t="s">
        <v>41</v>
      </c>
      <c r="U725" t="s">
        <v>33</v>
      </c>
      <c r="V725" s="3">
        <v>26479</v>
      </c>
      <c r="W725">
        <v>3.38</v>
      </c>
      <c r="X725">
        <v>3</v>
      </c>
      <c r="Y725" s="1">
        <f>EV_Data4[[#This Row],[range_miles]]/EV_Data4[[#This Row],[battery_capacity_kwh]]</f>
        <v>3.6200256739409498</v>
      </c>
      <c r="Z725" s="4">
        <f>EV_Data4[[#This Row],[price_usd]]/EV_Data4[[#This Row],[range_miles]]</f>
        <v>254.22212765957445</v>
      </c>
      <c r="AA725" s="2">
        <f>(EV_Data4[[#This Row],[customer_rating]]*EV_Data4[[#This Row],[safety_rating]]*1000)/EV_Data4[[#This Row],[price_usd]]</f>
        <v>0.18858807788576026</v>
      </c>
      <c r="AB725">
        <f>EV_Data4[[#This Row],[horsepower]]+EV_Data4[[#This Row],[torque_nm]]/EV_Data4[[#This Row],[acceleration_0_60_mph]]</f>
        <v>1335.5871886120997</v>
      </c>
      <c r="AC725" t="str">
        <f>IF(EV_Data4[[#This Row],[price_usd]]&gt;=80000,"Luxury",IF(EV_Data4[[#This Row],[price_usd]]&gt;=40000,"Mid-Range","Budget"))</f>
        <v>Mid-Range</v>
      </c>
      <c r="AD725" t="str">
        <f>IF(EV_Data4[[#This Row],[range_miles]]&gt;=350,"Long-Range",IF(EV_Data4[[#This Row],[range_miles]]&gt;=250,"Medium-Range","Short-Range"))</f>
        <v>Medium-Range</v>
      </c>
      <c r="AE725" t="str">
        <f>IF(EV_Data4[[#This Row],[charging_speed_kw]]&gt;=250,"Ultra-Fast",IF(EV_Data4[[#This Row],[charging_speed_kw]]&gt;=150,"Fast-Charging","Standard-Charging"))</f>
        <v>Fast-Charging</v>
      </c>
      <c r="AF725" t="str">
        <f>IF(EV_Data4[[#This Row],[acceleration_0_60_mph]]&lt;=3,"SportsPerformance",IF(EV_Data4[[#This Row],[acceleration_0_60_mph]]&lt;=5,"HighPerformance","Standard"))</f>
        <v>SportsPerformance</v>
      </c>
      <c r="AG725" t="str">
        <f>IF(EV_Data4[[#This Row],[customer_rating]]&gt;=4.5,"Excellent",IF(EV_Data4[[#This Row],[customer_rating]]&gt;=3.5,"Good","Average"))</f>
        <v>Average</v>
      </c>
      <c r="AH72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26" spans="1:34" x14ac:dyDescent="0.3">
      <c r="A726" t="s">
        <v>42</v>
      </c>
      <c r="B726" t="s">
        <v>115</v>
      </c>
      <c r="C726">
        <v>2026</v>
      </c>
      <c r="D726" t="s">
        <v>56</v>
      </c>
      <c r="E726" s="3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27</v>
      </c>
      <c r="N726">
        <v>5</v>
      </c>
      <c r="O726" t="s">
        <v>58</v>
      </c>
      <c r="P726">
        <v>19.5</v>
      </c>
      <c r="Q726">
        <v>1918</v>
      </c>
      <c r="R726">
        <v>4</v>
      </c>
      <c r="S726">
        <v>1</v>
      </c>
      <c r="T726" t="s">
        <v>45</v>
      </c>
      <c r="U726" t="s">
        <v>33</v>
      </c>
      <c r="V726" s="3">
        <v>95119</v>
      </c>
      <c r="W726">
        <v>3.3</v>
      </c>
      <c r="X726">
        <v>4</v>
      </c>
      <c r="Y726" s="1">
        <f>EV_Data4[[#This Row],[range_miles]]/EV_Data4[[#This Row],[battery_capacity_kwh]]</f>
        <v>3.4060402684563758</v>
      </c>
      <c r="Z726" s="4">
        <f>EV_Data4[[#This Row],[price_usd]]/EV_Data4[[#This Row],[range_miles]]</f>
        <v>324.6450738916256</v>
      </c>
      <c r="AA726" s="2">
        <f>(EV_Data4[[#This Row],[customer_rating]]*EV_Data4[[#This Row],[safety_rating]]*1000)/EV_Data4[[#This Row],[price_usd]]</f>
        <v>0.20029452399323552</v>
      </c>
      <c r="AB726">
        <f>EV_Data4[[#This Row],[horsepower]]+EV_Data4[[#This Row],[torque_nm]]/EV_Data4[[#This Row],[acceleration_0_60_mph]]</f>
        <v>786.31746031746036</v>
      </c>
      <c r="AC726" t="str">
        <f>IF(EV_Data4[[#This Row],[price_usd]]&gt;=80000,"Luxury",IF(EV_Data4[[#This Row],[price_usd]]&gt;=40000,"Mid-Range","Budget"))</f>
        <v>Mid-Range</v>
      </c>
      <c r="AD726" t="str">
        <f>IF(EV_Data4[[#This Row],[range_miles]]&gt;=350,"Long-Range",IF(EV_Data4[[#This Row],[range_miles]]&gt;=250,"Medium-Range","Short-Range"))</f>
        <v>Short-Range</v>
      </c>
      <c r="AE726" t="str">
        <f>IF(EV_Data4[[#This Row],[charging_speed_kw]]&gt;=250,"Ultra-Fast",IF(EV_Data4[[#This Row],[charging_speed_kw]]&gt;=150,"Fast-Charging","Standard-Charging"))</f>
        <v>Standard-Charging</v>
      </c>
      <c r="AF726" t="str">
        <f>IF(EV_Data4[[#This Row],[acceleration_0_60_mph]]&lt;=3,"SportsPerformance",IF(EV_Data4[[#This Row],[acceleration_0_60_mph]]&lt;=5,"HighPerformance","Standard"))</f>
        <v>Standard</v>
      </c>
      <c r="AG726" t="str">
        <f>IF(EV_Data4[[#This Row],[customer_rating]]&gt;=4.5,"Excellent",IF(EV_Data4[[#This Row],[customer_rating]]&gt;=3.5,"Good","Average"))</f>
        <v>Average</v>
      </c>
      <c r="AH72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27" spans="1:34" x14ac:dyDescent="0.3">
      <c r="A727" t="s">
        <v>52</v>
      </c>
      <c r="B727" t="s">
        <v>103</v>
      </c>
      <c r="C727">
        <v>2024</v>
      </c>
      <c r="D727" t="s">
        <v>26</v>
      </c>
      <c r="E727" s="3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27</v>
      </c>
      <c r="N727">
        <v>5</v>
      </c>
      <c r="O727" t="s">
        <v>28</v>
      </c>
      <c r="P727">
        <v>71.7</v>
      </c>
      <c r="Q727">
        <v>2315</v>
      </c>
      <c r="R727">
        <v>4</v>
      </c>
      <c r="S727">
        <v>2</v>
      </c>
      <c r="T727" t="s">
        <v>29</v>
      </c>
      <c r="U727" t="s">
        <v>30</v>
      </c>
      <c r="V727" s="3">
        <v>68804</v>
      </c>
      <c r="W727">
        <v>3.85</v>
      </c>
      <c r="X727">
        <v>6</v>
      </c>
      <c r="Y727" s="1">
        <f>EV_Data4[[#This Row],[range_miles]]/EV_Data4[[#This Row],[battery_capacity_kwh]]</f>
        <v>3.3249686323713927</v>
      </c>
      <c r="Z727" s="4">
        <f>EV_Data4[[#This Row],[price_usd]]/EV_Data4[[#This Row],[range_miles]]</f>
        <v>675.13875471698111</v>
      </c>
      <c r="AA727" s="2">
        <f>(EV_Data4[[#This Row],[customer_rating]]*EV_Data4[[#This Row],[safety_rating]]*1000)/EV_Data4[[#This Row],[price_usd]]</f>
        <v>8.6075946820044325E-2</v>
      </c>
      <c r="AB727">
        <f>EV_Data4[[#This Row],[horsepower]]+EV_Data4[[#This Row],[torque_nm]]/EV_Data4[[#This Row],[acceleration_0_60_mph]]</f>
        <v>1206.25</v>
      </c>
      <c r="AC727" t="str">
        <f>IF(EV_Data4[[#This Row],[price_usd]]&gt;=80000,"Luxury",IF(EV_Data4[[#This Row],[price_usd]]&gt;=40000,"Mid-Range","Budget"))</f>
        <v>Luxury</v>
      </c>
      <c r="AD727" t="str">
        <f>IF(EV_Data4[[#This Row],[range_miles]]&gt;=350,"Long-Range",IF(EV_Data4[[#This Row],[range_miles]]&gt;=250,"Medium-Range","Short-Range"))</f>
        <v>Medium-Range</v>
      </c>
      <c r="AE727" t="str">
        <f>IF(EV_Data4[[#This Row],[charging_speed_kw]]&gt;=250,"Ultra-Fast",IF(EV_Data4[[#This Row],[charging_speed_kw]]&gt;=150,"Fast-Charging","Standard-Charging"))</f>
        <v>Fast-Charging</v>
      </c>
      <c r="AF727" t="str">
        <f>IF(EV_Data4[[#This Row],[acceleration_0_60_mph]]&lt;=3,"SportsPerformance",IF(EV_Data4[[#This Row],[acceleration_0_60_mph]]&lt;=5,"HighPerformance","Standard"))</f>
        <v>HighPerformance</v>
      </c>
      <c r="AG727" t="str">
        <f>IF(EV_Data4[[#This Row],[customer_rating]]&gt;=4.5,"Excellent",IF(EV_Data4[[#This Row],[customer_rating]]&gt;=3.5,"Good","Average"))</f>
        <v>Good</v>
      </c>
      <c r="AH72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28" spans="1:34" x14ac:dyDescent="0.3">
      <c r="A728" t="s">
        <v>46</v>
      </c>
      <c r="B728" t="s">
        <v>49</v>
      </c>
      <c r="C728">
        <v>2025</v>
      </c>
      <c r="D728" t="s">
        <v>44</v>
      </c>
      <c r="E728" s="3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48</v>
      </c>
      <c r="N728">
        <v>5</v>
      </c>
      <c r="O728" t="s">
        <v>28</v>
      </c>
      <c r="P728">
        <v>60.6</v>
      </c>
      <c r="Q728">
        <v>2443</v>
      </c>
      <c r="R728">
        <v>5</v>
      </c>
      <c r="S728">
        <v>2</v>
      </c>
      <c r="T728" t="s">
        <v>41</v>
      </c>
      <c r="U728" t="s">
        <v>33</v>
      </c>
      <c r="V728" s="3">
        <v>401761</v>
      </c>
      <c r="W728">
        <v>4.12</v>
      </c>
      <c r="X728">
        <v>4</v>
      </c>
      <c r="Y728" s="1">
        <f>EV_Data4[[#This Row],[range_miles]]/EV_Data4[[#This Row],[battery_capacity_kwh]]</f>
        <v>3.4349030470914128</v>
      </c>
      <c r="Z728" s="4">
        <f>EV_Data4[[#This Row],[price_usd]]/EV_Data4[[#This Row],[range_miles]]</f>
        <v>260.82629032258063</v>
      </c>
      <c r="AA728" s="2">
        <f>(EV_Data4[[#This Row],[customer_rating]]*EV_Data4[[#This Row],[safety_rating]]*1000)/EV_Data4[[#This Row],[price_usd]]</f>
        <v>0.21231120535255099</v>
      </c>
      <c r="AB728">
        <f>EV_Data4[[#This Row],[horsepower]]+EV_Data4[[#This Row],[torque_nm]]/EV_Data4[[#This Row],[acceleration_0_60_mph]]</f>
        <v>821.19311663479925</v>
      </c>
      <c r="AC728" t="str">
        <f>IF(EV_Data4[[#This Row],[price_usd]]&gt;=80000,"Luxury",IF(EV_Data4[[#This Row],[price_usd]]&gt;=40000,"Mid-Range","Budget"))</f>
        <v>Luxury</v>
      </c>
      <c r="AD728" t="str">
        <f>IF(EV_Data4[[#This Row],[range_miles]]&gt;=350,"Long-Range",IF(EV_Data4[[#This Row],[range_miles]]&gt;=250,"Medium-Range","Short-Range"))</f>
        <v>Long-Range</v>
      </c>
      <c r="AE728" t="str">
        <f>IF(EV_Data4[[#This Row],[charging_speed_kw]]&gt;=250,"Ultra-Fast",IF(EV_Data4[[#This Row],[charging_speed_kw]]&gt;=150,"Fast-Charging","Standard-Charging"))</f>
        <v>Ultra-Fast</v>
      </c>
      <c r="AF728" t="str">
        <f>IF(EV_Data4[[#This Row],[acceleration_0_60_mph]]&lt;=3,"SportsPerformance",IF(EV_Data4[[#This Row],[acceleration_0_60_mph]]&lt;=5,"HighPerformance","Standard"))</f>
        <v>Standard</v>
      </c>
      <c r="AG728" t="str">
        <f>IF(EV_Data4[[#This Row],[customer_rating]]&gt;=4.5,"Excellent",IF(EV_Data4[[#This Row],[customer_rating]]&gt;=3.5,"Good","Average"))</f>
        <v>Good</v>
      </c>
      <c r="AH72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29" spans="1:34" x14ac:dyDescent="0.3">
      <c r="A729" t="s">
        <v>76</v>
      </c>
      <c r="B729" t="s">
        <v>91</v>
      </c>
      <c r="C729">
        <v>2025</v>
      </c>
      <c r="D729" t="s">
        <v>44</v>
      </c>
      <c r="E729" s="3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34</v>
      </c>
      <c r="N729">
        <v>4</v>
      </c>
      <c r="O729" t="s">
        <v>28</v>
      </c>
      <c r="P729">
        <v>66.599999999999994</v>
      </c>
      <c r="Q729">
        <v>2590</v>
      </c>
      <c r="R729">
        <v>4</v>
      </c>
      <c r="S729">
        <v>0</v>
      </c>
      <c r="T729" t="s">
        <v>41</v>
      </c>
      <c r="U729" t="s">
        <v>37</v>
      </c>
      <c r="V729" s="3">
        <v>59310</v>
      </c>
      <c r="W729">
        <v>3.42</v>
      </c>
      <c r="X729">
        <v>4</v>
      </c>
      <c r="Y729" s="1">
        <f>EV_Data4[[#This Row],[range_miles]]/EV_Data4[[#This Row],[battery_capacity_kwh]]</f>
        <v>3.4828807556080283</v>
      </c>
      <c r="Z729" s="4">
        <f>EV_Data4[[#This Row],[price_usd]]/EV_Data4[[#This Row],[range_miles]]</f>
        <v>180.61583050847457</v>
      </c>
      <c r="AA729" s="2">
        <f>(EV_Data4[[#This Row],[customer_rating]]*EV_Data4[[#This Row],[safety_rating]]*1000)/EV_Data4[[#This Row],[price_usd]]</f>
        <v>0.25674870926530646</v>
      </c>
      <c r="AB729">
        <f>EV_Data4[[#This Row],[horsepower]]+EV_Data4[[#This Row],[torque_nm]]/EV_Data4[[#This Row],[acceleration_0_60_mph]]</f>
        <v>678.37614678899081</v>
      </c>
      <c r="AC729" t="str">
        <f>IF(EV_Data4[[#This Row],[price_usd]]&gt;=80000,"Luxury",IF(EV_Data4[[#This Row],[price_usd]]&gt;=40000,"Mid-Range","Budget"))</f>
        <v>Mid-Range</v>
      </c>
      <c r="AD729" t="str">
        <f>IF(EV_Data4[[#This Row],[range_miles]]&gt;=350,"Long-Range",IF(EV_Data4[[#This Row],[range_miles]]&gt;=250,"Medium-Range","Short-Range"))</f>
        <v>Medium-Range</v>
      </c>
      <c r="AE729" t="str">
        <f>IF(EV_Data4[[#This Row],[charging_speed_kw]]&gt;=250,"Ultra-Fast",IF(EV_Data4[[#This Row],[charging_speed_kw]]&gt;=150,"Fast-Charging","Standard-Charging"))</f>
        <v>Standard-Charging</v>
      </c>
      <c r="AF729" t="str">
        <f>IF(EV_Data4[[#This Row],[acceleration_0_60_mph]]&lt;=3,"SportsPerformance",IF(EV_Data4[[#This Row],[acceleration_0_60_mph]]&lt;=5,"HighPerformance","Standard"))</f>
        <v>Standard</v>
      </c>
      <c r="AG729" t="str">
        <f>IF(EV_Data4[[#This Row],[customer_rating]]&gt;=4.5,"Excellent",IF(EV_Data4[[#This Row],[customer_rating]]&gt;=3.5,"Good","Average"))</f>
        <v>Average</v>
      </c>
      <c r="AH72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30" spans="1:34" x14ac:dyDescent="0.3">
      <c r="A730" t="s">
        <v>46</v>
      </c>
      <c r="B730" t="s">
        <v>49</v>
      </c>
      <c r="C730">
        <v>2023</v>
      </c>
      <c r="D730" t="s">
        <v>61</v>
      </c>
      <c r="E730" s="3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27</v>
      </c>
      <c r="N730">
        <v>7</v>
      </c>
      <c r="O730" t="s">
        <v>51</v>
      </c>
      <c r="P730">
        <v>31.6</v>
      </c>
      <c r="Q730">
        <v>1500</v>
      </c>
      <c r="R730">
        <v>5</v>
      </c>
      <c r="S730">
        <v>2</v>
      </c>
      <c r="T730" t="s">
        <v>41</v>
      </c>
      <c r="U730" t="s">
        <v>37</v>
      </c>
      <c r="V730" s="3">
        <v>490497</v>
      </c>
      <c r="W730">
        <v>3.93</v>
      </c>
      <c r="X730">
        <v>6</v>
      </c>
      <c r="Y730" s="1">
        <f>EV_Data4[[#This Row],[range_miles]]/EV_Data4[[#This Row],[battery_capacity_kwh]]</f>
        <v>3.6306532663316586</v>
      </c>
      <c r="Z730" s="4">
        <f>EV_Data4[[#This Row],[price_usd]]/EV_Data4[[#This Row],[range_miles]]</f>
        <v>184.8870588235294</v>
      </c>
      <c r="AA730" s="2">
        <f>(EV_Data4[[#This Row],[customer_rating]]*EV_Data4[[#This Row],[safety_rating]]*1000)/EV_Data4[[#This Row],[price_usd]]</f>
        <v>0.36775467151366709</v>
      </c>
      <c r="AB730">
        <f>EV_Data4[[#This Row],[horsepower]]+EV_Data4[[#This Row],[torque_nm]]/EV_Data4[[#This Row],[acceleration_0_60_mph]]</f>
        <v>454.56630265210606</v>
      </c>
      <c r="AC730" t="str">
        <f>IF(EV_Data4[[#This Row],[price_usd]]&gt;=80000,"Luxury",IF(EV_Data4[[#This Row],[price_usd]]&gt;=40000,"Mid-Range","Budget"))</f>
        <v>Mid-Range</v>
      </c>
      <c r="AD730" t="str">
        <f>IF(EV_Data4[[#This Row],[range_miles]]&gt;=350,"Long-Range",IF(EV_Data4[[#This Row],[range_miles]]&gt;=250,"Medium-Range","Short-Range"))</f>
        <v>Medium-Range</v>
      </c>
      <c r="AE730" t="str">
        <f>IF(EV_Data4[[#This Row],[charging_speed_kw]]&gt;=250,"Ultra-Fast",IF(EV_Data4[[#This Row],[charging_speed_kw]]&gt;=150,"Fast-Charging","Standard-Charging"))</f>
        <v>Fast-Charging</v>
      </c>
      <c r="AF730" t="str">
        <f>IF(EV_Data4[[#This Row],[acceleration_0_60_mph]]&lt;=3,"SportsPerformance",IF(EV_Data4[[#This Row],[acceleration_0_60_mph]]&lt;=5,"HighPerformance","Standard"))</f>
        <v>Standard</v>
      </c>
      <c r="AG730" t="str">
        <f>IF(EV_Data4[[#This Row],[customer_rating]]&gt;=4.5,"Excellent",IF(EV_Data4[[#This Row],[customer_rating]]&gt;=3.5,"Good","Average"))</f>
        <v>Good</v>
      </c>
      <c r="AH73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31" spans="1:34" x14ac:dyDescent="0.3">
      <c r="A731" t="s">
        <v>46</v>
      </c>
      <c r="B731" t="s">
        <v>78</v>
      </c>
      <c r="C731">
        <v>2025</v>
      </c>
      <c r="D731" t="s">
        <v>44</v>
      </c>
      <c r="E731" s="3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34</v>
      </c>
      <c r="N731">
        <v>5</v>
      </c>
      <c r="O731" t="s">
        <v>40</v>
      </c>
      <c r="P731">
        <v>79.3</v>
      </c>
      <c r="Q731">
        <v>1571</v>
      </c>
      <c r="R731">
        <v>4</v>
      </c>
      <c r="S731">
        <v>2</v>
      </c>
      <c r="T731" t="s">
        <v>41</v>
      </c>
      <c r="U731" t="s">
        <v>33</v>
      </c>
      <c r="V731" s="3">
        <v>226342</v>
      </c>
      <c r="W731">
        <v>3.56</v>
      </c>
      <c r="X731">
        <v>5</v>
      </c>
      <c r="Y731" s="1">
        <f>EV_Data4[[#This Row],[range_miles]]/EV_Data4[[#This Row],[battery_capacity_kwh]]</f>
        <v>3.4736842105263159</v>
      </c>
      <c r="Z731" s="4">
        <f>EV_Data4[[#This Row],[price_usd]]/EV_Data4[[#This Row],[range_miles]]</f>
        <v>349.36185606060604</v>
      </c>
      <c r="AA731" s="2">
        <f>(EV_Data4[[#This Row],[customer_rating]]*EV_Data4[[#This Row],[safety_rating]]*1000)/EV_Data4[[#This Row],[price_usd]]</f>
        <v>0.1543940559155855</v>
      </c>
      <c r="AB731">
        <f>EV_Data4[[#This Row],[horsepower]]+EV_Data4[[#This Row],[torque_nm]]/EV_Data4[[#This Row],[acceleration_0_60_mph]]</f>
        <v>752.39334637964771</v>
      </c>
      <c r="AC731" t="str">
        <f>IF(EV_Data4[[#This Row],[price_usd]]&gt;=80000,"Luxury",IF(EV_Data4[[#This Row],[price_usd]]&gt;=40000,"Mid-Range","Budget"))</f>
        <v>Luxury</v>
      </c>
      <c r="AD731" t="str">
        <f>IF(EV_Data4[[#This Row],[range_miles]]&gt;=350,"Long-Range",IF(EV_Data4[[#This Row],[range_miles]]&gt;=250,"Medium-Range","Short-Range"))</f>
        <v>Medium-Range</v>
      </c>
      <c r="AE731" t="str">
        <f>IF(EV_Data4[[#This Row],[charging_speed_kw]]&gt;=250,"Ultra-Fast",IF(EV_Data4[[#This Row],[charging_speed_kw]]&gt;=150,"Fast-Charging","Standard-Charging"))</f>
        <v>Fast-Charging</v>
      </c>
      <c r="AF731" t="str">
        <f>IF(EV_Data4[[#This Row],[acceleration_0_60_mph]]&lt;=3,"SportsPerformance",IF(EV_Data4[[#This Row],[acceleration_0_60_mph]]&lt;=5,"HighPerformance","Standard"))</f>
        <v>Standard</v>
      </c>
      <c r="AG731" t="str">
        <f>IF(EV_Data4[[#This Row],[customer_rating]]&gt;=4.5,"Excellent",IF(EV_Data4[[#This Row],[customer_rating]]&gt;=3.5,"Good","Average"))</f>
        <v>Good</v>
      </c>
      <c r="AH73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32" spans="1:34" x14ac:dyDescent="0.3">
      <c r="A732" t="s">
        <v>46</v>
      </c>
      <c r="B732" t="s">
        <v>78</v>
      </c>
      <c r="C732">
        <v>2024</v>
      </c>
      <c r="D732" t="s">
        <v>61</v>
      </c>
      <c r="E732" s="3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48</v>
      </c>
      <c r="N732">
        <v>7</v>
      </c>
      <c r="O732" t="s">
        <v>50</v>
      </c>
      <c r="P732">
        <v>34.799999999999997</v>
      </c>
      <c r="Q732">
        <v>1620</v>
      </c>
      <c r="R732">
        <v>4</v>
      </c>
      <c r="S732">
        <v>2</v>
      </c>
      <c r="T732" t="s">
        <v>41</v>
      </c>
      <c r="U732" t="s">
        <v>30</v>
      </c>
      <c r="V732" s="3">
        <v>243623</v>
      </c>
      <c r="W732">
        <v>3.24</v>
      </c>
      <c r="X732">
        <v>6</v>
      </c>
      <c r="Y732" s="1">
        <f>EV_Data4[[#This Row],[range_miles]]/EV_Data4[[#This Row],[battery_capacity_kwh]]</f>
        <v>3.136094674556213</v>
      </c>
      <c r="Z732" s="4">
        <f>EV_Data4[[#This Row],[price_usd]]/EV_Data4[[#This Row],[range_miles]]</f>
        <v>786.57817610062887</v>
      </c>
      <c r="AA732" s="2">
        <f>(EV_Data4[[#This Row],[customer_rating]]*EV_Data4[[#This Row],[safety_rating]]*1000)/EV_Data4[[#This Row],[price_usd]]</f>
        <v>0.10362534384864047</v>
      </c>
      <c r="AB732">
        <f>EV_Data4[[#This Row],[horsepower]]+EV_Data4[[#This Row],[torque_nm]]/EV_Data4[[#This Row],[acceleration_0_60_mph]]</f>
        <v>1076.7722960151802</v>
      </c>
      <c r="AC732" t="str">
        <f>IF(EV_Data4[[#This Row],[price_usd]]&gt;=80000,"Luxury",IF(EV_Data4[[#This Row],[price_usd]]&gt;=40000,"Mid-Range","Budget"))</f>
        <v>Luxury</v>
      </c>
      <c r="AD732" t="str">
        <f>IF(EV_Data4[[#This Row],[range_miles]]&gt;=350,"Long-Range",IF(EV_Data4[[#This Row],[range_miles]]&gt;=250,"Medium-Range","Short-Range"))</f>
        <v>Short-Range</v>
      </c>
      <c r="AE732" t="str">
        <f>IF(EV_Data4[[#This Row],[charging_speed_kw]]&gt;=250,"Ultra-Fast",IF(EV_Data4[[#This Row],[charging_speed_kw]]&gt;=150,"Fast-Charging","Standard-Charging"))</f>
        <v>Ultra-Fast</v>
      </c>
      <c r="AF732" t="str">
        <f>IF(EV_Data4[[#This Row],[acceleration_0_60_mph]]&lt;=3,"SportsPerformance",IF(EV_Data4[[#This Row],[acceleration_0_60_mph]]&lt;=5,"HighPerformance","Standard"))</f>
        <v>Standard</v>
      </c>
      <c r="AG732" t="str">
        <f>IF(EV_Data4[[#This Row],[customer_rating]]&gt;=4.5,"Excellent",IF(EV_Data4[[#This Row],[customer_rating]]&gt;=3.5,"Good","Average"))</f>
        <v>Average</v>
      </c>
      <c r="AH73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33" spans="1:34" x14ac:dyDescent="0.3">
      <c r="A733" t="s">
        <v>76</v>
      </c>
      <c r="B733" t="s">
        <v>91</v>
      </c>
      <c r="C733">
        <v>2020</v>
      </c>
      <c r="D733" t="s">
        <v>44</v>
      </c>
      <c r="E733" s="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34</v>
      </c>
      <c r="N733">
        <v>2</v>
      </c>
      <c r="O733" t="s">
        <v>28</v>
      </c>
      <c r="P733">
        <v>54.9</v>
      </c>
      <c r="Q733">
        <v>2624</v>
      </c>
      <c r="R733">
        <v>5</v>
      </c>
      <c r="S733">
        <v>0</v>
      </c>
      <c r="T733" t="s">
        <v>41</v>
      </c>
      <c r="U733" t="s">
        <v>33</v>
      </c>
      <c r="V733" s="3">
        <v>25258</v>
      </c>
      <c r="W733">
        <v>3.54</v>
      </c>
      <c r="X733">
        <v>4</v>
      </c>
      <c r="Y733" s="1">
        <f>EV_Data4[[#This Row],[range_miles]]/EV_Data4[[#This Row],[battery_capacity_kwh]]</f>
        <v>3.4933973589435774</v>
      </c>
      <c r="Z733" s="4">
        <f>EV_Data4[[#This Row],[price_usd]]/EV_Data4[[#This Row],[range_miles]]</f>
        <v>232.88003436426115</v>
      </c>
      <c r="AA733" s="2">
        <f>(EV_Data4[[#This Row],[customer_rating]]*EV_Data4[[#This Row],[safety_rating]]*1000)/EV_Data4[[#This Row],[price_usd]]</f>
        <v>0.26118487329361062</v>
      </c>
      <c r="AB733">
        <f>EV_Data4[[#This Row],[horsepower]]+EV_Data4[[#This Row],[torque_nm]]/EV_Data4[[#This Row],[acceleration_0_60_mph]]</f>
        <v>908.76855895196513</v>
      </c>
      <c r="AC733" t="str">
        <f>IF(EV_Data4[[#This Row],[price_usd]]&gt;=80000,"Luxury",IF(EV_Data4[[#This Row],[price_usd]]&gt;=40000,"Mid-Range","Budget"))</f>
        <v>Mid-Range</v>
      </c>
      <c r="AD733" t="str">
        <f>IF(EV_Data4[[#This Row],[range_miles]]&gt;=350,"Long-Range",IF(EV_Data4[[#This Row],[range_miles]]&gt;=250,"Medium-Range","Short-Range"))</f>
        <v>Medium-Range</v>
      </c>
      <c r="AE733" t="str">
        <f>IF(EV_Data4[[#This Row],[charging_speed_kw]]&gt;=250,"Ultra-Fast",IF(EV_Data4[[#This Row],[charging_speed_kw]]&gt;=150,"Fast-Charging","Standard-Charging"))</f>
        <v>Standard-Charging</v>
      </c>
      <c r="AF733" t="str">
        <f>IF(EV_Data4[[#This Row],[acceleration_0_60_mph]]&lt;=3,"SportsPerformance",IF(EV_Data4[[#This Row],[acceleration_0_60_mph]]&lt;=5,"HighPerformance","Standard"))</f>
        <v>HighPerformance</v>
      </c>
      <c r="AG733" t="str">
        <f>IF(EV_Data4[[#This Row],[customer_rating]]&gt;=4.5,"Excellent",IF(EV_Data4[[#This Row],[customer_rating]]&gt;=3.5,"Good","Average"))</f>
        <v>Good</v>
      </c>
      <c r="AH73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34" spans="1:34" x14ac:dyDescent="0.3">
      <c r="A734" t="s">
        <v>83</v>
      </c>
      <c r="B734" t="s">
        <v>89</v>
      </c>
      <c r="C734">
        <v>2026</v>
      </c>
      <c r="D734" t="s">
        <v>61</v>
      </c>
      <c r="E734" s="3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34</v>
      </c>
      <c r="N734">
        <v>5</v>
      </c>
      <c r="O734" t="s">
        <v>51</v>
      </c>
      <c r="P734">
        <v>18</v>
      </c>
      <c r="Q734">
        <v>1500</v>
      </c>
      <c r="R734">
        <v>3</v>
      </c>
      <c r="S734">
        <v>1</v>
      </c>
      <c r="T734" t="s">
        <v>29</v>
      </c>
      <c r="U734" t="s">
        <v>37</v>
      </c>
      <c r="V734" s="3">
        <v>61611</v>
      </c>
      <c r="W734">
        <v>3.24</v>
      </c>
      <c r="X734">
        <v>6</v>
      </c>
      <c r="Y734" s="1">
        <f>EV_Data4[[#This Row],[range_miles]]/EV_Data4[[#This Row],[battery_capacity_kwh]]</f>
        <v>2.9886685552407934</v>
      </c>
      <c r="Z734" s="4">
        <f>EV_Data4[[#This Row],[price_usd]]/EV_Data4[[#This Row],[range_miles]]</f>
        <v>297.03554502369667</v>
      </c>
      <c r="AA734" s="2">
        <f>(EV_Data4[[#This Row],[customer_rating]]*EV_Data4[[#This Row],[safety_rating]]*1000)/EV_Data4[[#This Row],[price_usd]]</f>
        <v>0.15508699710408538</v>
      </c>
      <c r="AB734">
        <f>EV_Data4[[#This Row],[horsepower]]+EV_Data4[[#This Row],[torque_nm]]/EV_Data4[[#This Row],[acceleration_0_60_mph]]</f>
        <v>391.8371335504886</v>
      </c>
      <c r="AC734" t="str">
        <f>IF(EV_Data4[[#This Row],[price_usd]]&gt;=80000,"Luxury",IF(EV_Data4[[#This Row],[price_usd]]&gt;=40000,"Mid-Range","Budget"))</f>
        <v>Mid-Range</v>
      </c>
      <c r="AD734" t="str">
        <f>IF(EV_Data4[[#This Row],[range_miles]]&gt;=350,"Long-Range",IF(EV_Data4[[#This Row],[range_miles]]&gt;=250,"Medium-Range","Short-Range"))</f>
        <v>Short-Range</v>
      </c>
      <c r="AE734" t="str">
        <f>IF(EV_Data4[[#This Row],[charging_speed_kw]]&gt;=250,"Ultra-Fast",IF(EV_Data4[[#This Row],[charging_speed_kw]]&gt;=150,"Fast-Charging","Standard-Charging"))</f>
        <v>Standard-Charging</v>
      </c>
      <c r="AF734" t="str">
        <f>IF(EV_Data4[[#This Row],[acceleration_0_60_mph]]&lt;=3,"SportsPerformance",IF(EV_Data4[[#This Row],[acceleration_0_60_mph]]&lt;=5,"HighPerformance","Standard"))</f>
        <v>Standard</v>
      </c>
      <c r="AG734" t="str">
        <f>IF(EV_Data4[[#This Row],[customer_rating]]&gt;=4.5,"Excellent",IF(EV_Data4[[#This Row],[customer_rating]]&gt;=3.5,"Good","Average"))</f>
        <v>Average</v>
      </c>
      <c r="AH73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35" spans="1:34" x14ac:dyDescent="0.3">
      <c r="A735" t="s">
        <v>68</v>
      </c>
      <c r="B735" t="s">
        <v>69</v>
      </c>
      <c r="C735">
        <v>2023</v>
      </c>
      <c r="D735" t="s">
        <v>44</v>
      </c>
      <c r="E735" s="3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27</v>
      </c>
      <c r="N735">
        <v>5</v>
      </c>
      <c r="O735" t="s">
        <v>35</v>
      </c>
      <c r="P735">
        <v>61.4</v>
      </c>
      <c r="Q735">
        <v>2484</v>
      </c>
      <c r="R735">
        <v>4</v>
      </c>
      <c r="S735">
        <v>1</v>
      </c>
      <c r="T735" t="s">
        <v>45</v>
      </c>
      <c r="U735" t="s">
        <v>37</v>
      </c>
      <c r="V735" s="3">
        <v>128695</v>
      </c>
      <c r="W735">
        <v>3.64</v>
      </c>
      <c r="X735">
        <v>4</v>
      </c>
      <c r="Y735" s="1">
        <f>EV_Data4[[#This Row],[range_miles]]/EV_Data4[[#This Row],[battery_capacity_kwh]]</f>
        <v>3.5741935483870968</v>
      </c>
      <c r="Z735" s="4">
        <f>EV_Data4[[#This Row],[price_usd]]/EV_Data4[[#This Row],[range_miles]]</f>
        <v>146.94194945848375</v>
      </c>
      <c r="AA735" s="2">
        <f>(EV_Data4[[#This Row],[customer_rating]]*EV_Data4[[#This Row],[safety_rating]]*1000)/EV_Data4[[#This Row],[price_usd]]</f>
        <v>0.35771389374521534</v>
      </c>
      <c r="AB735">
        <f>EV_Data4[[#This Row],[horsepower]]+EV_Data4[[#This Row],[torque_nm]]/EV_Data4[[#This Row],[acceleration_0_60_mph]]</f>
        <v>466.1720430107527</v>
      </c>
      <c r="AC735" t="str">
        <f>IF(EV_Data4[[#This Row],[price_usd]]&gt;=80000,"Luxury",IF(EV_Data4[[#This Row],[price_usd]]&gt;=40000,"Mid-Range","Budget"))</f>
        <v>Mid-Range</v>
      </c>
      <c r="AD735" t="str">
        <f>IF(EV_Data4[[#This Row],[range_miles]]&gt;=350,"Long-Range",IF(EV_Data4[[#This Row],[range_miles]]&gt;=250,"Medium-Range","Short-Range"))</f>
        <v>Medium-Range</v>
      </c>
      <c r="AE735" t="str">
        <f>IF(EV_Data4[[#This Row],[charging_speed_kw]]&gt;=250,"Ultra-Fast",IF(EV_Data4[[#This Row],[charging_speed_kw]]&gt;=150,"Fast-Charging","Standard-Charging"))</f>
        <v>Standard-Charging</v>
      </c>
      <c r="AF735" t="str">
        <f>IF(EV_Data4[[#This Row],[acceleration_0_60_mph]]&lt;=3,"SportsPerformance",IF(EV_Data4[[#This Row],[acceleration_0_60_mph]]&lt;=5,"HighPerformance","Standard"))</f>
        <v>HighPerformance</v>
      </c>
      <c r="AG735" t="str">
        <f>IF(EV_Data4[[#This Row],[customer_rating]]&gt;=4.5,"Excellent",IF(EV_Data4[[#This Row],[customer_rating]]&gt;=3.5,"Good","Average"))</f>
        <v>Good</v>
      </c>
      <c r="AH73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36" spans="1:34" x14ac:dyDescent="0.3">
      <c r="A736" t="s">
        <v>24</v>
      </c>
      <c r="B736" t="s">
        <v>25</v>
      </c>
      <c r="C736">
        <v>2026</v>
      </c>
      <c r="D736" t="s">
        <v>33</v>
      </c>
      <c r="E736" s="3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48</v>
      </c>
      <c r="N736">
        <v>7</v>
      </c>
      <c r="O736" t="s">
        <v>50</v>
      </c>
      <c r="P736">
        <v>37.1</v>
      </c>
      <c r="Q736">
        <v>1500</v>
      </c>
      <c r="R736">
        <v>5</v>
      </c>
      <c r="S736">
        <v>0</v>
      </c>
      <c r="T736" t="s">
        <v>29</v>
      </c>
      <c r="U736" t="s">
        <v>37</v>
      </c>
      <c r="V736" s="3">
        <v>296123</v>
      </c>
      <c r="W736">
        <v>3.65</v>
      </c>
      <c r="X736">
        <v>3</v>
      </c>
      <c r="Y736" s="1">
        <f>EV_Data4[[#This Row],[range_miles]]/EV_Data4[[#This Row],[battery_capacity_kwh]]</f>
        <v>3.595505617977528</v>
      </c>
      <c r="Z736" s="4">
        <f>EV_Data4[[#This Row],[price_usd]]/EV_Data4[[#This Row],[range_miles]]</f>
        <v>195.53019531250001</v>
      </c>
      <c r="AA736" s="2">
        <f>(EV_Data4[[#This Row],[customer_rating]]*EV_Data4[[#This Row],[safety_rating]]*1000)/EV_Data4[[#This Row],[price_usd]]</f>
        <v>0.36459362394674893</v>
      </c>
      <c r="AB736">
        <f>EV_Data4[[#This Row],[horsepower]]+EV_Data4[[#This Row],[torque_nm]]/EV_Data4[[#This Row],[acceleration_0_60_mph]]</f>
        <v>500.66037735849056</v>
      </c>
      <c r="AC736" t="str">
        <f>IF(EV_Data4[[#This Row],[price_usd]]&gt;=80000,"Luxury",IF(EV_Data4[[#This Row],[price_usd]]&gt;=40000,"Mid-Range","Budget"))</f>
        <v>Mid-Range</v>
      </c>
      <c r="AD736" t="str">
        <f>IF(EV_Data4[[#This Row],[range_miles]]&gt;=350,"Long-Range",IF(EV_Data4[[#This Row],[range_miles]]&gt;=250,"Medium-Range","Short-Range"))</f>
        <v>Medium-Range</v>
      </c>
      <c r="AE736" t="str">
        <f>IF(EV_Data4[[#This Row],[charging_speed_kw]]&gt;=250,"Ultra-Fast",IF(EV_Data4[[#This Row],[charging_speed_kw]]&gt;=150,"Fast-Charging","Standard-Charging"))</f>
        <v>Standard-Charging</v>
      </c>
      <c r="AF736" t="str">
        <f>IF(EV_Data4[[#This Row],[acceleration_0_60_mph]]&lt;=3,"SportsPerformance",IF(EV_Data4[[#This Row],[acceleration_0_60_mph]]&lt;=5,"HighPerformance","Standard"))</f>
        <v>Standard</v>
      </c>
      <c r="AG736" t="str">
        <f>IF(EV_Data4[[#This Row],[customer_rating]]&gt;=4.5,"Excellent",IF(EV_Data4[[#This Row],[customer_rating]]&gt;=3.5,"Good","Average"))</f>
        <v>Good</v>
      </c>
      <c r="AH73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37" spans="1:34" x14ac:dyDescent="0.3">
      <c r="A737" t="s">
        <v>86</v>
      </c>
      <c r="B737" t="s">
        <v>87</v>
      </c>
      <c r="C737">
        <v>2023</v>
      </c>
      <c r="D737" t="s">
        <v>56</v>
      </c>
      <c r="E737" s="3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48</v>
      </c>
      <c r="N737">
        <v>5</v>
      </c>
      <c r="O737" t="s">
        <v>58</v>
      </c>
      <c r="P737">
        <v>19.600000000000001</v>
      </c>
      <c r="Q737">
        <v>1806</v>
      </c>
      <c r="R737">
        <v>4</v>
      </c>
      <c r="S737">
        <v>1</v>
      </c>
      <c r="T737" t="s">
        <v>29</v>
      </c>
      <c r="U737" t="s">
        <v>33</v>
      </c>
      <c r="V737" s="3">
        <v>63429</v>
      </c>
      <c r="W737">
        <v>3.38</v>
      </c>
      <c r="X737">
        <v>5</v>
      </c>
      <c r="Y737" s="1">
        <f>EV_Data4[[#This Row],[range_miles]]/EV_Data4[[#This Row],[battery_capacity_kwh]]</f>
        <v>3.6080870917573873</v>
      </c>
      <c r="Z737" s="4">
        <f>EV_Data4[[#This Row],[price_usd]]/EV_Data4[[#This Row],[range_miles]]</f>
        <v>291.76840517241379</v>
      </c>
      <c r="AA737" s="2">
        <f>(EV_Data4[[#This Row],[customer_rating]]*EV_Data4[[#This Row],[safety_rating]]*1000)/EV_Data4[[#This Row],[price_usd]]</f>
        <v>0.1997332851530951</v>
      </c>
      <c r="AB737">
        <f>EV_Data4[[#This Row],[horsepower]]+EV_Data4[[#This Row],[torque_nm]]/EV_Data4[[#This Row],[acceleration_0_60_mph]]</f>
        <v>383.80763116057233</v>
      </c>
      <c r="AC737" t="str">
        <f>IF(EV_Data4[[#This Row],[price_usd]]&gt;=80000,"Luxury",IF(EV_Data4[[#This Row],[price_usd]]&gt;=40000,"Mid-Range","Budget"))</f>
        <v>Mid-Range</v>
      </c>
      <c r="AD737" t="str">
        <f>IF(EV_Data4[[#This Row],[range_miles]]&gt;=350,"Long-Range",IF(EV_Data4[[#This Row],[range_miles]]&gt;=250,"Medium-Range","Short-Range"))</f>
        <v>Short-Range</v>
      </c>
      <c r="AE737" t="str">
        <f>IF(EV_Data4[[#This Row],[charging_speed_kw]]&gt;=250,"Ultra-Fast",IF(EV_Data4[[#This Row],[charging_speed_kw]]&gt;=150,"Fast-Charging","Standard-Charging"))</f>
        <v>Standard-Charging</v>
      </c>
      <c r="AF737" t="str">
        <f>IF(EV_Data4[[#This Row],[acceleration_0_60_mph]]&lt;=3,"SportsPerformance",IF(EV_Data4[[#This Row],[acceleration_0_60_mph]]&lt;=5,"HighPerformance","Standard"))</f>
        <v>Standard</v>
      </c>
      <c r="AG737" t="str">
        <f>IF(EV_Data4[[#This Row],[customer_rating]]&gt;=4.5,"Excellent",IF(EV_Data4[[#This Row],[customer_rating]]&gt;=3.5,"Good","Average"))</f>
        <v>Average</v>
      </c>
      <c r="AH73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38" spans="1:34" x14ac:dyDescent="0.3">
      <c r="A738" t="s">
        <v>24</v>
      </c>
      <c r="B738" t="s">
        <v>85</v>
      </c>
      <c r="C738">
        <v>2024</v>
      </c>
      <c r="D738" t="s">
        <v>44</v>
      </c>
      <c r="E738" s="3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34</v>
      </c>
      <c r="N738">
        <v>7</v>
      </c>
      <c r="O738" t="s">
        <v>51</v>
      </c>
      <c r="P738">
        <v>33.1</v>
      </c>
      <c r="Q738">
        <v>1738</v>
      </c>
      <c r="R738">
        <v>5</v>
      </c>
      <c r="S738">
        <v>0</v>
      </c>
      <c r="T738" t="s">
        <v>29</v>
      </c>
      <c r="U738" t="s">
        <v>37</v>
      </c>
      <c r="V738" s="3">
        <v>247190</v>
      </c>
      <c r="W738">
        <v>3.68</v>
      </c>
      <c r="X738">
        <v>4</v>
      </c>
      <c r="Y738" s="1">
        <f>EV_Data4[[#This Row],[range_miles]]/EV_Data4[[#This Row],[battery_capacity_kwh]]</f>
        <v>3.468677494199536</v>
      </c>
      <c r="Z738" s="4">
        <f>EV_Data4[[#This Row],[price_usd]]/EV_Data4[[#This Row],[range_miles]]</f>
        <v>125.61160535117058</v>
      </c>
      <c r="AA738" s="2">
        <f>(EV_Data4[[#This Row],[customer_rating]]*EV_Data4[[#This Row],[safety_rating]]*1000)/EV_Data4[[#This Row],[price_usd]]</f>
        <v>0.48991063657230832</v>
      </c>
      <c r="AB738">
        <f>EV_Data4[[#This Row],[horsepower]]+EV_Data4[[#This Row],[torque_nm]]/EV_Data4[[#This Row],[acceleration_0_60_mph]]</f>
        <v>351.75949367088606</v>
      </c>
      <c r="AC738" t="str">
        <f>IF(EV_Data4[[#This Row],[price_usd]]&gt;=80000,"Luxury",IF(EV_Data4[[#This Row],[price_usd]]&gt;=40000,"Mid-Range","Budget"))</f>
        <v>Budget</v>
      </c>
      <c r="AD738" t="str">
        <f>IF(EV_Data4[[#This Row],[range_miles]]&gt;=350,"Long-Range",IF(EV_Data4[[#This Row],[range_miles]]&gt;=250,"Medium-Range","Short-Range"))</f>
        <v>Medium-Range</v>
      </c>
      <c r="AE738" t="str">
        <f>IF(EV_Data4[[#This Row],[charging_speed_kw]]&gt;=250,"Ultra-Fast",IF(EV_Data4[[#This Row],[charging_speed_kw]]&gt;=150,"Fast-Charging","Standard-Charging"))</f>
        <v>Standard-Charging</v>
      </c>
      <c r="AF738" t="str">
        <f>IF(EV_Data4[[#This Row],[acceleration_0_60_mph]]&lt;=3,"SportsPerformance",IF(EV_Data4[[#This Row],[acceleration_0_60_mph]]&lt;=5,"HighPerformance","Standard"))</f>
        <v>HighPerformance</v>
      </c>
      <c r="AG738" t="str">
        <f>IF(EV_Data4[[#This Row],[customer_rating]]&gt;=4.5,"Excellent",IF(EV_Data4[[#This Row],[customer_rating]]&gt;=3.5,"Good","Average"))</f>
        <v>Good</v>
      </c>
      <c r="AH73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39" spans="1:34" x14ac:dyDescent="0.3">
      <c r="A739" t="s">
        <v>76</v>
      </c>
      <c r="B739" t="s">
        <v>81</v>
      </c>
      <c r="C739">
        <v>2024</v>
      </c>
      <c r="D739" t="s">
        <v>61</v>
      </c>
      <c r="E739" s="3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27</v>
      </c>
      <c r="N739">
        <v>7</v>
      </c>
      <c r="O739" t="s">
        <v>35</v>
      </c>
      <c r="P739">
        <v>69.5</v>
      </c>
      <c r="Q739">
        <v>2108</v>
      </c>
      <c r="R739">
        <v>4</v>
      </c>
      <c r="S739">
        <v>0</v>
      </c>
      <c r="T739" t="s">
        <v>41</v>
      </c>
      <c r="U739" t="s">
        <v>37</v>
      </c>
      <c r="V739" s="3">
        <v>34857</v>
      </c>
      <c r="W739">
        <v>3.47</v>
      </c>
      <c r="X739">
        <v>3</v>
      </c>
      <c r="Y739" s="1">
        <f>EV_Data4[[#This Row],[range_miles]]/EV_Data4[[#This Row],[battery_capacity_kwh]]</f>
        <v>3.2722832722832722</v>
      </c>
      <c r="Z739" s="4">
        <f>EV_Data4[[#This Row],[price_usd]]/EV_Data4[[#This Row],[range_miles]]</f>
        <v>180.33037313432837</v>
      </c>
      <c r="AA739" s="2">
        <f>(EV_Data4[[#This Row],[customer_rating]]*EV_Data4[[#This Row],[safety_rating]]*1000)/EV_Data4[[#This Row],[price_usd]]</f>
        <v>0.28720089619922307</v>
      </c>
      <c r="AB739">
        <f>EV_Data4[[#This Row],[horsepower]]+EV_Data4[[#This Row],[torque_nm]]/EV_Data4[[#This Row],[acceleration_0_60_mph]]</f>
        <v>514.70514429109164</v>
      </c>
      <c r="AC739" t="str">
        <f>IF(EV_Data4[[#This Row],[price_usd]]&gt;=80000,"Luxury",IF(EV_Data4[[#This Row],[price_usd]]&gt;=40000,"Mid-Range","Budget"))</f>
        <v>Mid-Range</v>
      </c>
      <c r="AD739" t="str">
        <f>IF(EV_Data4[[#This Row],[range_miles]]&gt;=350,"Long-Range",IF(EV_Data4[[#This Row],[range_miles]]&gt;=250,"Medium-Range","Short-Range"))</f>
        <v>Medium-Range</v>
      </c>
      <c r="AE739" t="str">
        <f>IF(EV_Data4[[#This Row],[charging_speed_kw]]&gt;=250,"Ultra-Fast",IF(EV_Data4[[#This Row],[charging_speed_kw]]&gt;=150,"Fast-Charging","Standard-Charging"))</f>
        <v>Standard-Charging</v>
      </c>
      <c r="AF739" t="str">
        <f>IF(EV_Data4[[#This Row],[acceleration_0_60_mph]]&lt;=3,"SportsPerformance",IF(EV_Data4[[#This Row],[acceleration_0_60_mph]]&lt;=5,"HighPerformance","Standard"))</f>
        <v>Standard</v>
      </c>
      <c r="AG739" t="str">
        <f>IF(EV_Data4[[#This Row],[customer_rating]]&gt;=4.5,"Excellent",IF(EV_Data4[[#This Row],[customer_rating]]&gt;=3.5,"Good","Average"))</f>
        <v>Average</v>
      </c>
      <c r="AH73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40" spans="1:34" x14ac:dyDescent="0.3">
      <c r="A740" t="s">
        <v>24</v>
      </c>
      <c r="B740" t="s">
        <v>75</v>
      </c>
      <c r="C740">
        <v>2025</v>
      </c>
      <c r="D740" t="s">
        <v>44</v>
      </c>
      <c r="E740" s="3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34</v>
      </c>
      <c r="N740">
        <v>5</v>
      </c>
      <c r="O740" t="s">
        <v>40</v>
      </c>
      <c r="P740">
        <v>77.2</v>
      </c>
      <c r="Q740">
        <v>2045</v>
      </c>
      <c r="R740">
        <v>4</v>
      </c>
      <c r="S740">
        <v>1</v>
      </c>
      <c r="T740" t="s">
        <v>29</v>
      </c>
      <c r="U740" t="s">
        <v>30</v>
      </c>
      <c r="V740" s="3">
        <v>235887</v>
      </c>
      <c r="W740">
        <v>3.78</v>
      </c>
      <c r="X740">
        <v>5</v>
      </c>
      <c r="Y740" s="1">
        <f>EV_Data4[[#This Row],[range_miles]]/EV_Data4[[#This Row],[battery_capacity_kwh]]</f>
        <v>3.761996161228407</v>
      </c>
      <c r="Z740" s="4">
        <f>EV_Data4[[#This Row],[price_usd]]/EV_Data4[[#This Row],[range_miles]]</f>
        <v>262.17272959183674</v>
      </c>
      <c r="AA740" s="2">
        <f>(EV_Data4[[#This Row],[customer_rating]]*EV_Data4[[#This Row],[safety_rating]]*1000)/EV_Data4[[#This Row],[price_usd]]</f>
        <v>0.14712219929005754</v>
      </c>
      <c r="AB740">
        <f>EV_Data4[[#This Row],[horsepower]]+EV_Data4[[#This Row],[torque_nm]]/EV_Data4[[#This Row],[acceleration_0_60_mph]]</f>
        <v>1160.2251407129456</v>
      </c>
      <c r="AC740" t="str">
        <f>IF(EV_Data4[[#This Row],[price_usd]]&gt;=80000,"Luxury",IF(EV_Data4[[#This Row],[price_usd]]&gt;=40000,"Mid-Range","Budget"))</f>
        <v>Luxury</v>
      </c>
      <c r="AD740" t="str">
        <f>IF(EV_Data4[[#This Row],[range_miles]]&gt;=350,"Long-Range",IF(EV_Data4[[#This Row],[range_miles]]&gt;=250,"Medium-Range","Short-Range"))</f>
        <v>Long-Range</v>
      </c>
      <c r="AE740" t="str">
        <f>IF(EV_Data4[[#This Row],[charging_speed_kw]]&gt;=250,"Ultra-Fast",IF(EV_Data4[[#This Row],[charging_speed_kw]]&gt;=150,"Fast-Charging","Standard-Charging"))</f>
        <v>Standard-Charging</v>
      </c>
      <c r="AF740" t="str">
        <f>IF(EV_Data4[[#This Row],[acceleration_0_60_mph]]&lt;=3,"SportsPerformance",IF(EV_Data4[[#This Row],[acceleration_0_60_mph]]&lt;=5,"HighPerformance","Standard"))</f>
        <v>Standard</v>
      </c>
      <c r="AG740" t="str">
        <f>IF(EV_Data4[[#This Row],[customer_rating]]&gt;=4.5,"Excellent",IF(EV_Data4[[#This Row],[customer_rating]]&gt;=3.5,"Good","Average"))</f>
        <v>Good</v>
      </c>
      <c r="AH74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41" spans="1:34" x14ac:dyDescent="0.3">
      <c r="A741" t="s">
        <v>24</v>
      </c>
      <c r="B741" t="s">
        <v>75</v>
      </c>
      <c r="C741">
        <v>2025</v>
      </c>
      <c r="D741" t="s">
        <v>44</v>
      </c>
      <c r="E741" s="3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48</v>
      </c>
      <c r="N741">
        <v>5</v>
      </c>
      <c r="O741" t="s">
        <v>51</v>
      </c>
      <c r="P741">
        <v>32.1</v>
      </c>
      <c r="Q741">
        <v>1540</v>
      </c>
      <c r="R741">
        <v>4</v>
      </c>
      <c r="S741">
        <v>0</v>
      </c>
      <c r="T741" t="s">
        <v>29</v>
      </c>
      <c r="U741" t="s">
        <v>33</v>
      </c>
      <c r="V741" s="3">
        <v>292071</v>
      </c>
      <c r="W741">
        <v>3.47</v>
      </c>
      <c r="X741">
        <v>4</v>
      </c>
      <c r="Y741" s="1">
        <f>EV_Data4[[#This Row],[range_miles]]/EV_Data4[[#This Row],[battery_capacity_kwh]]</f>
        <v>3.5588972431077694</v>
      </c>
      <c r="Z741" s="4">
        <f>EV_Data4[[#This Row],[price_usd]]/EV_Data4[[#This Row],[range_miles]]</f>
        <v>341.68017605633804</v>
      </c>
      <c r="AA741" s="2">
        <f>(EV_Data4[[#This Row],[customer_rating]]*EV_Data4[[#This Row],[safety_rating]]*1000)/EV_Data4[[#This Row],[price_usd]]</f>
        <v>0.14303797194415294</v>
      </c>
      <c r="AB741">
        <f>EV_Data4[[#This Row],[horsepower]]+EV_Data4[[#This Row],[torque_nm]]/EV_Data4[[#This Row],[acceleration_0_60_mph]]</f>
        <v>1161.4391143911439</v>
      </c>
      <c r="AC741" t="str">
        <f>IF(EV_Data4[[#This Row],[price_usd]]&gt;=80000,"Luxury",IF(EV_Data4[[#This Row],[price_usd]]&gt;=40000,"Mid-Range","Budget"))</f>
        <v>Luxury</v>
      </c>
      <c r="AD741" t="str">
        <f>IF(EV_Data4[[#This Row],[range_miles]]&gt;=350,"Long-Range",IF(EV_Data4[[#This Row],[range_miles]]&gt;=250,"Medium-Range","Short-Range"))</f>
        <v>Medium-Range</v>
      </c>
      <c r="AE741" t="str">
        <f>IF(EV_Data4[[#This Row],[charging_speed_kw]]&gt;=250,"Ultra-Fast",IF(EV_Data4[[#This Row],[charging_speed_kw]]&gt;=150,"Fast-Charging","Standard-Charging"))</f>
        <v>Standard-Charging</v>
      </c>
      <c r="AF741" t="str">
        <f>IF(EV_Data4[[#This Row],[acceleration_0_60_mph]]&lt;=3,"SportsPerformance",IF(EV_Data4[[#This Row],[acceleration_0_60_mph]]&lt;=5,"HighPerformance","Standard"))</f>
        <v>Standard</v>
      </c>
      <c r="AG741" t="str">
        <f>IF(EV_Data4[[#This Row],[customer_rating]]&gt;=4.5,"Excellent",IF(EV_Data4[[#This Row],[customer_rating]]&gt;=3.5,"Good","Average"))</f>
        <v>Average</v>
      </c>
      <c r="AH74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42" spans="1:34" x14ac:dyDescent="0.3">
      <c r="A742" t="s">
        <v>68</v>
      </c>
      <c r="B742" t="s">
        <v>109</v>
      </c>
      <c r="C742">
        <v>2025</v>
      </c>
      <c r="D742" t="s">
        <v>44</v>
      </c>
      <c r="E742" s="3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48</v>
      </c>
      <c r="N742">
        <v>7</v>
      </c>
      <c r="O742" t="s">
        <v>51</v>
      </c>
      <c r="P742">
        <v>31.9</v>
      </c>
      <c r="Q742">
        <v>1543</v>
      </c>
      <c r="R742">
        <v>5</v>
      </c>
      <c r="S742">
        <v>2</v>
      </c>
      <c r="T742" t="s">
        <v>45</v>
      </c>
      <c r="U742" t="s">
        <v>33</v>
      </c>
      <c r="V742" s="3">
        <v>132543</v>
      </c>
      <c r="W742">
        <v>3.49</v>
      </c>
      <c r="X742">
        <v>4</v>
      </c>
      <c r="Y742" s="1">
        <f>EV_Data4[[#This Row],[range_miles]]/EV_Data4[[#This Row],[battery_capacity_kwh]]</f>
        <v>3.4065934065934065</v>
      </c>
      <c r="Z742" s="4">
        <f>EV_Data4[[#This Row],[price_usd]]/EV_Data4[[#This Row],[range_miles]]</f>
        <v>217.83053763440861</v>
      </c>
      <c r="AA742" s="2">
        <f>(EV_Data4[[#This Row],[customer_rating]]*EV_Data4[[#This Row],[safety_rating]]*1000)/EV_Data4[[#This Row],[price_usd]]</f>
        <v>0.21534447217527292</v>
      </c>
      <c r="AB742">
        <f>EV_Data4[[#This Row],[horsepower]]+EV_Data4[[#This Row],[torque_nm]]/EV_Data4[[#This Row],[acceleration_0_60_mph]]</f>
        <v>1152.0689655172414</v>
      </c>
      <c r="AC742" t="str">
        <f>IF(EV_Data4[[#This Row],[price_usd]]&gt;=80000,"Luxury",IF(EV_Data4[[#This Row],[price_usd]]&gt;=40000,"Mid-Range","Budget"))</f>
        <v>Luxury</v>
      </c>
      <c r="AD742" t="str">
        <f>IF(EV_Data4[[#This Row],[range_miles]]&gt;=350,"Long-Range",IF(EV_Data4[[#This Row],[range_miles]]&gt;=250,"Medium-Range","Short-Range"))</f>
        <v>Long-Range</v>
      </c>
      <c r="AE742" t="str">
        <f>IF(EV_Data4[[#This Row],[charging_speed_kw]]&gt;=250,"Ultra-Fast",IF(EV_Data4[[#This Row],[charging_speed_kw]]&gt;=150,"Fast-Charging","Standard-Charging"))</f>
        <v>Standard-Charging</v>
      </c>
      <c r="AF742" t="str">
        <f>IF(EV_Data4[[#This Row],[acceleration_0_60_mph]]&lt;=3,"SportsPerformance",IF(EV_Data4[[#This Row],[acceleration_0_60_mph]]&lt;=5,"HighPerformance","Standard"))</f>
        <v>Standard</v>
      </c>
      <c r="AG742" t="str">
        <f>IF(EV_Data4[[#This Row],[customer_rating]]&gt;=4.5,"Excellent",IF(EV_Data4[[#This Row],[customer_rating]]&gt;=3.5,"Good","Average"))</f>
        <v>Average</v>
      </c>
      <c r="AH74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43" spans="1:34" x14ac:dyDescent="0.3">
      <c r="A743" t="s">
        <v>63</v>
      </c>
      <c r="B743" t="s">
        <v>67</v>
      </c>
      <c r="C743">
        <v>2024</v>
      </c>
      <c r="D743" t="s">
        <v>44</v>
      </c>
      <c r="E743" s="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27</v>
      </c>
      <c r="N743">
        <v>7</v>
      </c>
      <c r="O743" t="s">
        <v>58</v>
      </c>
      <c r="P743">
        <v>22.9</v>
      </c>
      <c r="Q743">
        <v>1500</v>
      </c>
      <c r="R743">
        <v>5</v>
      </c>
      <c r="S743">
        <v>1</v>
      </c>
      <c r="T743" t="s">
        <v>65</v>
      </c>
      <c r="U743" t="s">
        <v>37</v>
      </c>
      <c r="V743" s="3">
        <v>234710</v>
      </c>
      <c r="W743">
        <v>3.53</v>
      </c>
      <c r="X743">
        <v>5</v>
      </c>
      <c r="Y743" s="1">
        <f>EV_Data4[[#This Row],[range_miles]]/EV_Data4[[#This Row],[battery_capacity_kwh]]</f>
        <v>3.5107731305449934</v>
      </c>
      <c r="Z743" s="4">
        <f>EV_Data4[[#This Row],[price_usd]]/EV_Data4[[#This Row],[range_miles]]</f>
        <v>192.588880866426</v>
      </c>
      <c r="AA743" s="2">
        <f>(EV_Data4[[#This Row],[customer_rating]]*EV_Data4[[#This Row],[safety_rating]]*1000)/EV_Data4[[#This Row],[price_usd]]</f>
        <v>0.33085197476452338</v>
      </c>
      <c r="AB743">
        <f>EV_Data4[[#This Row],[horsepower]]+EV_Data4[[#This Row],[torque_nm]]/EV_Data4[[#This Row],[acceleration_0_60_mph]]</f>
        <v>757.39490445859872</v>
      </c>
      <c r="AC743" t="str">
        <f>IF(EV_Data4[[#This Row],[price_usd]]&gt;=80000,"Luxury",IF(EV_Data4[[#This Row],[price_usd]]&gt;=40000,"Mid-Range","Budget"))</f>
        <v>Mid-Range</v>
      </c>
      <c r="AD743" t="str">
        <f>IF(EV_Data4[[#This Row],[range_miles]]&gt;=350,"Long-Range",IF(EV_Data4[[#This Row],[range_miles]]&gt;=250,"Medium-Range","Short-Range"))</f>
        <v>Medium-Range</v>
      </c>
      <c r="AE743" t="str">
        <f>IF(EV_Data4[[#This Row],[charging_speed_kw]]&gt;=250,"Ultra-Fast",IF(EV_Data4[[#This Row],[charging_speed_kw]]&gt;=150,"Fast-Charging","Standard-Charging"))</f>
        <v>Standard-Charging</v>
      </c>
      <c r="AF743" t="str">
        <f>IF(EV_Data4[[#This Row],[acceleration_0_60_mph]]&lt;=3,"SportsPerformance",IF(EV_Data4[[#This Row],[acceleration_0_60_mph]]&lt;=5,"HighPerformance","Standard"))</f>
        <v>HighPerformance</v>
      </c>
      <c r="AG743" t="str">
        <f>IF(EV_Data4[[#This Row],[customer_rating]]&gt;=4.5,"Excellent",IF(EV_Data4[[#This Row],[customer_rating]]&gt;=3.5,"Good","Average"))</f>
        <v>Good</v>
      </c>
      <c r="AH74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44" spans="1:34" x14ac:dyDescent="0.3">
      <c r="A744" t="s">
        <v>38</v>
      </c>
      <c r="B744" t="s">
        <v>118</v>
      </c>
      <c r="C744">
        <v>2022</v>
      </c>
      <c r="D744" t="s">
        <v>56</v>
      </c>
      <c r="E744" s="3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34</v>
      </c>
      <c r="N744">
        <v>7</v>
      </c>
      <c r="O744" t="s">
        <v>40</v>
      </c>
      <c r="P744">
        <v>76.5</v>
      </c>
      <c r="Q744">
        <v>1622</v>
      </c>
      <c r="R744">
        <v>5</v>
      </c>
      <c r="S744">
        <v>0</v>
      </c>
      <c r="T744" t="s">
        <v>41</v>
      </c>
      <c r="U744" t="s">
        <v>37</v>
      </c>
      <c r="V744" s="3">
        <v>29407</v>
      </c>
      <c r="W744">
        <v>3.09</v>
      </c>
      <c r="X744">
        <v>4</v>
      </c>
      <c r="Y744" s="1">
        <f>EV_Data4[[#This Row],[range_miles]]/EV_Data4[[#This Row],[battery_capacity_kwh]]</f>
        <v>3.2203389830508473</v>
      </c>
      <c r="Z744" s="4">
        <f>EV_Data4[[#This Row],[price_usd]]/EV_Data4[[#This Row],[range_miles]]</f>
        <v>261.4994736842105</v>
      </c>
      <c r="AA744" s="2">
        <f>(EV_Data4[[#This Row],[customer_rating]]*EV_Data4[[#This Row],[safety_rating]]*1000)/EV_Data4[[#This Row],[price_usd]]</f>
        <v>0.38869958478330441</v>
      </c>
      <c r="AB744">
        <f>EV_Data4[[#This Row],[horsepower]]+EV_Data4[[#This Row],[torque_nm]]/EV_Data4[[#This Row],[acceleration_0_60_mph]]</f>
        <v>426.60975609756099</v>
      </c>
      <c r="AC744" t="str">
        <f>IF(EV_Data4[[#This Row],[price_usd]]&gt;=80000,"Luxury",IF(EV_Data4[[#This Row],[price_usd]]&gt;=40000,"Mid-Range","Budget"))</f>
        <v>Budget</v>
      </c>
      <c r="AD744" t="str">
        <f>IF(EV_Data4[[#This Row],[range_miles]]&gt;=350,"Long-Range",IF(EV_Data4[[#This Row],[range_miles]]&gt;=250,"Medium-Range","Short-Range"))</f>
        <v>Short-Range</v>
      </c>
      <c r="AE744" t="str">
        <f>IF(EV_Data4[[#This Row],[charging_speed_kw]]&gt;=250,"Ultra-Fast",IF(EV_Data4[[#This Row],[charging_speed_kw]]&gt;=150,"Fast-Charging","Standard-Charging"))</f>
        <v>Standard-Charging</v>
      </c>
      <c r="AF744" t="str">
        <f>IF(EV_Data4[[#This Row],[acceleration_0_60_mph]]&lt;=3,"SportsPerformance",IF(EV_Data4[[#This Row],[acceleration_0_60_mph]]&lt;=5,"HighPerformance","Standard"))</f>
        <v>Standard</v>
      </c>
      <c r="AG744" t="str">
        <f>IF(EV_Data4[[#This Row],[customer_rating]]&gt;=4.5,"Excellent",IF(EV_Data4[[#This Row],[customer_rating]]&gt;=3.5,"Good","Average"))</f>
        <v>Average</v>
      </c>
      <c r="AH74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45" spans="1:34" x14ac:dyDescent="0.3">
      <c r="A745" t="s">
        <v>68</v>
      </c>
      <c r="B745" t="s">
        <v>90</v>
      </c>
      <c r="C745">
        <v>2025</v>
      </c>
      <c r="D745" t="s">
        <v>61</v>
      </c>
      <c r="E745" s="3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27</v>
      </c>
      <c r="N745">
        <v>5</v>
      </c>
      <c r="O745" t="s">
        <v>40</v>
      </c>
      <c r="P745">
        <v>77.900000000000006</v>
      </c>
      <c r="Q745">
        <v>1500</v>
      </c>
      <c r="R745">
        <v>5</v>
      </c>
      <c r="S745">
        <v>0</v>
      </c>
      <c r="T745" t="s">
        <v>45</v>
      </c>
      <c r="U745" t="s">
        <v>37</v>
      </c>
      <c r="V745" s="3">
        <v>55296</v>
      </c>
      <c r="W745">
        <v>3.41</v>
      </c>
      <c r="X745">
        <v>4</v>
      </c>
      <c r="Y745" s="1">
        <f>EV_Data4[[#This Row],[range_miles]]/EV_Data4[[#This Row],[battery_capacity_kwh]]</f>
        <v>3.7647058823529411</v>
      </c>
      <c r="Z745" s="4">
        <f>EV_Data4[[#This Row],[price_usd]]/EV_Data4[[#This Row],[range_miles]]</f>
        <v>205.78218749999999</v>
      </c>
      <c r="AA745" s="2">
        <f>(EV_Data4[[#This Row],[customer_rating]]*EV_Data4[[#This Row],[safety_rating]]*1000)/EV_Data4[[#This Row],[price_usd]]</f>
        <v>0.28768956928737521</v>
      </c>
      <c r="AB745">
        <f>EV_Data4[[#This Row],[horsepower]]+EV_Data4[[#This Row],[torque_nm]]/EV_Data4[[#This Row],[acceleration_0_60_mph]]</f>
        <v>749.05078809106828</v>
      </c>
      <c r="AC745" t="str">
        <f>IF(EV_Data4[[#This Row],[price_usd]]&gt;=80000,"Luxury",IF(EV_Data4[[#This Row],[price_usd]]&gt;=40000,"Mid-Range","Budget"))</f>
        <v>Mid-Range</v>
      </c>
      <c r="AD745" t="str">
        <f>IF(EV_Data4[[#This Row],[range_miles]]&gt;=350,"Long-Range",IF(EV_Data4[[#This Row],[range_miles]]&gt;=250,"Medium-Range","Short-Range"))</f>
        <v>Medium-Range</v>
      </c>
      <c r="AE745" t="str">
        <f>IF(EV_Data4[[#This Row],[charging_speed_kw]]&gt;=250,"Ultra-Fast",IF(EV_Data4[[#This Row],[charging_speed_kw]]&gt;=150,"Fast-Charging","Standard-Charging"))</f>
        <v>Standard-Charging</v>
      </c>
      <c r="AF745" t="str">
        <f>IF(EV_Data4[[#This Row],[acceleration_0_60_mph]]&lt;=3,"SportsPerformance",IF(EV_Data4[[#This Row],[acceleration_0_60_mph]]&lt;=5,"HighPerformance","Standard"))</f>
        <v>Standard</v>
      </c>
      <c r="AG745" t="str">
        <f>IF(EV_Data4[[#This Row],[customer_rating]]&gt;=4.5,"Excellent",IF(EV_Data4[[#This Row],[customer_rating]]&gt;=3.5,"Good","Average"))</f>
        <v>Average</v>
      </c>
      <c r="AH74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46" spans="1:34" x14ac:dyDescent="0.3">
      <c r="A746" t="s">
        <v>63</v>
      </c>
      <c r="B746" t="s">
        <v>96</v>
      </c>
      <c r="C746">
        <v>2025</v>
      </c>
      <c r="D746" t="s">
        <v>44</v>
      </c>
      <c r="E746" s="3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34</v>
      </c>
      <c r="N746">
        <v>7</v>
      </c>
      <c r="O746" t="s">
        <v>51</v>
      </c>
      <c r="P746">
        <v>35.299999999999997</v>
      </c>
      <c r="Q746">
        <v>1702</v>
      </c>
      <c r="R746">
        <v>4</v>
      </c>
      <c r="S746">
        <v>2</v>
      </c>
      <c r="T746" t="s">
        <v>65</v>
      </c>
      <c r="U746" t="s">
        <v>66</v>
      </c>
      <c r="V746" s="3">
        <v>185360</v>
      </c>
      <c r="W746">
        <v>3.79</v>
      </c>
      <c r="X746">
        <v>3</v>
      </c>
      <c r="Y746" s="1">
        <f>EV_Data4[[#This Row],[range_miles]]/EV_Data4[[#This Row],[battery_capacity_kwh]]</f>
        <v>3.4547461368653423</v>
      </c>
      <c r="Z746" s="4">
        <f>EV_Data4[[#This Row],[price_usd]]/EV_Data4[[#This Row],[range_miles]]</f>
        <v>77.518785942492016</v>
      </c>
      <c r="AA746" s="2">
        <f>(EV_Data4[[#This Row],[customer_rating]]*EV_Data4[[#This Row],[safety_rating]]*1000)/EV_Data4[[#This Row],[price_usd]]</f>
        <v>0.62480989870331338</v>
      </c>
      <c r="AB746">
        <f>EV_Data4[[#This Row],[horsepower]]+EV_Data4[[#This Row],[torque_nm]]/EV_Data4[[#This Row],[acceleration_0_60_mph]]</f>
        <v>275.82905982905982</v>
      </c>
      <c r="AC746" t="str">
        <f>IF(EV_Data4[[#This Row],[price_usd]]&gt;=80000,"Luxury",IF(EV_Data4[[#This Row],[price_usd]]&gt;=40000,"Mid-Range","Budget"))</f>
        <v>Budget</v>
      </c>
      <c r="AD746" t="str">
        <f>IF(EV_Data4[[#This Row],[range_miles]]&gt;=350,"Long-Range",IF(EV_Data4[[#This Row],[range_miles]]&gt;=250,"Medium-Range","Short-Range"))</f>
        <v>Medium-Range</v>
      </c>
      <c r="AE746" t="str">
        <f>IF(EV_Data4[[#This Row],[charging_speed_kw]]&gt;=250,"Ultra-Fast",IF(EV_Data4[[#This Row],[charging_speed_kw]]&gt;=150,"Fast-Charging","Standard-Charging"))</f>
        <v>Standard-Charging</v>
      </c>
      <c r="AF746" t="str">
        <f>IF(EV_Data4[[#This Row],[acceleration_0_60_mph]]&lt;=3,"SportsPerformance",IF(EV_Data4[[#This Row],[acceleration_0_60_mph]]&lt;=5,"HighPerformance","Standard"))</f>
        <v>Standard</v>
      </c>
      <c r="AG746" t="str">
        <f>IF(EV_Data4[[#This Row],[customer_rating]]&gt;=4.5,"Excellent",IF(EV_Data4[[#This Row],[customer_rating]]&gt;=3.5,"Good","Average"))</f>
        <v>Good</v>
      </c>
      <c r="AH74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47" spans="1:34" x14ac:dyDescent="0.3">
      <c r="A747" t="s">
        <v>86</v>
      </c>
      <c r="B747" t="s">
        <v>105</v>
      </c>
      <c r="C747">
        <v>2023</v>
      </c>
      <c r="D747" t="s">
        <v>56</v>
      </c>
      <c r="E747" s="3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27</v>
      </c>
      <c r="N747">
        <v>5</v>
      </c>
      <c r="O747" t="s">
        <v>58</v>
      </c>
      <c r="P747">
        <v>39.700000000000003</v>
      </c>
      <c r="Q747">
        <v>1652</v>
      </c>
      <c r="R747">
        <v>4</v>
      </c>
      <c r="S747">
        <v>1</v>
      </c>
      <c r="T747" t="s">
        <v>29</v>
      </c>
      <c r="U747" t="s">
        <v>30</v>
      </c>
      <c r="V747" s="3">
        <v>46342</v>
      </c>
      <c r="W747">
        <v>3.62</v>
      </c>
      <c r="X747">
        <v>5</v>
      </c>
      <c r="Y747" s="1">
        <f>EV_Data4[[#This Row],[range_miles]]/EV_Data4[[#This Row],[battery_capacity_kwh]]</f>
        <v>3.4375</v>
      </c>
      <c r="Z747" s="4">
        <f>EV_Data4[[#This Row],[price_usd]]/EV_Data4[[#This Row],[range_miles]]</f>
        <v>626.50496969696974</v>
      </c>
      <c r="AA747" s="2">
        <f>(EV_Data4[[#This Row],[customer_rating]]*EV_Data4[[#This Row],[safety_rating]]*1000)/EV_Data4[[#This Row],[price_usd]]</f>
        <v>0.14007482781824168</v>
      </c>
      <c r="AB747">
        <f>EV_Data4[[#This Row],[horsepower]]+EV_Data4[[#This Row],[torque_nm]]/EV_Data4[[#This Row],[acceleration_0_60_mph]]</f>
        <v>883.5702005730659</v>
      </c>
      <c r="AC747" t="str">
        <f>IF(EV_Data4[[#This Row],[price_usd]]&gt;=80000,"Luxury",IF(EV_Data4[[#This Row],[price_usd]]&gt;=40000,"Mid-Range","Budget"))</f>
        <v>Luxury</v>
      </c>
      <c r="AD747" t="str">
        <f>IF(EV_Data4[[#This Row],[range_miles]]&gt;=350,"Long-Range",IF(EV_Data4[[#This Row],[range_miles]]&gt;=250,"Medium-Range","Short-Range"))</f>
        <v>Short-Range</v>
      </c>
      <c r="AE747" t="str">
        <f>IF(EV_Data4[[#This Row],[charging_speed_kw]]&gt;=250,"Ultra-Fast",IF(EV_Data4[[#This Row],[charging_speed_kw]]&gt;=150,"Fast-Charging","Standard-Charging"))</f>
        <v>Standard-Charging</v>
      </c>
      <c r="AF747" t="str">
        <f>IF(EV_Data4[[#This Row],[acceleration_0_60_mph]]&lt;=3,"SportsPerformance",IF(EV_Data4[[#This Row],[acceleration_0_60_mph]]&lt;=5,"HighPerformance","Standard"))</f>
        <v>Standard</v>
      </c>
      <c r="AG747" t="str">
        <f>IF(EV_Data4[[#This Row],[customer_rating]]&gt;=4.5,"Excellent",IF(EV_Data4[[#This Row],[customer_rating]]&gt;=3.5,"Good","Average"))</f>
        <v>Good</v>
      </c>
      <c r="AH74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48" spans="1:34" x14ac:dyDescent="0.3">
      <c r="A748" t="s">
        <v>24</v>
      </c>
      <c r="B748" t="s">
        <v>25</v>
      </c>
      <c r="C748">
        <v>2025</v>
      </c>
      <c r="D748" t="s">
        <v>56</v>
      </c>
      <c r="E748" s="3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34</v>
      </c>
      <c r="N748">
        <v>5</v>
      </c>
      <c r="O748" t="s">
        <v>58</v>
      </c>
      <c r="P748">
        <v>23</v>
      </c>
      <c r="Q748">
        <v>1849</v>
      </c>
      <c r="R748">
        <v>5</v>
      </c>
      <c r="S748">
        <v>1</v>
      </c>
      <c r="T748" t="s">
        <v>29</v>
      </c>
      <c r="U748" t="s">
        <v>33</v>
      </c>
      <c r="V748" s="3">
        <v>228265</v>
      </c>
      <c r="W748">
        <v>3.75</v>
      </c>
      <c r="X748">
        <v>3</v>
      </c>
      <c r="Y748" s="1">
        <f>EV_Data4[[#This Row],[range_miles]]/EV_Data4[[#This Row],[battery_capacity_kwh]]</f>
        <v>3.9021479713603822</v>
      </c>
      <c r="Z748" s="4">
        <f>EV_Data4[[#This Row],[price_usd]]/EV_Data4[[#This Row],[range_miles]]</f>
        <v>200.68617737003061</v>
      </c>
      <c r="AA748" s="2">
        <f>(EV_Data4[[#This Row],[customer_rating]]*EV_Data4[[#This Row],[safety_rating]]*1000)/EV_Data4[[#This Row],[price_usd]]</f>
        <v>0.28571698505951598</v>
      </c>
      <c r="AB748">
        <f>EV_Data4[[#This Row],[horsepower]]+EV_Data4[[#This Row],[torque_nm]]/EV_Data4[[#This Row],[acceleration_0_60_mph]]</f>
        <v>769.98154981549817</v>
      </c>
      <c r="AC748" t="str">
        <f>IF(EV_Data4[[#This Row],[price_usd]]&gt;=80000,"Luxury",IF(EV_Data4[[#This Row],[price_usd]]&gt;=40000,"Mid-Range","Budget"))</f>
        <v>Mid-Range</v>
      </c>
      <c r="AD748" t="str">
        <f>IF(EV_Data4[[#This Row],[range_miles]]&gt;=350,"Long-Range",IF(EV_Data4[[#This Row],[range_miles]]&gt;=250,"Medium-Range","Short-Range"))</f>
        <v>Medium-Range</v>
      </c>
      <c r="AE748" t="str">
        <f>IF(EV_Data4[[#This Row],[charging_speed_kw]]&gt;=250,"Ultra-Fast",IF(EV_Data4[[#This Row],[charging_speed_kw]]&gt;=150,"Fast-Charging","Standard-Charging"))</f>
        <v>Standard-Charging</v>
      </c>
      <c r="AF748" t="str">
        <f>IF(EV_Data4[[#This Row],[acceleration_0_60_mph]]&lt;=3,"SportsPerformance",IF(EV_Data4[[#This Row],[acceleration_0_60_mph]]&lt;=5,"HighPerformance","Standard"))</f>
        <v>Standard</v>
      </c>
      <c r="AG748" t="str">
        <f>IF(EV_Data4[[#This Row],[customer_rating]]&gt;=4.5,"Excellent",IF(EV_Data4[[#This Row],[customer_rating]]&gt;=3.5,"Good","Average"))</f>
        <v>Good</v>
      </c>
      <c r="AH74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49" spans="1:34" x14ac:dyDescent="0.3">
      <c r="A749" t="s">
        <v>42</v>
      </c>
      <c r="B749" t="s">
        <v>115</v>
      </c>
      <c r="C749">
        <v>2025</v>
      </c>
      <c r="D749" t="s">
        <v>56</v>
      </c>
      <c r="E749" s="3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27</v>
      </c>
      <c r="N749">
        <v>7</v>
      </c>
      <c r="O749" t="s">
        <v>51</v>
      </c>
      <c r="P749">
        <v>34.299999999999997</v>
      </c>
      <c r="Q749">
        <v>1500</v>
      </c>
      <c r="R749">
        <v>4</v>
      </c>
      <c r="S749">
        <v>1</v>
      </c>
      <c r="T749" t="s">
        <v>45</v>
      </c>
      <c r="U749" t="s">
        <v>66</v>
      </c>
      <c r="V749" s="3">
        <v>124108</v>
      </c>
      <c r="W749">
        <v>3.31</v>
      </c>
      <c r="X749">
        <v>4</v>
      </c>
      <c r="Y749" s="1">
        <f>EV_Data4[[#This Row],[range_miles]]/EV_Data4[[#This Row],[battery_capacity_kwh]]</f>
        <v>3.6674816625916873</v>
      </c>
      <c r="Z749" s="4">
        <f>EV_Data4[[#This Row],[price_usd]]/EV_Data4[[#This Row],[range_miles]]</f>
        <v>228.64866666666668</v>
      </c>
      <c r="AA749" s="2">
        <f>(EV_Data4[[#This Row],[customer_rating]]*EV_Data4[[#This Row],[safety_rating]]*1000)/EV_Data4[[#This Row],[price_usd]]</f>
        <v>0.38603621859446657</v>
      </c>
      <c r="AB749">
        <f>EV_Data4[[#This Row],[horsepower]]+EV_Data4[[#This Row],[torque_nm]]/EV_Data4[[#This Row],[acceleration_0_60_mph]]</f>
        <v>273.52032520325201</v>
      </c>
      <c r="AC749" t="str">
        <f>IF(EV_Data4[[#This Row],[price_usd]]&gt;=80000,"Luxury",IF(EV_Data4[[#This Row],[price_usd]]&gt;=40000,"Mid-Range","Budget"))</f>
        <v>Budget</v>
      </c>
      <c r="AD749" t="str">
        <f>IF(EV_Data4[[#This Row],[range_miles]]&gt;=350,"Long-Range",IF(EV_Data4[[#This Row],[range_miles]]&gt;=250,"Medium-Range","Short-Range"))</f>
        <v>Short-Range</v>
      </c>
      <c r="AE749" t="str">
        <f>IF(EV_Data4[[#This Row],[charging_speed_kw]]&gt;=250,"Ultra-Fast",IF(EV_Data4[[#This Row],[charging_speed_kw]]&gt;=150,"Fast-Charging","Standard-Charging"))</f>
        <v>Standard-Charging</v>
      </c>
      <c r="AF749" t="str">
        <f>IF(EV_Data4[[#This Row],[acceleration_0_60_mph]]&lt;=3,"SportsPerformance",IF(EV_Data4[[#This Row],[acceleration_0_60_mph]]&lt;=5,"HighPerformance","Standard"))</f>
        <v>Standard</v>
      </c>
      <c r="AG749" t="str">
        <f>IF(EV_Data4[[#This Row],[customer_rating]]&gt;=4.5,"Excellent",IF(EV_Data4[[#This Row],[customer_rating]]&gt;=3.5,"Good","Average"))</f>
        <v>Average</v>
      </c>
      <c r="AH74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50" spans="1:34" x14ac:dyDescent="0.3">
      <c r="A750" t="s">
        <v>86</v>
      </c>
      <c r="B750" t="s">
        <v>105</v>
      </c>
      <c r="C750">
        <v>2023</v>
      </c>
      <c r="D750" t="s">
        <v>33</v>
      </c>
      <c r="E750" s="3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27</v>
      </c>
      <c r="N750">
        <v>5</v>
      </c>
      <c r="O750" t="s">
        <v>28</v>
      </c>
      <c r="P750">
        <v>56</v>
      </c>
      <c r="Q750">
        <v>2616</v>
      </c>
      <c r="R750">
        <v>5</v>
      </c>
      <c r="S750">
        <v>2</v>
      </c>
      <c r="T750" t="s">
        <v>29</v>
      </c>
      <c r="U750" t="s">
        <v>33</v>
      </c>
      <c r="V750" s="3">
        <v>36637</v>
      </c>
      <c r="W750">
        <v>3.22</v>
      </c>
      <c r="X750">
        <v>7</v>
      </c>
      <c r="Y750" s="1">
        <f>EV_Data4[[#This Row],[range_miles]]/EV_Data4[[#This Row],[battery_capacity_kwh]]</f>
        <v>3.3684210526315788</v>
      </c>
      <c r="Z750" s="4">
        <f>EV_Data4[[#This Row],[price_usd]]/EV_Data4[[#This Row],[range_miles]]</f>
        <v>587.79356250000001</v>
      </c>
      <c r="AA750" s="2">
        <f>(EV_Data4[[#This Row],[customer_rating]]*EV_Data4[[#This Row],[safety_rating]]*1000)/EV_Data4[[#This Row],[price_usd]]</f>
        <v>0.17119105485269756</v>
      </c>
      <c r="AB750">
        <f>EV_Data4[[#This Row],[horsepower]]+EV_Data4[[#This Row],[torque_nm]]/EV_Data4[[#This Row],[acceleration_0_60_mph]]</f>
        <v>777.73684210526312</v>
      </c>
      <c r="AC750" t="str">
        <f>IF(EV_Data4[[#This Row],[price_usd]]&gt;=80000,"Luxury",IF(EV_Data4[[#This Row],[price_usd]]&gt;=40000,"Mid-Range","Budget"))</f>
        <v>Luxury</v>
      </c>
      <c r="AD750" t="str">
        <f>IF(EV_Data4[[#This Row],[range_miles]]&gt;=350,"Long-Range",IF(EV_Data4[[#This Row],[range_miles]]&gt;=250,"Medium-Range","Short-Range"))</f>
        <v>Short-Range</v>
      </c>
      <c r="AE750" t="str">
        <f>IF(EV_Data4[[#This Row],[charging_speed_kw]]&gt;=250,"Ultra-Fast",IF(EV_Data4[[#This Row],[charging_speed_kw]]&gt;=150,"Fast-Charging","Standard-Charging"))</f>
        <v>Standard-Charging</v>
      </c>
      <c r="AF750" t="str">
        <f>IF(EV_Data4[[#This Row],[acceleration_0_60_mph]]&lt;=3,"SportsPerformance",IF(EV_Data4[[#This Row],[acceleration_0_60_mph]]&lt;=5,"HighPerformance","Standard"))</f>
        <v>Standard</v>
      </c>
      <c r="AG750" t="str">
        <f>IF(EV_Data4[[#This Row],[customer_rating]]&gt;=4.5,"Excellent",IF(EV_Data4[[#This Row],[customer_rating]]&gt;=3.5,"Good","Average"))</f>
        <v>Average</v>
      </c>
      <c r="AH75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51" spans="1:34" x14ac:dyDescent="0.3">
      <c r="A751" t="s">
        <v>83</v>
      </c>
      <c r="B751" t="s">
        <v>114</v>
      </c>
      <c r="C751">
        <v>2024</v>
      </c>
      <c r="D751" t="s">
        <v>56</v>
      </c>
      <c r="E751" s="3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27</v>
      </c>
      <c r="N751">
        <v>7</v>
      </c>
      <c r="O751" t="s">
        <v>35</v>
      </c>
      <c r="P751">
        <v>57.5</v>
      </c>
      <c r="Q751">
        <v>1949</v>
      </c>
      <c r="R751">
        <v>5</v>
      </c>
      <c r="S751">
        <v>2</v>
      </c>
      <c r="T751" t="s">
        <v>29</v>
      </c>
      <c r="U751" t="s">
        <v>33</v>
      </c>
      <c r="V751" s="3">
        <v>61102</v>
      </c>
      <c r="W751">
        <v>3.24</v>
      </c>
      <c r="X751">
        <v>7</v>
      </c>
      <c r="Y751" s="1">
        <f>EV_Data4[[#This Row],[range_miles]]/EV_Data4[[#This Row],[battery_capacity_kwh]]</f>
        <v>3.4969325153374231</v>
      </c>
      <c r="Z751" s="4">
        <f>EV_Data4[[#This Row],[price_usd]]/EV_Data4[[#This Row],[range_miles]]</f>
        <v>375.10877192982457</v>
      </c>
      <c r="AA751" s="2">
        <f>(EV_Data4[[#This Row],[customer_rating]]*EV_Data4[[#This Row],[safety_rating]]*1000)/EV_Data4[[#This Row],[price_usd]]</f>
        <v>0.18941874169831444</v>
      </c>
      <c r="AB751">
        <f>EV_Data4[[#This Row],[horsepower]]+EV_Data4[[#This Row],[torque_nm]]/EV_Data4[[#This Row],[acceleration_0_60_mph]]</f>
        <v>715.77570093457939</v>
      </c>
      <c r="AC751" t="str">
        <f>IF(EV_Data4[[#This Row],[price_usd]]&gt;=80000,"Luxury",IF(EV_Data4[[#This Row],[price_usd]]&gt;=40000,"Mid-Range","Budget"))</f>
        <v>Luxury</v>
      </c>
      <c r="AD751" t="str">
        <f>IF(EV_Data4[[#This Row],[range_miles]]&gt;=350,"Long-Range",IF(EV_Data4[[#This Row],[range_miles]]&gt;=250,"Medium-Range","Short-Range"))</f>
        <v>Short-Range</v>
      </c>
      <c r="AE751" t="str">
        <f>IF(EV_Data4[[#This Row],[charging_speed_kw]]&gt;=250,"Ultra-Fast",IF(EV_Data4[[#This Row],[charging_speed_kw]]&gt;=150,"Fast-Charging","Standard-Charging"))</f>
        <v>Standard-Charging</v>
      </c>
      <c r="AF751" t="str">
        <f>IF(EV_Data4[[#This Row],[acceleration_0_60_mph]]&lt;=3,"SportsPerformance",IF(EV_Data4[[#This Row],[acceleration_0_60_mph]]&lt;=5,"HighPerformance","Standard"))</f>
        <v>Standard</v>
      </c>
      <c r="AG751" t="str">
        <f>IF(EV_Data4[[#This Row],[customer_rating]]&gt;=4.5,"Excellent",IF(EV_Data4[[#This Row],[customer_rating]]&gt;=3.5,"Good","Average"))</f>
        <v>Average</v>
      </c>
      <c r="AH75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52" spans="1:34" x14ac:dyDescent="0.3">
      <c r="A752" t="s">
        <v>46</v>
      </c>
      <c r="B752" t="s">
        <v>47</v>
      </c>
      <c r="C752">
        <v>2025</v>
      </c>
      <c r="D752" t="s">
        <v>44</v>
      </c>
      <c r="E752" s="3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48</v>
      </c>
      <c r="N752">
        <v>5</v>
      </c>
      <c r="O752" t="s">
        <v>51</v>
      </c>
      <c r="P752">
        <v>37.6</v>
      </c>
      <c r="Q752">
        <v>1636</v>
      </c>
      <c r="R752">
        <v>3</v>
      </c>
      <c r="S752">
        <v>2</v>
      </c>
      <c r="T752" t="s">
        <v>41</v>
      </c>
      <c r="U752" t="s">
        <v>37</v>
      </c>
      <c r="V752" s="3">
        <v>182729</v>
      </c>
      <c r="W752">
        <v>3.94</v>
      </c>
      <c r="X752">
        <v>6</v>
      </c>
      <c r="Y752" s="1">
        <f>EV_Data4[[#This Row],[range_miles]]/EV_Data4[[#This Row],[battery_capacity_kwh]]</f>
        <v>3.4930139720558881</v>
      </c>
      <c r="Z752" s="4">
        <f>EV_Data4[[#This Row],[price_usd]]/EV_Data4[[#This Row],[range_miles]]</f>
        <v>106.64234285714285</v>
      </c>
      <c r="AA752" s="2">
        <f>(EV_Data4[[#This Row],[customer_rating]]*EV_Data4[[#This Row],[safety_rating]]*1000)/EV_Data4[[#This Row],[price_usd]]</f>
        <v>0.31667935706052969</v>
      </c>
      <c r="AB752">
        <f>EV_Data4[[#This Row],[horsepower]]+EV_Data4[[#This Row],[torque_nm]]/EV_Data4[[#This Row],[acceleration_0_60_mph]]</f>
        <v>281.94117647058823</v>
      </c>
      <c r="AC752" t="str">
        <f>IF(EV_Data4[[#This Row],[price_usd]]&gt;=80000,"Luxury",IF(EV_Data4[[#This Row],[price_usd]]&gt;=40000,"Mid-Range","Budget"))</f>
        <v>Budget</v>
      </c>
      <c r="AD752" t="str">
        <f>IF(EV_Data4[[#This Row],[range_miles]]&gt;=350,"Long-Range",IF(EV_Data4[[#This Row],[range_miles]]&gt;=250,"Medium-Range","Short-Range"))</f>
        <v>Long-Range</v>
      </c>
      <c r="AE752" t="str">
        <f>IF(EV_Data4[[#This Row],[charging_speed_kw]]&gt;=250,"Ultra-Fast",IF(EV_Data4[[#This Row],[charging_speed_kw]]&gt;=150,"Fast-Charging","Standard-Charging"))</f>
        <v>Ultra-Fast</v>
      </c>
      <c r="AF752" t="str">
        <f>IF(EV_Data4[[#This Row],[acceleration_0_60_mph]]&lt;=3,"SportsPerformance",IF(EV_Data4[[#This Row],[acceleration_0_60_mph]]&lt;=5,"HighPerformance","Standard"))</f>
        <v>Standard</v>
      </c>
      <c r="AG752" t="str">
        <f>IF(EV_Data4[[#This Row],[customer_rating]]&gt;=4.5,"Excellent",IF(EV_Data4[[#This Row],[customer_rating]]&gt;=3.5,"Good","Average"))</f>
        <v>Good</v>
      </c>
      <c r="AH75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53" spans="1:34" x14ac:dyDescent="0.3">
      <c r="A753" t="s">
        <v>92</v>
      </c>
      <c r="B753" t="s">
        <v>110</v>
      </c>
      <c r="C753">
        <v>2023</v>
      </c>
      <c r="D753" t="s">
        <v>61</v>
      </c>
      <c r="E753" s="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34</v>
      </c>
      <c r="N753">
        <v>5</v>
      </c>
      <c r="O753" t="s">
        <v>50</v>
      </c>
      <c r="P753">
        <v>34.1</v>
      </c>
      <c r="Q753">
        <v>1846</v>
      </c>
      <c r="R753">
        <v>5</v>
      </c>
      <c r="S753">
        <v>0</v>
      </c>
      <c r="T753" t="s">
        <v>65</v>
      </c>
      <c r="U753" t="s">
        <v>33</v>
      </c>
      <c r="V753" s="3">
        <v>24026</v>
      </c>
      <c r="W753">
        <v>3.35</v>
      </c>
      <c r="X753">
        <v>4</v>
      </c>
      <c r="Y753" s="1">
        <f>EV_Data4[[#This Row],[range_miles]]/EV_Data4[[#This Row],[battery_capacity_kwh]]</f>
        <v>3.8848920863309351</v>
      </c>
      <c r="Z753" s="4">
        <f>EV_Data4[[#This Row],[price_usd]]/EV_Data4[[#This Row],[range_miles]]</f>
        <v>243.10359259259261</v>
      </c>
      <c r="AA753" s="2">
        <f>(EV_Data4[[#This Row],[customer_rating]]*EV_Data4[[#This Row],[safety_rating]]*1000)/EV_Data4[[#This Row],[price_usd]]</f>
        <v>0.25518766043495861</v>
      </c>
      <c r="AB753">
        <f>EV_Data4[[#This Row],[horsepower]]+EV_Data4[[#This Row],[torque_nm]]/EV_Data4[[#This Row],[acceleration_0_60_mph]]</f>
        <v>599.15699658703068</v>
      </c>
      <c r="AC753" t="str">
        <f>IF(EV_Data4[[#This Row],[price_usd]]&gt;=80000,"Luxury",IF(EV_Data4[[#This Row],[price_usd]]&gt;=40000,"Mid-Range","Budget"))</f>
        <v>Mid-Range</v>
      </c>
      <c r="AD753" t="str">
        <f>IF(EV_Data4[[#This Row],[range_miles]]&gt;=350,"Long-Range",IF(EV_Data4[[#This Row],[range_miles]]&gt;=250,"Medium-Range","Short-Range"))</f>
        <v>Medium-Range</v>
      </c>
      <c r="AE753" t="str">
        <f>IF(EV_Data4[[#This Row],[charging_speed_kw]]&gt;=250,"Ultra-Fast",IF(EV_Data4[[#This Row],[charging_speed_kw]]&gt;=150,"Fast-Charging","Standard-Charging"))</f>
        <v>Standard-Charging</v>
      </c>
      <c r="AF753" t="str">
        <f>IF(EV_Data4[[#This Row],[acceleration_0_60_mph]]&lt;=3,"SportsPerformance",IF(EV_Data4[[#This Row],[acceleration_0_60_mph]]&lt;=5,"HighPerformance","Standard"))</f>
        <v>Standard</v>
      </c>
      <c r="AG753" t="str">
        <f>IF(EV_Data4[[#This Row],[customer_rating]]&gt;=4.5,"Excellent",IF(EV_Data4[[#This Row],[customer_rating]]&gt;=3.5,"Good","Average"))</f>
        <v>Average</v>
      </c>
      <c r="AH75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54" spans="1:34" x14ac:dyDescent="0.3">
      <c r="A754" t="s">
        <v>83</v>
      </c>
      <c r="B754" t="s">
        <v>89</v>
      </c>
      <c r="C754">
        <v>2023</v>
      </c>
      <c r="D754" t="s">
        <v>33</v>
      </c>
      <c r="E754" s="3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27</v>
      </c>
      <c r="N754">
        <v>5</v>
      </c>
      <c r="O754" t="s">
        <v>28</v>
      </c>
      <c r="P754">
        <v>80</v>
      </c>
      <c r="Q754">
        <v>2454</v>
      </c>
      <c r="R754">
        <v>5</v>
      </c>
      <c r="S754">
        <v>2</v>
      </c>
      <c r="T754" t="s">
        <v>29</v>
      </c>
      <c r="U754" t="s">
        <v>33</v>
      </c>
      <c r="V754" s="3">
        <v>68670</v>
      </c>
      <c r="W754">
        <v>3.23</v>
      </c>
      <c r="X754">
        <v>6</v>
      </c>
      <c r="Y754" s="1">
        <f>EV_Data4[[#This Row],[range_miles]]/EV_Data4[[#This Row],[battery_capacity_kwh]]</f>
        <v>3.1784386617100373</v>
      </c>
      <c r="Z754" s="4">
        <f>EV_Data4[[#This Row],[price_usd]]/EV_Data4[[#This Row],[range_miles]]</f>
        <v>506.89485380116963</v>
      </c>
      <c r="AA754" s="2">
        <f>(EV_Data4[[#This Row],[customer_rating]]*EV_Data4[[#This Row],[safety_rating]]*1000)/EV_Data4[[#This Row],[price_usd]]</f>
        <v>0.18631959613756591</v>
      </c>
      <c r="AB754">
        <f>EV_Data4[[#This Row],[horsepower]]+EV_Data4[[#This Row],[torque_nm]]/EV_Data4[[#This Row],[acceleration_0_60_mph]]</f>
        <v>727.21022727272725</v>
      </c>
      <c r="AC754" t="str">
        <f>IF(EV_Data4[[#This Row],[price_usd]]&gt;=80000,"Luxury",IF(EV_Data4[[#This Row],[price_usd]]&gt;=40000,"Mid-Range","Budget"))</f>
        <v>Luxury</v>
      </c>
      <c r="AD754" t="str">
        <f>IF(EV_Data4[[#This Row],[range_miles]]&gt;=350,"Long-Range",IF(EV_Data4[[#This Row],[range_miles]]&gt;=250,"Medium-Range","Short-Range"))</f>
        <v>Short-Range</v>
      </c>
      <c r="AE754" t="str">
        <f>IF(EV_Data4[[#This Row],[charging_speed_kw]]&gt;=250,"Ultra-Fast",IF(EV_Data4[[#This Row],[charging_speed_kw]]&gt;=150,"Fast-Charging","Standard-Charging"))</f>
        <v>Standard-Charging</v>
      </c>
      <c r="AF754" t="str">
        <f>IF(EV_Data4[[#This Row],[acceleration_0_60_mph]]&lt;=3,"SportsPerformance",IF(EV_Data4[[#This Row],[acceleration_0_60_mph]]&lt;=5,"HighPerformance","Standard"))</f>
        <v>Standard</v>
      </c>
      <c r="AG754" t="str">
        <f>IF(EV_Data4[[#This Row],[customer_rating]]&gt;=4.5,"Excellent",IF(EV_Data4[[#This Row],[customer_rating]]&gt;=3.5,"Good","Average"))</f>
        <v>Average</v>
      </c>
      <c r="AH75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55" spans="1:34" x14ac:dyDescent="0.3">
      <c r="A755" t="s">
        <v>63</v>
      </c>
      <c r="B755" t="s">
        <v>64</v>
      </c>
      <c r="C755">
        <v>2024</v>
      </c>
      <c r="D755" t="s">
        <v>56</v>
      </c>
      <c r="E755" s="3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34</v>
      </c>
      <c r="N755">
        <v>7</v>
      </c>
      <c r="O755" t="s">
        <v>50</v>
      </c>
      <c r="P755">
        <v>18.600000000000001</v>
      </c>
      <c r="Q755">
        <v>1500</v>
      </c>
      <c r="R755">
        <v>4</v>
      </c>
      <c r="S755">
        <v>0</v>
      </c>
      <c r="T755" t="s">
        <v>65</v>
      </c>
      <c r="U755" t="s">
        <v>66</v>
      </c>
      <c r="V755" s="3">
        <v>194535</v>
      </c>
      <c r="W755">
        <v>3.33</v>
      </c>
      <c r="X755">
        <v>4</v>
      </c>
      <c r="Y755" s="1">
        <f>EV_Data4[[#This Row],[range_miles]]/EV_Data4[[#This Row],[battery_capacity_kwh]]</f>
        <v>3.6822429906542058</v>
      </c>
      <c r="Z755" s="4">
        <f>EV_Data4[[#This Row],[price_usd]]/EV_Data4[[#This Row],[range_miles]]</f>
        <v>93.331065989847716</v>
      </c>
      <c r="AA755" s="2">
        <f>(EV_Data4[[#This Row],[customer_rating]]*EV_Data4[[#This Row],[safety_rating]]*1000)/EV_Data4[[#This Row],[price_usd]]</f>
        <v>0.72445559772481782</v>
      </c>
      <c r="AB755">
        <f>EV_Data4[[#This Row],[horsepower]]+EV_Data4[[#This Row],[torque_nm]]/EV_Data4[[#This Row],[acceleration_0_60_mph]]</f>
        <v>184.66204506065858</v>
      </c>
      <c r="AC755" t="str">
        <f>IF(EV_Data4[[#This Row],[price_usd]]&gt;=80000,"Luxury",IF(EV_Data4[[#This Row],[price_usd]]&gt;=40000,"Mid-Range","Budget"))</f>
        <v>Budget</v>
      </c>
      <c r="AD755" t="str">
        <f>IF(EV_Data4[[#This Row],[range_miles]]&gt;=350,"Long-Range",IF(EV_Data4[[#This Row],[range_miles]]&gt;=250,"Medium-Range","Short-Range"))</f>
        <v>Short-Range</v>
      </c>
      <c r="AE755" t="str">
        <f>IF(EV_Data4[[#This Row],[charging_speed_kw]]&gt;=250,"Ultra-Fast",IF(EV_Data4[[#This Row],[charging_speed_kw]]&gt;=150,"Fast-Charging","Standard-Charging"))</f>
        <v>Standard-Charging</v>
      </c>
      <c r="AF755" t="str">
        <f>IF(EV_Data4[[#This Row],[acceleration_0_60_mph]]&lt;=3,"SportsPerformance",IF(EV_Data4[[#This Row],[acceleration_0_60_mph]]&lt;=5,"HighPerformance","Standard"))</f>
        <v>Standard</v>
      </c>
      <c r="AG755" t="str">
        <f>IF(EV_Data4[[#This Row],[customer_rating]]&gt;=4.5,"Excellent",IF(EV_Data4[[#This Row],[customer_rating]]&gt;=3.5,"Good","Average"))</f>
        <v>Average</v>
      </c>
      <c r="AH75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56" spans="1:34" x14ac:dyDescent="0.3">
      <c r="A756" t="s">
        <v>46</v>
      </c>
      <c r="B756" t="s">
        <v>47</v>
      </c>
      <c r="C756">
        <v>2025</v>
      </c>
      <c r="D756" t="s">
        <v>56</v>
      </c>
      <c r="E756" s="3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48</v>
      </c>
      <c r="N756">
        <v>5</v>
      </c>
      <c r="O756" t="s">
        <v>50</v>
      </c>
      <c r="P756">
        <v>35.799999999999997</v>
      </c>
      <c r="Q756">
        <v>1862</v>
      </c>
      <c r="R756">
        <v>5</v>
      </c>
      <c r="S756">
        <v>2</v>
      </c>
      <c r="T756" t="s">
        <v>41</v>
      </c>
      <c r="U756" t="s">
        <v>37</v>
      </c>
      <c r="V756" s="3">
        <v>132702</v>
      </c>
      <c r="W756">
        <v>3.97</v>
      </c>
      <c r="X756">
        <v>6</v>
      </c>
      <c r="Y756" s="1">
        <f>EV_Data4[[#This Row],[range_miles]]/EV_Data4[[#This Row],[battery_capacity_kwh]]</f>
        <v>3.2888349514563107</v>
      </c>
      <c r="Z756" s="4">
        <f>EV_Data4[[#This Row],[price_usd]]/EV_Data4[[#This Row],[range_miles]]</f>
        <v>147.45789667896679</v>
      </c>
      <c r="AA756" s="2">
        <f>(EV_Data4[[#This Row],[customer_rating]]*EV_Data4[[#This Row],[safety_rating]]*1000)/EV_Data4[[#This Row],[price_usd]]</f>
        <v>0.49673319721759346</v>
      </c>
      <c r="AB756">
        <f>EV_Data4[[#This Row],[horsepower]]+EV_Data4[[#This Row],[torque_nm]]/EV_Data4[[#This Row],[acceleration_0_60_mph]]</f>
        <v>334.80403458213254</v>
      </c>
      <c r="AC756" t="str">
        <f>IF(EV_Data4[[#This Row],[price_usd]]&gt;=80000,"Luxury",IF(EV_Data4[[#This Row],[price_usd]]&gt;=40000,"Mid-Range","Budget"))</f>
        <v>Budget</v>
      </c>
      <c r="AD756" t="str">
        <f>IF(EV_Data4[[#This Row],[range_miles]]&gt;=350,"Long-Range",IF(EV_Data4[[#This Row],[range_miles]]&gt;=250,"Medium-Range","Short-Range"))</f>
        <v>Medium-Range</v>
      </c>
      <c r="AE756" t="str">
        <f>IF(EV_Data4[[#This Row],[charging_speed_kw]]&gt;=250,"Ultra-Fast",IF(EV_Data4[[#This Row],[charging_speed_kw]]&gt;=150,"Fast-Charging","Standard-Charging"))</f>
        <v>Ultra-Fast</v>
      </c>
      <c r="AF756" t="str">
        <f>IF(EV_Data4[[#This Row],[acceleration_0_60_mph]]&lt;=3,"SportsPerformance",IF(EV_Data4[[#This Row],[acceleration_0_60_mph]]&lt;=5,"HighPerformance","Standard"))</f>
        <v>Standard</v>
      </c>
      <c r="AG756" t="str">
        <f>IF(EV_Data4[[#This Row],[customer_rating]]&gt;=4.5,"Excellent",IF(EV_Data4[[#This Row],[customer_rating]]&gt;=3.5,"Good","Average"))</f>
        <v>Good</v>
      </c>
      <c r="AH75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57" spans="1:34" x14ac:dyDescent="0.3">
      <c r="A757" t="s">
        <v>76</v>
      </c>
      <c r="B757" t="s">
        <v>91</v>
      </c>
      <c r="C757">
        <v>2025</v>
      </c>
      <c r="D757" t="s">
        <v>61</v>
      </c>
      <c r="E757" s="3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34</v>
      </c>
      <c r="N757">
        <v>2</v>
      </c>
      <c r="O757" t="s">
        <v>28</v>
      </c>
      <c r="P757">
        <v>59.3</v>
      </c>
      <c r="Q757">
        <v>2632</v>
      </c>
      <c r="R757">
        <v>4</v>
      </c>
      <c r="S757">
        <v>1</v>
      </c>
      <c r="T757" t="s">
        <v>41</v>
      </c>
      <c r="U757" t="s">
        <v>33</v>
      </c>
      <c r="V757" s="3">
        <v>29813</v>
      </c>
      <c r="W757">
        <v>3.63</v>
      </c>
      <c r="X757">
        <v>3</v>
      </c>
      <c r="Y757" s="1">
        <f>EV_Data4[[#This Row],[range_miles]]/EV_Data4[[#This Row],[battery_capacity_kwh]]</f>
        <v>3.3176100628930816</v>
      </c>
      <c r="Z757" s="4">
        <f>EV_Data4[[#This Row],[price_usd]]/EV_Data4[[#This Row],[range_miles]]</f>
        <v>337.2820379146919</v>
      </c>
      <c r="AA757" s="2">
        <f>(EV_Data4[[#This Row],[customer_rating]]*EV_Data4[[#This Row],[safety_rating]]*1000)/EV_Data4[[#This Row],[price_usd]]</f>
        <v>0.20402855219400251</v>
      </c>
      <c r="AB757">
        <f>EV_Data4[[#This Row],[horsepower]]+EV_Data4[[#This Row],[torque_nm]]/EV_Data4[[#This Row],[acceleration_0_60_mph]]</f>
        <v>901.92768959435625</v>
      </c>
      <c r="AC757" t="str">
        <f>IF(EV_Data4[[#This Row],[price_usd]]&gt;=80000,"Luxury",IF(EV_Data4[[#This Row],[price_usd]]&gt;=40000,"Mid-Range","Budget"))</f>
        <v>Mid-Range</v>
      </c>
      <c r="AD757" t="str">
        <f>IF(EV_Data4[[#This Row],[range_miles]]&gt;=350,"Long-Range",IF(EV_Data4[[#This Row],[range_miles]]&gt;=250,"Medium-Range","Short-Range"))</f>
        <v>Short-Range</v>
      </c>
      <c r="AE757" t="str">
        <f>IF(EV_Data4[[#This Row],[charging_speed_kw]]&gt;=250,"Ultra-Fast",IF(EV_Data4[[#This Row],[charging_speed_kw]]&gt;=150,"Fast-Charging","Standard-Charging"))</f>
        <v>Standard-Charging</v>
      </c>
      <c r="AF757" t="str">
        <f>IF(EV_Data4[[#This Row],[acceleration_0_60_mph]]&lt;=3,"SportsPerformance",IF(EV_Data4[[#This Row],[acceleration_0_60_mph]]&lt;=5,"HighPerformance","Standard"))</f>
        <v>Standard</v>
      </c>
      <c r="AG757" t="str">
        <f>IF(EV_Data4[[#This Row],[customer_rating]]&gt;=4.5,"Excellent",IF(EV_Data4[[#This Row],[customer_rating]]&gt;=3.5,"Good","Average"))</f>
        <v>Good</v>
      </c>
      <c r="AH75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58" spans="1:34" x14ac:dyDescent="0.3">
      <c r="A758" t="s">
        <v>83</v>
      </c>
      <c r="B758" t="s">
        <v>104</v>
      </c>
      <c r="C758">
        <v>2021</v>
      </c>
      <c r="D758" t="s">
        <v>26</v>
      </c>
      <c r="E758" s="3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27</v>
      </c>
      <c r="N758">
        <v>5</v>
      </c>
      <c r="O758" t="s">
        <v>50</v>
      </c>
      <c r="P758">
        <v>32.700000000000003</v>
      </c>
      <c r="Q758">
        <v>1612</v>
      </c>
      <c r="R758">
        <v>3</v>
      </c>
      <c r="S758">
        <v>1</v>
      </c>
      <c r="T758" t="s">
        <v>29</v>
      </c>
      <c r="U758" t="s">
        <v>30</v>
      </c>
      <c r="V758" s="3">
        <v>61194</v>
      </c>
      <c r="W758">
        <v>3.64</v>
      </c>
      <c r="X758">
        <v>6</v>
      </c>
      <c r="Y758" s="1">
        <f>EV_Data4[[#This Row],[range_miles]]/EV_Data4[[#This Row],[battery_capacity_kwh]]</f>
        <v>3.3723653395784541</v>
      </c>
      <c r="Z758" s="4">
        <f>EV_Data4[[#This Row],[price_usd]]/EV_Data4[[#This Row],[range_miles]]</f>
        <v>425.27170138888891</v>
      </c>
      <c r="AA758" s="2">
        <f>(EV_Data4[[#This Row],[customer_rating]]*EV_Data4[[#This Row],[safety_rating]]*1000)/EV_Data4[[#This Row],[price_usd]]</f>
        <v>8.915868735877594E-2</v>
      </c>
      <c r="AB758">
        <f>EV_Data4[[#This Row],[horsepower]]+EV_Data4[[#This Row],[torque_nm]]/EV_Data4[[#This Row],[acceleration_0_60_mph]]</f>
        <v>1241.8478260869565</v>
      </c>
      <c r="AC758" t="str">
        <f>IF(EV_Data4[[#This Row],[price_usd]]&gt;=80000,"Luxury",IF(EV_Data4[[#This Row],[price_usd]]&gt;=40000,"Mid-Range","Budget"))</f>
        <v>Luxury</v>
      </c>
      <c r="AD758" t="str">
        <f>IF(EV_Data4[[#This Row],[range_miles]]&gt;=350,"Long-Range",IF(EV_Data4[[#This Row],[range_miles]]&gt;=250,"Medium-Range","Short-Range"))</f>
        <v>Medium-Range</v>
      </c>
      <c r="AE758" t="str">
        <f>IF(EV_Data4[[#This Row],[charging_speed_kw]]&gt;=250,"Ultra-Fast",IF(EV_Data4[[#This Row],[charging_speed_kw]]&gt;=150,"Fast-Charging","Standard-Charging"))</f>
        <v>Fast-Charging</v>
      </c>
      <c r="AF758" t="str">
        <f>IF(EV_Data4[[#This Row],[acceleration_0_60_mph]]&lt;=3,"SportsPerformance",IF(EV_Data4[[#This Row],[acceleration_0_60_mph]]&lt;=5,"HighPerformance","Standard"))</f>
        <v>HighPerformance</v>
      </c>
      <c r="AG758" t="str">
        <f>IF(EV_Data4[[#This Row],[customer_rating]]&gt;=4.5,"Excellent",IF(EV_Data4[[#This Row],[customer_rating]]&gt;=3.5,"Good","Average"))</f>
        <v>Good</v>
      </c>
      <c r="AH75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59" spans="1:34" x14ac:dyDescent="0.3">
      <c r="A759" t="s">
        <v>68</v>
      </c>
      <c r="B759" t="s">
        <v>69</v>
      </c>
      <c r="C759">
        <v>2025</v>
      </c>
      <c r="D759" t="s">
        <v>61</v>
      </c>
      <c r="E759" s="3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34</v>
      </c>
      <c r="N759">
        <v>5</v>
      </c>
      <c r="O759" t="s">
        <v>58</v>
      </c>
      <c r="P759">
        <v>26.3</v>
      </c>
      <c r="Q759">
        <v>1542</v>
      </c>
      <c r="R759">
        <v>4</v>
      </c>
      <c r="S759">
        <v>2</v>
      </c>
      <c r="T759" t="s">
        <v>45</v>
      </c>
      <c r="U759" t="s">
        <v>66</v>
      </c>
      <c r="V759" s="3">
        <v>74203</v>
      </c>
      <c r="W759">
        <v>3.74</v>
      </c>
      <c r="X759">
        <v>4</v>
      </c>
      <c r="Y759" s="1">
        <f>EV_Data4[[#This Row],[range_miles]]/EV_Data4[[#This Row],[battery_capacity_kwh]]</f>
        <v>3.7276478679504814</v>
      </c>
      <c r="Z759" s="4">
        <f>EV_Data4[[#This Row],[price_usd]]/EV_Data4[[#This Row],[range_miles]]</f>
        <v>125.07667896678966</v>
      </c>
      <c r="AA759" s="2">
        <f>(EV_Data4[[#This Row],[customer_rating]]*EV_Data4[[#This Row],[safety_rating]]*1000)/EV_Data4[[#This Row],[price_usd]]</f>
        <v>0.44135287637576126</v>
      </c>
      <c r="AB759">
        <f>EV_Data4[[#This Row],[horsepower]]+EV_Data4[[#This Row],[torque_nm]]/EV_Data4[[#This Row],[acceleration_0_60_mph]]</f>
        <v>252.21148036253777</v>
      </c>
      <c r="AC759" t="str">
        <f>IF(EV_Data4[[#This Row],[price_usd]]&gt;=80000,"Luxury",IF(EV_Data4[[#This Row],[price_usd]]&gt;=40000,"Mid-Range","Budget"))</f>
        <v>Budget</v>
      </c>
      <c r="AD759" t="str">
        <f>IF(EV_Data4[[#This Row],[range_miles]]&gt;=350,"Long-Range",IF(EV_Data4[[#This Row],[range_miles]]&gt;=250,"Medium-Range","Short-Range"))</f>
        <v>Medium-Range</v>
      </c>
      <c r="AE759" t="str">
        <f>IF(EV_Data4[[#This Row],[charging_speed_kw]]&gt;=250,"Ultra-Fast",IF(EV_Data4[[#This Row],[charging_speed_kw]]&gt;=150,"Fast-Charging","Standard-Charging"))</f>
        <v>Standard-Charging</v>
      </c>
      <c r="AF759" t="str">
        <f>IF(EV_Data4[[#This Row],[acceleration_0_60_mph]]&lt;=3,"SportsPerformance",IF(EV_Data4[[#This Row],[acceleration_0_60_mph]]&lt;=5,"HighPerformance","Standard"))</f>
        <v>Standard</v>
      </c>
      <c r="AG759" t="str">
        <f>IF(EV_Data4[[#This Row],[customer_rating]]&gt;=4.5,"Excellent",IF(EV_Data4[[#This Row],[customer_rating]]&gt;=3.5,"Good","Average"))</f>
        <v>Good</v>
      </c>
      <c r="AH75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60" spans="1:34" x14ac:dyDescent="0.3">
      <c r="A760" t="s">
        <v>86</v>
      </c>
      <c r="B760" t="s">
        <v>87</v>
      </c>
      <c r="C760">
        <v>2026</v>
      </c>
      <c r="D760" t="s">
        <v>33</v>
      </c>
      <c r="E760" s="3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48</v>
      </c>
      <c r="N760">
        <v>5</v>
      </c>
      <c r="O760" t="s">
        <v>35</v>
      </c>
      <c r="P760">
        <v>39.5</v>
      </c>
      <c r="Q760">
        <v>2084</v>
      </c>
      <c r="R760">
        <v>4</v>
      </c>
      <c r="S760">
        <v>1</v>
      </c>
      <c r="T760" t="s">
        <v>29</v>
      </c>
      <c r="U760" t="s">
        <v>30</v>
      </c>
      <c r="V760" s="3">
        <v>68624</v>
      </c>
      <c r="W760">
        <v>3.78</v>
      </c>
      <c r="X760">
        <v>7</v>
      </c>
      <c r="Y760" s="1">
        <f>EV_Data4[[#This Row],[range_miles]]/EV_Data4[[#This Row],[battery_capacity_kwh]]</f>
        <v>3.7484433374844337</v>
      </c>
      <c r="Z760" s="4">
        <f>EV_Data4[[#This Row],[price_usd]]/EV_Data4[[#This Row],[range_miles]]</f>
        <v>335.70398671096342</v>
      </c>
      <c r="AA760" s="2">
        <f>(EV_Data4[[#This Row],[customer_rating]]*EV_Data4[[#This Row],[safety_rating]]*1000)/EV_Data4[[#This Row],[price_usd]]</f>
        <v>0.14963348702434218</v>
      </c>
      <c r="AB760">
        <f>EV_Data4[[#This Row],[horsepower]]+EV_Data4[[#This Row],[torque_nm]]/EV_Data4[[#This Row],[acceleration_0_60_mph]]</f>
        <v>863.67175572519079</v>
      </c>
      <c r="AC760" t="str">
        <f>IF(EV_Data4[[#This Row],[price_usd]]&gt;=80000,"Luxury",IF(EV_Data4[[#This Row],[price_usd]]&gt;=40000,"Mid-Range","Budget"))</f>
        <v>Luxury</v>
      </c>
      <c r="AD760" t="str">
        <f>IF(EV_Data4[[#This Row],[range_miles]]&gt;=350,"Long-Range",IF(EV_Data4[[#This Row],[range_miles]]&gt;=250,"Medium-Range","Short-Range"))</f>
        <v>Medium-Range</v>
      </c>
      <c r="AE760" t="str">
        <f>IF(EV_Data4[[#This Row],[charging_speed_kw]]&gt;=250,"Ultra-Fast",IF(EV_Data4[[#This Row],[charging_speed_kw]]&gt;=150,"Fast-Charging","Standard-Charging"))</f>
        <v>Standard-Charging</v>
      </c>
      <c r="AF760" t="str">
        <f>IF(EV_Data4[[#This Row],[acceleration_0_60_mph]]&lt;=3,"SportsPerformance",IF(EV_Data4[[#This Row],[acceleration_0_60_mph]]&lt;=5,"HighPerformance","Standard"))</f>
        <v>Standard</v>
      </c>
      <c r="AG760" t="str">
        <f>IF(EV_Data4[[#This Row],[customer_rating]]&gt;=4.5,"Excellent",IF(EV_Data4[[#This Row],[customer_rating]]&gt;=3.5,"Good","Average"))</f>
        <v>Good</v>
      </c>
      <c r="AH76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61" spans="1:34" x14ac:dyDescent="0.3">
      <c r="A761" t="s">
        <v>76</v>
      </c>
      <c r="B761" t="s">
        <v>98</v>
      </c>
      <c r="C761">
        <v>2023</v>
      </c>
      <c r="D761" t="s">
        <v>61</v>
      </c>
      <c r="E761" s="3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27</v>
      </c>
      <c r="N761">
        <v>7</v>
      </c>
      <c r="O761" t="s">
        <v>58</v>
      </c>
      <c r="P761">
        <v>26.7</v>
      </c>
      <c r="Q761">
        <v>1767</v>
      </c>
      <c r="R761">
        <v>3</v>
      </c>
      <c r="S761">
        <v>1</v>
      </c>
      <c r="T761" t="s">
        <v>41</v>
      </c>
      <c r="U761" t="s">
        <v>37</v>
      </c>
      <c r="V761" s="3">
        <v>37998</v>
      </c>
      <c r="W761">
        <v>3.47</v>
      </c>
      <c r="X761">
        <v>3</v>
      </c>
      <c r="Y761" s="1">
        <f>EV_Data4[[#This Row],[range_miles]]/EV_Data4[[#This Row],[battery_capacity_kwh]]</f>
        <v>3.4439178515007902</v>
      </c>
      <c r="Z761" s="4">
        <f>EV_Data4[[#This Row],[price_usd]]/EV_Data4[[#This Row],[range_miles]]</f>
        <v>194.63146788990827</v>
      </c>
      <c r="AA761" s="2">
        <f>(EV_Data4[[#This Row],[customer_rating]]*EV_Data4[[#This Row],[safety_rating]]*1000)/EV_Data4[[#This Row],[price_usd]]</f>
        <v>0.24534724058594859</v>
      </c>
      <c r="AB761">
        <f>EV_Data4[[#This Row],[horsepower]]+EV_Data4[[#This Row],[torque_nm]]/EV_Data4[[#This Row],[acceleration_0_60_mph]]</f>
        <v>452.88601036269432</v>
      </c>
      <c r="AC761" t="str">
        <f>IF(EV_Data4[[#This Row],[price_usd]]&gt;=80000,"Luxury",IF(EV_Data4[[#This Row],[price_usd]]&gt;=40000,"Mid-Range","Budget"))</f>
        <v>Mid-Range</v>
      </c>
      <c r="AD761" t="str">
        <f>IF(EV_Data4[[#This Row],[range_miles]]&gt;=350,"Long-Range",IF(EV_Data4[[#This Row],[range_miles]]&gt;=250,"Medium-Range","Short-Range"))</f>
        <v>Short-Range</v>
      </c>
      <c r="AE761" t="str">
        <f>IF(EV_Data4[[#This Row],[charging_speed_kw]]&gt;=250,"Ultra-Fast",IF(EV_Data4[[#This Row],[charging_speed_kw]]&gt;=150,"Fast-Charging","Standard-Charging"))</f>
        <v>Standard-Charging</v>
      </c>
      <c r="AF761" t="str">
        <f>IF(EV_Data4[[#This Row],[acceleration_0_60_mph]]&lt;=3,"SportsPerformance",IF(EV_Data4[[#This Row],[acceleration_0_60_mph]]&lt;=5,"HighPerformance","Standard"))</f>
        <v>Standard</v>
      </c>
      <c r="AG761" t="str">
        <f>IF(EV_Data4[[#This Row],[customer_rating]]&gt;=4.5,"Excellent",IF(EV_Data4[[#This Row],[customer_rating]]&gt;=3.5,"Good","Average"))</f>
        <v>Average</v>
      </c>
      <c r="AH76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62" spans="1:34" x14ac:dyDescent="0.3">
      <c r="A762" t="s">
        <v>46</v>
      </c>
      <c r="B762" t="s">
        <v>78</v>
      </c>
      <c r="C762">
        <v>2025</v>
      </c>
      <c r="D762" t="s">
        <v>61</v>
      </c>
      <c r="E762" s="3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48</v>
      </c>
      <c r="N762">
        <v>5</v>
      </c>
      <c r="O762" t="s">
        <v>58</v>
      </c>
      <c r="P762">
        <v>20.399999999999999</v>
      </c>
      <c r="Q762">
        <v>1640</v>
      </c>
      <c r="R762">
        <v>4</v>
      </c>
      <c r="S762">
        <v>2</v>
      </c>
      <c r="T762" t="s">
        <v>41</v>
      </c>
      <c r="U762" t="s">
        <v>33</v>
      </c>
      <c r="V762" s="3">
        <v>135577</v>
      </c>
      <c r="W762">
        <v>3.78</v>
      </c>
      <c r="X762">
        <v>5</v>
      </c>
      <c r="Y762" s="1">
        <f>EV_Data4[[#This Row],[range_miles]]/EV_Data4[[#This Row],[battery_capacity_kwh]]</f>
        <v>3.7192474674384952</v>
      </c>
      <c r="Z762" s="4">
        <f>EV_Data4[[#This Row],[price_usd]]/EV_Data4[[#This Row],[range_miles]]</f>
        <v>318.69023346303504</v>
      </c>
      <c r="AA762" s="2">
        <f>(EV_Data4[[#This Row],[customer_rating]]*EV_Data4[[#This Row],[safety_rating]]*1000)/EV_Data4[[#This Row],[price_usd]]</f>
        <v>0.18460774334249169</v>
      </c>
      <c r="AB762">
        <f>EV_Data4[[#This Row],[horsepower]]+EV_Data4[[#This Row],[torque_nm]]/EV_Data4[[#This Row],[acceleration_0_60_mph]]</f>
        <v>653.12149532710282</v>
      </c>
      <c r="AC762" t="str">
        <f>IF(EV_Data4[[#This Row],[price_usd]]&gt;=80000,"Luxury",IF(EV_Data4[[#This Row],[price_usd]]&gt;=40000,"Mid-Range","Budget"))</f>
        <v>Luxury</v>
      </c>
      <c r="AD762" t="str">
        <f>IF(EV_Data4[[#This Row],[range_miles]]&gt;=350,"Long-Range",IF(EV_Data4[[#This Row],[range_miles]]&gt;=250,"Medium-Range","Short-Range"))</f>
        <v>Medium-Range</v>
      </c>
      <c r="AE762" t="str">
        <f>IF(EV_Data4[[#This Row],[charging_speed_kw]]&gt;=250,"Ultra-Fast",IF(EV_Data4[[#This Row],[charging_speed_kw]]&gt;=150,"Fast-Charging","Standard-Charging"))</f>
        <v>Ultra-Fast</v>
      </c>
      <c r="AF762" t="str">
        <f>IF(EV_Data4[[#This Row],[acceleration_0_60_mph]]&lt;=3,"SportsPerformance",IF(EV_Data4[[#This Row],[acceleration_0_60_mph]]&lt;=5,"HighPerformance","Standard"))</f>
        <v>Standard</v>
      </c>
      <c r="AG762" t="str">
        <f>IF(EV_Data4[[#This Row],[customer_rating]]&gt;=4.5,"Excellent",IF(EV_Data4[[#This Row],[customer_rating]]&gt;=3.5,"Good","Average"))</f>
        <v>Good</v>
      </c>
      <c r="AH76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63" spans="1:34" x14ac:dyDescent="0.3">
      <c r="A763" t="s">
        <v>63</v>
      </c>
      <c r="B763" t="s">
        <v>88</v>
      </c>
      <c r="C763">
        <v>2026</v>
      </c>
      <c r="D763" t="s">
        <v>44</v>
      </c>
      <c r="E763" s="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48</v>
      </c>
      <c r="N763">
        <v>7</v>
      </c>
      <c r="O763" t="s">
        <v>28</v>
      </c>
      <c r="P763">
        <v>56.9</v>
      </c>
      <c r="Q763">
        <v>2517</v>
      </c>
      <c r="R763">
        <v>5</v>
      </c>
      <c r="S763">
        <v>0</v>
      </c>
      <c r="T763" t="s">
        <v>65</v>
      </c>
      <c r="U763" t="s">
        <v>33</v>
      </c>
      <c r="V763" s="3">
        <v>133159</v>
      </c>
      <c r="W763">
        <v>3.42</v>
      </c>
      <c r="X763">
        <v>4</v>
      </c>
      <c r="Y763" s="1">
        <f>EV_Data4[[#This Row],[range_miles]]/EV_Data4[[#This Row],[battery_capacity_kwh]]</f>
        <v>3.4482758620689653</v>
      </c>
      <c r="Z763" s="4">
        <f>EV_Data4[[#This Row],[price_usd]]/EV_Data4[[#This Row],[range_miles]]</f>
        <v>299.01241935483876</v>
      </c>
      <c r="AA763" s="2">
        <f>(EV_Data4[[#This Row],[customer_rating]]*EV_Data4[[#This Row],[safety_rating]]*1000)/EV_Data4[[#This Row],[price_usd]]</f>
        <v>0.18447825826632511</v>
      </c>
      <c r="AB763">
        <f>EV_Data4[[#This Row],[horsepower]]+EV_Data4[[#This Row],[torque_nm]]/EV_Data4[[#This Row],[acceleration_0_60_mph]]</f>
        <v>1152.8070175438597</v>
      </c>
      <c r="AC763" t="str">
        <f>IF(EV_Data4[[#This Row],[price_usd]]&gt;=80000,"Luxury",IF(EV_Data4[[#This Row],[price_usd]]&gt;=40000,"Mid-Range","Budget"))</f>
        <v>Luxury</v>
      </c>
      <c r="AD763" t="str">
        <f>IF(EV_Data4[[#This Row],[range_miles]]&gt;=350,"Long-Range",IF(EV_Data4[[#This Row],[range_miles]]&gt;=250,"Medium-Range","Short-Range"))</f>
        <v>Medium-Range</v>
      </c>
      <c r="AE763" t="str">
        <f>IF(EV_Data4[[#This Row],[charging_speed_kw]]&gt;=250,"Ultra-Fast",IF(EV_Data4[[#This Row],[charging_speed_kw]]&gt;=150,"Fast-Charging","Standard-Charging"))</f>
        <v>Standard-Charging</v>
      </c>
      <c r="AF763" t="str">
        <f>IF(EV_Data4[[#This Row],[acceleration_0_60_mph]]&lt;=3,"SportsPerformance",IF(EV_Data4[[#This Row],[acceleration_0_60_mph]]&lt;=5,"HighPerformance","Standard"))</f>
        <v>Standard</v>
      </c>
      <c r="AG763" t="str">
        <f>IF(EV_Data4[[#This Row],[customer_rating]]&gt;=4.5,"Excellent",IF(EV_Data4[[#This Row],[customer_rating]]&gt;=3.5,"Good","Average"))</f>
        <v>Average</v>
      </c>
      <c r="AH76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64" spans="1:34" x14ac:dyDescent="0.3">
      <c r="A764" t="s">
        <v>63</v>
      </c>
      <c r="B764" t="s">
        <v>67</v>
      </c>
      <c r="C764">
        <v>2026</v>
      </c>
      <c r="D764" t="s">
        <v>26</v>
      </c>
      <c r="E764" s="3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27</v>
      </c>
      <c r="N764">
        <v>7</v>
      </c>
      <c r="O764" t="s">
        <v>40</v>
      </c>
      <c r="P764">
        <v>68.8</v>
      </c>
      <c r="Q764">
        <v>1500</v>
      </c>
      <c r="R764">
        <v>4</v>
      </c>
      <c r="S764">
        <v>2</v>
      </c>
      <c r="T764" t="s">
        <v>65</v>
      </c>
      <c r="U764" t="s">
        <v>30</v>
      </c>
      <c r="V764" s="3">
        <v>116675</v>
      </c>
      <c r="W764">
        <v>4.1900000000000004</v>
      </c>
      <c r="X764">
        <v>4</v>
      </c>
      <c r="Y764" s="1">
        <f>EV_Data4[[#This Row],[range_miles]]/EV_Data4[[#This Row],[battery_capacity_kwh]]</f>
        <v>3.3780385582564962</v>
      </c>
      <c r="Z764" s="4">
        <f>EV_Data4[[#This Row],[price_usd]]/EV_Data4[[#This Row],[range_miles]]</f>
        <v>273.22526054590571</v>
      </c>
      <c r="AA764" s="2">
        <f>(EV_Data4[[#This Row],[customer_rating]]*EV_Data4[[#This Row],[safety_rating]]*1000)/EV_Data4[[#This Row],[price_usd]]</f>
        <v>0.15221172905803645</v>
      </c>
      <c r="AB764">
        <f>EV_Data4[[#This Row],[horsepower]]+EV_Data4[[#This Row],[torque_nm]]/EV_Data4[[#This Row],[acceleration_0_60_mph]]</f>
        <v>1307.0707070707072</v>
      </c>
      <c r="AC764" t="str">
        <f>IF(EV_Data4[[#This Row],[price_usd]]&gt;=80000,"Luxury",IF(EV_Data4[[#This Row],[price_usd]]&gt;=40000,"Mid-Range","Budget"))</f>
        <v>Luxury</v>
      </c>
      <c r="AD764" t="str">
        <f>IF(EV_Data4[[#This Row],[range_miles]]&gt;=350,"Long-Range",IF(EV_Data4[[#This Row],[range_miles]]&gt;=250,"Medium-Range","Short-Range"))</f>
        <v>Long-Range</v>
      </c>
      <c r="AE764" t="str">
        <f>IF(EV_Data4[[#This Row],[charging_speed_kw]]&gt;=250,"Ultra-Fast",IF(EV_Data4[[#This Row],[charging_speed_kw]]&gt;=150,"Fast-Charging","Standard-Charging"))</f>
        <v>Fast-Charging</v>
      </c>
      <c r="AF764" t="str">
        <f>IF(EV_Data4[[#This Row],[acceleration_0_60_mph]]&lt;=3,"SportsPerformance",IF(EV_Data4[[#This Row],[acceleration_0_60_mph]]&lt;=5,"HighPerformance","Standard"))</f>
        <v>SportsPerformance</v>
      </c>
      <c r="AG764" t="str">
        <f>IF(EV_Data4[[#This Row],[customer_rating]]&gt;=4.5,"Excellent",IF(EV_Data4[[#This Row],[customer_rating]]&gt;=3.5,"Good","Average"))</f>
        <v>Good</v>
      </c>
      <c r="AH76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65" spans="1:34" x14ac:dyDescent="0.3">
      <c r="A765" t="s">
        <v>38</v>
      </c>
      <c r="B765" t="s">
        <v>102</v>
      </c>
      <c r="C765">
        <v>2026</v>
      </c>
      <c r="D765" t="s">
        <v>33</v>
      </c>
      <c r="E765" s="3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48</v>
      </c>
      <c r="N765">
        <v>5</v>
      </c>
      <c r="O765" t="s">
        <v>35</v>
      </c>
      <c r="P765">
        <v>65.3</v>
      </c>
      <c r="Q765">
        <v>2230</v>
      </c>
      <c r="R765">
        <v>3</v>
      </c>
      <c r="S765">
        <v>0</v>
      </c>
      <c r="T765" t="s">
        <v>41</v>
      </c>
      <c r="U765" t="s">
        <v>33</v>
      </c>
      <c r="V765" s="3">
        <v>15310</v>
      </c>
      <c r="W765">
        <v>3.75</v>
      </c>
      <c r="X765">
        <v>4</v>
      </c>
      <c r="Y765" s="1">
        <f>EV_Data4[[#This Row],[range_miles]]/EV_Data4[[#This Row],[battery_capacity_kwh]]</f>
        <v>3.5061391541609823</v>
      </c>
      <c r="Z765" s="4">
        <f>EV_Data4[[#This Row],[price_usd]]/EV_Data4[[#This Row],[range_miles]]</f>
        <v>317.08688715953309</v>
      </c>
      <c r="AA765" s="2">
        <f>(EV_Data4[[#This Row],[customer_rating]]*EV_Data4[[#This Row],[safety_rating]]*1000)/EV_Data4[[#This Row],[price_usd]]</f>
        <v>0.13805149578488901</v>
      </c>
      <c r="AB765">
        <f>EV_Data4[[#This Row],[horsepower]]+EV_Data4[[#This Row],[torque_nm]]/EV_Data4[[#This Row],[acceleration_0_60_mph]]</f>
        <v>1113.0492676431425</v>
      </c>
      <c r="AC765" t="str">
        <f>IF(EV_Data4[[#This Row],[price_usd]]&gt;=80000,"Luxury",IF(EV_Data4[[#This Row],[price_usd]]&gt;=40000,"Mid-Range","Budget"))</f>
        <v>Luxury</v>
      </c>
      <c r="AD765" t="str">
        <f>IF(EV_Data4[[#This Row],[range_miles]]&gt;=350,"Long-Range",IF(EV_Data4[[#This Row],[range_miles]]&gt;=250,"Medium-Range","Short-Range"))</f>
        <v>Medium-Range</v>
      </c>
      <c r="AE765" t="str">
        <f>IF(EV_Data4[[#This Row],[charging_speed_kw]]&gt;=250,"Ultra-Fast",IF(EV_Data4[[#This Row],[charging_speed_kw]]&gt;=150,"Fast-Charging","Standard-Charging"))</f>
        <v>Standard-Charging</v>
      </c>
      <c r="AF765" t="str">
        <f>IF(EV_Data4[[#This Row],[acceleration_0_60_mph]]&lt;=3,"SportsPerformance",IF(EV_Data4[[#This Row],[acceleration_0_60_mph]]&lt;=5,"HighPerformance","Standard"))</f>
        <v>Standard</v>
      </c>
      <c r="AG765" t="str">
        <f>IF(EV_Data4[[#This Row],[customer_rating]]&gt;=4.5,"Excellent",IF(EV_Data4[[#This Row],[customer_rating]]&gt;=3.5,"Good","Average"))</f>
        <v>Good</v>
      </c>
      <c r="AH76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66" spans="1:34" x14ac:dyDescent="0.3">
      <c r="A766" t="s">
        <v>46</v>
      </c>
      <c r="B766" t="s">
        <v>72</v>
      </c>
      <c r="C766">
        <v>2022</v>
      </c>
      <c r="D766" t="s">
        <v>56</v>
      </c>
      <c r="E766" s="3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34</v>
      </c>
      <c r="N766">
        <v>5</v>
      </c>
      <c r="O766" t="s">
        <v>28</v>
      </c>
      <c r="P766">
        <v>64</v>
      </c>
      <c r="Q766">
        <v>2568</v>
      </c>
      <c r="R766">
        <v>4</v>
      </c>
      <c r="S766">
        <v>2</v>
      </c>
      <c r="T766" t="s">
        <v>41</v>
      </c>
      <c r="U766" t="s">
        <v>33</v>
      </c>
      <c r="V766" s="3">
        <v>132378</v>
      </c>
      <c r="W766">
        <v>4.12</v>
      </c>
      <c r="X766">
        <v>5</v>
      </c>
      <c r="Y766" s="1">
        <f>EV_Data4[[#This Row],[range_miles]]/EV_Data4[[#This Row],[battery_capacity_kwh]]</f>
        <v>3.6828644501278771</v>
      </c>
      <c r="Z766" s="4">
        <f>EV_Data4[[#This Row],[price_usd]]/EV_Data4[[#This Row],[range_miles]]</f>
        <v>288.23468750000001</v>
      </c>
      <c r="AA766" s="2">
        <f>(EV_Data4[[#This Row],[customer_rating]]*EV_Data4[[#This Row],[safety_rating]]*1000)/EV_Data4[[#This Row],[price_usd]]</f>
        <v>0.19852649491474625</v>
      </c>
      <c r="AB766">
        <f>EV_Data4[[#This Row],[horsepower]]+EV_Data4[[#This Row],[torque_nm]]/EV_Data4[[#This Row],[acceleration_0_60_mph]]</f>
        <v>642.98136645962734</v>
      </c>
      <c r="AC766" t="str">
        <f>IF(EV_Data4[[#This Row],[price_usd]]&gt;=80000,"Luxury",IF(EV_Data4[[#This Row],[price_usd]]&gt;=40000,"Mid-Range","Budget"))</f>
        <v>Luxury</v>
      </c>
      <c r="AD766" t="str">
        <f>IF(EV_Data4[[#This Row],[range_miles]]&gt;=350,"Long-Range",IF(EV_Data4[[#This Row],[range_miles]]&gt;=250,"Medium-Range","Short-Range"))</f>
        <v>Medium-Range</v>
      </c>
      <c r="AE766" t="str">
        <f>IF(EV_Data4[[#This Row],[charging_speed_kw]]&gt;=250,"Ultra-Fast",IF(EV_Data4[[#This Row],[charging_speed_kw]]&gt;=150,"Fast-Charging","Standard-Charging"))</f>
        <v>Fast-Charging</v>
      </c>
      <c r="AF766" t="str">
        <f>IF(EV_Data4[[#This Row],[acceleration_0_60_mph]]&lt;=3,"SportsPerformance",IF(EV_Data4[[#This Row],[acceleration_0_60_mph]]&lt;=5,"HighPerformance","Standard"))</f>
        <v>Standard</v>
      </c>
      <c r="AG766" t="str">
        <f>IF(EV_Data4[[#This Row],[customer_rating]]&gt;=4.5,"Excellent",IF(EV_Data4[[#This Row],[customer_rating]]&gt;=3.5,"Good","Average"))</f>
        <v>Good</v>
      </c>
      <c r="AH76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67" spans="1:34" x14ac:dyDescent="0.3">
      <c r="A767" t="s">
        <v>42</v>
      </c>
      <c r="B767" t="s">
        <v>43</v>
      </c>
      <c r="C767">
        <v>2023</v>
      </c>
      <c r="D767" t="s">
        <v>33</v>
      </c>
      <c r="E767" s="3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48</v>
      </c>
      <c r="N767">
        <v>7</v>
      </c>
      <c r="O767" t="s">
        <v>35</v>
      </c>
      <c r="P767">
        <v>44.7</v>
      </c>
      <c r="Q767">
        <v>1956</v>
      </c>
      <c r="R767">
        <v>5</v>
      </c>
      <c r="S767">
        <v>0</v>
      </c>
      <c r="T767" t="s">
        <v>45</v>
      </c>
      <c r="U767" t="s">
        <v>37</v>
      </c>
      <c r="V767" s="3">
        <v>144832</v>
      </c>
      <c r="W767">
        <v>3.14</v>
      </c>
      <c r="X767">
        <v>4</v>
      </c>
      <c r="Y767" s="1">
        <f>EV_Data4[[#This Row],[range_miles]]/EV_Data4[[#This Row],[battery_capacity_kwh]]</f>
        <v>3.3031674208144799</v>
      </c>
      <c r="Z767" s="4">
        <f>EV_Data4[[#This Row],[price_usd]]/EV_Data4[[#This Row],[range_miles]]</f>
        <v>273.63680365296801</v>
      </c>
      <c r="AA767" s="2">
        <f>(EV_Data4[[#This Row],[customer_rating]]*EV_Data4[[#This Row],[safety_rating]]*1000)/EV_Data4[[#This Row],[price_usd]]</f>
        <v>0.26198777635121451</v>
      </c>
      <c r="AB767">
        <f>EV_Data4[[#This Row],[horsepower]]+EV_Data4[[#This Row],[torque_nm]]/EV_Data4[[#This Row],[acceleration_0_60_mph]]</f>
        <v>793.28930817610058</v>
      </c>
      <c r="AC767" t="str">
        <f>IF(EV_Data4[[#This Row],[price_usd]]&gt;=80000,"Luxury",IF(EV_Data4[[#This Row],[price_usd]]&gt;=40000,"Mid-Range","Budget"))</f>
        <v>Mid-Range</v>
      </c>
      <c r="AD767" t="str">
        <f>IF(EV_Data4[[#This Row],[range_miles]]&gt;=350,"Long-Range",IF(EV_Data4[[#This Row],[range_miles]]&gt;=250,"Medium-Range","Short-Range"))</f>
        <v>Short-Range</v>
      </c>
      <c r="AE767" t="str">
        <f>IF(EV_Data4[[#This Row],[charging_speed_kw]]&gt;=250,"Ultra-Fast",IF(EV_Data4[[#This Row],[charging_speed_kw]]&gt;=150,"Fast-Charging","Standard-Charging"))</f>
        <v>Standard-Charging</v>
      </c>
      <c r="AF767" t="str">
        <f>IF(EV_Data4[[#This Row],[acceleration_0_60_mph]]&lt;=3,"SportsPerformance",IF(EV_Data4[[#This Row],[acceleration_0_60_mph]]&lt;=5,"HighPerformance","Standard"))</f>
        <v>Standard</v>
      </c>
      <c r="AG767" t="str">
        <f>IF(EV_Data4[[#This Row],[customer_rating]]&gt;=4.5,"Excellent",IF(EV_Data4[[#This Row],[customer_rating]]&gt;=3.5,"Good","Average"))</f>
        <v>Average</v>
      </c>
      <c r="AH76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68" spans="1:34" x14ac:dyDescent="0.3">
      <c r="A768" t="s">
        <v>76</v>
      </c>
      <c r="B768" t="s">
        <v>91</v>
      </c>
      <c r="C768">
        <v>2025</v>
      </c>
      <c r="D768" t="s">
        <v>33</v>
      </c>
      <c r="E768" s="3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27</v>
      </c>
      <c r="N768">
        <v>2</v>
      </c>
      <c r="O768" t="s">
        <v>28</v>
      </c>
      <c r="P768">
        <v>59.1</v>
      </c>
      <c r="Q768">
        <v>2675</v>
      </c>
      <c r="R768">
        <v>4</v>
      </c>
      <c r="S768">
        <v>1</v>
      </c>
      <c r="T768" t="s">
        <v>41</v>
      </c>
      <c r="U768" t="s">
        <v>37</v>
      </c>
      <c r="V768" s="3">
        <v>57644</v>
      </c>
      <c r="W768">
        <v>3.48</v>
      </c>
      <c r="X768">
        <v>4</v>
      </c>
      <c r="Y768" s="1">
        <f>EV_Data4[[#This Row],[range_miles]]/EV_Data4[[#This Row],[battery_capacity_kwh]]</f>
        <v>3.2038834951456314</v>
      </c>
      <c r="Z768" s="4">
        <f>EV_Data4[[#This Row],[price_usd]]/EV_Data4[[#This Row],[range_miles]]</f>
        <v>223.86313131313133</v>
      </c>
      <c r="AA768" s="2">
        <f>(EV_Data4[[#This Row],[customer_rating]]*EV_Data4[[#This Row],[safety_rating]]*1000)/EV_Data4[[#This Row],[price_usd]]</f>
        <v>0.31404470173649573</v>
      </c>
      <c r="AB768">
        <f>EV_Data4[[#This Row],[horsepower]]+EV_Data4[[#This Row],[torque_nm]]/EV_Data4[[#This Row],[acceleration_0_60_mph]]</f>
        <v>407.59539918809202</v>
      </c>
      <c r="AC768" t="str">
        <f>IF(EV_Data4[[#This Row],[price_usd]]&gt;=80000,"Luxury",IF(EV_Data4[[#This Row],[price_usd]]&gt;=40000,"Mid-Range","Budget"))</f>
        <v>Mid-Range</v>
      </c>
      <c r="AD768" t="str">
        <f>IF(EV_Data4[[#This Row],[range_miles]]&gt;=350,"Long-Range",IF(EV_Data4[[#This Row],[range_miles]]&gt;=250,"Medium-Range","Short-Range"))</f>
        <v>Short-Range</v>
      </c>
      <c r="AE768" t="str">
        <f>IF(EV_Data4[[#This Row],[charging_speed_kw]]&gt;=250,"Ultra-Fast",IF(EV_Data4[[#This Row],[charging_speed_kw]]&gt;=150,"Fast-Charging","Standard-Charging"))</f>
        <v>Standard-Charging</v>
      </c>
      <c r="AF768" t="str">
        <f>IF(EV_Data4[[#This Row],[acceleration_0_60_mph]]&lt;=3,"SportsPerformance",IF(EV_Data4[[#This Row],[acceleration_0_60_mph]]&lt;=5,"HighPerformance","Standard"))</f>
        <v>Standard</v>
      </c>
      <c r="AG768" t="str">
        <f>IF(EV_Data4[[#This Row],[customer_rating]]&gt;=4.5,"Excellent",IF(EV_Data4[[#This Row],[customer_rating]]&gt;=3.5,"Good","Average"))</f>
        <v>Average</v>
      </c>
      <c r="AH76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69" spans="1:34" x14ac:dyDescent="0.3">
      <c r="A769" t="s">
        <v>86</v>
      </c>
      <c r="B769" t="s">
        <v>108</v>
      </c>
      <c r="C769">
        <v>2025</v>
      </c>
      <c r="D769" t="s">
        <v>61</v>
      </c>
      <c r="E769" s="3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27</v>
      </c>
      <c r="N769">
        <v>7</v>
      </c>
      <c r="O769" t="s">
        <v>40</v>
      </c>
      <c r="P769">
        <v>74.2</v>
      </c>
      <c r="Q769">
        <v>1500</v>
      </c>
      <c r="R769">
        <v>4</v>
      </c>
      <c r="S769">
        <v>2</v>
      </c>
      <c r="T769" t="s">
        <v>29</v>
      </c>
      <c r="U769" t="s">
        <v>30</v>
      </c>
      <c r="V769" s="3">
        <v>21563</v>
      </c>
      <c r="W769">
        <v>3.5</v>
      </c>
      <c r="X769">
        <v>6</v>
      </c>
      <c r="Y769" s="1">
        <f>EV_Data4[[#This Row],[range_miles]]/EV_Data4[[#This Row],[battery_capacity_kwh]]</f>
        <v>3.0314960629921259</v>
      </c>
      <c r="Z769" s="4">
        <f>EV_Data4[[#This Row],[price_usd]]/EV_Data4[[#This Row],[range_miles]]</f>
        <v>495.54731601731601</v>
      </c>
      <c r="AA769" s="2">
        <f>(EV_Data4[[#This Row],[customer_rating]]*EV_Data4[[#This Row],[safety_rating]]*1000)/EV_Data4[[#This Row],[price_usd]]</f>
        <v>0.12230125892548037</v>
      </c>
      <c r="AB769">
        <f>EV_Data4[[#This Row],[horsepower]]+EV_Data4[[#This Row],[torque_nm]]/EV_Data4[[#This Row],[acceleration_0_60_mph]]</f>
        <v>1003.919629057187</v>
      </c>
      <c r="AC769" t="str">
        <f>IF(EV_Data4[[#This Row],[price_usd]]&gt;=80000,"Luxury",IF(EV_Data4[[#This Row],[price_usd]]&gt;=40000,"Mid-Range","Budget"))</f>
        <v>Luxury</v>
      </c>
      <c r="AD769" t="str">
        <f>IF(EV_Data4[[#This Row],[range_miles]]&gt;=350,"Long-Range",IF(EV_Data4[[#This Row],[range_miles]]&gt;=250,"Medium-Range","Short-Range"))</f>
        <v>Short-Range</v>
      </c>
      <c r="AE769" t="str">
        <f>IF(EV_Data4[[#This Row],[charging_speed_kw]]&gt;=250,"Ultra-Fast",IF(EV_Data4[[#This Row],[charging_speed_kw]]&gt;=150,"Fast-Charging","Standard-Charging"))</f>
        <v>Standard-Charging</v>
      </c>
      <c r="AF769" t="str">
        <f>IF(EV_Data4[[#This Row],[acceleration_0_60_mph]]&lt;=3,"SportsPerformance",IF(EV_Data4[[#This Row],[acceleration_0_60_mph]]&lt;=5,"HighPerformance","Standard"))</f>
        <v>Standard</v>
      </c>
      <c r="AG769" t="str">
        <f>IF(EV_Data4[[#This Row],[customer_rating]]&gt;=4.5,"Excellent",IF(EV_Data4[[#This Row],[customer_rating]]&gt;=3.5,"Good","Average"))</f>
        <v>Good</v>
      </c>
      <c r="AH76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70" spans="1:34" x14ac:dyDescent="0.3">
      <c r="A770" t="s">
        <v>63</v>
      </c>
      <c r="B770" t="s">
        <v>67</v>
      </c>
      <c r="C770">
        <v>2026</v>
      </c>
      <c r="D770" t="s">
        <v>44</v>
      </c>
      <c r="E770" s="3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48</v>
      </c>
      <c r="N770">
        <v>5</v>
      </c>
      <c r="O770" t="s">
        <v>40</v>
      </c>
      <c r="P770">
        <v>64.3</v>
      </c>
      <c r="Q770">
        <v>1680</v>
      </c>
      <c r="R770">
        <v>5</v>
      </c>
      <c r="S770">
        <v>1</v>
      </c>
      <c r="T770" t="s">
        <v>65</v>
      </c>
      <c r="U770" t="s">
        <v>30</v>
      </c>
      <c r="V770" s="3">
        <v>219672</v>
      </c>
      <c r="W770">
        <v>3.59</v>
      </c>
      <c r="X770">
        <v>3</v>
      </c>
      <c r="Y770" s="1">
        <f>EV_Data4[[#This Row],[range_miles]]/EV_Data4[[#This Row],[battery_capacity_kwh]]</f>
        <v>3.3221099887766559</v>
      </c>
      <c r="Z770" s="4">
        <f>EV_Data4[[#This Row],[price_usd]]/EV_Data4[[#This Row],[range_miles]]</f>
        <v>353.35777027027024</v>
      </c>
      <c r="AA770" s="2">
        <f>(EV_Data4[[#This Row],[customer_rating]]*EV_Data4[[#This Row],[safety_rating]]*1000)/EV_Data4[[#This Row],[price_usd]]</f>
        <v>0.17161612675308982</v>
      </c>
      <c r="AB770">
        <f>EV_Data4[[#This Row],[horsepower]]+EV_Data4[[#This Row],[torque_nm]]/EV_Data4[[#This Row],[acceleration_0_60_mph]]</f>
        <v>1173.9463601532566</v>
      </c>
      <c r="AC770" t="str">
        <f>IF(EV_Data4[[#This Row],[price_usd]]&gt;=80000,"Luxury",IF(EV_Data4[[#This Row],[price_usd]]&gt;=40000,"Mid-Range","Budget"))</f>
        <v>Luxury</v>
      </c>
      <c r="AD770" t="str">
        <f>IF(EV_Data4[[#This Row],[range_miles]]&gt;=350,"Long-Range",IF(EV_Data4[[#This Row],[range_miles]]&gt;=250,"Medium-Range","Short-Range"))</f>
        <v>Medium-Range</v>
      </c>
      <c r="AE770" t="str">
        <f>IF(EV_Data4[[#This Row],[charging_speed_kw]]&gt;=250,"Ultra-Fast",IF(EV_Data4[[#This Row],[charging_speed_kw]]&gt;=150,"Fast-Charging","Standard-Charging"))</f>
        <v>Standard-Charging</v>
      </c>
      <c r="AF770" t="str">
        <f>IF(EV_Data4[[#This Row],[acceleration_0_60_mph]]&lt;=3,"SportsPerformance",IF(EV_Data4[[#This Row],[acceleration_0_60_mph]]&lt;=5,"HighPerformance","Standard"))</f>
        <v>Standard</v>
      </c>
      <c r="AG770" t="str">
        <f>IF(EV_Data4[[#This Row],[customer_rating]]&gt;=4.5,"Excellent",IF(EV_Data4[[#This Row],[customer_rating]]&gt;=3.5,"Good","Average"))</f>
        <v>Good</v>
      </c>
      <c r="AH77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71" spans="1:34" x14ac:dyDescent="0.3">
      <c r="A771" t="s">
        <v>76</v>
      </c>
      <c r="B771" t="s">
        <v>91</v>
      </c>
      <c r="C771">
        <v>2026</v>
      </c>
      <c r="D771" t="s">
        <v>33</v>
      </c>
      <c r="E771" s="3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48</v>
      </c>
      <c r="N771">
        <v>2</v>
      </c>
      <c r="O771" t="s">
        <v>28</v>
      </c>
      <c r="P771">
        <v>75.900000000000006</v>
      </c>
      <c r="Q771">
        <v>2262</v>
      </c>
      <c r="R771">
        <v>5</v>
      </c>
      <c r="S771">
        <v>0</v>
      </c>
      <c r="T771" t="s">
        <v>41</v>
      </c>
      <c r="U771" t="s">
        <v>33</v>
      </c>
      <c r="V771" s="3">
        <v>70819</v>
      </c>
      <c r="W771">
        <v>3.48</v>
      </c>
      <c r="X771">
        <v>4</v>
      </c>
      <c r="Y771" s="1">
        <f>EV_Data4[[#This Row],[range_miles]]/EV_Data4[[#This Row],[battery_capacity_kwh]]</f>
        <v>3.5460992907801421</v>
      </c>
      <c r="Z771" s="4">
        <f>EV_Data4[[#This Row],[price_usd]]/EV_Data4[[#This Row],[range_miles]]</f>
        <v>319.01413333333335</v>
      </c>
      <c r="AA771" s="2">
        <f>(EV_Data4[[#This Row],[customer_rating]]*EV_Data4[[#This Row],[safety_rating]]*1000)/EV_Data4[[#This Row],[price_usd]]</f>
        <v>0.1818101266986708</v>
      </c>
      <c r="AB771">
        <f>EV_Data4[[#This Row],[horsepower]]+EV_Data4[[#This Row],[torque_nm]]/EV_Data4[[#This Row],[acceleration_0_60_mph]]</f>
        <v>1177.4000000000001</v>
      </c>
      <c r="AC771" t="str">
        <f>IF(EV_Data4[[#This Row],[price_usd]]&gt;=80000,"Luxury",IF(EV_Data4[[#This Row],[price_usd]]&gt;=40000,"Mid-Range","Budget"))</f>
        <v>Luxury</v>
      </c>
      <c r="AD771" t="str">
        <f>IF(EV_Data4[[#This Row],[range_miles]]&gt;=350,"Long-Range",IF(EV_Data4[[#This Row],[range_miles]]&gt;=250,"Medium-Range","Short-Range"))</f>
        <v>Medium-Range</v>
      </c>
      <c r="AE771" t="str">
        <f>IF(EV_Data4[[#This Row],[charging_speed_kw]]&gt;=250,"Ultra-Fast",IF(EV_Data4[[#This Row],[charging_speed_kw]]&gt;=150,"Fast-Charging","Standard-Charging"))</f>
        <v>Standard-Charging</v>
      </c>
      <c r="AF771" t="str">
        <f>IF(EV_Data4[[#This Row],[acceleration_0_60_mph]]&lt;=3,"SportsPerformance",IF(EV_Data4[[#This Row],[acceleration_0_60_mph]]&lt;=5,"HighPerformance","Standard"))</f>
        <v>HighPerformance</v>
      </c>
      <c r="AG771" t="str">
        <f>IF(EV_Data4[[#This Row],[customer_rating]]&gt;=4.5,"Excellent",IF(EV_Data4[[#This Row],[customer_rating]]&gt;=3.5,"Good","Average"))</f>
        <v>Average</v>
      </c>
      <c r="AH77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72" spans="1:34" x14ac:dyDescent="0.3">
      <c r="A772" t="s">
        <v>46</v>
      </c>
      <c r="B772" t="s">
        <v>72</v>
      </c>
      <c r="C772">
        <v>2024</v>
      </c>
      <c r="D772" t="s">
        <v>44</v>
      </c>
      <c r="E772" s="3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27</v>
      </c>
      <c r="N772">
        <v>5</v>
      </c>
      <c r="O772" t="s">
        <v>28</v>
      </c>
      <c r="P772">
        <v>77.7</v>
      </c>
      <c r="Q772">
        <v>2504</v>
      </c>
      <c r="R772">
        <v>5</v>
      </c>
      <c r="S772">
        <v>3</v>
      </c>
      <c r="T772" t="s">
        <v>41</v>
      </c>
      <c r="U772" t="s">
        <v>33</v>
      </c>
      <c r="V772" s="3">
        <v>192430</v>
      </c>
      <c r="W772">
        <v>3.74</v>
      </c>
      <c r="X772">
        <v>6</v>
      </c>
      <c r="Y772" s="1">
        <f>EV_Data4[[#This Row],[range_miles]]/EV_Data4[[#This Row],[battery_capacity_kwh]]</f>
        <v>3.7241379310344827</v>
      </c>
      <c r="Z772" s="4">
        <f>EV_Data4[[#This Row],[price_usd]]/EV_Data4[[#This Row],[range_miles]]</f>
        <v>251.0224074074074</v>
      </c>
      <c r="AA772" s="2">
        <f>(EV_Data4[[#This Row],[customer_rating]]*EV_Data4[[#This Row],[safety_rating]]*1000)/EV_Data4[[#This Row],[price_usd]]</f>
        <v>0.22992389396155924</v>
      </c>
      <c r="AB772">
        <f>EV_Data4[[#This Row],[horsepower]]+EV_Data4[[#This Row],[torque_nm]]/EV_Data4[[#This Row],[acceleration_0_60_mph]]</f>
        <v>686.48229342327147</v>
      </c>
      <c r="AC772" t="str">
        <f>IF(EV_Data4[[#This Row],[price_usd]]&gt;=80000,"Luxury",IF(EV_Data4[[#This Row],[price_usd]]&gt;=40000,"Mid-Range","Budget"))</f>
        <v>Luxury</v>
      </c>
      <c r="AD772" t="str">
        <f>IF(EV_Data4[[#This Row],[range_miles]]&gt;=350,"Long-Range",IF(EV_Data4[[#This Row],[range_miles]]&gt;=250,"Medium-Range","Short-Range"))</f>
        <v>Medium-Range</v>
      </c>
      <c r="AE772" t="str">
        <f>IF(EV_Data4[[#This Row],[charging_speed_kw]]&gt;=250,"Ultra-Fast",IF(EV_Data4[[#This Row],[charging_speed_kw]]&gt;=150,"Fast-Charging","Standard-Charging"))</f>
        <v>Ultra-Fast</v>
      </c>
      <c r="AF772" t="str">
        <f>IF(EV_Data4[[#This Row],[acceleration_0_60_mph]]&lt;=3,"SportsPerformance",IF(EV_Data4[[#This Row],[acceleration_0_60_mph]]&lt;=5,"HighPerformance","Standard"))</f>
        <v>Standard</v>
      </c>
      <c r="AG772" t="str">
        <f>IF(EV_Data4[[#This Row],[customer_rating]]&gt;=4.5,"Excellent",IF(EV_Data4[[#This Row],[customer_rating]]&gt;=3.5,"Good","Average"))</f>
        <v>Good</v>
      </c>
      <c r="AH772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773" spans="1:34" x14ac:dyDescent="0.3">
      <c r="A773" t="s">
        <v>52</v>
      </c>
      <c r="B773" t="s">
        <v>103</v>
      </c>
      <c r="C773">
        <v>2025</v>
      </c>
      <c r="D773" t="s">
        <v>44</v>
      </c>
      <c r="E773" s="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34</v>
      </c>
      <c r="N773">
        <v>7</v>
      </c>
      <c r="O773" t="s">
        <v>40</v>
      </c>
      <c r="P773">
        <v>67.3</v>
      </c>
      <c r="Q773">
        <v>1677</v>
      </c>
      <c r="R773">
        <v>3</v>
      </c>
      <c r="S773">
        <v>1</v>
      </c>
      <c r="T773" t="s">
        <v>29</v>
      </c>
      <c r="U773" t="s">
        <v>33</v>
      </c>
      <c r="V773" s="3">
        <v>37695</v>
      </c>
      <c r="W773">
        <v>3.9</v>
      </c>
      <c r="X773">
        <v>5</v>
      </c>
      <c r="Y773" s="1">
        <f>EV_Data4[[#This Row],[range_miles]]/EV_Data4[[#This Row],[battery_capacity_kwh]]</f>
        <v>3.4702258726899382</v>
      </c>
      <c r="Z773" s="4">
        <f>EV_Data4[[#This Row],[price_usd]]/EV_Data4[[#This Row],[range_miles]]</f>
        <v>247.66988165680473</v>
      </c>
      <c r="AA773" s="2">
        <f>(EV_Data4[[#This Row],[customer_rating]]*EV_Data4[[#This Row],[safety_rating]]*1000)/EV_Data4[[#This Row],[price_usd]]</f>
        <v>0.13976420703164477</v>
      </c>
      <c r="AB773">
        <f>EV_Data4[[#This Row],[horsepower]]+EV_Data4[[#This Row],[torque_nm]]/EV_Data4[[#This Row],[acceleration_0_60_mph]]</f>
        <v>392.09401709401709</v>
      </c>
      <c r="AC773" t="str">
        <f>IF(EV_Data4[[#This Row],[price_usd]]&gt;=80000,"Luxury",IF(EV_Data4[[#This Row],[price_usd]]&gt;=40000,"Mid-Range","Budget"))</f>
        <v>Luxury</v>
      </c>
      <c r="AD773" t="str">
        <f>IF(EV_Data4[[#This Row],[range_miles]]&gt;=350,"Long-Range",IF(EV_Data4[[#This Row],[range_miles]]&gt;=250,"Medium-Range","Short-Range"))</f>
        <v>Medium-Range</v>
      </c>
      <c r="AE773" t="str">
        <f>IF(EV_Data4[[#This Row],[charging_speed_kw]]&gt;=250,"Ultra-Fast",IF(EV_Data4[[#This Row],[charging_speed_kw]]&gt;=150,"Fast-Charging","Standard-Charging"))</f>
        <v>Standard-Charging</v>
      </c>
      <c r="AF773" t="str">
        <f>IF(EV_Data4[[#This Row],[acceleration_0_60_mph]]&lt;=3,"SportsPerformance",IF(EV_Data4[[#This Row],[acceleration_0_60_mph]]&lt;=5,"HighPerformance","Standard"))</f>
        <v>Standard</v>
      </c>
      <c r="AG773" t="str">
        <f>IF(EV_Data4[[#This Row],[customer_rating]]&gt;=4.5,"Excellent",IF(EV_Data4[[#This Row],[customer_rating]]&gt;=3.5,"Good","Average"))</f>
        <v>Good</v>
      </c>
      <c r="AH77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74" spans="1:34" x14ac:dyDescent="0.3">
      <c r="A774" t="s">
        <v>46</v>
      </c>
      <c r="B774" t="s">
        <v>47</v>
      </c>
      <c r="C774">
        <v>2023</v>
      </c>
      <c r="D774" t="s">
        <v>61</v>
      </c>
      <c r="E774" s="3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48</v>
      </c>
      <c r="N774">
        <v>5</v>
      </c>
      <c r="O774" t="s">
        <v>40</v>
      </c>
      <c r="P774">
        <v>66.8</v>
      </c>
      <c r="Q774">
        <v>1724</v>
      </c>
      <c r="R774">
        <v>5</v>
      </c>
      <c r="S774">
        <v>3</v>
      </c>
      <c r="T774" t="s">
        <v>41</v>
      </c>
      <c r="U774" t="s">
        <v>30</v>
      </c>
      <c r="V774" s="3">
        <v>212365</v>
      </c>
      <c r="W774">
        <v>3.61</v>
      </c>
      <c r="X774">
        <v>5</v>
      </c>
      <c r="Y774" s="1">
        <f>EV_Data4[[#This Row],[range_miles]]/EV_Data4[[#This Row],[battery_capacity_kwh]]</f>
        <v>3.5667396061269145</v>
      </c>
      <c r="Z774" s="4">
        <f>EV_Data4[[#This Row],[price_usd]]/EV_Data4[[#This Row],[range_miles]]</f>
        <v>655.18552147239268</v>
      </c>
      <c r="AA774" s="2">
        <f>(EV_Data4[[#This Row],[customer_rating]]*EV_Data4[[#This Row],[safety_rating]]*1000)/EV_Data4[[#This Row],[price_usd]]</f>
        <v>0.16901502351602934</v>
      </c>
      <c r="AB774">
        <f>EV_Data4[[#This Row],[horsepower]]+EV_Data4[[#This Row],[torque_nm]]/EV_Data4[[#This Row],[acceleration_0_60_mph]]</f>
        <v>864.34381139489199</v>
      </c>
      <c r="AC774" t="str">
        <f>IF(EV_Data4[[#This Row],[price_usd]]&gt;=80000,"Luxury",IF(EV_Data4[[#This Row],[price_usd]]&gt;=40000,"Mid-Range","Budget"))</f>
        <v>Luxury</v>
      </c>
      <c r="AD774" t="str">
        <f>IF(EV_Data4[[#This Row],[range_miles]]&gt;=350,"Long-Range",IF(EV_Data4[[#This Row],[range_miles]]&gt;=250,"Medium-Range","Short-Range"))</f>
        <v>Short-Range</v>
      </c>
      <c r="AE774" t="str">
        <f>IF(EV_Data4[[#This Row],[charging_speed_kw]]&gt;=250,"Ultra-Fast",IF(EV_Data4[[#This Row],[charging_speed_kw]]&gt;=150,"Fast-Charging","Standard-Charging"))</f>
        <v>Ultra-Fast</v>
      </c>
      <c r="AF774" t="str">
        <f>IF(EV_Data4[[#This Row],[acceleration_0_60_mph]]&lt;=3,"SportsPerformance",IF(EV_Data4[[#This Row],[acceleration_0_60_mph]]&lt;=5,"HighPerformance","Standard"))</f>
        <v>Standard</v>
      </c>
      <c r="AG774" t="str">
        <f>IF(EV_Data4[[#This Row],[customer_rating]]&gt;=4.5,"Excellent",IF(EV_Data4[[#This Row],[customer_rating]]&gt;=3.5,"Good","Average"))</f>
        <v>Good</v>
      </c>
      <c r="AH77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775" spans="1:34" x14ac:dyDescent="0.3">
      <c r="A775" t="s">
        <v>24</v>
      </c>
      <c r="B775" t="s">
        <v>75</v>
      </c>
      <c r="C775">
        <v>2025</v>
      </c>
      <c r="D775" t="s">
        <v>44</v>
      </c>
      <c r="E775" s="3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34</v>
      </c>
      <c r="N775">
        <v>5</v>
      </c>
      <c r="O775" t="s">
        <v>58</v>
      </c>
      <c r="P775">
        <v>20.9</v>
      </c>
      <c r="Q775">
        <v>1549</v>
      </c>
      <c r="R775">
        <v>5</v>
      </c>
      <c r="S775">
        <v>0</v>
      </c>
      <c r="T775" t="s">
        <v>29</v>
      </c>
      <c r="U775" t="s">
        <v>33</v>
      </c>
      <c r="V775" s="3">
        <v>254291</v>
      </c>
      <c r="W775">
        <v>3.6</v>
      </c>
      <c r="X775">
        <v>3</v>
      </c>
      <c r="Y775" s="1">
        <f>EV_Data4[[#This Row],[range_miles]]/EV_Data4[[#This Row],[battery_capacity_kwh]]</f>
        <v>3.4786821705426356</v>
      </c>
      <c r="Z775" s="4">
        <f>EV_Data4[[#This Row],[price_usd]]/EV_Data4[[#This Row],[range_miles]]</f>
        <v>256.77688022284121</v>
      </c>
      <c r="AA775" s="2">
        <f>(EV_Data4[[#This Row],[customer_rating]]*EV_Data4[[#This Row],[safety_rating]]*1000)/EV_Data4[[#This Row],[price_usd]]</f>
        <v>0.19526398062981312</v>
      </c>
      <c r="AB775">
        <f>EV_Data4[[#This Row],[horsepower]]+EV_Data4[[#This Row],[torque_nm]]/EV_Data4[[#This Row],[acceleration_0_60_mph]]</f>
        <v>1216.6666666666667</v>
      </c>
      <c r="AC775" t="str">
        <f>IF(EV_Data4[[#This Row],[price_usd]]&gt;=80000,"Luxury",IF(EV_Data4[[#This Row],[price_usd]]&gt;=40000,"Mid-Range","Budget"))</f>
        <v>Luxury</v>
      </c>
      <c r="AD775" t="str">
        <f>IF(EV_Data4[[#This Row],[range_miles]]&gt;=350,"Long-Range",IF(EV_Data4[[#This Row],[range_miles]]&gt;=250,"Medium-Range","Short-Range"))</f>
        <v>Long-Range</v>
      </c>
      <c r="AE775" t="str">
        <f>IF(EV_Data4[[#This Row],[charging_speed_kw]]&gt;=250,"Ultra-Fast",IF(EV_Data4[[#This Row],[charging_speed_kw]]&gt;=150,"Fast-Charging","Standard-Charging"))</f>
        <v>Standard-Charging</v>
      </c>
      <c r="AF775" t="str">
        <f>IF(EV_Data4[[#This Row],[acceleration_0_60_mph]]&lt;=3,"SportsPerformance",IF(EV_Data4[[#This Row],[acceleration_0_60_mph]]&lt;=5,"HighPerformance","Standard"))</f>
        <v>HighPerformance</v>
      </c>
      <c r="AG775" t="str">
        <f>IF(EV_Data4[[#This Row],[customer_rating]]&gt;=4.5,"Excellent",IF(EV_Data4[[#This Row],[customer_rating]]&gt;=3.5,"Good","Average"))</f>
        <v>Good</v>
      </c>
      <c r="AH77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76" spans="1:34" x14ac:dyDescent="0.3">
      <c r="A776" t="s">
        <v>76</v>
      </c>
      <c r="B776" t="s">
        <v>98</v>
      </c>
      <c r="C776">
        <v>2025</v>
      </c>
      <c r="D776" t="s">
        <v>56</v>
      </c>
      <c r="E776" s="3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48</v>
      </c>
      <c r="N776">
        <v>5</v>
      </c>
      <c r="O776" t="s">
        <v>28</v>
      </c>
      <c r="P776">
        <v>74.5</v>
      </c>
      <c r="Q776">
        <v>2587</v>
      </c>
      <c r="R776">
        <v>4</v>
      </c>
      <c r="S776">
        <v>0</v>
      </c>
      <c r="T776" t="s">
        <v>41</v>
      </c>
      <c r="U776" t="s">
        <v>66</v>
      </c>
      <c r="V776" s="3">
        <v>49546</v>
      </c>
      <c r="W776">
        <v>3.24</v>
      </c>
      <c r="X776">
        <v>3</v>
      </c>
      <c r="Y776" s="1">
        <f>EV_Data4[[#This Row],[range_miles]]/EV_Data4[[#This Row],[battery_capacity_kwh]]</f>
        <v>3.2304526748971192</v>
      </c>
      <c r="Z776" s="4">
        <f>EV_Data4[[#This Row],[price_usd]]/EV_Data4[[#This Row],[range_miles]]</f>
        <v>202.58439490445861</v>
      </c>
      <c r="AA776" s="2">
        <f>(EV_Data4[[#This Row],[customer_rating]]*EV_Data4[[#This Row],[safety_rating]]*1000)/EV_Data4[[#This Row],[price_usd]]</f>
        <v>0.4074734914284367</v>
      </c>
      <c r="AB776">
        <f>EV_Data4[[#This Row],[horsepower]]+EV_Data4[[#This Row],[torque_nm]]/EV_Data4[[#This Row],[acceleration_0_60_mph]]</f>
        <v>226.75968992248062</v>
      </c>
      <c r="AC776" t="str">
        <f>IF(EV_Data4[[#This Row],[price_usd]]&gt;=80000,"Luxury",IF(EV_Data4[[#This Row],[price_usd]]&gt;=40000,"Mid-Range","Budget"))</f>
        <v>Budget</v>
      </c>
      <c r="AD776" t="str">
        <f>IF(EV_Data4[[#This Row],[range_miles]]&gt;=350,"Long-Range",IF(EV_Data4[[#This Row],[range_miles]]&gt;=250,"Medium-Range","Short-Range"))</f>
        <v>Short-Range</v>
      </c>
      <c r="AE776" t="str">
        <f>IF(EV_Data4[[#This Row],[charging_speed_kw]]&gt;=250,"Ultra-Fast",IF(EV_Data4[[#This Row],[charging_speed_kw]]&gt;=150,"Fast-Charging","Standard-Charging"))</f>
        <v>Standard-Charging</v>
      </c>
      <c r="AF776" t="str">
        <f>IF(EV_Data4[[#This Row],[acceleration_0_60_mph]]&lt;=3,"SportsPerformance",IF(EV_Data4[[#This Row],[acceleration_0_60_mph]]&lt;=5,"HighPerformance","Standard"))</f>
        <v>Standard</v>
      </c>
      <c r="AG776" t="str">
        <f>IF(EV_Data4[[#This Row],[customer_rating]]&gt;=4.5,"Excellent",IF(EV_Data4[[#This Row],[customer_rating]]&gt;=3.5,"Good","Average"))</f>
        <v>Average</v>
      </c>
      <c r="AH77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77" spans="1:34" x14ac:dyDescent="0.3">
      <c r="A777" t="s">
        <v>46</v>
      </c>
      <c r="B777" t="s">
        <v>57</v>
      </c>
      <c r="C777">
        <v>2023</v>
      </c>
      <c r="D777" t="s">
        <v>33</v>
      </c>
      <c r="E777" s="3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48</v>
      </c>
      <c r="N777">
        <v>7</v>
      </c>
      <c r="O777" t="s">
        <v>50</v>
      </c>
      <c r="P777">
        <v>22.8</v>
      </c>
      <c r="Q777">
        <v>1754</v>
      </c>
      <c r="R777">
        <v>4</v>
      </c>
      <c r="S777">
        <v>2</v>
      </c>
      <c r="T777" t="s">
        <v>41</v>
      </c>
      <c r="U777" t="s">
        <v>37</v>
      </c>
      <c r="V777" s="3">
        <v>138801</v>
      </c>
      <c r="W777">
        <v>3.7</v>
      </c>
      <c r="X777">
        <v>5</v>
      </c>
      <c r="Y777" s="1">
        <f>EV_Data4[[#This Row],[range_miles]]/EV_Data4[[#This Row],[battery_capacity_kwh]]</f>
        <v>3.816964285714286</v>
      </c>
      <c r="Z777" s="4">
        <f>EV_Data4[[#This Row],[price_usd]]/EV_Data4[[#This Row],[range_miles]]</f>
        <v>376.06660818713448</v>
      </c>
      <c r="AA777" s="2">
        <f>(EV_Data4[[#This Row],[customer_rating]]*EV_Data4[[#This Row],[safety_rating]]*1000)/EV_Data4[[#This Row],[price_usd]]</f>
        <v>0.23014462256981663</v>
      </c>
      <c r="AB777">
        <f>EV_Data4[[#This Row],[horsepower]]+EV_Data4[[#This Row],[torque_nm]]/EV_Data4[[#This Row],[acceleration_0_60_mph]]</f>
        <v>539.81751824817525</v>
      </c>
      <c r="AC777" t="str">
        <f>IF(EV_Data4[[#This Row],[price_usd]]&gt;=80000,"Luxury",IF(EV_Data4[[#This Row],[price_usd]]&gt;=40000,"Mid-Range","Budget"))</f>
        <v>Mid-Range</v>
      </c>
      <c r="AD777" t="str">
        <f>IF(EV_Data4[[#This Row],[range_miles]]&gt;=350,"Long-Range",IF(EV_Data4[[#This Row],[range_miles]]&gt;=250,"Medium-Range","Short-Range"))</f>
        <v>Short-Range</v>
      </c>
      <c r="AE777" t="str">
        <f>IF(EV_Data4[[#This Row],[charging_speed_kw]]&gt;=250,"Ultra-Fast",IF(EV_Data4[[#This Row],[charging_speed_kw]]&gt;=150,"Fast-Charging","Standard-Charging"))</f>
        <v>Ultra-Fast</v>
      </c>
      <c r="AF777" t="str">
        <f>IF(EV_Data4[[#This Row],[acceleration_0_60_mph]]&lt;=3,"SportsPerformance",IF(EV_Data4[[#This Row],[acceleration_0_60_mph]]&lt;=5,"HighPerformance","Standard"))</f>
        <v>Standard</v>
      </c>
      <c r="AG777" t="str">
        <f>IF(EV_Data4[[#This Row],[customer_rating]]&gt;=4.5,"Excellent",IF(EV_Data4[[#This Row],[customer_rating]]&gt;=3.5,"Good","Average"))</f>
        <v>Good</v>
      </c>
      <c r="AH77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78" spans="1:34" x14ac:dyDescent="0.3">
      <c r="A778" t="s">
        <v>63</v>
      </c>
      <c r="B778" t="s">
        <v>88</v>
      </c>
      <c r="C778">
        <v>2023</v>
      </c>
      <c r="D778" t="s">
        <v>44</v>
      </c>
      <c r="E778" s="3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34</v>
      </c>
      <c r="N778">
        <v>7</v>
      </c>
      <c r="O778" t="s">
        <v>28</v>
      </c>
      <c r="P778">
        <v>70.3</v>
      </c>
      <c r="Q778">
        <v>2608</v>
      </c>
      <c r="R778">
        <v>5</v>
      </c>
      <c r="S778">
        <v>0</v>
      </c>
      <c r="T778" t="s">
        <v>65</v>
      </c>
      <c r="U778" t="s">
        <v>33</v>
      </c>
      <c r="V778" s="3">
        <v>207644</v>
      </c>
      <c r="W778">
        <v>3.65</v>
      </c>
      <c r="X778">
        <v>3</v>
      </c>
      <c r="Y778" s="1">
        <f>EV_Data4[[#This Row],[range_miles]]/EV_Data4[[#This Row],[battery_capacity_kwh]]</f>
        <v>3.7771482530689329</v>
      </c>
      <c r="Z778" s="4">
        <f>EV_Data4[[#This Row],[price_usd]]/EV_Data4[[#This Row],[range_miles]]</f>
        <v>249.62520000000001</v>
      </c>
      <c r="AA778" s="2">
        <f>(EV_Data4[[#This Row],[customer_rating]]*EV_Data4[[#This Row],[safety_rating]]*1000)/EV_Data4[[#This Row],[price_usd]]</f>
        <v>0.18277401480299266</v>
      </c>
      <c r="AB778">
        <f>EV_Data4[[#This Row],[horsepower]]+EV_Data4[[#This Row],[torque_nm]]/EV_Data4[[#This Row],[acceleration_0_60_mph]]</f>
        <v>1162.1621621621621</v>
      </c>
      <c r="AC778" t="str">
        <f>IF(EV_Data4[[#This Row],[price_usd]]&gt;=80000,"Luxury",IF(EV_Data4[[#This Row],[price_usd]]&gt;=40000,"Mid-Range","Budget"))</f>
        <v>Luxury</v>
      </c>
      <c r="AD778" t="str">
        <f>IF(EV_Data4[[#This Row],[range_miles]]&gt;=350,"Long-Range",IF(EV_Data4[[#This Row],[range_miles]]&gt;=250,"Medium-Range","Short-Range"))</f>
        <v>Long-Range</v>
      </c>
      <c r="AE778" t="str">
        <f>IF(EV_Data4[[#This Row],[charging_speed_kw]]&gt;=250,"Ultra-Fast",IF(EV_Data4[[#This Row],[charging_speed_kw]]&gt;=150,"Fast-Charging","Standard-Charging"))</f>
        <v>Standard-Charging</v>
      </c>
      <c r="AF778" t="str">
        <f>IF(EV_Data4[[#This Row],[acceleration_0_60_mph]]&lt;=3,"SportsPerformance",IF(EV_Data4[[#This Row],[acceleration_0_60_mph]]&lt;=5,"HighPerformance","Standard"))</f>
        <v>Standard</v>
      </c>
      <c r="AG778" t="str">
        <f>IF(EV_Data4[[#This Row],[customer_rating]]&gt;=4.5,"Excellent",IF(EV_Data4[[#This Row],[customer_rating]]&gt;=3.5,"Good","Average"))</f>
        <v>Good</v>
      </c>
      <c r="AH77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79" spans="1:34" x14ac:dyDescent="0.3">
      <c r="A779" t="s">
        <v>38</v>
      </c>
      <c r="B779" t="s">
        <v>55</v>
      </c>
      <c r="C779">
        <v>2024</v>
      </c>
      <c r="D779" t="s">
        <v>33</v>
      </c>
      <c r="E779" s="3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27</v>
      </c>
      <c r="N779">
        <v>7</v>
      </c>
      <c r="O779" t="s">
        <v>50</v>
      </c>
      <c r="P779">
        <v>27.2</v>
      </c>
      <c r="Q779">
        <v>1500</v>
      </c>
      <c r="R779">
        <v>5</v>
      </c>
      <c r="S779">
        <v>1</v>
      </c>
      <c r="T779" t="s">
        <v>41</v>
      </c>
      <c r="U779" t="s">
        <v>33</v>
      </c>
      <c r="V779" s="3">
        <v>20253</v>
      </c>
      <c r="W779">
        <v>3.14</v>
      </c>
      <c r="X779">
        <v>3</v>
      </c>
      <c r="Y779" s="1">
        <f>EV_Data4[[#This Row],[range_miles]]/EV_Data4[[#This Row],[battery_capacity_kwh]]</f>
        <v>3.6619718309859155</v>
      </c>
      <c r="Z779" s="4">
        <f>EV_Data4[[#This Row],[price_usd]]/EV_Data4[[#This Row],[range_miles]]</f>
        <v>449.24397435897436</v>
      </c>
      <c r="AA779" s="2">
        <f>(EV_Data4[[#This Row],[customer_rating]]*EV_Data4[[#This Row],[safety_rating]]*1000)/EV_Data4[[#This Row],[price_usd]]</f>
        <v>0.22402309521152777</v>
      </c>
      <c r="AB779">
        <f>EV_Data4[[#This Row],[horsepower]]+EV_Data4[[#This Row],[torque_nm]]/EV_Data4[[#This Row],[acceleration_0_60_mph]]</f>
        <v>1087.8108581436077</v>
      </c>
      <c r="AC779" t="str">
        <f>IF(EV_Data4[[#This Row],[price_usd]]&gt;=80000,"Luxury",IF(EV_Data4[[#This Row],[price_usd]]&gt;=40000,"Mid-Range","Budget"))</f>
        <v>Mid-Range</v>
      </c>
      <c r="AD779" t="str">
        <f>IF(EV_Data4[[#This Row],[range_miles]]&gt;=350,"Long-Range",IF(EV_Data4[[#This Row],[range_miles]]&gt;=250,"Medium-Range","Short-Range"))</f>
        <v>Short-Range</v>
      </c>
      <c r="AE779" t="str">
        <f>IF(EV_Data4[[#This Row],[charging_speed_kw]]&gt;=250,"Ultra-Fast",IF(EV_Data4[[#This Row],[charging_speed_kw]]&gt;=150,"Fast-Charging","Standard-Charging"))</f>
        <v>Standard-Charging</v>
      </c>
      <c r="AF779" t="str">
        <f>IF(EV_Data4[[#This Row],[acceleration_0_60_mph]]&lt;=3,"SportsPerformance",IF(EV_Data4[[#This Row],[acceleration_0_60_mph]]&lt;=5,"HighPerformance","Standard"))</f>
        <v>Standard</v>
      </c>
      <c r="AG779" t="str">
        <f>IF(EV_Data4[[#This Row],[customer_rating]]&gt;=4.5,"Excellent",IF(EV_Data4[[#This Row],[customer_rating]]&gt;=3.5,"Good","Average"))</f>
        <v>Average</v>
      </c>
      <c r="AH77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80" spans="1:34" x14ac:dyDescent="0.3">
      <c r="A780" t="s">
        <v>38</v>
      </c>
      <c r="B780" t="s">
        <v>118</v>
      </c>
      <c r="C780">
        <v>2024</v>
      </c>
      <c r="D780" t="s">
        <v>61</v>
      </c>
      <c r="E780" s="3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34</v>
      </c>
      <c r="N780">
        <v>7</v>
      </c>
      <c r="O780" t="s">
        <v>35</v>
      </c>
      <c r="P780">
        <v>55.2</v>
      </c>
      <c r="Q780">
        <v>1989</v>
      </c>
      <c r="R780">
        <v>4</v>
      </c>
      <c r="S780">
        <v>0</v>
      </c>
      <c r="T780" t="s">
        <v>41</v>
      </c>
      <c r="U780" t="s">
        <v>37</v>
      </c>
      <c r="V780" s="3">
        <v>27695</v>
      </c>
      <c r="W780">
        <v>3.08</v>
      </c>
      <c r="X780">
        <v>4</v>
      </c>
      <c r="Y780" s="1">
        <f>EV_Data4[[#This Row],[range_miles]]/EV_Data4[[#This Row],[battery_capacity_kwh]]</f>
        <v>3.3541666666666665</v>
      </c>
      <c r="Z780" s="4">
        <f>EV_Data4[[#This Row],[price_usd]]/EV_Data4[[#This Row],[range_miles]]</f>
        <v>383.650248447205</v>
      </c>
      <c r="AA780" s="2">
        <f>(EV_Data4[[#This Row],[customer_rating]]*EV_Data4[[#This Row],[safety_rating]]*1000)/EV_Data4[[#This Row],[price_usd]]</f>
        <v>0.19945703004272944</v>
      </c>
      <c r="AB780">
        <f>EV_Data4[[#This Row],[horsepower]]+EV_Data4[[#This Row],[torque_nm]]/EV_Data4[[#This Row],[acceleration_0_60_mph]]</f>
        <v>1003.2504012841091</v>
      </c>
      <c r="AC780" t="str">
        <f>IF(EV_Data4[[#This Row],[price_usd]]&gt;=80000,"Luxury",IF(EV_Data4[[#This Row],[price_usd]]&gt;=40000,"Mid-Range","Budget"))</f>
        <v>Mid-Range</v>
      </c>
      <c r="AD780" t="str">
        <f>IF(EV_Data4[[#This Row],[range_miles]]&gt;=350,"Long-Range",IF(EV_Data4[[#This Row],[range_miles]]&gt;=250,"Medium-Range","Short-Range"))</f>
        <v>Short-Range</v>
      </c>
      <c r="AE780" t="str">
        <f>IF(EV_Data4[[#This Row],[charging_speed_kw]]&gt;=250,"Ultra-Fast",IF(EV_Data4[[#This Row],[charging_speed_kw]]&gt;=150,"Fast-Charging","Standard-Charging"))</f>
        <v>Standard-Charging</v>
      </c>
      <c r="AF780" t="str">
        <f>IF(EV_Data4[[#This Row],[acceleration_0_60_mph]]&lt;=3,"SportsPerformance",IF(EV_Data4[[#This Row],[acceleration_0_60_mph]]&lt;=5,"HighPerformance","Standard"))</f>
        <v>Standard</v>
      </c>
      <c r="AG780" t="str">
        <f>IF(EV_Data4[[#This Row],[customer_rating]]&gt;=4.5,"Excellent",IF(EV_Data4[[#This Row],[customer_rating]]&gt;=3.5,"Good","Average"))</f>
        <v>Average</v>
      </c>
      <c r="AH78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81" spans="1:34" x14ac:dyDescent="0.3">
      <c r="A781" t="s">
        <v>83</v>
      </c>
      <c r="B781" t="s">
        <v>116</v>
      </c>
      <c r="C781">
        <v>2022</v>
      </c>
      <c r="D781" t="s">
        <v>56</v>
      </c>
      <c r="E781" s="3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34</v>
      </c>
      <c r="N781">
        <v>7</v>
      </c>
      <c r="O781" t="s">
        <v>40</v>
      </c>
      <c r="P781">
        <v>79.900000000000006</v>
      </c>
      <c r="Q781">
        <v>1500</v>
      </c>
      <c r="R781">
        <v>5</v>
      </c>
      <c r="S781">
        <v>1</v>
      </c>
      <c r="T781" t="s">
        <v>29</v>
      </c>
      <c r="U781" t="s">
        <v>33</v>
      </c>
      <c r="V781" s="3">
        <v>35030</v>
      </c>
      <c r="W781">
        <v>3.42</v>
      </c>
      <c r="X781">
        <v>6</v>
      </c>
      <c r="Y781" s="1">
        <f>EV_Data4[[#This Row],[range_miles]]/EV_Data4[[#This Row],[battery_capacity_kwh]]</f>
        <v>3.1691078561917445</v>
      </c>
      <c r="Z781" s="4">
        <f>EV_Data4[[#This Row],[price_usd]]/EV_Data4[[#This Row],[range_miles]]</f>
        <v>368.60159663865545</v>
      </c>
      <c r="AA781" s="2">
        <f>(EV_Data4[[#This Row],[customer_rating]]*EV_Data4[[#This Row],[safety_rating]]*1000)/EV_Data4[[#This Row],[price_usd]]</f>
        <v>0.19492248582480368</v>
      </c>
      <c r="AB781">
        <f>EV_Data4[[#This Row],[horsepower]]+EV_Data4[[#This Row],[torque_nm]]/EV_Data4[[#This Row],[acceleration_0_60_mph]]</f>
        <v>746.26307922272053</v>
      </c>
      <c r="AC781" t="str">
        <f>IF(EV_Data4[[#This Row],[price_usd]]&gt;=80000,"Luxury",IF(EV_Data4[[#This Row],[price_usd]]&gt;=40000,"Mid-Range","Budget"))</f>
        <v>Luxury</v>
      </c>
      <c r="AD781" t="str">
        <f>IF(EV_Data4[[#This Row],[range_miles]]&gt;=350,"Long-Range",IF(EV_Data4[[#This Row],[range_miles]]&gt;=250,"Medium-Range","Short-Range"))</f>
        <v>Short-Range</v>
      </c>
      <c r="AE781" t="str">
        <f>IF(EV_Data4[[#This Row],[charging_speed_kw]]&gt;=250,"Ultra-Fast",IF(EV_Data4[[#This Row],[charging_speed_kw]]&gt;=150,"Fast-Charging","Standard-Charging"))</f>
        <v>Standard-Charging</v>
      </c>
      <c r="AF781" t="str">
        <f>IF(EV_Data4[[#This Row],[acceleration_0_60_mph]]&lt;=3,"SportsPerformance",IF(EV_Data4[[#This Row],[acceleration_0_60_mph]]&lt;=5,"HighPerformance","Standard"))</f>
        <v>Standard</v>
      </c>
      <c r="AG781" t="str">
        <f>IF(EV_Data4[[#This Row],[customer_rating]]&gt;=4.5,"Excellent",IF(EV_Data4[[#This Row],[customer_rating]]&gt;=3.5,"Good","Average"))</f>
        <v>Average</v>
      </c>
      <c r="AH78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82" spans="1:34" x14ac:dyDescent="0.3">
      <c r="A782" t="s">
        <v>38</v>
      </c>
      <c r="B782" t="s">
        <v>101</v>
      </c>
      <c r="C782">
        <v>2025</v>
      </c>
      <c r="D782" t="s">
        <v>61</v>
      </c>
      <c r="E782" s="3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48</v>
      </c>
      <c r="N782">
        <v>7</v>
      </c>
      <c r="O782" t="s">
        <v>50</v>
      </c>
      <c r="P782">
        <v>37.700000000000003</v>
      </c>
      <c r="Q782">
        <v>1722</v>
      </c>
      <c r="R782">
        <v>4</v>
      </c>
      <c r="S782">
        <v>1</v>
      </c>
      <c r="T782" t="s">
        <v>41</v>
      </c>
      <c r="U782" t="s">
        <v>66</v>
      </c>
      <c r="V782" s="3">
        <v>19509</v>
      </c>
      <c r="W782">
        <v>3.46</v>
      </c>
      <c r="X782">
        <v>3</v>
      </c>
      <c r="Y782" s="1">
        <f>EV_Data4[[#This Row],[range_miles]]/EV_Data4[[#This Row],[battery_capacity_kwh]]</f>
        <v>3.6578171091445428</v>
      </c>
      <c r="Z782" s="4">
        <f>EV_Data4[[#This Row],[price_usd]]/EV_Data4[[#This Row],[range_miles]]</f>
        <v>118.96048387096775</v>
      </c>
      <c r="AA782" s="2">
        <f>(EV_Data4[[#This Row],[customer_rating]]*EV_Data4[[#This Row],[safety_rating]]*1000)/EV_Data4[[#This Row],[price_usd]]</f>
        <v>0.46911755733470722</v>
      </c>
      <c r="AB782">
        <f>EV_Data4[[#This Row],[horsepower]]+EV_Data4[[#This Row],[torque_nm]]/EV_Data4[[#This Row],[acceleration_0_60_mph]]</f>
        <v>246.05049088359047</v>
      </c>
      <c r="AC782" t="str">
        <f>IF(EV_Data4[[#This Row],[price_usd]]&gt;=80000,"Luxury",IF(EV_Data4[[#This Row],[price_usd]]&gt;=40000,"Mid-Range","Budget"))</f>
        <v>Budget</v>
      </c>
      <c r="AD782" t="str">
        <f>IF(EV_Data4[[#This Row],[range_miles]]&gt;=350,"Long-Range",IF(EV_Data4[[#This Row],[range_miles]]&gt;=250,"Medium-Range","Short-Range"))</f>
        <v>Short-Range</v>
      </c>
      <c r="AE782" t="str">
        <f>IF(EV_Data4[[#This Row],[charging_speed_kw]]&gt;=250,"Ultra-Fast",IF(EV_Data4[[#This Row],[charging_speed_kw]]&gt;=150,"Fast-Charging","Standard-Charging"))</f>
        <v>Standard-Charging</v>
      </c>
      <c r="AF782" t="str">
        <f>IF(EV_Data4[[#This Row],[acceleration_0_60_mph]]&lt;=3,"SportsPerformance",IF(EV_Data4[[#This Row],[acceleration_0_60_mph]]&lt;=5,"HighPerformance","Standard"))</f>
        <v>Standard</v>
      </c>
      <c r="AG782" t="str">
        <f>IF(EV_Data4[[#This Row],[customer_rating]]&gt;=4.5,"Excellent",IF(EV_Data4[[#This Row],[customer_rating]]&gt;=3.5,"Good","Average"))</f>
        <v>Average</v>
      </c>
      <c r="AH78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83" spans="1:34" x14ac:dyDescent="0.3">
      <c r="A783" t="s">
        <v>42</v>
      </c>
      <c r="B783" t="s">
        <v>115</v>
      </c>
      <c r="C783">
        <v>2026</v>
      </c>
      <c r="D783" t="s">
        <v>33</v>
      </c>
      <c r="E783" s="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48</v>
      </c>
      <c r="N783">
        <v>7</v>
      </c>
      <c r="O783" t="s">
        <v>51</v>
      </c>
      <c r="P783">
        <v>19.8</v>
      </c>
      <c r="Q783">
        <v>1500</v>
      </c>
      <c r="R783">
        <v>3</v>
      </c>
      <c r="S783">
        <v>0</v>
      </c>
      <c r="T783" t="s">
        <v>45</v>
      </c>
      <c r="U783" t="s">
        <v>33</v>
      </c>
      <c r="V783" s="3">
        <v>103637</v>
      </c>
      <c r="W783">
        <v>3.28</v>
      </c>
      <c r="X783">
        <v>4</v>
      </c>
      <c r="Y783" s="1">
        <f>EV_Data4[[#This Row],[range_miles]]/EV_Data4[[#This Row],[battery_capacity_kwh]]</f>
        <v>3.2362459546925568</v>
      </c>
      <c r="Z783" s="4">
        <f>EV_Data4[[#This Row],[price_usd]]/EV_Data4[[#This Row],[range_miles]]</f>
        <v>408.93779999999998</v>
      </c>
      <c r="AA783" s="2">
        <f>(EV_Data4[[#This Row],[customer_rating]]*EV_Data4[[#This Row],[safety_rating]]*1000)/EV_Data4[[#This Row],[price_usd]]</f>
        <v>0.12031169532383654</v>
      </c>
      <c r="AB783">
        <f>EV_Data4[[#This Row],[horsepower]]+EV_Data4[[#This Row],[torque_nm]]/EV_Data4[[#This Row],[acceleration_0_60_mph]]</f>
        <v>1140.7864077669904</v>
      </c>
      <c r="AC783" t="str">
        <f>IF(EV_Data4[[#This Row],[price_usd]]&gt;=80000,"Luxury",IF(EV_Data4[[#This Row],[price_usd]]&gt;=40000,"Mid-Range","Budget"))</f>
        <v>Luxury</v>
      </c>
      <c r="AD783" t="str">
        <f>IF(EV_Data4[[#This Row],[range_miles]]&gt;=350,"Long-Range",IF(EV_Data4[[#This Row],[range_miles]]&gt;=250,"Medium-Range","Short-Range"))</f>
        <v>Short-Range</v>
      </c>
      <c r="AE783" t="str">
        <f>IF(EV_Data4[[#This Row],[charging_speed_kw]]&gt;=250,"Ultra-Fast",IF(EV_Data4[[#This Row],[charging_speed_kw]]&gt;=150,"Fast-Charging","Standard-Charging"))</f>
        <v>Standard-Charging</v>
      </c>
      <c r="AF783" t="str">
        <f>IF(EV_Data4[[#This Row],[acceleration_0_60_mph]]&lt;=3,"SportsPerformance",IF(EV_Data4[[#This Row],[acceleration_0_60_mph]]&lt;=5,"HighPerformance","Standard"))</f>
        <v>Standard</v>
      </c>
      <c r="AG783" t="str">
        <f>IF(EV_Data4[[#This Row],[customer_rating]]&gt;=4.5,"Excellent",IF(EV_Data4[[#This Row],[customer_rating]]&gt;=3.5,"Good","Average"))</f>
        <v>Average</v>
      </c>
      <c r="AH78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84" spans="1:34" x14ac:dyDescent="0.3">
      <c r="A784" t="s">
        <v>63</v>
      </c>
      <c r="B784" t="s">
        <v>67</v>
      </c>
      <c r="C784">
        <v>2025</v>
      </c>
      <c r="D784" t="s">
        <v>26</v>
      </c>
      <c r="E784" s="3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27</v>
      </c>
      <c r="N784">
        <v>5</v>
      </c>
      <c r="O784" t="s">
        <v>50</v>
      </c>
      <c r="P784">
        <v>25.2</v>
      </c>
      <c r="Q784">
        <v>1500</v>
      </c>
      <c r="R784">
        <v>5</v>
      </c>
      <c r="S784">
        <v>0</v>
      </c>
      <c r="T784" t="s">
        <v>65</v>
      </c>
      <c r="U784" t="s">
        <v>33</v>
      </c>
      <c r="V784" s="3">
        <v>172031</v>
      </c>
      <c r="W784">
        <v>3.92</v>
      </c>
      <c r="X784">
        <v>3</v>
      </c>
      <c r="Y784" s="1">
        <f>EV_Data4[[#This Row],[range_miles]]/EV_Data4[[#This Row],[battery_capacity_kwh]]</f>
        <v>3.6216730038022811</v>
      </c>
      <c r="Z784" s="4">
        <f>EV_Data4[[#This Row],[price_usd]]/EV_Data4[[#This Row],[range_miles]]</f>
        <v>249.08165354330708</v>
      </c>
      <c r="AA784" s="2">
        <f>(EV_Data4[[#This Row],[customer_rating]]*EV_Data4[[#This Row],[safety_rating]]*1000)/EV_Data4[[#This Row],[price_usd]]</f>
        <v>0.20653295343914774</v>
      </c>
      <c r="AB784">
        <f>EV_Data4[[#This Row],[horsepower]]+EV_Data4[[#This Row],[torque_nm]]/EV_Data4[[#This Row],[acceleration_0_60_mph]]</f>
        <v>1230.7888040712469</v>
      </c>
      <c r="AC784" t="str">
        <f>IF(EV_Data4[[#This Row],[price_usd]]&gt;=80000,"Luxury",IF(EV_Data4[[#This Row],[price_usd]]&gt;=40000,"Mid-Range","Budget"))</f>
        <v>Luxury</v>
      </c>
      <c r="AD784" t="str">
        <f>IF(EV_Data4[[#This Row],[range_miles]]&gt;=350,"Long-Range",IF(EV_Data4[[#This Row],[range_miles]]&gt;=250,"Medium-Range","Short-Range"))</f>
        <v>Long-Range</v>
      </c>
      <c r="AE784" t="str">
        <f>IF(EV_Data4[[#This Row],[charging_speed_kw]]&gt;=250,"Ultra-Fast",IF(EV_Data4[[#This Row],[charging_speed_kw]]&gt;=150,"Fast-Charging","Standard-Charging"))</f>
        <v>Fast-Charging</v>
      </c>
      <c r="AF784" t="str">
        <f>IF(EV_Data4[[#This Row],[acceleration_0_60_mph]]&lt;=3,"SportsPerformance",IF(EV_Data4[[#This Row],[acceleration_0_60_mph]]&lt;=5,"HighPerformance","Standard"))</f>
        <v>HighPerformance</v>
      </c>
      <c r="AG784" t="str">
        <f>IF(EV_Data4[[#This Row],[customer_rating]]&gt;=4.5,"Excellent",IF(EV_Data4[[#This Row],[customer_rating]]&gt;=3.5,"Good","Average"))</f>
        <v>Good</v>
      </c>
      <c r="AH78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85" spans="1:34" x14ac:dyDescent="0.3">
      <c r="A785" t="s">
        <v>63</v>
      </c>
      <c r="B785" t="s">
        <v>88</v>
      </c>
      <c r="C785">
        <v>2026</v>
      </c>
      <c r="D785" t="s">
        <v>61</v>
      </c>
      <c r="E785" s="3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48</v>
      </c>
      <c r="N785">
        <v>5</v>
      </c>
      <c r="O785" t="s">
        <v>28</v>
      </c>
      <c r="P785">
        <v>72.8</v>
      </c>
      <c r="Q785">
        <v>2840</v>
      </c>
      <c r="R785">
        <v>5</v>
      </c>
      <c r="S785">
        <v>0</v>
      </c>
      <c r="T785" t="s">
        <v>65</v>
      </c>
      <c r="U785" t="s">
        <v>33</v>
      </c>
      <c r="V785" s="3">
        <v>121433</v>
      </c>
      <c r="W785">
        <v>3.41</v>
      </c>
      <c r="X785">
        <v>4</v>
      </c>
      <c r="Y785" s="1">
        <f>EV_Data4[[#This Row],[range_miles]]/EV_Data4[[#This Row],[battery_capacity_kwh]]</f>
        <v>3.5674157303370784</v>
      </c>
      <c r="Z785" s="4">
        <f>EV_Data4[[#This Row],[price_usd]]/EV_Data4[[#This Row],[range_miles]]</f>
        <v>302.84531496062993</v>
      </c>
      <c r="AA785" s="2">
        <f>(EV_Data4[[#This Row],[customer_rating]]*EV_Data4[[#This Row],[safety_rating]]*1000)/EV_Data4[[#This Row],[price_usd]]</f>
        <v>0.22165105727554318</v>
      </c>
      <c r="AB785">
        <f>EV_Data4[[#This Row],[horsepower]]+EV_Data4[[#This Row],[torque_nm]]/EV_Data4[[#This Row],[acceleration_0_60_mph]]</f>
        <v>982.08222811671089</v>
      </c>
      <c r="AC785" t="str">
        <f>IF(EV_Data4[[#This Row],[price_usd]]&gt;=80000,"Luxury",IF(EV_Data4[[#This Row],[price_usd]]&gt;=40000,"Mid-Range","Budget"))</f>
        <v>Mid-Range</v>
      </c>
      <c r="AD785" t="str">
        <f>IF(EV_Data4[[#This Row],[range_miles]]&gt;=350,"Long-Range",IF(EV_Data4[[#This Row],[range_miles]]&gt;=250,"Medium-Range","Short-Range"))</f>
        <v>Medium-Range</v>
      </c>
      <c r="AE785" t="str">
        <f>IF(EV_Data4[[#This Row],[charging_speed_kw]]&gt;=250,"Ultra-Fast",IF(EV_Data4[[#This Row],[charging_speed_kw]]&gt;=150,"Fast-Charging","Standard-Charging"))</f>
        <v>Standard-Charging</v>
      </c>
      <c r="AF785" t="str">
        <f>IF(EV_Data4[[#This Row],[acceleration_0_60_mph]]&lt;=3,"SportsPerformance",IF(EV_Data4[[#This Row],[acceleration_0_60_mph]]&lt;=5,"HighPerformance","Standard"))</f>
        <v>Standard</v>
      </c>
      <c r="AG785" t="str">
        <f>IF(EV_Data4[[#This Row],[customer_rating]]&gt;=4.5,"Excellent",IF(EV_Data4[[#This Row],[customer_rating]]&gt;=3.5,"Good","Average"))</f>
        <v>Average</v>
      </c>
      <c r="AH78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86" spans="1:34" x14ac:dyDescent="0.3">
      <c r="A786" t="s">
        <v>46</v>
      </c>
      <c r="B786" t="s">
        <v>47</v>
      </c>
      <c r="C786">
        <v>2024</v>
      </c>
      <c r="D786" t="s">
        <v>33</v>
      </c>
      <c r="E786" s="3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27</v>
      </c>
      <c r="N786">
        <v>5</v>
      </c>
      <c r="O786" t="s">
        <v>50</v>
      </c>
      <c r="P786">
        <v>15.4</v>
      </c>
      <c r="Q786">
        <v>2086</v>
      </c>
      <c r="R786">
        <v>4</v>
      </c>
      <c r="S786">
        <v>2</v>
      </c>
      <c r="T786" t="s">
        <v>41</v>
      </c>
      <c r="U786" t="s">
        <v>30</v>
      </c>
      <c r="V786" s="3">
        <v>241741</v>
      </c>
      <c r="W786">
        <v>3.75</v>
      </c>
      <c r="X786">
        <v>5</v>
      </c>
      <c r="Y786" s="1">
        <f>EV_Data4[[#This Row],[range_miles]]/EV_Data4[[#This Row],[battery_capacity_kwh]]</f>
        <v>3.4965034965034967</v>
      </c>
      <c r="Z786" s="4">
        <f>EV_Data4[[#This Row],[price_usd]]/EV_Data4[[#This Row],[range_miles]]</f>
        <v>1156.4495999999999</v>
      </c>
      <c r="AA786" s="2">
        <f>(EV_Data4[[#This Row],[customer_rating]]*EV_Data4[[#This Row],[safety_rating]]*1000)/EV_Data4[[#This Row],[price_usd]]</f>
        <v>8.6471559158306593E-2</v>
      </c>
      <c r="AB786">
        <f>EV_Data4[[#This Row],[horsepower]]+EV_Data4[[#This Row],[torque_nm]]/EV_Data4[[#This Row],[acceleration_0_60_mph]]</f>
        <v>1165.0273224043715</v>
      </c>
      <c r="AC786" t="str">
        <f>IF(EV_Data4[[#This Row],[price_usd]]&gt;=80000,"Luxury",IF(EV_Data4[[#This Row],[price_usd]]&gt;=40000,"Mid-Range","Budget"))</f>
        <v>Luxury</v>
      </c>
      <c r="AD786" t="str">
        <f>IF(EV_Data4[[#This Row],[range_miles]]&gt;=350,"Long-Range",IF(EV_Data4[[#This Row],[range_miles]]&gt;=250,"Medium-Range","Short-Range"))</f>
        <v>Short-Range</v>
      </c>
      <c r="AE786" t="str">
        <f>IF(EV_Data4[[#This Row],[charging_speed_kw]]&gt;=250,"Ultra-Fast",IF(EV_Data4[[#This Row],[charging_speed_kw]]&gt;=150,"Fast-Charging","Standard-Charging"))</f>
        <v>Fast-Charging</v>
      </c>
      <c r="AF786" t="str">
        <f>IF(EV_Data4[[#This Row],[acceleration_0_60_mph]]&lt;=3,"SportsPerformance",IF(EV_Data4[[#This Row],[acceleration_0_60_mph]]&lt;=5,"HighPerformance","Standard"))</f>
        <v>Standard</v>
      </c>
      <c r="AG786" t="str">
        <f>IF(EV_Data4[[#This Row],[customer_rating]]&gt;=4.5,"Excellent",IF(EV_Data4[[#This Row],[customer_rating]]&gt;=3.5,"Good","Average"))</f>
        <v>Good</v>
      </c>
      <c r="AH78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87" spans="1:34" x14ac:dyDescent="0.3">
      <c r="A787" t="s">
        <v>86</v>
      </c>
      <c r="B787" t="s">
        <v>105</v>
      </c>
      <c r="C787">
        <v>2024</v>
      </c>
      <c r="D787" t="s">
        <v>33</v>
      </c>
      <c r="E787" s="3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34</v>
      </c>
      <c r="N787">
        <v>5</v>
      </c>
      <c r="O787" t="s">
        <v>51</v>
      </c>
      <c r="P787">
        <v>39.5</v>
      </c>
      <c r="Q787">
        <v>1500</v>
      </c>
      <c r="R787">
        <v>5</v>
      </c>
      <c r="S787">
        <v>2</v>
      </c>
      <c r="T787" t="s">
        <v>29</v>
      </c>
      <c r="U787" t="s">
        <v>30</v>
      </c>
      <c r="V787" s="3">
        <v>22361</v>
      </c>
      <c r="W787">
        <v>3.64</v>
      </c>
      <c r="X787">
        <v>7</v>
      </c>
      <c r="Y787" s="1">
        <f>EV_Data4[[#This Row],[range_miles]]/EV_Data4[[#This Row],[battery_capacity_kwh]]</f>
        <v>3.6629526462395545</v>
      </c>
      <c r="Z787" s="4">
        <f>EV_Data4[[#This Row],[price_usd]]/EV_Data4[[#This Row],[range_miles]]</f>
        <v>400.61558935361217</v>
      </c>
      <c r="AA787" s="2">
        <f>(EV_Data4[[#This Row],[customer_rating]]*EV_Data4[[#This Row],[safety_rating]]*1000)/EV_Data4[[#This Row],[price_usd]]</f>
        <v>0.17273796315366372</v>
      </c>
      <c r="AB787">
        <f>EV_Data4[[#This Row],[horsepower]]+EV_Data4[[#This Row],[torque_nm]]/EV_Data4[[#This Row],[acceleration_0_60_mph]]</f>
        <v>845.83707865168537</v>
      </c>
      <c r="AC787" t="str">
        <f>IF(EV_Data4[[#This Row],[price_usd]]&gt;=80000,"Luxury",IF(EV_Data4[[#This Row],[price_usd]]&gt;=40000,"Mid-Range","Budget"))</f>
        <v>Luxury</v>
      </c>
      <c r="AD787" t="str">
        <f>IF(EV_Data4[[#This Row],[range_miles]]&gt;=350,"Long-Range",IF(EV_Data4[[#This Row],[range_miles]]&gt;=250,"Medium-Range","Short-Range"))</f>
        <v>Medium-Range</v>
      </c>
      <c r="AE787" t="str">
        <f>IF(EV_Data4[[#This Row],[charging_speed_kw]]&gt;=250,"Ultra-Fast",IF(EV_Data4[[#This Row],[charging_speed_kw]]&gt;=150,"Fast-Charging","Standard-Charging"))</f>
        <v>Standard-Charging</v>
      </c>
      <c r="AF787" t="str">
        <f>IF(EV_Data4[[#This Row],[acceleration_0_60_mph]]&lt;=3,"SportsPerformance",IF(EV_Data4[[#This Row],[acceleration_0_60_mph]]&lt;=5,"HighPerformance","Standard"))</f>
        <v>Standard</v>
      </c>
      <c r="AG787" t="str">
        <f>IF(EV_Data4[[#This Row],[customer_rating]]&gt;=4.5,"Excellent",IF(EV_Data4[[#This Row],[customer_rating]]&gt;=3.5,"Good","Average"))</f>
        <v>Good</v>
      </c>
      <c r="AH78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88" spans="1:34" x14ac:dyDescent="0.3">
      <c r="A788" t="s">
        <v>42</v>
      </c>
      <c r="B788" t="s">
        <v>71</v>
      </c>
      <c r="C788">
        <v>2022</v>
      </c>
      <c r="D788" t="s">
        <v>61</v>
      </c>
      <c r="E788" s="3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34</v>
      </c>
      <c r="N788">
        <v>5</v>
      </c>
      <c r="O788" t="s">
        <v>50</v>
      </c>
      <c r="P788">
        <v>18</v>
      </c>
      <c r="Q788">
        <v>1570</v>
      </c>
      <c r="R788">
        <v>4</v>
      </c>
      <c r="S788">
        <v>0</v>
      </c>
      <c r="T788" t="s">
        <v>45</v>
      </c>
      <c r="U788" t="s">
        <v>37</v>
      </c>
      <c r="V788" s="3">
        <v>92917</v>
      </c>
      <c r="W788">
        <v>3.02</v>
      </c>
      <c r="X788">
        <v>4</v>
      </c>
      <c r="Y788" s="1">
        <f>EV_Data4[[#This Row],[range_miles]]/EV_Data4[[#This Row],[battery_capacity_kwh]]</f>
        <v>3.6065573770491799</v>
      </c>
      <c r="Z788" s="4">
        <f>EV_Data4[[#This Row],[price_usd]]/EV_Data4[[#This Row],[range_miles]]</f>
        <v>254.73935064935065</v>
      </c>
      <c r="AA788" s="2">
        <f>(EV_Data4[[#This Row],[customer_rating]]*EV_Data4[[#This Row],[safety_rating]]*1000)/EV_Data4[[#This Row],[price_usd]]</f>
        <v>0.30792870532803329</v>
      </c>
      <c r="AB788">
        <f>EV_Data4[[#This Row],[horsepower]]+EV_Data4[[#This Row],[torque_nm]]/EV_Data4[[#This Row],[acceleration_0_60_mph]]</f>
        <v>383.54616895874261</v>
      </c>
      <c r="AC788" t="str">
        <f>IF(EV_Data4[[#This Row],[price_usd]]&gt;=80000,"Luxury",IF(EV_Data4[[#This Row],[price_usd]]&gt;=40000,"Mid-Range","Budget"))</f>
        <v>Budget</v>
      </c>
      <c r="AD788" t="str">
        <f>IF(EV_Data4[[#This Row],[range_miles]]&gt;=350,"Long-Range",IF(EV_Data4[[#This Row],[range_miles]]&gt;=250,"Medium-Range","Short-Range"))</f>
        <v>Short-Range</v>
      </c>
      <c r="AE788" t="str">
        <f>IF(EV_Data4[[#This Row],[charging_speed_kw]]&gt;=250,"Ultra-Fast",IF(EV_Data4[[#This Row],[charging_speed_kw]]&gt;=150,"Fast-Charging","Standard-Charging"))</f>
        <v>Standard-Charging</v>
      </c>
      <c r="AF788" t="str">
        <f>IF(EV_Data4[[#This Row],[acceleration_0_60_mph]]&lt;=3,"SportsPerformance",IF(EV_Data4[[#This Row],[acceleration_0_60_mph]]&lt;=5,"HighPerformance","Standard"))</f>
        <v>Standard</v>
      </c>
      <c r="AG788" t="str">
        <f>IF(EV_Data4[[#This Row],[customer_rating]]&gt;=4.5,"Excellent",IF(EV_Data4[[#This Row],[customer_rating]]&gt;=3.5,"Good","Average"))</f>
        <v>Average</v>
      </c>
      <c r="AH78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89" spans="1:34" x14ac:dyDescent="0.3">
      <c r="A789" t="s">
        <v>24</v>
      </c>
      <c r="B789" t="s">
        <v>74</v>
      </c>
      <c r="C789">
        <v>2022</v>
      </c>
      <c r="D789" t="s">
        <v>33</v>
      </c>
      <c r="E789" s="3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27</v>
      </c>
      <c r="N789">
        <v>5</v>
      </c>
      <c r="O789" t="s">
        <v>28</v>
      </c>
      <c r="P789">
        <v>74</v>
      </c>
      <c r="Q789">
        <v>2426</v>
      </c>
      <c r="R789">
        <v>5</v>
      </c>
      <c r="S789">
        <v>0</v>
      </c>
      <c r="T789" t="s">
        <v>29</v>
      </c>
      <c r="U789" t="s">
        <v>33</v>
      </c>
      <c r="V789" s="3">
        <v>266134</v>
      </c>
      <c r="W789">
        <v>3.28</v>
      </c>
      <c r="X789">
        <v>4</v>
      </c>
      <c r="Y789" s="1">
        <f>EV_Data4[[#This Row],[range_miles]]/EV_Data4[[#This Row],[battery_capacity_kwh]]</f>
        <v>2.9928057553956835</v>
      </c>
      <c r="Z789" s="4">
        <f>EV_Data4[[#This Row],[price_usd]]/EV_Data4[[#This Row],[range_miles]]</f>
        <v>435.41971153846157</v>
      </c>
      <c r="AA789" s="2">
        <f>(EV_Data4[[#This Row],[customer_rating]]*EV_Data4[[#This Row],[safety_rating]]*1000)/EV_Data4[[#This Row],[price_usd]]</f>
        <v>0.18108080951955066</v>
      </c>
      <c r="AB789">
        <f>EV_Data4[[#This Row],[horsepower]]+EV_Data4[[#This Row],[torque_nm]]/EV_Data4[[#This Row],[acceleration_0_60_mph]]</f>
        <v>1138.6949924127466</v>
      </c>
      <c r="AC789" t="str">
        <f>IF(EV_Data4[[#This Row],[price_usd]]&gt;=80000,"Luxury",IF(EV_Data4[[#This Row],[price_usd]]&gt;=40000,"Mid-Range","Budget"))</f>
        <v>Luxury</v>
      </c>
      <c r="AD789" t="str">
        <f>IF(EV_Data4[[#This Row],[range_miles]]&gt;=350,"Long-Range",IF(EV_Data4[[#This Row],[range_miles]]&gt;=250,"Medium-Range","Short-Range"))</f>
        <v>Short-Range</v>
      </c>
      <c r="AE789" t="str">
        <f>IF(EV_Data4[[#This Row],[charging_speed_kw]]&gt;=250,"Ultra-Fast",IF(EV_Data4[[#This Row],[charging_speed_kw]]&gt;=150,"Fast-Charging","Standard-Charging"))</f>
        <v>Standard-Charging</v>
      </c>
      <c r="AF789" t="str">
        <f>IF(EV_Data4[[#This Row],[acceleration_0_60_mph]]&lt;=3,"SportsPerformance",IF(EV_Data4[[#This Row],[acceleration_0_60_mph]]&lt;=5,"HighPerformance","Standard"))</f>
        <v>Standard</v>
      </c>
      <c r="AG789" t="str">
        <f>IF(EV_Data4[[#This Row],[customer_rating]]&gt;=4.5,"Excellent",IF(EV_Data4[[#This Row],[customer_rating]]&gt;=3.5,"Good","Average"))</f>
        <v>Average</v>
      </c>
      <c r="AH78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90" spans="1:34" x14ac:dyDescent="0.3">
      <c r="A790" t="s">
        <v>68</v>
      </c>
      <c r="B790" t="s">
        <v>90</v>
      </c>
      <c r="C790">
        <v>2025</v>
      </c>
      <c r="D790" t="s">
        <v>26</v>
      </c>
      <c r="E790" s="3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27</v>
      </c>
      <c r="N790">
        <v>7</v>
      </c>
      <c r="O790" t="s">
        <v>51</v>
      </c>
      <c r="P790">
        <v>25.2</v>
      </c>
      <c r="Q790">
        <v>1627</v>
      </c>
      <c r="R790">
        <v>4</v>
      </c>
      <c r="S790">
        <v>1</v>
      </c>
      <c r="T790" t="s">
        <v>45</v>
      </c>
      <c r="U790" t="s">
        <v>33</v>
      </c>
      <c r="V790" s="3">
        <v>124589</v>
      </c>
      <c r="W790">
        <v>3.85</v>
      </c>
      <c r="X790">
        <v>4</v>
      </c>
      <c r="Y790" s="1">
        <f>EV_Data4[[#This Row],[range_miles]]/EV_Data4[[#This Row],[battery_capacity_kwh]]</f>
        <v>3.5043668122270746</v>
      </c>
      <c r="Z790" s="4">
        <f>EV_Data4[[#This Row],[price_usd]]/EV_Data4[[#This Row],[range_miles]]</f>
        <v>297.20311526479747</v>
      </c>
      <c r="AA790" s="2">
        <f>(EV_Data4[[#This Row],[customer_rating]]*EV_Data4[[#This Row],[safety_rating]]*1000)/EV_Data4[[#This Row],[price_usd]]</f>
        <v>0.16142185400336681</v>
      </c>
      <c r="AB790">
        <f>EV_Data4[[#This Row],[horsepower]]+EV_Data4[[#This Row],[torque_nm]]/EV_Data4[[#This Row],[acceleration_0_60_mph]]</f>
        <v>1200</v>
      </c>
      <c r="AC790" t="str">
        <f>IF(EV_Data4[[#This Row],[price_usd]]&gt;=80000,"Luxury",IF(EV_Data4[[#This Row],[price_usd]]&gt;=40000,"Mid-Range","Budget"))</f>
        <v>Luxury</v>
      </c>
      <c r="AD790" t="str">
        <f>IF(EV_Data4[[#This Row],[range_miles]]&gt;=350,"Long-Range",IF(EV_Data4[[#This Row],[range_miles]]&gt;=250,"Medium-Range","Short-Range"))</f>
        <v>Medium-Range</v>
      </c>
      <c r="AE790" t="str">
        <f>IF(EV_Data4[[#This Row],[charging_speed_kw]]&gt;=250,"Ultra-Fast",IF(EV_Data4[[#This Row],[charging_speed_kw]]&gt;=150,"Fast-Charging","Standard-Charging"))</f>
        <v>Fast-Charging</v>
      </c>
      <c r="AF790" t="str">
        <f>IF(EV_Data4[[#This Row],[acceleration_0_60_mph]]&lt;=3,"SportsPerformance",IF(EV_Data4[[#This Row],[acceleration_0_60_mph]]&lt;=5,"HighPerformance","Standard"))</f>
        <v>HighPerformance</v>
      </c>
      <c r="AG790" t="str">
        <f>IF(EV_Data4[[#This Row],[customer_rating]]&gt;=4.5,"Excellent",IF(EV_Data4[[#This Row],[customer_rating]]&gt;=3.5,"Good","Average"))</f>
        <v>Good</v>
      </c>
      <c r="AH79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91" spans="1:34" x14ac:dyDescent="0.3">
      <c r="A791" t="s">
        <v>31</v>
      </c>
      <c r="B791" t="s">
        <v>32</v>
      </c>
      <c r="C791">
        <v>2025</v>
      </c>
      <c r="D791" t="s">
        <v>44</v>
      </c>
      <c r="E791" s="3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34</v>
      </c>
      <c r="N791">
        <v>5</v>
      </c>
      <c r="O791" t="s">
        <v>35</v>
      </c>
      <c r="P791">
        <v>60.4</v>
      </c>
      <c r="Q791">
        <v>1969</v>
      </c>
      <c r="R791">
        <v>5</v>
      </c>
      <c r="S791">
        <v>1</v>
      </c>
      <c r="T791" t="s">
        <v>36</v>
      </c>
      <c r="U791" t="s">
        <v>33</v>
      </c>
      <c r="V791" s="3">
        <v>15914</v>
      </c>
      <c r="W791">
        <v>3.93</v>
      </c>
      <c r="X791">
        <v>4</v>
      </c>
      <c r="Y791" s="1">
        <f>EV_Data4[[#This Row],[range_miles]]/EV_Data4[[#This Row],[battery_capacity_kwh]]</f>
        <v>3.6319845857418112</v>
      </c>
      <c r="Z791" s="4">
        <f>EV_Data4[[#This Row],[price_usd]]/EV_Data4[[#This Row],[range_miles]]</f>
        <v>223.30429708222812</v>
      </c>
      <c r="AA791" s="2">
        <f>(EV_Data4[[#This Row],[customer_rating]]*EV_Data4[[#This Row],[safety_rating]]*1000)/EV_Data4[[#This Row],[price_usd]]</f>
        <v>0.23341250748939374</v>
      </c>
      <c r="AB791">
        <f>EV_Data4[[#This Row],[horsepower]]+EV_Data4[[#This Row],[torque_nm]]/EV_Data4[[#This Row],[acceleration_0_60_mph]]</f>
        <v>1149.9136442141623</v>
      </c>
      <c r="AC791" t="str">
        <f>IF(EV_Data4[[#This Row],[price_usd]]&gt;=80000,"Luxury",IF(EV_Data4[[#This Row],[price_usd]]&gt;=40000,"Mid-Range","Budget"))</f>
        <v>Luxury</v>
      </c>
      <c r="AD791" t="str">
        <f>IF(EV_Data4[[#This Row],[range_miles]]&gt;=350,"Long-Range",IF(EV_Data4[[#This Row],[range_miles]]&gt;=250,"Medium-Range","Short-Range"))</f>
        <v>Long-Range</v>
      </c>
      <c r="AE791" t="str">
        <f>IF(EV_Data4[[#This Row],[charging_speed_kw]]&gt;=250,"Ultra-Fast",IF(EV_Data4[[#This Row],[charging_speed_kw]]&gt;=150,"Fast-Charging","Standard-Charging"))</f>
        <v>Standard-Charging</v>
      </c>
      <c r="AF791" t="str">
        <f>IF(EV_Data4[[#This Row],[acceleration_0_60_mph]]&lt;=3,"SportsPerformance",IF(EV_Data4[[#This Row],[acceleration_0_60_mph]]&lt;=5,"HighPerformance","Standard"))</f>
        <v>Standard</v>
      </c>
      <c r="AG791" t="str">
        <f>IF(EV_Data4[[#This Row],[customer_rating]]&gt;=4.5,"Excellent",IF(EV_Data4[[#This Row],[customer_rating]]&gt;=3.5,"Good","Average"))</f>
        <v>Good</v>
      </c>
      <c r="AH79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92" spans="1:34" x14ac:dyDescent="0.3">
      <c r="A792" t="s">
        <v>46</v>
      </c>
      <c r="B792" t="s">
        <v>49</v>
      </c>
      <c r="C792">
        <v>2026</v>
      </c>
      <c r="D792" t="s">
        <v>61</v>
      </c>
      <c r="E792" s="3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34</v>
      </c>
      <c r="N792">
        <v>7</v>
      </c>
      <c r="O792" t="s">
        <v>58</v>
      </c>
      <c r="P792">
        <v>31.8</v>
      </c>
      <c r="Q792">
        <v>1541</v>
      </c>
      <c r="R792">
        <v>5</v>
      </c>
      <c r="S792">
        <v>2</v>
      </c>
      <c r="T792" t="s">
        <v>41</v>
      </c>
      <c r="U792" t="s">
        <v>30</v>
      </c>
      <c r="V792" s="3">
        <v>410211</v>
      </c>
      <c r="W792">
        <v>3.81</v>
      </c>
      <c r="X792">
        <v>5</v>
      </c>
      <c r="Y792" s="1">
        <f>EV_Data4[[#This Row],[range_miles]]/EV_Data4[[#This Row],[battery_capacity_kwh]]</f>
        <v>3.4978229317851954</v>
      </c>
      <c r="Z792" s="4">
        <f>EV_Data4[[#This Row],[price_usd]]/EV_Data4[[#This Row],[range_miles]]</f>
        <v>547.0470124481327</v>
      </c>
      <c r="AA792" s="2">
        <f>(EV_Data4[[#This Row],[customer_rating]]*EV_Data4[[#This Row],[safety_rating]]*1000)/EV_Data4[[#This Row],[price_usd]]</f>
        <v>0.14449515554391504</v>
      </c>
      <c r="AB792">
        <f>EV_Data4[[#This Row],[horsepower]]+EV_Data4[[#This Row],[torque_nm]]/EV_Data4[[#This Row],[acceleration_0_60_mph]]</f>
        <v>1138.796992481203</v>
      </c>
      <c r="AC792" t="str">
        <f>IF(EV_Data4[[#This Row],[price_usd]]&gt;=80000,"Luxury",IF(EV_Data4[[#This Row],[price_usd]]&gt;=40000,"Mid-Range","Budget"))</f>
        <v>Luxury</v>
      </c>
      <c r="AD792" t="str">
        <f>IF(EV_Data4[[#This Row],[range_miles]]&gt;=350,"Long-Range",IF(EV_Data4[[#This Row],[range_miles]]&gt;=250,"Medium-Range","Short-Range"))</f>
        <v>Short-Range</v>
      </c>
      <c r="AE792" t="str">
        <f>IF(EV_Data4[[#This Row],[charging_speed_kw]]&gt;=250,"Ultra-Fast",IF(EV_Data4[[#This Row],[charging_speed_kw]]&gt;=150,"Fast-Charging","Standard-Charging"))</f>
        <v>Ultra-Fast</v>
      </c>
      <c r="AF792" t="str">
        <f>IF(EV_Data4[[#This Row],[acceleration_0_60_mph]]&lt;=3,"SportsPerformance",IF(EV_Data4[[#This Row],[acceleration_0_60_mph]]&lt;=5,"HighPerformance","Standard"))</f>
        <v>Standard</v>
      </c>
      <c r="AG792" t="str">
        <f>IF(EV_Data4[[#This Row],[customer_rating]]&gt;=4.5,"Excellent",IF(EV_Data4[[#This Row],[customer_rating]]&gt;=3.5,"Good","Average"))</f>
        <v>Good</v>
      </c>
      <c r="AH79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93" spans="1:34" x14ac:dyDescent="0.3">
      <c r="A793" t="s">
        <v>42</v>
      </c>
      <c r="B793" t="s">
        <v>80</v>
      </c>
      <c r="C793">
        <v>2024</v>
      </c>
      <c r="D793" t="s">
        <v>56</v>
      </c>
      <c r="E793" s="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27</v>
      </c>
      <c r="N793">
        <v>7</v>
      </c>
      <c r="O793" t="s">
        <v>35</v>
      </c>
      <c r="P793">
        <v>60.1</v>
      </c>
      <c r="Q793">
        <v>2343</v>
      </c>
      <c r="R793">
        <v>4</v>
      </c>
      <c r="S793">
        <v>0</v>
      </c>
      <c r="T793" t="s">
        <v>45</v>
      </c>
      <c r="U793" t="s">
        <v>37</v>
      </c>
      <c r="V793" s="3">
        <v>96649</v>
      </c>
      <c r="W793">
        <v>3.22</v>
      </c>
      <c r="X793">
        <v>5</v>
      </c>
      <c r="Y793" s="1">
        <f>EV_Data4[[#This Row],[range_miles]]/EV_Data4[[#This Row],[battery_capacity_kwh]]</f>
        <v>3.3891992551210426</v>
      </c>
      <c r="Z793" s="4">
        <f>EV_Data4[[#This Row],[price_usd]]/EV_Data4[[#This Row],[range_miles]]</f>
        <v>198.93692307692305</v>
      </c>
      <c r="AA793" s="2">
        <f>(EV_Data4[[#This Row],[customer_rating]]*EV_Data4[[#This Row],[safety_rating]]*1000)/EV_Data4[[#This Row],[price_usd]]</f>
        <v>0.35573703299847653</v>
      </c>
      <c r="AB793">
        <f>EV_Data4[[#This Row],[horsepower]]+EV_Data4[[#This Row],[torque_nm]]/EV_Data4[[#This Row],[acceleration_0_60_mph]]</f>
        <v>338.77456647398844</v>
      </c>
      <c r="AC793" t="str">
        <f>IF(EV_Data4[[#This Row],[price_usd]]&gt;=80000,"Luxury",IF(EV_Data4[[#This Row],[price_usd]]&gt;=40000,"Mid-Range","Budget"))</f>
        <v>Budget</v>
      </c>
      <c r="AD793" t="str">
        <f>IF(EV_Data4[[#This Row],[range_miles]]&gt;=350,"Long-Range",IF(EV_Data4[[#This Row],[range_miles]]&gt;=250,"Medium-Range","Short-Range"))</f>
        <v>Short-Range</v>
      </c>
      <c r="AE793" t="str">
        <f>IF(EV_Data4[[#This Row],[charging_speed_kw]]&gt;=250,"Ultra-Fast",IF(EV_Data4[[#This Row],[charging_speed_kw]]&gt;=150,"Fast-Charging","Standard-Charging"))</f>
        <v>Standard-Charging</v>
      </c>
      <c r="AF793" t="str">
        <f>IF(EV_Data4[[#This Row],[acceleration_0_60_mph]]&lt;=3,"SportsPerformance",IF(EV_Data4[[#This Row],[acceleration_0_60_mph]]&lt;=5,"HighPerformance","Standard"))</f>
        <v>Standard</v>
      </c>
      <c r="AG793" t="str">
        <f>IF(EV_Data4[[#This Row],[customer_rating]]&gt;=4.5,"Excellent",IF(EV_Data4[[#This Row],[customer_rating]]&gt;=3.5,"Good","Average"))</f>
        <v>Average</v>
      </c>
      <c r="AH79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94" spans="1:34" x14ac:dyDescent="0.3">
      <c r="A794" t="s">
        <v>68</v>
      </c>
      <c r="B794" t="s">
        <v>106</v>
      </c>
      <c r="C794">
        <v>2026</v>
      </c>
      <c r="D794" t="s">
        <v>61</v>
      </c>
      <c r="E794" s="3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34</v>
      </c>
      <c r="N794">
        <v>5</v>
      </c>
      <c r="O794" t="s">
        <v>35</v>
      </c>
      <c r="P794">
        <v>41.2</v>
      </c>
      <c r="Q794">
        <v>2085</v>
      </c>
      <c r="R794">
        <v>4</v>
      </c>
      <c r="S794">
        <v>0</v>
      </c>
      <c r="T794" t="s">
        <v>45</v>
      </c>
      <c r="U794" t="s">
        <v>37</v>
      </c>
      <c r="V794" s="3">
        <v>83698</v>
      </c>
      <c r="W794">
        <v>3.17</v>
      </c>
      <c r="X794">
        <v>5</v>
      </c>
      <c r="Y794" s="1">
        <f>EV_Data4[[#This Row],[range_miles]]/EV_Data4[[#This Row],[battery_capacity_kwh]]</f>
        <v>3.3964817320703653</v>
      </c>
      <c r="Z794" s="4">
        <f>EV_Data4[[#This Row],[price_usd]]/EV_Data4[[#This Row],[range_miles]]</f>
        <v>239.90848605577688</v>
      </c>
      <c r="AA794" s="2">
        <f>(EV_Data4[[#This Row],[customer_rating]]*EV_Data4[[#This Row],[safety_rating]]*1000)/EV_Data4[[#This Row],[price_usd]]</f>
        <v>0.21057166054187662</v>
      </c>
      <c r="AB794">
        <f>EV_Data4[[#This Row],[horsepower]]+EV_Data4[[#This Row],[torque_nm]]/EV_Data4[[#This Row],[acceleration_0_60_mph]]</f>
        <v>820.55089820359285</v>
      </c>
      <c r="AC794" t="str">
        <f>IF(EV_Data4[[#This Row],[price_usd]]&gt;=80000,"Luxury",IF(EV_Data4[[#This Row],[price_usd]]&gt;=40000,"Mid-Range","Budget"))</f>
        <v>Mid-Range</v>
      </c>
      <c r="AD794" t="str">
        <f>IF(EV_Data4[[#This Row],[range_miles]]&gt;=350,"Long-Range",IF(EV_Data4[[#This Row],[range_miles]]&gt;=250,"Medium-Range","Short-Range"))</f>
        <v>Medium-Range</v>
      </c>
      <c r="AE794" t="str">
        <f>IF(EV_Data4[[#This Row],[charging_speed_kw]]&gt;=250,"Ultra-Fast",IF(EV_Data4[[#This Row],[charging_speed_kw]]&gt;=150,"Fast-Charging","Standard-Charging"))</f>
        <v>Standard-Charging</v>
      </c>
      <c r="AF794" t="str">
        <f>IF(EV_Data4[[#This Row],[acceleration_0_60_mph]]&lt;=3,"SportsPerformance",IF(EV_Data4[[#This Row],[acceleration_0_60_mph]]&lt;=5,"HighPerformance","Standard"))</f>
        <v>Standard</v>
      </c>
      <c r="AG794" t="str">
        <f>IF(EV_Data4[[#This Row],[customer_rating]]&gt;=4.5,"Excellent",IF(EV_Data4[[#This Row],[customer_rating]]&gt;=3.5,"Good","Average"))</f>
        <v>Average</v>
      </c>
      <c r="AH79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95" spans="1:34" x14ac:dyDescent="0.3">
      <c r="A795" t="s">
        <v>42</v>
      </c>
      <c r="B795" t="s">
        <v>43</v>
      </c>
      <c r="C795">
        <v>2025</v>
      </c>
      <c r="D795" t="s">
        <v>33</v>
      </c>
      <c r="E795" s="3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34</v>
      </c>
      <c r="N795">
        <v>5</v>
      </c>
      <c r="O795" t="s">
        <v>35</v>
      </c>
      <c r="P795">
        <v>46.6</v>
      </c>
      <c r="Q795">
        <v>1980</v>
      </c>
      <c r="R795">
        <v>4</v>
      </c>
      <c r="S795">
        <v>0</v>
      </c>
      <c r="T795" t="s">
        <v>45</v>
      </c>
      <c r="U795" t="s">
        <v>33</v>
      </c>
      <c r="V795" s="3">
        <v>86432</v>
      </c>
      <c r="W795">
        <v>3.41</v>
      </c>
      <c r="X795">
        <v>5</v>
      </c>
      <c r="Y795" s="1">
        <f>EV_Data4[[#This Row],[range_miles]]/EV_Data4[[#This Row],[battery_capacity_kwh]]</f>
        <v>4.1273584905660377</v>
      </c>
      <c r="Z795" s="4">
        <f>EV_Data4[[#This Row],[price_usd]]/EV_Data4[[#This Row],[range_miles]]</f>
        <v>435.12057142857145</v>
      </c>
      <c r="AA795" s="2">
        <f>(EV_Data4[[#This Row],[customer_rating]]*EV_Data4[[#This Row],[safety_rating]]*1000)/EV_Data4[[#This Row],[price_usd]]</f>
        <v>0.17912933164009712</v>
      </c>
      <c r="AB795">
        <f>EV_Data4[[#This Row],[horsepower]]+EV_Data4[[#This Row],[torque_nm]]/EV_Data4[[#This Row],[acceleration_0_60_mph]]</f>
        <v>1048.3728813559321</v>
      </c>
      <c r="AC795" t="str">
        <f>IF(EV_Data4[[#This Row],[price_usd]]&gt;=80000,"Luxury",IF(EV_Data4[[#This Row],[price_usd]]&gt;=40000,"Mid-Range","Budget"))</f>
        <v>Mid-Range</v>
      </c>
      <c r="AD795" t="str">
        <f>IF(EV_Data4[[#This Row],[range_miles]]&gt;=350,"Long-Range",IF(EV_Data4[[#This Row],[range_miles]]&gt;=250,"Medium-Range","Short-Range"))</f>
        <v>Short-Range</v>
      </c>
      <c r="AE795" t="str">
        <f>IF(EV_Data4[[#This Row],[charging_speed_kw]]&gt;=250,"Ultra-Fast",IF(EV_Data4[[#This Row],[charging_speed_kw]]&gt;=150,"Fast-Charging","Standard-Charging"))</f>
        <v>Standard-Charging</v>
      </c>
      <c r="AF795" t="str">
        <f>IF(EV_Data4[[#This Row],[acceleration_0_60_mph]]&lt;=3,"SportsPerformance",IF(EV_Data4[[#This Row],[acceleration_0_60_mph]]&lt;=5,"HighPerformance","Standard"))</f>
        <v>Standard</v>
      </c>
      <c r="AG795" t="str">
        <f>IF(EV_Data4[[#This Row],[customer_rating]]&gt;=4.5,"Excellent",IF(EV_Data4[[#This Row],[customer_rating]]&gt;=3.5,"Good","Average"))</f>
        <v>Average</v>
      </c>
      <c r="AH79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796" spans="1:34" x14ac:dyDescent="0.3">
      <c r="A796" t="s">
        <v>46</v>
      </c>
      <c r="B796" t="s">
        <v>47</v>
      </c>
      <c r="C796">
        <v>2024</v>
      </c>
      <c r="D796" t="s">
        <v>33</v>
      </c>
      <c r="E796" s="3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48</v>
      </c>
      <c r="N796">
        <v>7</v>
      </c>
      <c r="O796" t="s">
        <v>50</v>
      </c>
      <c r="P796">
        <v>32.1</v>
      </c>
      <c r="Q796">
        <v>1604</v>
      </c>
      <c r="R796">
        <v>5</v>
      </c>
      <c r="S796">
        <v>3</v>
      </c>
      <c r="T796" t="s">
        <v>41</v>
      </c>
      <c r="U796" t="s">
        <v>33</v>
      </c>
      <c r="V796" s="3">
        <v>249410</v>
      </c>
      <c r="W796">
        <v>3.51</v>
      </c>
      <c r="X796">
        <v>6</v>
      </c>
      <c r="Y796" s="1">
        <f>EV_Data4[[#This Row],[range_miles]]/EV_Data4[[#This Row],[battery_capacity_kwh]]</f>
        <v>3.5450819672131151</v>
      </c>
      <c r="Z796" s="4">
        <f>EV_Data4[[#This Row],[price_usd]]/EV_Data4[[#This Row],[range_miles]]</f>
        <v>533.53052023121381</v>
      </c>
      <c r="AA796" s="2">
        <f>(EV_Data4[[#This Row],[customer_rating]]*EV_Data4[[#This Row],[safety_rating]]*1000)/EV_Data4[[#This Row],[price_usd]]</f>
        <v>0.19013923825995832</v>
      </c>
      <c r="AB796">
        <f>EV_Data4[[#This Row],[horsepower]]+EV_Data4[[#This Row],[torque_nm]]/EV_Data4[[#This Row],[acceleration_0_60_mph]]</f>
        <v>740.41456582633054</v>
      </c>
      <c r="AC796" t="str">
        <f>IF(EV_Data4[[#This Row],[price_usd]]&gt;=80000,"Luxury",IF(EV_Data4[[#This Row],[price_usd]]&gt;=40000,"Mid-Range","Budget"))</f>
        <v>Luxury</v>
      </c>
      <c r="AD796" t="str">
        <f>IF(EV_Data4[[#This Row],[range_miles]]&gt;=350,"Long-Range",IF(EV_Data4[[#This Row],[range_miles]]&gt;=250,"Medium-Range","Short-Range"))</f>
        <v>Short-Range</v>
      </c>
      <c r="AE796" t="str">
        <f>IF(EV_Data4[[#This Row],[charging_speed_kw]]&gt;=250,"Ultra-Fast",IF(EV_Data4[[#This Row],[charging_speed_kw]]&gt;=150,"Fast-Charging","Standard-Charging"))</f>
        <v>Ultra-Fast</v>
      </c>
      <c r="AF796" t="str">
        <f>IF(EV_Data4[[#This Row],[acceleration_0_60_mph]]&lt;=3,"SportsPerformance",IF(EV_Data4[[#This Row],[acceleration_0_60_mph]]&lt;=5,"HighPerformance","Standard"))</f>
        <v>Standard</v>
      </c>
      <c r="AG796" t="str">
        <f>IF(EV_Data4[[#This Row],[customer_rating]]&gt;=4.5,"Excellent",IF(EV_Data4[[#This Row],[customer_rating]]&gt;=3.5,"Good","Average"))</f>
        <v>Good</v>
      </c>
      <c r="AH796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797" spans="1:34" x14ac:dyDescent="0.3">
      <c r="A797" t="s">
        <v>52</v>
      </c>
      <c r="B797" t="s">
        <v>103</v>
      </c>
      <c r="C797">
        <v>2025</v>
      </c>
      <c r="D797" t="s">
        <v>33</v>
      </c>
      <c r="E797" s="3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27</v>
      </c>
      <c r="N797">
        <v>5</v>
      </c>
      <c r="O797" t="s">
        <v>40</v>
      </c>
      <c r="P797">
        <v>73.7</v>
      </c>
      <c r="Q797">
        <v>1882</v>
      </c>
      <c r="R797">
        <v>5</v>
      </c>
      <c r="S797">
        <v>2</v>
      </c>
      <c r="T797" t="s">
        <v>29</v>
      </c>
      <c r="U797" t="s">
        <v>30</v>
      </c>
      <c r="V797" s="3">
        <v>22636</v>
      </c>
      <c r="W797">
        <v>3.82</v>
      </c>
      <c r="X797">
        <v>6</v>
      </c>
      <c r="Y797" s="1">
        <f>EV_Data4[[#This Row],[range_miles]]/EV_Data4[[#This Row],[battery_capacity_kwh]]</f>
        <v>3.1710526315789473</v>
      </c>
      <c r="Z797" s="4">
        <f>EV_Data4[[#This Row],[price_usd]]/EV_Data4[[#This Row],[range_miles]]</f>
        <v>656.91630705394186</v>
      </c>
      <c r="AA797" s="2">
        <f>(EV_Data4[[#This Row],[customer_rating]]*EV_Data4[[#This Row],[safety_rating]]*1000)/EV_Data4[[#This Row],[price_usd]]</f>
        <v>0.12064415387801788</v>
      </c>
      <c r="AB797">
        <f>EV_Data4[[#This Row],[horsepower]]+EV_Data4[[#This Row],[torque_nm]]/EV_Data4[[#This Row],[acceleration_0_60_mph]]</f>
        <v>1163.4191176470588</v>
      </c>
      <c r="AC797" t="str">
        <f>IF(EV_Data4[[#This Row],[price_usd]]&gt;=80000,"Luxury",IF(EV_Data4[[#This Row],[price_usd]]&gt;=40000,"Mid-Range","Budget"))</f>
        <v>Luxury</v>
      </c>
      <c r="AD797" t="str">
        <f>IF(EV_Data4[[#This Row],[range_miles]]&gt;=350,"Long-Range",IF(EV_Data4[[#This Row],[range_miles]]&gt;=250,"Medium-Range","Short-Range"))</f>
        <v>Short-Range</v>
      </c>
      <c r="AE797" t="str">
        <f>IF(EV_Data4[[#This Row],[charging_speed_kw]]&gt;=250,"Ultra-Fast",IF(EV_Data4[[#This Row],[charging_speed_kw]]&gt;=150,"Fast-Charging","Standard-Charging"))</f>
        <v>Standard-Charging</v>
      </c>
      <c r="AF797" t="str">
        <f>IF(EV_Data4[[#This Row],[acceleration_0_60_mph]]&lt;=3,"SportsPerformance",IF(EV_Data4[[#This Row],[acceleration_0_60_mph]]&lt;=5,"HighPerformance","Standard"))</f>
        <v>Standard</v>
      </c>
      <c r="AG797" t="str">
        <f>IF(EV_Data4[[#This Row],[customer_rating]]&gt;=4.5,"Excellent",IF(EV_Data4[[#This Row],[customer_rating]]&gt;=3.5,"Good","Average"))</f>
        <v>Good</v>
      </c>
      <c r="AH79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798" spans="1:34" x14ac:dyDescent="0.3">
      <c r="A798" t="s">
        <v>94</v>
      </c>
      <c r="B798" t="s">
        <v>95</v>
      </c>
      <c r="C798">
        <v>2025</v>
      </c>
      <c r="D798" t="s">
        <v>26</v>
      </c>
      <c r="E798" s="3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27</v>
      </c>
      <c r="N798">
        <v>5</v>
      </c>
      <c r="O798" t="s">
        <v>50</v>
      </c>
      <c r="P798">
        <v>39.1</v>
      </c>
      <c r="Q798">
        <v>1853</v>
      </c>
      <c r="R798">
        <v>5</v>
      </c>
      <c r="S798">
        <v>1</v>
      </c>
      <c r="T798" t="s">
        <v>41</v>
      </c>
      <c r="U798" t="s">
        <v>30</v>
      </c>
      <c r="V798" s="3">
        <v>19234</v>
      </c>
      <c r="W798">
        <v>3.75</v>
      </c>
      <c r="X798">
        <v>4</v>
      </c>
      <c r="Y798" s="1">
        <f>EV_Data4[[#This Row],[range_miles]]/EV_Data4[[#This Row],[battery_capacity_kwh]]</f>
        <v>3.6180904522613067</v>
      </c>
      <c r="Z798" s="4">
        <f>EV_Data4[[#This Row],[price_usd]]/EV_Data4[[#This Row],[range_miles]]</f>
        <v>379.04309027777776</v>
      </c>
      <c r="AA798" s="2">
        <f>(EV_Data4[[#This Row],[customer_rating]]*EV_Data4[[#This Row],[safety_rating]]*1000)/EV_Data4[[#This Row],[price_usd]]</f>
        <v>0.17175927575663166</v>
      </c>
      <c r="AB798">
        <f>EV_Data4[[#This Row],[horsepower]]+EV_Data4[[#This Row],[torque_nm]]/EV_Data4[[#This Row],[acceleration_0_60_mph]]</f>
        <v>1256.5868263473053</v>
      </c>
      <c r="AC798" t="str">
        <f>IF(EV_Data4[[#This Row],[price_usd]]&gt;=80000,"Luxury",IF(EV_Data4[[#This Row],[price_usd]]&gt;=40000,"Mid-Range","Budget"))</f>
        <v>Luxury</v>
      </c>
      <c r="AD798" t="str">
        <f>IF(EV_Data4[[#This Row],[range_miles]]&gt;=350,"Long-Range",IF(EV_Data4[[#This Row],[range_miles]]&gt;=250,"Medium-Range","Short-Range"))</f>
        <v>Medium-Range</v>
      </c>
      <c r="AE798" t="str">
        <f>IF(EV_Data4[[#This Row],[charging_speed_kw]]&gt;=250,"Ultra-Fast",IF(EV_Data4[[#This Row],[charging_speed_kw]]&gt;=150,"Fast-Charging","Standard-Charging"))</f>
        <v>Fast-Charging</v>
      </c>
      <c r="AF798" t="str">
        <f>IF(EV_Data4[[#This Row],[acceleration_0_60_mph]]&lt;=3,"SportsPerformance",IF(EV_Data4[[#This Row],[acceleration_0_60_mph]]&lt;=5,"HighPerformance","Standard"))</f>
        <v>HighPerformance</v>
      </c>
      <c r="AG798" t="str">
        <f>IF(EV_Data4[[#This Row],[customer_rating]]&gt;=4.5,"Excellent",IF(EV_Data4[[#This Row],[customer_rating]]&gt;=3.5,"Good","Average"))</f>
        <v>Good</v>
      </c>
      <c r="AH79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799" spans="1:34" x14ac:dyDescent="0.3">
      <c r="A799" t="s">
        <v>42</v>
      </c>
      <c r="B799" t="s">
        <v>54</v>
      </c>
      <c r="C799">
        <v>2025</v>
      </c>
      <c r="D799" t="s">
        <v>33</v>
      </c>
      <c r="E799" s="3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27</v>
      </c>
      <c r="N799">
        <v>7</v>
      </c>
      <c r="O799" t="s">
        <v>40</v>
      </c>
      <c r="P799">
        <v>74.400000000000006</v>
      </c>
      <c r="Q799">
        <v>1655</v>
      </c>
      <c r="R799">
        <v>4</v>
      </c>
      <c r="S799">
        <v>0</v>
      </c>
      <c r="T799" t="s">
        <v>45</v>
      </c>
      <c r="U799" t="s">
        <v>30</v>
      </c>
      <c r="V799" s="3">
        <v>139588</v>
      </c>
      <c r="W799">
        <v>3.58</v>
      </c>
      <c r="X799">
        <v>4</v>
      </c>
      <c r="Y799" s="1">
        <f>EV_Data4[[#This Row],[range_miles]]/EV_Data4[[#This Row],[battery_capacity_kwh]]</f>
        <v>3.4991119005328599</v>
      </c>
      <c r="Z799" s="4">
        <f>EV_Data4[[#This Row],[price_usd]]/EV_Data4[[#This Row],[range_miles]]</f>
        <v>551.10634517766493</v>
      </c>
      <c r="AA799" s="2">
        <f>(EV_Data4[[#This Row],[customer_rating]]*EV_Data4[[#This Row],[safety_rating]]*1000)/EV_Data4[[#This Row],[price_usd]]</f>
        <v>0.13189896281545338</v>
      </c>
      <c r="AB799">
        <f>EV_Data4[[#This Row],[horsepower]]+EV_Data4[[#This Row],[torque_nm]]/EV_Data4[[#This Row],[acceleration_0_60_mph]]</f>
        <v>1173.5238095238096</v>
      </c>
      <c r="AC799" t="str">
        <f>IF(EV_Data4[[#This Row],[price_usd]]&gt;=80000,"Luxury",IF(EV_Data4[[#This Row],[price_usd]]&gt;=40000,"Mid-Range","Budget"))</f>
        <v>Luxury</v>
      </c>
      <c r="AD799" t="str">
        <f>IF(EV_Data4[[#This Row],[range_miles]]&gt;=350,"Long-Range",IF(EV_Data4[[#This Row],[range_miles]]&gt;=250,"Medium-Range","Short-Range"))</f>
        <v>Short-Range</v>
      </c>
      <c r="AE799" t="str">
        <f>IF(EV_Data4[[#This Row],[charging_speed_kw]]&gt;=250,"Ultra-Fast",IF(EV_Data4[[#This Row],[charging_speed_kw]]&gt;=150,"Fast-Charging","Standard-Charging"))</f>
        <v>Standard-Charging</v>
      </c>
      <c r="AF799" t="str">
        <f>IF(EV_Data4[[#This Row],[acceleration_0_60_mph]]&lt;=3,"SportsPerformance",IF(EV_Data4[[#This Row],[acceleration_0_60_mph]]&lt;=5,"HighPerformance","Standard"))</f>
        <v>Standard</v>
      </c>
      <c r="AG799" t="str">
        <f>IF(EV_Data4[[#This Row],[customer_rating]]&gt;=4.5,"Excellent",IF(EV_Data4[[#This Row],[customer_rating]]&gt;=3.5,"Good","Average"))</f>
        <v>Good</v>
      </c>
      <c r="AH79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00" spans="1:34" x14ac:dyDescent="0.3">
      <c r="A800" t="s">
        <v>38</v>
      </c>
      <c r="B800" t="s">
        <v>118</v>
      </c>
      <c r="C800">
        <v>2024</v>
      </c>
      <c r="D800" t="s">
        <v>56</v>
      </c>
      <c r="E800" s="3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34</v>
      </c>
      <c r="N800">
        <v>5</v>
      </c>
      <c r="O800" t="s">
        <v>35</v>
      </c>
      <c r="P800">
        <v>57.3</v>
      </c>
      <c r="Q800">
        <v>2124</v>
      </c>
      <c r="R800">
        <v>4</v>
      </c>
      <c r="S800">
        <v>0</v>
      </c>
      <c r="T800" t="s">
        <v>41</v>
      </c>
      <c r="U800" t="s">
        <v>66</v>
      </c>
      <c r="V800" s="3">
        <v>2373</v>
      </c>
      <c r="W800">
        <v>3.27</v>
      </c>
      <c r="X800">
        <v>3</v>
      </c>
      <c r="Y800" s="1">
        <f>EV_Data4[[#This Row],[range_miles]]/EV_Data4[[#This Row],[battery_capacity_kwh]]</f>
        <v>3.5869565217391304</v>
      </c>
      <c r="Z800" s="4">
        <f>EV_Data4[[#This Row],[price_usd]]/EV_Data4[[#This Row],[range_miles]]</f>
        <v>169.03727272727272</v>
      </c>
      <c r="AA800" s="2">
        <f>(EV_Data4[[#This Row],[customer_rating]]*EV_Data4[[#This Row],[safety_rating]]*1000)/EV_Data4[[#This Row],[price_usd]]</f>
        <v>0.39080496860115127</v>
      </c>
      <c r="AB800">
        <f>EV_Data4[[#This Row],[horsepower]]+EV_Data4[[#This Row],[torque_nm]]/EV_Data4[[#This Row],[acceleration_0_60_mph]]</f>
        <v>319.286432160804</v>
      </c>
      <c r="AC800" t="str">
        <f>IF(EV_Data4[[#This Row],[price_usd]]&gt;=80000,"Luxury",IF(EV_Data4[[#This Row],[price_usd]]&gt;=40000,"Mid-Range","Budget"))</f>
        <v>Budget</v>
      </c>
      <c r="AD800" t="str">
        <f>IF(EV_Data4[[#This Row],[range_miles]]&gt;=350,"Long-Range",IF(EV_Data4[[#This Row],[range_miles]]&gt;=250,"Medium-Range","Short-Range"))</f>
        <v>Short-Range</v>
      </c>
      <c r="AE800" t="str">
        <f>IF(EV_Data4[[#This Row],[charging_speed_kw]]&gt;=250,"Ultra-Fast",IF(EV_Data4[[#This Row],[charging_speed_kw]]&gt;=150,"Fast-Charging","Standard-Charging"))</f>
        <v>Standard-Charging</v>
      </c>
      <c r="AF800" t="str">
        <f>IF(EV_Data4[[#This Row],[acceleration_0_60_mph]]&lt;=3,"SportsPerformance",IF(EV_Data4[[#This Row],[acceleration_0_60_mph]]&lt;=5,"HighPerformance","Standard"))</f>
        <v>Standard</v>
      </c>
      <c r="AG800" t="str">
        <f>IF(EV_Data4[[#This Row],[customer_rating]]&gt;=4.5,"Excellent",IF(EV_Data4[[#This Row],[customer_rating]]&gt;=3.5,"Good","Average"))</f>
        <v>Average</v>
      </c>
      <c r="AH80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01" spans="1:34" x14ac:dyDescent="0.3">
      <c r="A801" t="s">
        <v>94</v>
      </c>
      <c r="B801" t="s">
        <v>95</v>
      </c>
      <c r="C801">
        <v>2025</v>
      </c>
      <c r="D801" t="s">
        <v>56</v>
      </c>
      <c r="E801" s="3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48</v>
      </c>
      <c r="N801">
        <v>5</v>
      </c>
      <c r="O801" t="s">
        <v>35</v>
      </c>
      <c r="P801">
        <v>53.7</v>
      </c>
      <c r="Q801">
        <v>1833</v>
      </c>
      <c r="R801">
        <v>5</v>
      </c>
      <c r="S801">
        <v>2</v>
      </c>
      <c r="T801" t="s">
        <v>41</v>
      </c>
      <c r="U801" t="s">
        <v>33</v>
      </c>
      <c r="V801" s="3">
        <v>25139</v>
      </c>
      <c r="W801">
        <v>3.32</v>
      </c>
      <c r="X801">
        <v>4</v>
      </c>
      <c r="Y801" s="1">
        <f>EV_Data4[[#This Row],[range_miles]]/EV_Data4[[#This Row],[battery_capacity_kwh]]</f>
        <v>3.751987281399046</v>
      </c>
      <c r="Z801" s="4">
        <f>EV_Data4[[#This Row],[price_usd]]/EV_Data4[[#This Row],[range_miles]]</f>
        <v>335.03677966101691</v>
      </c>
      <c r="AA801" s="2">
        <f>(EV_Data4[[#This Row],[customer_rating]]*EV_Data4[[#This Row],[safety_rating]]*1000)/EV_Data4[[#This Row],[price_usd]]</f>
        <v>0.20994406381894826</v>
      </c>
      <c r="AB801">
        <f>EV_Data4[[#This Row],[horsepower]]+EV_Data4[[#This Row],[torque_nm]]/EV_Data4[[#This Row],[acceleration_0_60_mph]]</f>
        <v>749.9628647214854</v>
      </c>
      <c r="AC801" t="str">
        <f>IF(EV_Data4[[#This Row],[price_usd]]&gt;=80000,"Luxury",IF(EV_Data4[[#This Row],[price_usd]]&gt;=40000,"Mid-Range","Budget"))</f>
        <v>Mid-Range</v>
      </c>
      <c r="AD801" t="str">
        <f>IF(EV_Data4[[#This Row],[range_miles]]&gt;=350,"Long-Range",IF(EV_Data4[[#This Row],[range_miles]]&gt;=250,"Medium-Range","Short-Range"))</f>
        <v>Short-Range</v>
      </c>
      <c r="AE801" t="str">
        <f>IF(EV_Data4[[#This Row],[charging_speed_kw]]&gt;=250,"Ultra-Fast",IF(EV_Data4[[#This Row],[charging_speed_kw]]&gt;=150,"Fast-Charging","Standard-Charging"))</f>
        <v>Standard-Charging</v>
      </c>
      <c r="AF801" t="str">
        <f>IF(EV_Data4[[#This Row],[acceleration_0_60_mph]]&lt;=3,"SportsPerformance",IF(EV_Data4[[#This Row],[acceleration_0_60_mph]]&lt;=5,"HighPerformance","Standard"))</f>
        <v>Standard</v>
      </c>
      <c r="AG801" t="str">
        <f>IF(EV_Data4[[#This Row],[customer_rating]]&gt;=4.5,"Excellent",IF(EV_Data4[[#This Row],[customer_rating]]&gt;=3.5,"Good","Average"))</f>
        <v>Average</v>
      </c>
      <c r="AH80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02" spans="1:34" x14ac:dyDescent="0.3">
      <c r="A802" t="s">
        <v>38</v>
      </c>
      <c r="B802" t="s">
        <v>39</v>
      </c>
      <c r="C802">
        <v>2023</v>
      </c>
      <c r="D802" t="s">
        <v>56</v>
      </c>
      <c r="E802" s="3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27</v>
      </c>
      <c r="N802">
        <v>7</v>
      </c>
      <c r="O802" t="s">
        <v>51</v>
      </c>
      <c r="P802">
        <v>20.5</v>
      </c>
      <c r="Q802">
        <v>1586</v>
      </c>
      <c r="R802">
        <v>4</v>
      </c>
      <c r="S802">
        <v>0</v>
      </c>
      <c r="T802" t="s">
        <v>41</v>
      </c>
      <c r="U802" t="s">
        <v>37</v>
      </c>
      <c r="V802" s="3">
        <v>15584</v>
      </c>
      <c r="W802">
        <v>3.31</v>
      </c>
      <c r="X802">
        <v>4</v>
      </c>
      <c r="Y802" s="1">
        <f>EV_Data4[[#This Row],[range_miles]]/EV_Data4[[#This Row],[battery_capacity_kwh]]</f>
        <v>3.6330275229357798</v>
      </c>
      <c r="Z802" s="4">
        <f>EV_Data4[[#This Row],[price_usd]]/EV_Data4[[#This Row],[range_miles]]</f>
        <v>298.35732323232321</v>
      </c>
      <c r="AA802" s="2">
        <f>(EV_Data4[[#This Row],[customer_rating]]*EV_Data4[[#This Row],[safety_rating]]*1000)/EV_Data4[[#This Row],[price_usd]]</f>
        <v>0.22412282743473311</v>
      </c>
      <c r="AB802">
        <f>EV_Data4[[#This Row],[horsepower]]+EV_Data4[[#This Row],[torque_nm]]/EV_Data4[[#This Row],[acceleration_0_60_mph]]</f>
        <v>873.12292358803984</v>
      </c>
      <c r="AC802" t="str">
        <f>IF(EV_Data4[[#This Row],[price_usd]]&gt;=80000,"Luxury",IF(EV_Data4[[#This Row],[price_usd]]&gt;=40000,"Mid-Range","Budget"))</f>
        <v>Mid-Range</v>
      </c>
      <c r="AD802" t="str">
        <f>IF(EV_Data4[[#This Row],[range_miles]]&gt;=350,"Long-Range",IF(EV_Data4[[#This Row],[range_miles]]&gt;=250,"Medium-Range","Short-Range"))</f>
        <v>Short-Range</v>
      </c>
      <c r="AE802" t="str">
        <f>IF(EV_Data4[[#This Row],[charging_speed_kw]]&gt;=250,"Ultra-Fast",IF(EV_Data4[[#This Row],[charging_speed_kw]]&gt;=150,"Fast-Charging","Standard-Charging"))</f>
        <v>Standard-Charging</v>
      </c>
      <c r="AF802" t="str">
        <f>IF(EV_Data4[[#This Row],[acceleration_0_60_mph]]&lt;=3,"SportsPerformance",IF(EV_Data4[[#This Row],[acceleration_0_60_mph]]&lt;=5,"HighPerformance","Standard"))</f>
        <v>Standard</v>
      </c>
      <c r="AG802" t="str">
        <f>IF(EV_Data4[[#This Row],[customer_rating]]&gt;=4.5,"Excellent",IF(EV_Data4[[#This Row],[customer_rating]]&gt;=3.5,"Good","Average"))</f>
        <v>Average</v>
      </c>
      <c r="AH80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03" spans="1:34" x14ac:dyDescent="0.3">
      <c r="A803" t="s">
        <v>46</v>
      </c>
      <c r="B803" t="s">
        <v>47</v>
      </c>
      <c r="C803">
        <v>2025</v>
      </c>
      <c r="D803" t="s">
        <v>56</v>
      </c>
      <c r="E803" s="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34</v>
      </c>
      <c r="N803">
        <v>7</v>
      </c>
      <c r="O803" t="s">
        <v>58</v>
      </c>
      <c r="P803">
        <v>37.299999999999997</v>
      </c>
      <c r="Q803">
        <v>1674</v>
      </c>
      <c r="R803">
        <v>5</v>
      </c>
      <c r="S803">
        <v>2</v>
      </c>
      <c r="T803" t="s">
        <v>41</v>
      </c>
      <c r="U803" t="s">
        <v>37</v>
      </c>
      <c r="V803" s="3">
        <v>113015</v>
      </c>
      <c r="W803">
        <v>3.93</v>
      </c>
      <c r="X803">
        <v>5</v>
      </c>
      <c r="Y803" s="1">
        <f>EV_Data4[[#This Row],[range_miles]]/EV_Data4[[#This Row],[battery_capacity_kwh]]</f>
        <v>3.736842105263158</v>
      </c>
      <c r="Z803" s="4">
        <f>EV_Data4[[#This Row],[price_usd]]/EV_Data4[[#This Row],[range_miles]]</f>
        <v>134.28510563380283</v>
      </c>
      <c r="AA803" s="2">
        <f>(EV_Data4[[#This Row],[customer_rating]]*EV_Data4[[#This Row],[safety_rating]]*1000)/EV_Data4[[#This Row],[price_usd]]</f>
        <v>0.5152480650665221</v>
      </c>
      <c r="AB803">
        <f>EV_Data4[[#This Row],[horsepower]]+EV_Data4[[#This Row],[torque_nm]]/EV_Data4[[#This Row],[acceleration_0_60_mph]]</f>
        <v>251</v>
      </c>
      <c r="AC803" t="str">
        <f>IF(EV_Data4[[#This Row],[price_usd]]&gt;=80000,"Luxury",IF(EV_Data4[[#This Row],[price_usd]]&gt;=40000,"Mid-Range","Budget"))</f>
        <v>Budget</v>
      </c>
      <c r="AD803" t="str">
        <f>IF(EV_Data4[[#This Row],[range_miles]]&gt;=350,"Long-Range",IF(EV_Data4[[#This Row],[range_miles]]&gt;=250,"Medium-Range","Short-Range"))</f>
        <v>Medium-Range</v>
      </c>
      <c r="AE803" t="str">
        <f>IF(EV_Data4[[#This Row],[charging_speed_kw]]&gt;=250,"Ultra-Fast",IF(EV_Data4[[#This Row],[charging_speed_kw]]&gt;=150,"Fast-Charging","Standard-Charging"))</f>
        <v>Fast-Charging</v>
      </c>
      <c r="AF803" t="str">
        <f>IF(EV_Data4[[#This Row],[acceleration_0_60_mph]]&lt;=3,"SportsPerformance",IF(EV_Data4[[#This Row],[acceleration_0_60_mph]]&lt;=5,"HighPerformance","Standard"))</f>
        <v>Standard</v>
      </c>
      <c r="AG803" t="str">
        <f>IF(EV_Data4[[#This Row],[customer_rating]]&gt;=4.5,"Excellent",IF(EV_Data4[[#This Row],[customer_rating]]&gt;=3.5,"Good","Average"))</f>
        <v>Good</v>
      </c>
      <c r="AH80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04" spans="1:34" x14ac:dyDescent="0.3">
      <c r="A804" t="s">
        <v>42</v>
      </c>
      <c r="B804" t="s">
        <v>43</v>
      </c>
      <c r="C804">
        <v>2024</v>
      </c>
      <c r="D804" t="s">
        <v>33</v>
      </c>
      <c r="E804" s="3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27</v>
      </c>
      <c r="N804">
        <v>5</v>
      </c>
      <c r="O804" t="s">
        <v>35</v>
      </c>
      <c r="P804">
        <v>36.9</v>
      </c>
      <c r="Q804">
        <v>1586</v>
      </c>
      <c r="R804">
        <v>5</v>
      </c>
      <c r="S804">
        <v>0</v>
      </c>
      <c r="T804" t="s">
        <v>45</v>
      </c>
      <c r="U804" t="s">
        <v>33</v>
      </c>
      <c r="V804" s="3">
        <v>78422</v>
      </c>
      <c r="W804">
        <v>3.48</v>
      </c>
      <c r="X804">
        <v>5</v>
      </c>
      <c r="Y804" s="1">
        <f>EV_Data4[[#This Row],[range_miles]]/EV_Data4[[#This Row],[battery_capacity_kwh]]</f>
        <v>3.7138508371385082</v>
      </c>
      <c r="Z804" s="4">
        <f>EV_Data4[[#This Row],[price_usd]]/EV_Data4[[#This Row],[range_miles]]</f>
        <v>298.76573770491802</v>
      </c>
      <c r="AA804" s="2">
        <f>(EV_Data4[[#This Row],[customer_rating]]*EV_Data4[[#This Row],[safety_rating]]*1000)/EV_Data4[[#This Row],[price_usd]]</f>
        <v>0.23868692560814411</v>
      </c>
      <c r="AB804">
        <f>EV_Data4[[#This Row],[horsepower]]+EV_Data4[[#This Row],[torque_nm]]/EV_Data4[[#This Row],[acceleration_0_60_mph]]</f>
        <v>972.04411764705878</v>
      </c>
      <c r="AC804" t="str">
        <f>IF(EV_Data4[[#This Row],[price_usd]]&gt;=80000,"Luxury",IF(EV_Data4[[#This Row],[price_usd]]&gt;=40000,"Mid-Range","Budget"))</f>
        <v>Mid-Range</v>
      </c>
      <c r="AD804" t="str">
        <f>IF(EV_Data4[[#This Row],[range_miles]]&gt;=350,"Long-Range",IF(EV_Data4[[#This Row],[range_miles]]&gt;=250,"Medium-Range","Short-Range"))</f>
        <v>Short-Range</v>
      </c>
      <c r="AE804" t="str">
        <f>IF(EV_Data4[[#This Row],[charging_speed_kw]]&gt;=250,"Ultra-Fast",IF(EV_Data4[[#This Row],[charging_speed_kw]]&gt;=150,"Fast-Charging","Standard-Charging"))</f>
        <v>Standard-Charging</v>
      </c>
      <c r="AF804" t="str">
        <f>IF(EV_Data4[[#This Row],[acceleration_0_60_mph]]&lt;=3,"SportsPerformance",IF(EV_Data4[[#This Row],[acceleration_0_60_mph]]&lt;=5,"HighPerformance","Standard"))</f>
        <v>Standard</v>
      </c>
      <c r="AG804" t="str">
        <f>IF(EV_Data4[[#This Row],[customer_rating]]&gt;=4.5,"Excellent",IF(EV_Data4[[#This Row],[customer_rating]]&gt;=3.5,"Good","Average"))</f>
        <v>Average</v>
      </c>
      <c r="AH80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05" spans="1:34" x14ac:dyDescent="0.3">
      <c r="A805" t="s">
        <v>42</v>
      </c>
      <c r="B805" t="s">
        <v>43</v>
      </c>
      <c r="C805">
        <v>2026</v>
      </c>
      <c r="D805" t="s">
        <v>56</v>
      </c>
      <c r="E805" s="3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48</v>
      </c>
      <c r="N805">
        <v>5</v>
      </c>
      <c r="O805" t="s">
        <v>35</v>
      </c>
      <c r="P805">
        <v>46.5</v>
      </c>
      <c r="Q805">
        <v>1686</v>
      </c>
      <c r="R805">
        <v>5</v>
      </c>
      <c r="S805">
        <v>0</v>
      </c>
      <c r="T805" t="s">
        <v>45</v>
      </c>
      <c r="U805" t="s">
        <v>33</v>
      </c>
      <c r="V805" s="3">
        <v>52716</v>
      </c>
      <c r="W805">
        <v>3</v>
      </c>
      <c r="X805">
        <v>4</v>
      </c>
      <c r="Y805" s="1">
        <f>EV_Data4[[#This Row],[range_miles]]/EV_Data4[[#This Row],[battery_capacity_kwh]]</f>
        <v>2.7725856697819315</v>
      </c>
      <c r="Z805" s="4">
        <f>EV_Data4[[#This Row],[price_usd]]/EV_Data4[[#This Row],[range_miles]]</f>
        <v>406.90792134831463</v>
      </c>
      <c r="AA805" s="2">
        <f>(EV_Data4[[#This Row],[customer_rating]]*EV_Data4[[#This Row],[safety_rating]]*1000)/EV_Data4[[#This Row],[price_usd]]</f>
        <v>0.20709762209129665</v>
      </c>
      <c r="AB805">
        <f>EV_Data4[[#This Row],[horsepower]]+EV_Data4[[#This Row],[torque_nm]]/EV_Data4[[#This Row],[acceleration_0_60_mph]]</f>
        <v>996.43127962085305</v>
      </c>
      <c r="AC805" t="str">
        <f>IF(EV_Data4[[#This Row],[price_usd]]&gt;=80000,"Luxury",IF(EV_Data4[[#This Row],[price_usd]]&gt;=40000,"Mid-Range","Budget"))</f>
        <v>Mid-Range</v>
      </c>
      <c r="AD805" t="str">
        <f>IF(EV_Data4[[#This Row],[range_miles]]&gt;=350,"Long-Range",IF(EV_Data4[[#This Row],[range_miles]]&gt;=250,"Medium-Range","Short-Range"))</f>
        <v>Short-Range</v>
      </c>
      <c r="AE805" t="str">
        <f>IF(EV_Data4[[#This Row],[charging_speed_kw]]&gt;=250,"Ultra-Fast",IF(EV_Data4[[#This Row],[charging_speed_kw]]&gt;=150,"Fast-Charging","Standard-Charging"))</f>
        <v>Standard-Charging</v>
      </c>
      <c r="AF805" t="str">
        <f>IF(EV_Data4[[#This Row],[acceleration_0_60_mph]]&lt;=3,"SportsPerformance",IF(EV_Data4[[#This Row],[acceleration_0_60_mph]]&lt;=5,"HighPerformance","Standard"))</f>
        <v>Standard</v>
      </c>
      <c r="AG805" t="str">
        <f>IF(EV_Data4[[#This Row],[customer_rating]]&gt;=4.5,"Excellent",IF(EV_Data4[[#This Row],[customer_rating]]&gt;=3.5,"Good","Average"))</f>
        <v>Average</v>
      </c>
      <c r="AH80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06" spans="1:34" x14ac:dyDescent="0.3">
      <c r="A806" t="s">
        <v>24</v>
      </c>
      <c r="B806" t="s">
        <v>75</v>
      </c>
      <c r="C806">
        <v>2024</v>
      </c>
      <c r="D806" t="s">
        <v>26</v>
      </c>
      <c r="E806" s="3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27</v>
      </c>
      <c r="N806">
        <v>5</v>
      </c>
      <c r="O806" t="s">
        <v>35</v>
      </c>
      <c r="P806">
        <v>50.4</v>
      </c>
      <c r="Q806">
        <v>2218</v>
      </c>
      <c r="R806">
        <v>4</v>
      </c>
      <c r="S806">
        <v>0</v>
      </c>
      <c r="T806" t="s">
        <v>29</v>
      </c>
      <c r="U806" t="s">
        <v>33</v>
      </c>
      <c r="V806" s="3">
        <v>202441</v>
      </c>
      <c r="W806">
        <v>3.2</v>
      </c>
      <c r="X806">
        <v>3</v>
      </c>
      <c r="Y806" s="1">
        <f>EV_Data4[[#This Row],[range_miles]]/EV_Data4[[#This Row],[battery_capacity_kwh]]</f>
        <v>3.3674775928297058</v>
      </c>
      <c r="Z806" s="4">
        <f>EV_Data4[[#This Row],[price_usd]]/EV_Data4[[#This Row],[range_miles]]</f>
        <v>343.49463878326998</v>
      </c>
      <c r="AA806" s="2">
        <f>(EV_Data4[[#This Row],[customer_rating]]*EV_Data4[[#This Row],[safety_rating]]*1000)/EV_Data4[[#This Row],[price_usd]]</f>
        <v>0.14168838760718092</v>
      </c>
      <c r="AB806">
        <f>EV_Data4[[#This Row],[horsepower]]+EV_Data4[[#This Row],[torque_nm]]/EV_Data4[[#This Row],[acceleration_0_60_mph]]</f>
        <v>1190.1284403669724</v>
      </c>
      <c r="AC806" t="str">
        <f>IF(EV_Data4[[#This Row],[price_usd]]&gt;=80000,"Luxury",IF(EV_Data4[[#This Row],[price_usd]]&gt;=40000,"Mid-Range","Budget"))</f>
        <v>Luxury</v>
      </c>
      <c r="AD806" t="str">
        <f>IF(EV_Data4[[#This Row],[range_miles]]&gt;=350,"Long-Range",IF(EV_Data4[[#This Row],[range_miles]]&gt;=250,"Medium-Range","Short-Range"))</f>
        <v>Medium-Range</v>
      </c>
      <c r="AE806" t="str">
        <f>IF(EV_Data4[[#This Row],[charging_speed_kw]]&gt;=250,"Ultra-Fast",IF(EV_Data4[[#This Row],[charging_speed_kw]]&gt;=150,"Fast-Charging","Standard-Charging"))</f>
        <v>Fast-Charging</v>
      </c>
      <c r="AF806" t="str">
        <f>IF(EV_Data4[[#This Row],[acceleration_0_60_mph]]&lt;=3,"SportsPerformance",IF(EV_Data4[[#This Row],[acceleration_0_60_mph]]&lt;=5,"HighPerformance","Standard"))</f>
        <v>HighPerformance</v>
      </c>
      <c r="AG806" t="str">
        <f>IF(EV_Data4[[#This Row],[customer_rating]]&gt;=4.5,"Excellent",IF(EV_Data4[[#This Row],[customer_rating]]&gt;=3.5,"Good","Average"))</f>
        <v>Average</v>
      </c>
      <c r="AH80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07" spans="1:34" x14ac:dyDescent="0.3">
      <c r="A807" t="s">
        <v>38</v>
      </c>
      <c r="B807" t="s">
        <v>101</v>
      </c>
      <c r="C807">
        <v>2024</v>
      </c>
      <c r="D807" t="s">
        <v>61</v>
      </c>
      <c r="E807" s="3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34</v>
      </c>
      <c r="N807">
        <v>7</v>
      </c>
      <c r="O807" t="s">
        <v>28</v>
      </c>
      <c r="P807">
        <v>51</v>
      </c>
      <c r="Q807">
        <v>2854</v>
      </c>
      <c r="R807">
        <v>5</v>
      </c>
      <c r="S807">
        <v>1</v>
      </c>
      <c r="T807" t="s">
        <v>41</v>
      </c>
      <c r="U807" t="s">
        <v>37</v>
      </c>
      <c r="V807" s="3">
        <v>28957</v>
      </c>
      <c r="W807">
        <v>3.15</v>
      </c>
      <c r="X807">
        <v>4</v>
      </c>
      <c r="Y807" s="1">
        <f>EV_Data4[[#This Row],[range_miles]]/EV_Data4[[#This Row],[battery_capacity_kwh]]</f>
        <v>3.7610619469026552</v>
      </c>
      <c r="Z807" s="4">
        <f>EV_Data4[[#This Row],[price_usd]]/EV_Data4[[#This Row],[range_miles]]</f>
        <v>226.64360784313726</v>
      </c>
      <c r="AA807" s="2">
        <f>(EV_Data4[[#This Row],[customer_rating]]*EV_Data4[[#This Row],[safety_rating]]*1000)/EV_Data4[[#This Row],[price_usd]]</f>
        <v>0.27251907287454152</v>
      </c>
      <c r="AB807">
        <f>EV_Data4[[#This Row],[horsepower]]+EV_Data4[[#This Row],[torque_nm]]/EV_Data4[[#This Row],[acceleration_0_60_mph]]</f>
        <v>772.53194263363753</v>
      </c>
      <c r="AC807" t="str">
        <f>IF(EV_Data4[[#This Row],[price_usd]]&gt;=80000,"Luxury",IF(EV_Data4[[#This Row],[price_usd]]&gt;=40000,"Mid-Range","Budget"))</f>
        <v>Mid-Range</v>
      </c>
      <c r="AD807" t="str">
        <f>IF(EV_Data4[[#This Row],[range_miles]]&gt;=350,"Long-Range",IF(EV_Data4[[#This Row],[range_miles]]&gt;=250,"Medium-Range","Short-Range"))</f>
        <v>Medium-Range</v>
      </c>
      <c r="AE807" t="str">
        <f>IF(EV_Data4[[#This Row],[charging_speed_kw]]&gt;=250,"Ultra-Fast",IF(EV_Data4[[#This Row],[charging_speed_kw]]&gt;=150,"Fast-Charging","Standard-Charging"))</f>
        <v>Standard-Charging</v>
      </c>
      <c r="AF807" t="str">
        <f>IF(EV_Data4[[#This Row],[acceleration_0_60_mph]]&lt;=3,"SportsPerformance",IF(EV_Data4[[#This Row],[acceleration_0_60_mph]]&lt;=5,"HighPerformance","Standard"))</f>
        <v>Standard</v>
      </c>
      <c r="AG807" t="str">
        <f>IF(EV_Data4[[#This Row],[customer_rating]]&gt;=4.5,"Excellent",IF(EV_Data4[[#This Row],[customer_rating]]&gt;=3.5,"Good","Average"))</f>
        <v>Average</v>
      </c>
      <c r="AH80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08" spans="1:34" x14ac:dyDescent="0.3">
      <c r="A808" t="s">
        <v>92</v>
      </c>
      <c r="B808" t="s">
        <v>119</v>
      </c>
      <c r="C808">
        <v>2024</v>
      </c>
      <c r="D808" t="s">
        <v>44</v>
      </c>
      <c r="E808" s="3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48</v>
      </c>
      <c r="N808">
        <v>5</v>
      </c>
      <c r="O808" t="s">
        <v>35</v>
      </c>
      <c r="P808">
        <v>63.5</v>
      </c>
      <c r="Q808">
        <v>1845</v>
      </c>
      <c r="R808">
        <v>4</v>
      </c>
      <c r="S808">
        <v>2</v>
      </c>
      <c r="T808" t="s">
        <v>65</v>
      </c>
      <c r="U808" t="s">
        <v>33</v>
      </c>
      <c r="V808" s="3">
        <v>27479</v>
      </c>
      <c r="W808">
        <v>3.57</v>
      </c>
      <c r="X808">
        <v>4</v>
      </c>
      <c r="Y808" s="1">
        <f>EV_Data4[[#This Row],[range_miles]]/EV_Data4[[#This Row],[battery_capacity_kwh]]</f>
        <v>3.457688808007279</v>
      </c>
      <c r="Z808" s="4">
        <f>EV_Data4[[#This Row],[price_usd]]/EV_Data4[[#This Row],[range_miles]]</f>
        <v>262.56686842105262</v>
      </c>
      <c r="AA808" s="2">
        <f>(EV_Data4[[#This Row],[customer_rating]]*EV_Data4[[#This Row],[safety_rating]]*1000)/EV_Data4[[#This Row],[price_usd]]</f>
        <v>0.14312143643408731</v>
      </c>
      <c r="AB808">
        <f>EV_Data4[[#This Row],[horsepower]]+EV_Data4[[#This Row],[torque_nm]]/EV_Data4[[#This Row],[acceleration_0_60_mph]]</f>
        <v>1119.3899613899614</v>
      </c>
      <c r="AC808" t="str">
        <f>IF(EV_Data4[[#This Row],[price_usd]]&gt;=80000,"Luxury",IF(EV_Data4[[#This Row],[price_usd]]&gt;=40000,"Mid-Range","Budget"))</f>
        <v>Luxury</v>
      </c>
      <c r="AD808" t="str">
        <f>IF(EV_Data4[[#This Row],[range_miles]]&gt;=350,"Long-Range",IF(EV_Data4[[#This Row],[range_miles]]&gt;=250,"Medium-Range","Short-Range"))</f>
        <v>Long-Range</v>
      </c>
      <c r="AE808" t="str">
        <f>IF(EV_Data4[[#This Row],[charging_speed_kw]]&gt;=250,"Ultra-Fast",IF(EV_Data4[[#This Row],[charging_speed_kw]]&gt;=150,"Fast-Charging","Standard-Charging"))</f>
        <v>Standard-Charging</v>
      </c>
      <c r="AF808" t="str">
        <f>IF(EV_Data4[[#This Row],[acceleration_0_60_mph]]&lt;=3,"SportsPerformance",IF(EV_Data4[[#This Row],[acceleration_0_60_mph]]&lt;=5,"HighPerformance","Standard"))</f>
        <v>Standard</v>
      </c>
      <c r="AG808" t="str">
        <f>IF(EV_Data4[[#This Row],[customer_rating]]&gt;=4.5,"Excellent",IF(EV_Data4[[#This Row],[customer_rating]]&gt;=3.5,"Good","Average"))</f>
        <v>Good</v>
      </c>
      <c r="AH80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09" spans="1:34" x14ac:dyDescent="0.3">
      <c r="A809" t="s">
        <v>94</v>
      </c>
      <c r="B809" t="s">
        <v>120</v>
      </c>
      <c r="C809">
        <v>2026</v>
      </c>
      <c r="D809" t="s">
        <v>44</v>
      </c>
      <c r="E809" s="3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27</v>
      </c>
      <c r="N809">
        <v>7</v>
      </c>
      <c r="O809" t="s">
        <v>35</v>
      </c>
      <c r="P809">
        <v>58.8</v>
      </c>
      <c r="Q809">
        <v>2158</v>
      </c>
      <c r="R809">
        <v>3</v>
      </c>
      <c r="S809">
        <v>0</v>
      </c>
      <c r="T809" t="s">
        <v>41</v>
      </c>
      <c r="U809" t="s">
        <v>33</v>
      </c>
      <c r="V809" s="3">
        <v>20133</v>
      </c>
      <c r="W809">
        <v>3.71</v>
      </c>
      <c r="X809">
        <v>6</v>
      </c>
      <c r="Y809" s="1">
        <f>EV_Data4[[#This Row],[range_miles]]/EV_Data4[[#This Row],[battery_capacity_kwh]]</f>
        <v>3.2543769309989705</v>
      </c>
      <c r="Z809" s="4">
        <f>EV_Data4[[#This Row],[price_usd]]/EV_Data4[[#This Row],[range_miles]]</f>
        <v>311.90810126582278</v>
      </c>
      <c r="AA809" s="2">
        <f>(EV_Data4[[#This Row],[customer_rating]]*EV_Data4[[#This Row],[safety_rating]]*1000)/EV_Data4[[#This Row],[price_usd]]</f>
        <v>0.11292274501496299</v>
      </c>
      <c r="AB809">
        <f>EV_Data4[[#This Row],[horsepower]]+EV_Data4[[#This Row],[torque_nm]]/EV_Data4[[#This Row],[acceleration_0_60_mph]]</f>
        <v>1169.6969696969697</v>
      </c>
      <c r="AC809" t="str">
        <f>IF(EV_Data4[[#This Row],[price_usd]]&gt;=80000,"Luxury",IF(EV_Data4[[#This Row],[price_usd]]&gt;=40000,"Mid-Range","Budget"))</f>
        <v>Luxury</v>
      </c>
      <c r="AD809" t="str">
        <f>IF(EV_Data4[[#This Row],[range_miles]]&gt;=350,"Long-Range",IF(EV_Data4[[#This Row],[range_miles]]&gt;=250,"Medium-Range","Short-Range"))</f>
        <v>Medium-Range</v>
      </c>
      <c r="AE809" t="str">
        <f>IF(EV_Data4[[#This Row],[charging_speed_kw]]&gt;=250,"Ultra-Fast",IF(EV_Data4[[#This Row],[charging_speed_kw]]&gt;=150,"Fast-Charging","Standard-Charging"))</f>
        <v>Standard-Charging</v>
      </c>
      <c r="AF809" t="str">
        <f>IF(EV_Data4[[#This Row],[acceleration_0_60_mph]]&lt;=3,"SportsPerformance",IF(EV_Data4[[#This Row],[acceleration_0_60_mph]]&lt;=5,"HighPerformance","Standard"))</f>
        <v>Standard</v>
      </c>
      <c r="AG809" t="str">
        <f>IF(EV_Data4[[#This Row],[customer_rating]]&gt;=4.5,"Excellent",IF(EV_Data4[[#This Row],[customer_rating]]&gt;=3.5,"Good","Average"))</f>
        <v>Good</v>
      </c>
      <c r="AH80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10" spans="1:34" x14ac:dyDescent="0.3">
      <c r="A810" t="s">
        <v>24</v>
      </c>
      <c r="B810" t="s">
        <v>25</v>
      </c>
      <c r="C810">
        <v>2025</v>
      </c>
      <c r="D810" t="s">
        <v>33</v>
      </c>
      <c r="E810" s="3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27</v>
      </c>
      <c r="N810">
        <v>5</v>
      </c>
      <c r="O810" t="s">
        <v>51</v>
      </c>
      <c r="P810">
        <v>20.5</v>
      </c>
      <c r="Q810">
        <v>1619</v>
      </c>
      <c r="R810">
        <v>4</v>
      </c>
      <c r="S810">
        <v>0</v>
      </c>
      <c r="T810" t="s">
        <v>29</v>
      </c>
      <c r="U810" t="s">
        <v>37</v>
      </c>
      <c r="V810" s="3">
        <v>299882</v>
      </c>
      <c r="W810">
        <v>3.61</v>
      </c>
      <c r="X810">
        <v>3</v>
      </c>
      <c r="Y810" s="1">
        <f>EV_Data4[[#This Row],[range_miles]]/EV_Data4[[#This Row],[battery_capacity_kwh]]</f>
        <v>3.8495575221238938</v>
      </c>
      <c r="Z810" s="4">
        <f>EV_Data4[[#This Row],[price_usd]]/EV_Data4[[#This Row],[range_miles]]</f>
        <v>173.66716475095785</v>
      </c>
      <c r="AA810" s="2">
        <f>(EV_Data4[[#This Row],[customer_rating]]*EV_Data4[[#This Row],[safety_rating]]*1000)/EV_Data4[[#This Row],[price_usd]]</f>
        <v>0.31857300473248584</v>
      </c>
      <c r="AB810">
        <f>EV_Data4[[#This Row],[horsepower]]+EV_Data4[[#This Row],[torque_nm]]/EV_Data4[[#This Row],[acceleration_0_60_mph]]</f>
        <v>398.87817258883251</v>
      </c>
      <c r="AC810" t="str">
        <f>IF(EV_Data4[[#This Row],[price_usd]]&gt;=80000,"Luxury",IF(EV_Data4[[#This Row],[price_usd]]&gt;=40000,"Mid-Range","Budget"))</f>
        <v>Mid-Range</v>
      </c>
      <c r="AD810" t="str">
        <f>IF(EV_Data4[[#This Row],[range_miles]]&gt;=350,"Long-Range",IF(EV_Data4[[#This Row],[range_miles]]&gt;=250,"Medium-Range","Short-Range"))</f>
        <v>Medium-Range</v>
      </c>
      <c r="AE810" t="str">
        <f>IF(EV_Data4[[#This Row],[charging_speed_kw]]&gt;=250,"Ultra-Fast",IF(EV_Data4[[#This Row],[charging_speed_kw]]&gt;=150,"Fast-Charging","Standard-Charging"))</f>
        <v>Standard-Charging</v>
      </c>
      <c r="AF810" t="str">
        <f>IF(EV_Data4[[#This Row],[acceleration_0_60_mph]]&lt;=3,"SportsPerformance",IF(EV_Data4[[#This Row],[acceleration_0_60_mph]]&lt;=5,"HighPerformance","Standard"))</f>
        <v>Standard</v>
      </c>
      <c r="AG810" t="str">
        <f>IF(EV_Data4[[#This Row],[customer_rating]]&gt;=4.5,"Excellent",IF(EV_Data4[[#This Row],[customer_rating]]&gt;=3.5,"Good","Average"))</f>
        <v>Good</v>
      </c>
      <c r="AH81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11" spans="1:34" x14ac:dyDescent="0.3">
      <c r="A811" t="s">
        <v>46</v>
      </c>
      <c r="B811" t="s">
        <v>49</v>
      </c>
      <c r="C811">
        <v>2023</v>
      </c>
      <c r="D811" t="s">
        <v>61</v>
      </c>
      <c r="E811" s="3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48</v>
      </c>
      <c r="N811">
        <v>7</v>
      </c>
      <c r="O811" t="s">
        <v>35</v>
      </c>
      <c r="P811">
        <v>47.3</v>
      </c>
      <c r="Q811">
        <v>1900</v>
      </c>
      <c r="R811">
        <v>5</v>
      </c>
      <c r="S811">
        <v>2</v>
      </c>
      <c r="T811" t="s">
        <v>41</v>
      </c>
      <c r="U811" t="s">
        <v>30</v>
      </c>
      <c r="V811" s="3">
        <v>472436</v>
      </c>
      <c r="W811">
        <v>3.4</v>
      </c>
      <c r="X811">
        <v>4</v>
      </c>
      <c r="Y811" s="1">
        <f>EV_Data4[[#This Row],[range_miles]]/EV_Data4[[#This Row],[battery_capacity_kwh]]</f>
        <v>3.7173913043478262</v>
      </c>
      <c r="Z811" s="4">
        <f>EV_Data4[[#This Row],[price_usd]]/EV_Data4[[#This Row],[range_miles]]</f>
        <v>589.22988304093565</v>
      </c>
      <c r="AA811" s="2">
        <f>(EV_Data4[[#This Row],[customer_rating]]*EV_Data4[[#This Row],[safety_rating]]*1000)/EV_Data4[[#This Row],[price_usd]]</f>
        <v>0.16872057500765941</v>
      </c>
      <c r="AB811">
        <f>EV_Data4[[#This Row],[horsepower]]+EV_Data4[[#This Row],[torque_nm]]/EV_Data4[[#This Row],[acceleration_0_60_mph]]</f>
        <v>919.52826510721252</v>
      </c>
      <c r="AC811" t="str">
        <f>IF(EV_Data4[[#This Row],[price_usd]]&gt;=80000,"Luxury",IF(EV_Data4[[#This Row],[price_usd]]&gt;=40000,"Mid-Range","Budget"))</f>
        <v>Luxury</v>
      </c>
      <c r="AD811" t="str">
        <f>IF(EV_Data4[[#This Row],[range_miles]]&gt;=350,"Long-Range",IF(EV_Data4[[#This Row],[range_miles]]&gt;=250,"Medium-Range","Short-Range"))</f>
        <v>Short-Range</v>
      </c>
      <c r="AE811" t="str">
        <f>IF(EV_Data4[[#This Row],[charging_speed_kw]]&gt;=250,"Ultra-Fast",IF(EV_Data4[[#This Row],[charging_speed_kw]]&gt;=150,"Fast-Charging","Standard-Charging"))</f>
        <v>Ultra-Fast</v>
      </c>
      <c r="AF811" t="str">
        <f>IF(EV_Data4[[#This Row],[acceleration_0_60_mph]]&lt;=3,"SportsPerformance",IF(EV_Data4[[#This Row],[acceleration_0_60_mph]]&lt;=5,"HighPerformance","Standard"))</f>
        <v>Standard</v>
      </c>
      <c r="AG811" t="str">
        <f>IF(EV_Data4[[#This Row],[customer_rating]]&gt;=4.5,"Excellent",IF(EV_Data4[[#This Row],[customer_rating]]&gt;=3.5,"Good","Average"))</f>
        <v>Average</v>
      </c>
      <c r="AH81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12" spans="1:34" x14ac:dyDescent="0.3">
      <c r="A812" t="s">
        <v>99</v>
      </c>
      <c r="B812" t="s">
        <v>100</v>
      </c>
      <c r="C812">
        <v>2025</v>
      </c>
      <c r="D812" t="s">
        <v>61</v>
      </c>
      <c r="E812" s="3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27</v>
      </c>
      <c r="N812">
        <v>7</v>
      </c>
      <c r="O812" t="s">
        <v>51</v>
      </c>
      <c r="P812">
        <v>17.2</v>
      </c>
      <c r="Q812">
        <v>1665</v>
      </c>
      <c r="R812">
        <v>4</v>
      </c>
      <c r="S812">
        <v>0</v>
      </c>
      <c r="T812" t="s">
        <v>29</v>
      </c>
      <c r="U812" t="s">
        <v>30</v>
      </c>
      <c r="V812" s="3">
        <v>21608</v>
      </c>
      <c r="W812">
        <v>3.85</v>
      </c>
      <c r="X812">
        <v>6</v>
      </c>
      <c r="Y812" s="1">
        <f>EV_Data4[[#This Row],[range_miles]]/EV_Data4[[#This Row],[battery_capacity_kwh]]</f>
        <v>3.7900128040973113</v>
      </c>
      <c r="Z812" s="4">
        <f>EV_Data4[[#This Row],[price_usd]]/EV_Data4[[#This Row],[range_miles]]</f>
        <v>627.69124999999997</v>
      </c>
      <c r="AA812" s="2">
        <f>(EV_Data4[[#This Row],[customer_rating]]*EV_Data4[[#This Row],[safety_rating]]*1000)/EV_Data4[[#This Row],[price_usd]]</f>
        <v>8.2886334686084973E-2</v>
      </c>
      <c r="AB812">
        <f>EV_Data4[[#This Row],[horsepower]]+EV_Data4[[#This Row],[torque_nm]]/EV_Data4[[#This Row],[acceleration_0_60_mph]]</f>
        <v>1120.4932735426009</v>
      </c>
      <c r="AC812" t="str">
        <f>IF(EV_Data4[[#This Row],[price_usd]]&gt;=80000,"Luxury",IF(EV_Data4[[#This Row],[price_usd]]&gt;=40000,"Mid-Range","Budget"))</f>
        <v>Luxury</v>
      </c>
      <c r="AD812" t="str">
        <f>IF(EV_Data4[[#This Row],[range_miles]]&gt;=350,"Long-Range",IF(EV_Data4[[#This Row],[range_miles]]&gt;=250,"Medium-Range","Short-Range"))</f>
        <v>Medium-Range</v>
      </c>
      <c r="AE812" t="str">
        <f>IF(EV_Data4[[#This Row],[charging_speed_kw]]&gt;=250,"Ultra-Fast",IF(EV_Data4[[#This Row],[charging_speed_kw]]&gt;=150,"Fast-Charging","Standard-Charging"))</f>
        <v>Fast-Charging</v>
      </c>
      <c r="AF812" t="str">
        <f>IF(EV_Data4[[#This Row],[acceleration_0_60_mph]]&lt;=3,"SportsPerformance",IF(EV_Data4[[#This Row],[acceleration_0_60_mph]]&lt;=5,"HighPerformance","Standard"))</f>
        <v>Standard</v>
      </c>
      <c r="AG812" t="str">
        <f>IF(EV_Data4[[#This Row],[customer_rating]]&gt;=4.5,"Excellent",IF(EV_Data4[[#This Row],[customer_rating]]&gt;=3.5,"Good","Average"))</f>
        <v>Good</v>
      </c>
      <c r="AH81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13" spans="1:34" x14ac:dyDescent="0.3">
      <c r="A813" t="s">
        <v>52</v>
      </c>
      <c r="B813" t="s">
        <v>62</v>
      </c>
      <c r="C813">
        <v>2025</v>
      </c>
      <c r="D813" t="s">
        <v>44</v>
      </c>
      <c r="E813" s="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27</v>
      </c>
      <c r="N813">
        <v>5</v>
      </c>
      <c r="O813" t="s">
        <v>51</v>
      </c>
      <c r="P813">
        <v>31.6</v>
      </c>
      <c r="Q813">
        <v>1500</v>
      </c>
      <c r="R813">
        <v>5</v>
      </c>
      <c r="S813">
        <v>2</v>
      </c>
      <c r="T813" t="s">
        <v>29</v>
      </c>
      <c r="U813" t="s">
        <v>33</v>
      </c>
      <c r="V813" s="3">
        <v>48573</v>
      </c>
      <c r="W813">
        <v>3.82</v>
      </c>
      <c r="X813">
        <v>5</v>
      </c>
      <c r="Y813" s="1">
        <f>EV_Data4[[#This Row],[range_miles]]/EV_Data4[[#This Row],[battery_capacity_kwh]]</f>
        <v>3.4451612903225808</v>
      </c>
      <c r="Z813" s="4">
        <f>EV_Data4[[#This Row],[price_usd]]/EV_Data4[[#This Row],[range_miles]]</f>
        <v>354.29411985018726</v>
      </c>
      <c r="AA813" s="2">
        <f>(EV_Data4[[#This Row],[customer_rating]]*EV_Data4[[#This Row],[safety_rating]]*1000)/EV_Data4[[#This Row],[price_usd]]</f>
        <v>0.2019101546325219</v>
      </c>
      <c r="AB813">
        <f>EV_Data4[[#This Row],[horsepower]]+EV_Data4[[#This Row],[torque_nm]]/EV_Data4[[#This Row],[acceleration_0_60_mph]]</f>
        <v>582.70781893004119</v>
      </c>
      <c r="AC813" t="str">
        <f>IF(EV_Data4[[#This Row],[price_usd]]&gt;=80000,"Luxury",IF(EV_Data4[[#This Row],[price_usd]]&gt;=40000,"Mid-Range","Budget"))</f>
        <v>Luxury</v>
      </c>
      <c r="AD813" t="str">
        <f>IF(EV_Data4[[#This Row],[range_miles]]&gt;=350,"Long-Range",IF(EV_Data4[[#This Row],[range_miles]]&gt;=250,"Medium-Range","Short-Range"))</f>
        <v>Medium-Range</v>
      </c>
      <c r="AE813" t="str">
        <f>IF(EV_Data4[[#This Row],[charging_speed_kw]]&gt;=250,"Ultra-Fast",IF(EV_Data4[[#This Row],[charging_speed_kw]]&gt;=150,"Fast-Charging","Standard-Charging"))</f>
        <v>Standard-Charging</v>
      </c>
      <c r="AF813" t="str">
        <f>IF(EV_Data4[[#This Row],[acceleration_0_60_mph]]&lt;=3,"SportsPerformance",IF(EV_Data4[[#This Row],[acceleration_0_60_mph]]&lt;=5,"HighPerformance","Standard"))</f>
        <v>HighPerformance</v>
      </c>
      <c r="AG813" t="str">
        <f>IF(EV_Data4[[#This Row],[customer_rating]]&gt;=4.5,"Excellent",IF(EV_Data4[[#This Row],[customer_rating]]&gt;=3.5,"Good","Average"))</f>
        <v>Good</v>
      </c>
      <c r="AH81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14" spans="1:34" x14ac:dyDescent="0.3">
      <c r="A814" t="s">
        <v>46</v>
      </c>
      <c r="B814" t="s">
        <v>57</v>
      </c>
      <c r="C814">
        <v>2021</v>
      </c>
      <c r="D814" t="s">
        <v>33</v>
      </c>
      <c r="E814" s="3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27</v>
      </c>
      <c r="N814">
        <v>5</v>
      </c>
      <c r="O814" t="s">
        <v>40</v>
      </c>
      <c r="P814">
        <v>65.7</v>
      </c>
      <c r="Q814">
        <v>1524</v>
      </c>
      <c r="R814">
        <v>4</v>
      </c>
      <c r="S814">
        <v>2</v>
      </c>
      <c r="T814" t="s">
        <v>41</v>
      </c>
      <c r="U814" t="s">
        <v>30</v>
      </c>
      <c r="V814" s="3">
        <v>201131</v>
      </c>
      <c r="W814">
        <v>3.9</v>
      </c>
      <c r="X814">
        <v>5</v>
      </c>
      <c r="Y814" s="1">
        <f>EV_Data4[[#This Row],[range_miles]]/EV_Data4[[#This Row],[battery_capacity_kwh]]</f>
        <v>3.3050847457627119</v>
      </c>
      <c r="Z814" s="4">
        <f>EV_Data4[[#This Row],[price_usd]]/EV_Data4[[#This Row],[range_miles]]</f>
        <v>396.00384615384615</v>
      </c>
      <c r="AA814" s="2">
        <f>(EV_Data4[[#This Row],[customer_rating]]*EV_Data4[[#This Row],[safety_rating]]*1000)/EV_Data4[[#This Row],[price_usd]]</f>
        <v>0.14429874279720337</v>
      </c>
      <c r="AB814">
        <f>EV_Data4[[#This Row],[horsepower]]+EV_Data4[[#This Row],[torque_nm]]/EV_Data4[[#This Row],[acceleration_0_60_mph]]</f>
        <v>824.2783505154639</v>
      </c>
      <c r="AC814" t="str">
        <f>IF(EV_Data4[[#This Row],[price_usd]]&gt;=80000,"Luxury",IF(EV_Data4[[#This Row],[price_usd]]&gt;=40000,"Mid-Range","Budget"))</f>
        <v>Luxury</v>
      </c>
      <c r="AD814" t="str">
        <f>IF(EV_Data4[[#This Row],[range_miles]]&gt;=350,"Long-Range",IF(EV_Data4[[#This Row],[range_miles]]&gt;=250,"Medium-Range","Short-Range"))</f>
        <v>Medium-Range</v>
      </c>
      <c r="AE814" t="str">
        <f>IF(EV_Data4[[#This Row],[charging_speed_kw]]&gt;=250,"Ultra-Fast",IF(EV_Data4[[#This Row],[charging_speed_kw]]&gt;=150,"Fast-Charging","Standard-Charging"))</f>
        <v>Ultra-Fast</v>
      </c>
      <c r="AF814" t="str">
        <f>IF(EV_Data4[[#This Row],[acceleration_0_60_mph]]&lt;=3,"SportsPerformance",IF(EV_Data4[[#This Row],[acceleration_0_60_mph]]&lt;=5,"HighPerformance","Standard"))</f>
        <v>Standard</v>
      </c>
      <c r="AG814" t="str">
        <f>IF(EV_Data4[[#This Row],[customer_rating]]&gt;=4.5,"Excellent",IF(EV_Data4[[#This Row],[customer_rating]]&gt;=3.5,"Good","Average"))</f>
        <v>Good</v>
      </c>
      <c r="AH81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15" spans="1:34" x14ac:dyDescent="0.3">
      <c r="A815" t="s">
        <v>94</v>
      </c>
      <c r="B815" t="s">
        <v>120</v>
      </c>
      <c r="C815">
        <v>2025</v>
      </c>
      <c r="D815" t="s">
        <v>56</v>
      </c>
      <c r="E815" s="3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27</v>
      </c>
      <c r="N815">
        <v>7</v>
      </c>
      <c r="O815" t="s">
        <v>28</v>
      </c>
      <c r="P815">
        <v>67.2</v>
      </c>
      <c r="Q815">
        <v>2460</v>
      </c>
      <c r="R815">
        <v>5</v>
      </c>
      <c r="S815">
        <v>0</v>
      </c>
      <c r="T815" t="s">
        <v>41</v>
      </c>
      <c r="U815" t="s">
        <v>33</v>
      </c>
      <c r="V815" s="3">
        <v>21177</v>
      </c>
      <c r="W815">
        <v>3.42</v>
      </c>
      <c r="X815">
        <v>5</v>
      </c>
      <c r="Y815" s="1">
        <f>EV_Data4[[#This Row],[range_miles]]/EV_Data4[[#This Row],[battery_capacity_kwh]]</f>
        <v>3.0413223140495869</v>
      </c>
      <c r="Z815" s="4">
        <f>EV_Data4[[#This Row],[price_usd]]/EV_Data4[[#This Row],[range_miles]]</f>
        <v>431.78054347826082</v>
      </c>
      <c r="AA815" s="2">
        <f>(EV_Data4[[#This Row],[customer_rating]]*EV_Data4[[#This Row],[safety_rating]]*1000)/EV_Data4[[#This Row],[price_usd]]</f>
        <v>0.21523615181927414</v>
      </c>
      <c r="AB815">
        <f>EV_Data4[[#This Row],[horsepower]]+EV_Data4[[#This Row],[torque_nm]]/EV_Data4[[#This Row],[acceleration_0_60_mph]]</f>
        <v>709.0514579759863</v>
      </c>
      <c r="AC815" t="str">
        <f>IF(EV_Data4[[#This Row],[price_usd]]&gt;=80000,"Luxury",IF(EV_Data4[[#This Row],[price_usd]]&gt;=40000,"Mid-Range","Budget"))</f>
        <v>Mid-Range</v>
      </c>
      <c r="AD815" t="str">
        <f>IF(EV_Data4[[#This Row],[range_miles]]&gt;=350,"Long-Range",IF(EV_Data4[[#This Row],[range_miles]]&gt;=250,"Medium-Range","Short-Range"))</f>
        <v>Short-Range</v>
      </c>
      <c r="AE815" t="str">
        <f>IF(EV_Data4[[#This Row],[charging_speed_kw]]&gt;=250,"Ultra-Fast",IF(EV_Data4[[#This Row],[charging_speed_kw]]&gt;=150,"Fast-Charging","Standard-Charging"))</f>
        <v>Standard-Charging</v>
      </c>
      <c r="AF815" t="str">
        <f>IF(EV_Data4[[#This Row],[acceleration_0_60_mph]]&lt;=3,"SportsPerformance",IF(EV_Data4[[#This Row],[acceleration_0_60_mph]]&lt;=5,"HighPerformance","Standard"))</f>
        <v>Standard</v>
      </c>
      <c r="AG815" t="str">
        <f>IF(EV_Data4[[#This Row],[customer_rating]]&gt;=4.5,"Excellent",IF(EV_Data4[[#This Row],[customer_rating]]&gt;=3.5,"Good","Average"))</f>
        <v>Average</v>
      </c>
      <c r="AH81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16" spans="1:34" x14ac:dyDescent="0.3">
      <c r="A816" t="s">
        <v>52</v>
      </c>
      <c r="B816" t="s">
        <v>97</v>
      </c>
      <c r="C816">
        <v>2026</v>
      </c>
      <c r="D816" t="s">
        <v>33</v>
      </c>
      <c r="E816" s="3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27</v>
      </c>
      <c r="N816">
        <v>5</v>
      </c>
      <c r="O816" t="s">
        <v>40</v>
      </c>
      <c r="P816">
        <v>60.1</v>
      </c>
      <c r="Q816">
        <v>1500</v>
      </c>
      <c r="R816">
        <v>5</v>
      </c>
      <c r="S816">
        <v>1</v>
      </c>
      <c r="T816" t="s">
        <v>29</v>
      </c>
      <c r="U816" t="s">
        <v>30</v>
      </c>
      <c r="V816" s="3">
        <v>37405</v>
      </c>
      <c r="W816">
        <v>3.71</v>
      </c>
      <c r="X816">
        <v>6</v>
      </c>
      <c r="Y816" s="1">
        <f>EV_Data4[[#This Row],[range_miles]]/EV_Data4[[#This Row],[battery_capacity_kwh]]</f>
        <v>3.7288135593220342</v>
      </c>
      <c r="Z816" s="4">
        <f>EV_Data4[[#This Row],[price_usd]]/EV_Data4[[#This Row],[range_miles]]</f>
        <v>573.46488636363642</v>
      </c>
      <c r="AA816" s="2">
        <f>(EV_Data4[[#This Row],[customer_rating]]*EV_Data4[[#This Row],[safety_rating]]*1000)/EV_Data4[[#This Row],[price_usd]]</f>
        <v>0.12252738255816434</v>
      </c>
      <c r="AB816">
        <f>EV_Data4[[#This Row],[horsepower]]+EV_Data4[[#This Row],[torque_nm]]/EV_Data4[[#This Row],[acceleration_0_60_mph]]</f>
        <v>1146.4898595943837</v>
      </c>
      <c r="AC816" t="str">
        <f>IF(EV_Data4[[#This Row],[price_usd]]&gt;=80000,"Luxury",IF(EV_Data4[[#This Row],[price_usd]]&gt;=40000,"Mid-Range","Budget"))</f>
        <v>Luxury</v>
      </c>
      <c r="AD816" t="str">
        <f>IF(EV_Data4[[#This Row],[range_miles]]&gt;=350,"Long-Range",IF(EV_Data4[[#This Row],[range_miles]]&gt;=250,"Medium-Range","Short-Range"))</f>
        <v>Medium-Range</v>
      </c>
      <c r="AE816" t="str">
        <f>IF(EV_Data4[[#This Row],[charging_speed_kw]]&gt;=250,"Ultra-Fast",IF(EV_Data4[[#This Row],[charging_speed_kw]]&gt;=150,"Fast-Charging","Standard-Charging"))</f>
        <v>Standard-Charging</v>
      </c>
      <c r="AF816" t="str">
        <f>IF(EV_Data4[[#This Row],[acceleration_0_60_mph]]&lt;=3,"SportsPerformance",IF(EV_Data4[[#This Row],[acceleration_0_60_mph]]&lt;=5,"HighPerformance","Standard"))</f>
        <v>Standard</v>
      </c>
      <c r="AG816" t="str">
        <f>IF(EV_Data4[[#This Row],[customer_rating]]&gt;=4.5,"Excellent",IF(EV_Data4[[#This Row],[customer_rating]]&gt;=3.5,"Good","Average"))</f>
        <v>Good</v>
      </c>
      <c r="AH81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17" spans="1:34" x14ac:dyDescent="0.3">
      <c r="A817" t="s">
        <v>68</v>
      </c>
      <c r="B817" t="s">
        <v>109</v>
      </c>
      <c r="C817">
        <v>2025</v>
      </c>
      <c r="D817" t="s">
        <v>61</v>
      </c>
      <c r="E817" s="3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34</v>
      </c>
      <c r="N817">
        <v>5</v>
      </c>
      <c r="O817" t="s">
        <v>28</v>
      </c>
      <c r="P817">
        <v>79.5</v>
      </c>
      <c r="Q817">
        <v>2516</v>
      </c>
      <c r="R817">
        <v>3</v>
      </c>
      <c r="S817">
        <v>1</v>
      </c>
      <c r="T817" t="s">
        <v>45</v>
      </c>
      <c r="U817" t="s">
        <v>66</v>
      </c>
      <c r="V817" s="3">
        <v>76614</v>
      </c>
      <c r="W817">
        <v>3.55</v>
      </c>
      <c r="X817">
        <v>3</v>
      </c>
      <c r="Y817" s="1">
        <f>EV_Data4[[#This Row],[range_miles]]/EV_Data4[[#This Row],[battery_capacity_kwh]]</f>
        <v>3.4137515078407716</v>
      </c>
      <c r="Z817" s="4">
        <f>EV_Data4[[#This Row],[price_usd]]/EV_Data4[[#This Row],[range_miles]]</f>
        <v>106.61685512367491</v>
      </c>
      <c r="AA817" s="2">
        <f>(EV_Data4[[#This Row],[customer_rating]]*EV_Data4[[#This Row],[safety_rating]]*1000)/EV_Data4[[#This Row],[price_usd]]</f>
        <v>0.35296960119737891</v>
      </c>
      <c r="AB817">
        <f>EV_Data4[[#This Row],[horsepower]]+EV_Data4[[#This Row],[torque_nm]]/EV_Data4[[#This Row],[acceleration_0_60_mph]]</f>
        <v>212.74002574002574</v>
      </c>
      <c r="AC817" t="str">
        <f>IF(EV_Data4[[#This Row],[price_usd]]&gt;=80000,"Luxury",IF(EV_Data4[[#This Row],[price_usd]]&gt;=40000,"Mid-Range","Budget"))</f>
        <v>Budget</v>
      </c>
      <c r="AD817" t="str">
        <f>IF(EV_Data4[[#This Row],[range_miles]]&gt;=350,"Long-Range",IF(EV_Data4[[#This Row],[range_miles]]&gt;=250,"Medium-Range","Short-Range"))</f>
        <v>Medium-Range</v>
      </c>
      <c r="AE817" t="str">
        <f>IF(EV_Data4[[#This Row],[charging_speed_kw]]&gt;=250,"Ultra-Fast",IF(EV_Data4[[#This Row],[charging_speed_kw]]&gt;=150,"Fast-Charging","Standard-Charging"))</f>
        <v>Standard-Charging</v>
      </c>
      <c r="AF817" t="str">
        <f>IF(EV_Data4[[#This Row],[acceleration_0_60_mph]]&lt;=3,"SportsPerformance",IF(EV_Data4[[#This Row],[acceleration_0_60_mph]]&lt;=5,"HighPerformance","Standard"))</f>
        <v>Standard</v>
      </c>
      <c r="AG817" t="str">
        <f>IF(EV_Data4[[#This Row],[customer_rating]]&gt;=4.5,"Excellent",IF(EV_Data4[[#This Row],[customer_rating]]&gt;=3.5,"Good","Average"))</f>
        <v>Good</v>
      </c>
      <c r="AH81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18" spans="1:34" x14ac:dyDescent="0.3">
      <c r="A818" t="s">
        <v>42</v>
      </c>
      <c r="B818" t="s">
        <v>54</v>
      </c>
      <c r="C818">
        <v>2024</v>
      </c>
      <c r="D818" t="s">
        <v>26</v>
      </c>
      <c r="E818" s="3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27</v>
      </c>
      <c r="N818">
        <v>5</v>
      </c>
      <c r="O818" t="s">
        <v>51</v>
      </c>
      <c r="P818">
        <v>25</v>
      </c>
      <c r="Q818">
        <v>1629</v>
      </c>
      <c r="R818">
        <v>4</v>
      </c>
      <c r="S818">
        <v>0</v>
      </c>
      <c r="T818" t="s">
        <v>45</v>
      </c>
      <c r="U818" t="s">
        <v>33</v>
      </c>
      <c r="V818" s="3">
        <v>93663</v>
      </c>
      <c r="W818">
        <v>3.44</v>
      </c>
      <c r="X818">
        <v>3</v>
      </c>
      <c r="Y818" s="1">
        <f>EV_Data4[[#This Row],[range_miles]]/EV_Data4[[#This Row],[battery_capacity_kwh]]</f>
        <v>3.5602678571428572</v>
      </c>
      <c r="Z818" s="4">
        <f>EV_Data4[[#This Row],[price_usd]]/EV_Data4[[#This Row],[range_miles]]</f>
        <v>256.31097178683387</v>
      </c>
      <c r="AA818" s="2">
        <f>(EV_Data4[[#This Row],[customer_rating]]*EV_Data4[[#This Row],[safety_rating]]*1000)/EV_Data4[[#This Row],[price_usd]]</f>
        <v>0.16829086924190834</v>
      </c>
      <c r="AB818">
        <f>EV_Data4[[#This Row],[horsepower]]+EV_Data4[[#This Row],[torque_nm]]/EV_Data4[[#This Row],[acceleration_0_60_mph]]</f>
        <v>1244.4594594594594</v>
      </c>
      <c r="AC818" t="str">
        <f>IF(EV_Data4[[#This Row],[price_usd]]&gt;=80000,"Luxury",IF(EV_Data4[[#This Row],[price_usd]]&gt;=40000,"Mid-Range","Budget"))</f>
        <v>Luxury</v>
      </c>
      <c r="AD818" t="str">
        <f>IF(EV_Data4[[#This Row],[range_miles]]&gt;=350,"Long-Range",IF(EV_Data4[[#This Row],[range_miles]]&gt;=250,"Medium-Range","Short-Range"))</f>
        <v>Medium-Range</v>
      </c>
      <c r="AE818" t="str">
        <f>IF(EV_Data4[[#This Row],[charging_speed_kw]]&gt;=250,"Ultra-Fast",IF(EV_Data4[[#This Row],[charging_speed_kw]]&gt;=150,"Fast-Charging","Standard-Charging"))</f>
        <v>Fast-Charging</v>
      </c>
      <c r="AF818" t="str">
        <f>IF(EV_Data4[[#This Row],[acceleration_0_60_mph]]&lt;=3,"SportsPerformance",IF(EV_Data4[[#This Row],[acceleration_0_60_mph]]&lt;=5,"HighPerformance","Standard"))</f>
        <v>HighPerformance</v>
      </c>
      <c r="AG818" t="str">
        <f>IF(EV_Data4[[#This Row],[customer_rating]]&gt;=4.5,"Excellent",IF(EV_Data4[[#This Row],[customer_rating]]&gt;=3.5,"Good","Average"))</f>
        <v>Average</v>
      </c>
      <c r="AH81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19" spans="1:34" x14ac:dyDescent="0.3">
      <c r="A819" t="s">
        <v>24</v>
      </c>
      <c r="B819" t="s">
        <v>25</v>
      </c>
      <c r="C819">
        <v>2026</v>
      </c>
      <c r="D819" t="s">
        <v>44</v>
      </c>
      <c r="E819" s="3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34</v>
      </c>
      <c r="N819">
        <v>5</v>
      </c>
      <c r="O819" t="s">
        <v>50</v>
      </c>
      <c r="P819">
        <v>29.9</v>
      </c>
      <c r="Q819">
        <v>1500</v>
      </c>
      <c r="R819">
        <v>4</v>
      </c>
      <c r="S819">
        <v>0</v>
      </c>
      <c r="T819" t="s">
        <v>29</v>
      </c>
      <c r="U819" t="s">
        <v>37</v>
      </c>
      <c r="V819" s="3">
        <v>252676</v>
      </c>
      <c r="W819">
        <v>3.68</v>
      </c>
      <c r="X819">
        <v>5</v>
      </c>
      <c r="Y819" s="1">
        <f>EV_Data4[[#This Row],[range_miles]]/EV_Data4[[#This Row],[battery_capacity_kwh]]</f>
        <v>3.493621197252208</v>
      </c>
      <c r="Z819" s="4">
        <f>EV_Data4[[#This Row],[price_usd]]/EV_Data4[[#This Row],[range_miles]]</f>
        <v>119.10022471910112</v>
      </c>
      <c r="AA819" s="2">
        <f>(EV_Data4[[#This Row],[customer_rating]]*EV_Data4[[#This Row],[safety_rating]]*1000)/EV_Data4[[#This Row],[price_usd]]</f>
        <v>0.347172431490049</v>
      </c>
      <c r="AB819">
        <f>EV_Data4[[#This Row],[horsepower]]+EV_Data4[[#This Row],[torque_nm]]/EV_Data4[[#This Row],[acceleration_0_60_mph]]</f>
        <v>310.4829659318637</v>
      </c>
      <c r="AC819" t="str">
        <f>IF(EV_Data4[[#This Row],[price_usd]]&gt;=80000,"Luxury",IF(EV_Data4[[#This Row],[price_usd]]&gt;=40000,"Mid-Range","Budget"))</f>
        <v>Mid-Range</v>
      </c>
      <c r="AD819" t="str">
        <f>IF(EV_Data4[[#This Row],[range_miles]]&gt;=350,"Long-Range",IF(EV_Data4[[#This Row],[range_miles]]&gt;=250,"Medium-Range","Short-Range"))</f>
        <v>Long-Range</v>
      </c>
      <c r="AE819" t="str">
        <f>IF(EV_Data4[[#This Row],[charging_speed_kw]]&gt;=250,"Ultra-Fast",IF(EV_Data4[[#This Row],[charging_speed_kw]]&gt;=150,"Fast-Charging","Standard-Charging"))</f>
        <v>Standard-Charging</v>
      </c>
      <c r="AF819" t="str">
        <f>IF(EV_Data4[[#This Row],[acceleration_0_60_mph]]&lt;=3,"SportsPerformance",IF(EV_Data4[[#This Row],[acceleration_0_60_mph]]&lt;=5,"HighPerformance","Standard"))</f>
        <v>HighPerformance</v>
      </c>
      <c r="AG819" t="str">
        <f>IF(EV_Data4[[#This Row],[customer_rating]]&gt;=4.5,"Excellent",IF(EV_Data4[[#This Row],[customer_rating]]&gt;=3.5,"Good","Average"))</f>
        <v>Good</v>
      </c>
      <c r="AH81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20" spans="1:34" x14ac:dyDescent="0.3">
      <c r="A820" t="s">
        <v>46</v>
      </c>
      <c r="B820" t="s">
        <v>78</v>
      </c>
      <c r="C820">
        <v>2022</v>
      </c>
      <c r="D820" t="s">
        <v>61</v>
      </c>
      <c r="E820" s="3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34</v>
      </c>
      <c r="N820">
        <v>5</v>
      </c>
      <c r="O820" t="s">
        <v>50</v>
      </c>
      <c r="P820">
        <v>24.2</v>
      </c>
      <c r="Q820">
        <v>1500</v>
      </c>
      <c r="R820">
        <v>4</v>
      </c>
      <c r="S820">
        <v>2</v>
      </c>
      <c r="T820" t="s">
        <v>41</v>
      </c>
      <c r="U820" t="s">
        <v>33</v>
      </c>
      <c r="V820" s="3">
        <v>144367</v>
      </c>
      <c r="W820">
        <v>3.63</v>
      </c>
      <c r="X820">
        <v>5</v>
      </c>
      <c r="Y820" s="1">
        <f>EV_Data4[[#This Row],[range_miles]]/EV_Data4[[#This Row],[battery_capacity_kwh]]</f>
        <v>3.5603345280764636</v>
      </c>
      <c r="Z820" s="4">
        <f>EV_Data4[[#This Row],[price_usd]]/EV_Data4[[#This Row],[range_miles]]</f>
        <v>329.75124161073825</v>
      </c>
      <c r="AA820" s="2">
        <f>(EV_Data4[[#This Row],[customer_rating]]*EV_Data4[[#This Row],[safety_rating]]*1000)/EV_Data4[[#This Row],[price_usd]]</f>
        <v>0.14776239196783178</v>
      </c>
      <c r="AB820">
        <f>EV_Data4[[#This Row],[horsepower]]+EV_Data4[[#This Row],[torque_nm]]/EV_Data4[[#This Row],[acceleration_0_60_mph]]</f>
        <v>842.19379844961236</v>
      </c>
      <c r="AC820" t="str">
        <f>IF(EV_Data4[[#This Row],[price_usd]]&gt;=80000,"Luxury",IF(EV_Data4[[#This Row],[price_usd]]&gt;=40000,"Mid-Range","Budget"))</f>
        <v>Luxury</v>
      </c>
      <c r="AD820" t="str">
        <f>IF(EV_Data4[[#This Row],[range_miles]]&gt;=350,"Long-Range",IF(EV_Data4[[#This Row],[range_miles]]&gt;=250,"Medium-Range","Short-Range"))</f>
        <v>Medium-Range</v>
      </c>
      <c r="AE820" t="str">
        <f>IF(EV_Data4[[#This Row],[charging_speed_kw]]&gt;=250,"Ultra-Fast",IF(EV_Data4[[#This Row],[charging_speed_kw]]&gt;=150,"Fast-Charging","Standard-Charging"))</f>
        <v>Fast-Charging</v>
      </c>
      <c r="AF820" t="str">
        <f>IF(EV_Data4[[#This Row],[acceleration_0_60_mph]]&lt;=3,"SportsPerformance",IF(EV_Data4[[#This Row],[acceleration_0_60_mph]]&lt;=5,"HighPerformance","Standard"))</f>
        <v>Standard</v>
      </c>
      <c r="AG820" t="str">
        <f>IF(EV_Data4[[#This Row],[customer_rating]]&gt;=4.5,"Excellent",IF(EV_Data4[[#This Row],[customer_rating]]&gt;=3.5,"Good","Average"))</f>
        <v>Good</v>
      </c>
      <c r="AH82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21" spans="1:34" x14ac:dyDescent="0.3">
      <c r="A821" t="s">
        <v>63</v>
      </c>
      <c r="B821" t="s">
        <v>88</v>
      </c>
      <c r="C821">
        <v>2024</v>
      </c>
      <c r="D821" t="s">
        <v>61</v>
      </c>
      <c r="E821" s="3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27</v>
      </c>
      <c r="N821">
        <v>7</v>
      </c>
      <c r="O821" t="s">
        <v>40</v>
      </c>
      <c r="P821">
        <v>60.4</v>
      </c>
      <c r="Q821">
        <v>1921</v>
      </c>
      <c r="R821">
        <v>4</v>
      </c>
      <c r="S821">
        <v>0</v>
      </c>
      <c r="T821" t="s">
        <v>65</v>
      </c>
      <c r="U821" t="s">
        <v>33</v>
      </c>
      <c r="V821" s="3">
        <v>234001</v>
      </c>
      <c r="W821">
        <v>3.55</v>
      </c>
      <c r="X821">
        <v>4</v>
      </c>
      <c r="Y821" s="1">
        <f>EV_Data4[[#This Row],[range_miles]]/EV_Data4[[#This Row],[battery_capacity_kwh]]</f>
        <v>3.5460992907801421</v>
      </c>
      <c r="Z821" s="4">
        <f>EV_Data4[[#This Row],[price_usd]]/EV_Data4[[#This Row],[range_miles]]</f>
        <v>354.23425000000003</v>
      </c>
      <c r="AA821" s="2">
        <f>(EV_Data4[[#This Row],[customer_rating]]*EV_Data4[[#This Row],[safety_rating]]*1000)/EV_Data4[[#This Row],[price_usd]]</f>
        <v>0.20043234102857077</v>
      </c>
      <c r="AB821">
        <f>EV_Data4[[#This Row],[horsepower]]+EV_Data4[[#This Row],[torque_nm]]/EV_Data4[[#This Row],[acceleration_0_60_mph]]</f>
        <v>917.57317073170736</v>
      </c>
      <c r="AC821" t="str">
        <f>IF(EV_Data4[[#This Row],[price_usd]]&gt;=80000,"Luxury",IF(EV_Data4[[#This Row],[price_usd]]&gt;=40000,"Mid-Range","Budget"))</f>
        <v>Mid-Range</v>
      </c>
      <c r="AD821" t="str">
        <f>IF(EV_Data4[[#This Row],[range_miles]]&gt;=350,"Long-Range",IF(EV_Data4[[#This Row],[range_miles]]&gt;=250,"Medium-Range","Short-Range"))</f>
        <v>Short-Range</v>
      </c>
      <c r="AE821" t="str">
        <f>IF(EV_Data4[[#This Row],[charging_speed_kw]]&gt;=250,"Ultra-Fast",IF(EV_Data4[[#This Row],[charging_speed_kw]]&gt;=150,"Fast-Charging","Standard-Charging"))</f>
        <v>Standard-Charging</v>
      </c>
      <c r="AF821" t="str">
        <f>IF(EV_Data4[[#This Row],[acceleration_0_60_mph]]&lt;=3,"SportsPerformance",IF(EV_Data4[[#This Row],[acceleration_0_60_mph]]&lt;=5,"HighPerformance","Standard"))</f>
        <v>Standard</v>
      </c>
      <c r="AG821" t="str">
        <f>IF(EV_Data4[[#This Row],[customer_rating]]&gt;=4.5,"Excellent",IF(EV_Data4[[#This Row],[customer_rating]]&gt;=3.5,"Good","Average"))</f>
        <v>Good</v>
      </c>
      <c r="AH82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22" spans="1:34" x14ac:dyDescent="0.3">
      <c r="A822" t="s">
        <v>76</v>
      </c>
      <c r="B822" t="s">
        <v>98</v>
      </c>
      <c r="C822">
        <v>2023</v>
      </c>
      <c r="D822" t="s">
        <v>26</v>
      </c>
      <c r="E822" s="3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48</v>
      </c>
      <c r="N822">
        <v>5</v>
      </c>
      <c r="O822" t="s">
        <v>40</v>
      </c>
      <c r="P822">
        <v>70.099999999999994</v>
      </c>
      <c r="Q822">
        <v>1650</v>
      </c>
      <c r="R822">
        <v>4</v>
      </c>
      <c r="S822">
        <v>1</v>
      </c>
      <c r="T822" t="s">
        <v>41</v>
      </c>
      <c r="U822" t="s">
        <v>33</v>
      </c>
      <c r="V822" s="3">
        <v>51688</v>
      </c>
      <c r="W822">
        <v>3.3</v>
      </c>
      <c r="X822">
        <v>3</v>
      </c>
      <c r="Y822" s="1">
        <f>EV_Data4[[#This Row],[range_miles]]/EV_Data4[[#This Row],[battery_capacity_kwh]]</f>
        <v>3.7534246575342465</v>
      </c>
      <c r="Z822" s="4">
        <f>EV_Data4[[#This Row],[price_usd]]/EV_Data4[[#This Row],[range_miles]]</f>
        <v>286.52755474452556</v>
      </c>
      <c r="AA822" s="2">
        <f>(EV_Data4[[#This Row],[customer_rating]]*EV_Data4[[#This Row],[safety_rating]]*1000)/EV_Data4[[#This Row],[price_usd]]</f>
        <v>0.16813455349767636</v>
      </c>
      <c r="AB822">
        <f>EV_Data4[[#This Row],[horsepower]]+EV_Data4[[#This Row],[torque_nm]]/EV_Data4[[#This Row],[acceleration_0_60_mph]]</f>
        <v>1207.0962199312714</v>
      </c>
      <c r="AC822" t="str">
        <f>IF(EV_Data4[[#This Row],[price_usd]]&gt;=80000,"Luxury",IF(EV_Data4[[#This Row],[price_usd]]&gt;=40000,"Mid-Range","Budget"))</f>
        <v>Mid-Range</v>
      </c>
      <c r="AD822" t="str">
        <f>IF(EV_Data4[[#This Row],[range_miles]]&gt;=350,"Long-Range",IF(EV_Data4[[#This Row],[range_miles]]&gt;=250,"Medium-Range","Short-Range"))</f>
        <v>Medium-Range</v>
      </c>
      <c r="AE822" t="str">
        <f>IF(EV_Data4[[#This Row],[charging_speed_kw]]&gt;=250,"Ultra-Fast",IF(EV_Data4[[#This Row],[charging_speed_kw]]&gt;=150,"Fast-Charging","Standard-Charging"))</f>
        <v>Fast-Charging</v>
      </c>
      <c r="AF822" t="str">
        <f>IF(EV_Data4[[#This Row],[acceleration_0_60_mph]]&lt;=3,"SportsPerformance",IF(EV_Data4[[#This Row],[acceleration_0_60_mph]]&lt;=5,"HighPerformance","Standard"))</f>
        <v>SportsPerformance</v>
      </c>
      <c r="AG822" t="str">
        <f>IF(EV_Data4[[#This Row],[customer_rating]]&gt;=4.5,"Excellent",IF(EV_Data4[[#This Row],[customer_rating]]&gt;=3.5,"Good","Average"))</f>
        <v>Average</v>
      </c>
      <c r="AH82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23" spans="1:34" x14ac:dyDescent="0.3">
      <c r="A823" t="s">
        <v>46</v>
      </c>
      <c r="B823" t="s">
        <v>72</v>
      </c>
      <c r="C823">
        <v>2022</v>
      </c>
      <c r="D823" t="s">
        <v>33</v>
      </c>
      <c r="E823" s="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27</v>
      </c>
      <c r="N823">
        <v>5</v>
      </c>
      <c r="O823" t="s">
        <v>28</v>
      </c>
      <c r="P823">
        <v>78.2</v>
      </c>
      <c r="Q823">
        <v>1876</v>
      </c>
      <c r="R823">
        <v>5</v>
      </c>
      <c r="S823">
        <v>2</v>
      </c>
      <c r="T823" t="s">
        <v>41</v>
      </c>
      <c r="U823" t="s">
        <v>30</v>
      </c>
      <c r="V823" s="3">
        <v>148718</v>
      </c>
      <c r="W823">
        <v>3.67</v>
      </c>
      <c r="X823">
        <v>6</v>
      </c>
      <c r="Y823" s="1">
        <f>EV_Data4[[#This Row],[range_miles]]/EV_Data4[[#This Row],[battery_capacity_kwh]]</f>
        <v>2.9511278195488719</v>
      </c>
      <c r="Z823" s="4">
        <f>EV_Data4[[#This Row],[price_usd]]/EV_Data4[[#This Row],[range_miles]]</f>
        <v>987.02318471337594</v>
      </c>
      <c r="AA823" s="2">
        <f>(EV_Data4[[#This Row],[customer_rating]]*EV_Data4[[#This Row],[safety_rating]]*1000)/EV_Data4[[#This Row],[price_usd]]</f>
        <v>0.11841563876299474</v>
      </c>
      <c r="AB823">
        <f>EV_Data4[[#This Row],[horsepower]]+EV_Data4[[#This Row],[torque_nm]]/EV_Data4[[#This Row],[acceleration_0_60_mph]]</f>
        <v>1113.4788189987164</v>
      </c>
      <c r="AC823" t="str">
        <f>IF(EV_Data4[[#This Row],[price_usd]]&gt;=80000,"Luxury",IF(EV_Data4[[#This Row],[price_usd]]&gt;=40000,"Mid-Range","Budget"))</f>
        <v>Luxury</v>
      </c>
      <c r="AD823" t="str">
        <f>IF(EV_Data4[[#This Row],[range_miles]]&gt;=350,"Long-Range",IF(EV_Data4[[#This Row],[range_miles]]&gt;=250,"Medium-Range","Short-Range"))</f>
        <v>Short-Range</v>
      </c>
      <c r="AE823" t="str">
        <f>IF(EV_Data4[[#This Row],[charging_speed_kw]]&gt;=250,"Ultra-Fast",IF(EV_Data4[[#This Row],[charging_speed_kw]]&gt;=150,"Fast-Charging","Standard-Charging"))</f>
        <v>Ultra-Fast</v>
      </c>
      <c r="AF823" t="str">
        <f>IF(EV_Data4[[#This Row],[acceleration_0_60_mph]]&lt;=3,"SportsPerformance",IF(EV_Data4[[#This Row],[acceleration_0_60_mph]]&lt;=5,"HighPerformance","Standard"))</f>
        <v>Standard</v>
      </c>
      <c r="AG823" t="str">
        <f>IF(EV_Data4[[#This Row],[customer_rating]]&gt;=4.5,"Excellent",IF(EV_Data4[[#This Row],[customer_rating]]&gt;=3.5,"Good","Average"))</f>
        <v>Good</v>
      </c>
      <c r="AH82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24" spans="1:34" x14ac:dyDescent="0.3">
      <c r="A824" t="s">
        <v>63</v>
      </c>
      <c r="B824" t="s">
        <v>73</v>
      </c>
      <c r="C824">
        <v>2023</v>
      </c>
      <c r="D824" t="s">
        <v>44</v>
      </c>
      <c r="E824" s="3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48</v>
      </c>
      <c r="N824">
        <v>7</v>
      </c>
      <c r="O824" t="s">
        <v>51</v>
      </c>
      <c r="P824">
        <v>29.7</v>
      </c>
      <c r="Q824">
        <v>1693</v>
      </c>
      <c r="R824">
        <v>4</v>
      </c>
      <c r="S824">
        <v>1</v>
      </c>
      <c r="T824" t="s">
        <v>65</v>
      </c>
      <c r="U824" t="s">
        <v>37</v>
      </c>
      <c r="V824" s="3">
        <v>187463</v>
      </c>
      <c r="W824">
        <v>3.67</v>
      </c>
      <c r="X824">
        <v>3</v>
      </c>
      <c r="Y824" s="1">
        <f>EV_Data4[[#This Row],[range_miles]]/EV_Data4[[#This Row],[battery_capacity_kwh]]</f>
        <v>3.5106382978723403</v>
      </c>
      <c r="Z824" s="4">
        <f>EV_Data4[[#This Row],[price_usd]]/EV_Data4[[#This Row],[range_miles]]</f>
        <v>133.58942424242426</v>
      </c>
      <c r="AA824" s="2">
        <f>(EV_Data4[[#This Row],[customer_rating]]*EV_Data4[[#This Row],[safety_rating]]*1000)/EV_Data4[[#This Row],[price_usd]]</f>
        <v>0.33299678277018391</v>
      </c>
      <c r="AB824">
        <f>EV_Data4[[#This Row],[horsepower]]+EV_Data4[[#This Row],[torque_nm]]/EV_Data4[[#This Row],[acceleration_0_60_mph]]</f>
        <v>612.87037037037032</v>
      </c>
      <c r="AC824" t="str">
        <f>IF(EV_Data4[[#This Row],[price_usd]]&gt;=80000,"Luxury",IF(EV_Data4[[#This Row],[price_usd]]&gt;=40000,"Mid-Range","Budget"))</f>
        <v>Mid-Range</v>
      </c>
      <c r="AD824" t="str">
        <f>IF(EV_Data4[[#This Row],[range_miles]]&gt;=350,"Long-Range",IF(EV_Data4[[#This Row],[range_miles]]&gt;=250,"Medium-Range","Short-Range"))</f>
        <v>Medium-Range</v>
      </c>
      <c r="AE824" t="str">
        <f>IF(EV_Data4[[#This Row],[charging_speed_kw]]&gt;=250,"Ultra-Fast",IF(EV_Data4[[#This Row],[charging_speed_kw]]&gt;=150,"Fast-Charging","Standard-Charging"))</f>
        <v>Standard-Charging</v>
      </c>
      <c r="AF824" t="str">
        <f>IF(EV_Data4[[#This Row],[acceleration_0_60_mph]]&lt;=3,"SportsPerformance",IF(EV_Data4[[#This Row],[acceleration_0_60_mph]]&lt;=5,"HighPerformance","Standard"))</f>
        <v>HighPerformance</v>
      </c>
      <c r="AG824" t="str">
        <f>IF(EV_Data4[[#This Row],[customer_rating]]&gt;=4.5,"Excellent",IF(EV_Data4[[#This Row],[customer_rating]]&gt;=3.5,"Good","Average"))</f>
        <v>Good</v>
      </c>
      <c r="AH82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25" spans="1:34" x14ac:dyDescent="0.3">
      <c r="A825" t="s">
        <v>24</v>
      </c>
      <c r="B825" t="s">
        <v>85</v>
      </c>
      <c r="C825">
        <v>2024</v>
      </c>
      <c r="D825" t="s">
        <v>44</v>
      </c>
      <c r="E825" s="3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48</v>
      </c>
      <c r="N825">
        <v>7</v>
      </c>
      <c r="O825" t="s">
        <v>28</v>
      </c>
      <c r="P825">
        <v>71.8</v>
      </c>
      <c r="Q825">
        <v>2639</v>
      </c>
      <c r="R825">
        <v>5</v>
      </c>
      <c r="S825">
        <v>1</v>
      </c>
      <c r="T825" t="s">
        <v>29</v>
      </c>
      <c r="U825" t="s">
        <v>37</v>
      </c>
      <c r="V825" s="3">
        <v>270498</v>
      </c>
      <c r="W825">
        <v>3.37</v>
      </c>
      <c r="X825">
        <v>3</v>
      </c>
      <c r="Y825" s="1">
        <f>EV_Data4[[#This Row],[range_miles]]/EV_Data4[[#This Row],[battery_capacity_kwh]]</f>
        <v>3.8150289017341041</v>
      </c>
      <c r="Z825" s="4">
        <f>EV_Data4[[#This Row],[price_usd]]/EV_Data4[[#This Row],[range_miles]]</f>
        <v>142.54169696969697</v>
      </c>
      <c r="AA825" s="2">
        <f>(EV_Data4[[#This Row],[customer_rating]]*EV_Data4[[#This Row],[safety_rating]]*1000)/EV_Data4[[#This Row],[price_usd]]</f>
        <v>0.35821522506120484</v>
      </c>
      <c r="AB825">
        <f>EV_Data4[[#This Row],[horsepower]]+EV_Data4[[#This Row],[torque_nm]]/EV_Data4[[#This Row],[acceleration_0_60_mph]]</f>
        <v>438.79245283018867</v>
      </c>
      <c r="AC825" t="str">
        <f>IF(EV_Data4[[#This Row],[price_usd]]&gt;=80000,"Luxury",IF(EV_Data4[[#This Row],[price_usd]]&gt;=40000,"Mid-Range","Budget"))</f>
        <v>Mid-Range</v>
      </c>
      <c r="AD825" t="str">
        <f>IF(EV_Data4[[#This Row],[range_miles]]&gt;=350,"Long-Range",IF(EV_Data4[[#This Row],[range_miles]]&gt;=250,"Medium-Range","Short-Range"))</f>
        <v>Medium-Range</v>
      </c>
      <c r="AE825" t="str">
        <f>IF(EV_Data4[[#This Row],[charging_speed_kw]]&gt;=250,"Ultra-Fast",IF(EV_Data4[[#This Row],[charging_speed_kw]]&gt;=150,"Fast-Charging","Standard-Charging"))</f>
        <v>Standard-Charging</v>
      </c>
      <c r="AF825" t="str">
        <f>IF(EV_Data4[[#This Row],[acceleration_0_60_mph]]&lt;=3,"SportsPerformance",IF(EV_Data4[[#This Row],[acceleration_0_60_mph]]&lt;=5,"HighPerformance","Standard"))</f>
        <v>HighPerformance</v>
      </c>
      <c r="AG825" t="str">
        <f>IF(EV_Data4[[#This Row],[customer_rating]]&gt;=4.5,"Excellent",IF(EV_Data4[[#This Row],[customer_rating]]&gt;=3.5,"Good","Average"))</f>
        <v>Average</v>
      </c>
      <c r="AH82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26" spans="1:34" x14ac:dyDescent="0.3">
      <c r="A826" t="s">
        <v>68</v>
      </c>
      <c r="B826" t="s">
        <v>106</v>
      </c>
      <c r="C826">
        <v>2025</v>
      </c>
      <c r="D826" t="s">
        <v>44</v>
      </c>
      <c r="E826" s="3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34</v>
      </c>
      <c r="N826">
        <v>5</v>
      </c>
      <c r="O826" t="s">
        <v>58</v>
      </c>
      <c r="P826">
        <v>22.8</v>
      </c>
      <c r="Q826">
        <v>1672</v>
      </c>
      <c r="R826">
        <v>3</v>
      </c>
      <c r="S826">
        <v>1</v>
      </c>
      <c r="T826" t="s">
        <v>45</v>
      </c>
      <c r="U826" t="s">
        <v>37</v>
      </c>
      <c r="V826" s="3">
        <v>54316</v>
      </c>
      <c r="W826">
        <v>3.5</v>
      </c>
      <c r="X826">
        <v>5</v>
      </c>
      <c r="Y826" s="1">
        <f>EV_Data4[[#This Row],[range_miles]]/EV_Data4[[#This Row],[battery_capacity_kwh]]</f>
        <v>3.4320987654320989</v>
      </c>
      <c r="Z826" s="4">
        <f>EV_Data4[[#This Row],[price_usd]]/EV_Data4[[#This Row],[range_miles]]</f>
        <v>183.15003597122302</v>
      </c>
      <c r="AA826" s="2">
        <f>(EV_Data4[[#This Row],[customer_rating]]*EV_Data4[[#This Row],[safety_rating]]*1000)/EV_Data4[[#This Row],[price_usd]]</f>
        <v>0.20622318730309369</v>
      </c>
      <c r="AB826">
        <f>EV_Data4[[#This Row],[horsepower]]+EV_Data4[[#This Row],[torque_nm]]/EV_Data4[[#This Row],[acceleration_0_60_mph]]</f>
        <v>633.7070217917676</v>
      </c>
      <c r="AC826" t="str">
        <f>IF(EV_Data4[[#This Row],[price_usd]]&gt;=80000,"Luxury",IF(EV_Data4[[#This Row],[price_usd]]&gt;=40000,"Mid-Range","Budget"))</f>
        <v>Mid-Range</v>
      </c>
      <c r="AD826" t="str">
        <f>IF(EV_Data4[[#This Row],[range_miles]]&gt;=350,"Long-Range",IF(EV_Data4[[#This Row],[range_miles]]&gt;=250,"Medium-Range","Short-Range"))</f>
        <v>Medium-Range</v>
      </c>
      <c r="AE826" t="str">
        <f>IF(EV_Data4[[#This Row],[charging_speed_kw]]&gt;=250,"Ultra-Fast",IF(EV_Data4[[#This Row],[charging_speed_kw]]&gt;=150,"Fast-Charging","Standard-Charging"))</f>
        <v>Standard-Charging</v>
      </c>
      <c r="AF826" t="str">
        <f>IF(EV_Data4[[#This Row],[acceleration_0_60_mph]]&lt;=3,"SportsPerformance",IF(EV_Data4[[#This Row],[acceleration_0_60_mph]]&lt;=5,"HighPerformance","Standard"))</f>
        <v>HighPerformance</v>
      </c>
      <c r="AG826" t="str">
        <f>IF(EV_Data4[[#This Row],[customer_rating]]&gt;=4.5,"Excellent",IF(EV_Data4[[#This Row],[customer_rating]]&gt;=3.5,"Good","Average"))</f>
        <v>Good</v>
      </c>
      <c r="AH82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27" spans="1:34" x14ac:dyDescent="0.3">
      <c r="A827" t="s">
        <v>94</v>
      </c>
      <c r="B827" t="s">
        <v>128</v>
      </c>
      <c r="C827">
        <v>2022</v>
      </c>
      <c r="D827" t="s">
        <v>56</v>
      </c>
      <c r="E827" s="3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48</v>
      </c>
      <c r="N827">
        <v>7</v>
      </c>
      <c r="O827" t="s">
        <v>35</v>
      </c>
      <c r="P827">
        <v>46.2</v>
      </c>
      <c r="Q827">
        <v>2128</v>
      </c>
      <c r="R827">
        <v>5</v>
      </c>
      <c r="S827">
        <v>1</v>
      </c>
      <c r="T827" t="s">
        <v>41</v>
      </c>
      <c r="U827" t="s">
        <v>37</v>
      </c>
      <c r="V827" s="3">
        <v>3522</v>
      </c>
      <c r="W827">
        <v>3.26</v>
      </c>
      <c r="X827">
        <v>5</v>
      </c>
      <c r="Y827" s="1">
        <f>EV_Data4[[#This Row],[range_miles]]/EV_Data4[[#This Row],[battery_capacity_kwh]]</f>
        <v>3.2894736842105261</v>
      </c>
      <c r="Z827" s="4">
        <f>EV_Data4[[#This Row],[price_usd]]/EV_Data4[[#This Row],[range_miles]]</f>
        <v>428.98366666666669</v>
      </c>
      <c r="AA827" s="2">
        <f>(EV_Data4[[#This Row],[customer_rating]]*EV_Data4[[#This Row],[safety_rating]]*1000)/EV_Data4[[#This Row],[price_usd]]</f>
        <v>0.25331189765577705</v>
      </c>
      <c r="AB827">
        <f>EV_Data4[[#This Row],[horsepower]]+EV_Data4[[#This Row],[torque_nm]]/EV_Data4[[#This Row],[acceleration_0_60_mph]]</f>
        <v>180.5810397553517</v>
      </c>
      <c r="AC827" t="str">
        <f>IF(EV_Data4[[#This Row],[price_usd]]&gt;=80000,"Luxury",IF(EV_Data4[[#This Row],[price_usd]]&gt;=40000,"Mid-Range","Budget"))</f>
        <v>Mid-Range</v>
      </c>
      <c r="AD827" t="str">
        <f>IF(EV_Data4[[#This Row],[range_miles]]&gt;=350,"Long-Range",IF(EV_Data4[[#This Row],[range_miles]]&gt;=250,"Medium-Range","Short-Range"))</f>
        <v>Short-Range</v>
      </c>
      <c r="AE827" t="str">
        <f>IF(EV_Data4[[#This Row],[charging_speed_kw]]&gt;=250,"Ultra-Fast",IF(EV_Data4[[#This Row],[charging_speed_kw]]&gt;=150,"Fast-Charging","Standard-Charging"))</f>
        <v>Standard-Charging</v>
      </c>
      <c r="AF827" t="str">
        <f>IF(EV_Data4[[#This Row],[acceleration_0_60_mph]]&lt;=3,"SportsPerformance",IF(EV_Data4[[#This Row],[acceleration_0_60_mph]]&lt;=5,"HighPerformance","Standard"))</f>
        <v>Standard</v>
      </c>
      <c r="AG827" t="str">
        <f>IF(EV_Data4[[#This Row],[customer_rating]]&gt;=4.5,"Excellent",IF(EV_Data4[[#This Row],[customer_rating]]&gt;=3.5,"Good","Average"))</f>
        <v>Average</v>
      </c>
      <c r="AH82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28" spans="1:34" x14ac:dyDescent="0.3">
      <c r="A828" t="s">
        <v>63</v>
      </c>
      <c r="B828" t="s">
        <v>67</v>
      </c>
      <c r="C828">
        <v>2022</v>
      </c>
      <c r="D828" t="s">
        <v>56</v>
      </c>
      <c r="E828" s="3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48</v>
      </c>
      <c r="N828">
        <v>5</v>
      </c>
      <c r="O828" t="s">
        <v>50</v>
      </c>
      <c r="P828">
        <v>37.1</v>
      </c>
      <c r="Q828">
        <v>1781</v>
      </c>
      <c r="R828">
        <v>5</v>
      </c>
      <c r="S828">
        <v>0</v>
      </c>
      <c r="T828" t="s">
        <v>65</v>
      </c>
      <c r="U828" t="s">
        <v>66</v>
      </c>
      <c r="V828" s="3">
        <v>233873</v>
      </c>
      <c r="W828">
        <v>3.28</v>
      </c>
      <c r="X828">
        <v>3</v>
      </c>
      <c r="Y828" s="1">
        <f>EV_Data4[[#This Row],[range_miles]]/EV_Data4[[#This Row],[battery_capacity_kwh]]</f>
        <v>3.1955484896661366</v>
      </c>
      <c r="Z828" s="4">
        <f>EV_Data4[[#This Row],[price_usd]]/EV_Data4[[#This Row],[range_miles]]</f>
        <v>106.39179104477611</v>
      </c>
      <c r="AA828" s="2">
        <f>(EV_Data4[[#This Row],[customer_rating]]*EV_Data4[[#This Row],[safety_rating]]*1000)/EV_Data4[[#This Row],[price_usd]]</f>
        <v>0.76690164720186116</v>
      </c>
      <c r="AB828">
        <f>EV_Data4[[#This Row],[horsepower]]+EV_Data4[[#This Row],[torque_nm]]/EV_Data4[[#This Row],[acceleration_0_60_mph]]</f>
        <v>202.06976744186048</v>
      </c>
      <c r="AC828" t="str">
        <f>IF(EV_Data4[[#This Row],[price_usd]]&gt;=80000,"Luxury",IF(EV_Data4[[#This Row],[price_usd]]&gt;=40000,"Mid-Range","Budget"))</f>
        <v>Budget</v>
      </c>
      <c r="AD828" t="str">
        <f>IF(EV_Data4[[#This Row],[range_miles]]&gt;=350,"Long-Range",IF(EV_Data4[[#This Row],[range_miles]]&gt;=250,"Medium-Range","Short-Range"))</f>
        <v>Short-Range</v>
      </c>
      <c r="AE828" t="str">
        <f>IF(EV_Data4[[#This Row],[charging_speed_kw]]&gt;=250,"Ultra-Fast",IF(EV_Data4[[#This Row],[charging_speed_kw]]&gt;=150,"Fast-Charging","Standard-Charging"))</f>
        <v>Standard-Charging</v>
      </c>
      <c r="AF828" t="str">
        <f>IF(EV_Data4[[#This Row],[acceleration_0_60_mph]]&lt;=3,"SportsPerformance",IF(EV_Data4[[#This Row],[acceleration_0_60_mph]]&lt;=5,"HighPerformance","Standard"))</f>
        <v>Standard</v>
      </c>
      <c r="AG828" t="str">
        <f>IF(EV_Data4[[#This Row],[customer_rating]]&gt;=4.5,"Excellent",IF(EV_Data4[[#This Row],[customer_rating]]&gt;=3.5,"Good","Average"))</f>
        <v>Average</v>
      </c>
      <c r="AH82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29" spans="1:34" x14ac:dyDescent="0.3">
      <c r="A829" t="s">
        <v>63</v>
      </c>
      <c r="B829" t="s">
        <v>67</v>
      </c>
      <c r="C829">
        <v>2025</v>
      </c>
      <c r="D829" t="s">
        <v>44</v>
      </c>
      <c r="E829" s="3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34</v>
      </c>
      <c r="N829">
        <v>7</v>
      </c>
      <c r="O829" t="s">
        <v>50</v>
      </c>
      <c r="P829">
        <v>27.1</v>
      </c>
      <c r="Q829">
        <v>1842</v>
      </c>
      <c r="R829">
        <v>5</v>
      </c>
      <c r="S829">
        <v>1</v>
      </c>
      <c r="T829" t="s">
        <v>65</v>
      </c>
      <c r="U829" t="s">
        <v>33</v>
      </c>
      <c r="V829" s="3">
        <v>190865</v>
      </c>
      <c r="W829">
        <v>3.32</v>
      </c>
      <c r="X829">
        <v>3</v>
      </c>
      <c r="Y829" s="1">
        <f>EV_Data4[[#This Row],[range_miles]]/EV_Data4[[#This Row],[battery_capacity_kwh]]</f>
        <v>3.5085945399393323</v>
      </c>
      <c r="Z829" s="4">
        <f>EV_Data4[[#This Row],[price_usd]]/EV_Data4[[#This Row],[range_miles]]</f>
        <v>285.61244956772333</v>
      </c>
      <c r="AA829" s="2">
        <f>(EV_Data4[[#This Row],[customer_rating]]*EV_Data4[[#This Row],[safety_rating]]*1000)/EV_Data4[[#This Row],[price_usd]]</f>
        <v>0.16749485810965703</v>
      </c>
      <c r="AB829">
        <f>EV_Data4[[#This Row],[horsepower]]+EV_Data4[[#This Row],[torque_nm]]/EV_Data4[[#This Row],[acceleration_0_60_mph]]</f>
        <v>1196.0526315789475</v>
      </c>
      <c r="AC829" t="str">
        <f>IF(EV_Data4[[#This Row],[price_usd]]&gt;=80000,"Luxury",IF(EV_Data4[[#This Row],[price_usd]]&gt;=40000,"Mid-Range","Budget"))</f>
        <v>Luxury</v>
      </c>
      <c r="AD829" t="str">
        <f>IF(EV_Data4[[#This Row],[range_miles]]&gt;=350,"Long-Range",IF(EV_Data4[[#This Row],[range_miles]]&gt;=250,"Medium-Range","Short-Range"))</f>
        <v>Medium-Range</v>
      </c>
      <c r="AE829" t="str">
        <f>IF(EV_Data4[[#This Row],[charging_speed_kw]]&gt;=250,"Ultra-Fast",IF(EV_Data4[[#This Row],[charging_speed_kw]]&gt;=150,"Fast-Charging","Standard-Charging"))</f>
        <v>Standard-Charging</v>
      </c>
      <c r="AF829" t="str">
        <f>IF(EV_Data4[[#This Row],[acceleration_0_60_mph]]&lt;=3,"SportsPerformance",IF(EV_Data4[[#This Row],[acceleration_0_60_mph]]&lt;=5,"HighPerformance","Standard"))</f>
        <v>HighPerformance</v>
      </c>
      <c r="AG829" t="str">
        <f>IF(EV_Data4[[#This Row],[customer_rating]]&gt;=4.5,"Excellent",IF(EV_Data4[[#This Row],[customer_rating]]&gt;=3.5,"Good","Average"))</f>
        <v>Average</v>
      </c>
      <c r="AH82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30" spans="1:34" x14ac:dyDescent="0.3">
      <c r="A830" t="s">
        <v>38</v>
      </c>
      <c r="B830" t="s">
        <v>39</v>
      </c>
      <c r="C830">
        <v>2025</v>
      </c>
      <c r="D830" t="s">
        <v>56</v>
      </c>
      <c r="E830" s="3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27</v>
      </c>
      <c r="N830">
        <v>7</v>
      </c>
      <c r="O830" t="s">
        <v>50</v>
      </c>
      <c r="P830">
        <v>24.1</v>
      </c>
      <c r="Q830">
        <v>1720</v>
      </c>
      <c r="R830">
        <v>5</v>
      </c>
      <c r="S830">
        <v>0</v>
      </c>
      <c r="T830" t="s">
        <v>41</v>
      </c>
      <c r="U830" t="s">
        <v>37</v>
      </c>
      <c r="V830" s="3">
        <v>12934</v>
      </c>
      <c r="W830">
        <v>3.42</v>
      </c>
      <c r="X830">
        <v>5</v>
      </c>
      <c r="Y830" s="1">
        <f>EV_Data4[[#This Row],[range_miles]]/EV_Data4[[#This Row],[battery_capacity_kwh]]</f>
        <v>4.4027303754266214</v>
      </c>
      <c r="Z830" s="4">
        <f>EV_Data4[[#This Row],[price_usd]]/EV_Data4[[#This Row],[range_miles]]</f>
        <v>234.54635658914728</v>
      </c>
      <c r="AA830" s="2">
        <f>(EV_Data4[[#This Row],[customer_rating]]*EV_Data4[[#This Row],[safety_rating]]*1000)/EV_Data4[[#This Row],[price_usd]]</f>
        <v>0.28258409438242649</v>
      </c>
      <c r="AB830">
        <f>EV_Data4[[#This Row],[horsepower]]+EV_Data4[[#This Row],[torque_nm]]/EV_Data4[[#This Row],[acceleration_0_60_mph]]</f>
        <v>877.73691654879769</v>
      </c>
      <c r="AC830" t="str">
        <f>IF(EV_Data4[[#This Row],[price_usd]]&gt;=80000,"Luxury",IF(EV_Data4[[#This Row],[price_usd]]&gt;=40000,"Mid-Range","Budget"))</f>
        <v>Mid-Range</v>
      </c>
      <c r="AD830" t="str">
        <f>IF(EV_Data4[[#This Row],[range_miles]]&gt;=350,"Long-Range",IF(EV_Data4[[#This Row],[range_miles]]&gt;=250,"Medium-Range","Short-Range"))</f>
        <v>Medium-Range</v>
      </c>
      <c r="AE830" t="str">
        <f>IF(EV_Data4[[#This Row],[charging_speed_kw]]&gt;=250,"Ultra-Fast",IF(EV_Data4[[#This Row],[charging_speed_kw]]&gt;=150,"Fast-Charging","Standard-Charging"))</f>
        <v>Standard-Charging</v>
      </c>
      <c r="AF830" t="str">
        <f>IF(EV_Data4[[#This Row],[acceleration_0_60_mph]]&lt;=3,"SportsPerformance",IF(EV_Data4[[#This Row],[acceleration_0_60_mph]]&lt;=5,"HighPerformance","Standard"))</f>
        <v>Standard</v>
      </c>
      <c r="AG830" t="str">
        <f>IF(EV_Data4[[#This Row],[customer_rating]]&gt;=4.5,"Excellent",IF(EV_Data4[[#This Row],[customer_rating]]&gt;=3.5,"Good","Average"))</f>
        <v>Average</v>
      </c>
      <c r="AH83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31" spans="1:34" x14ac:dyDescent="0.3">
      <c r="A831" t="s">
        <v>24</v>
      </c>
      <c r="B831" t="s">
        <v>74</v>
      </c>
      <c r="C831">
        <v>2023</v>
      </c>
      <c r="D831" t="s">
        <v>26</v>
      </c>
      <c r="E831" s="3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48</v>
      </c>
      <c r="N831">
        <v>5</v>
      </c>
      <c r="O831" t="s">
        <v>51</v>
      </c>
      <c r="P831">
        <v>38.700000000000003</v>
      </c>
      <c r="Q831">
        <v>1826</v>
      </c>
      <c r="R831">
        <v>3</v>
      </c>
      <c r="S831">
        <v>0</v>
      </c>
      <c r="T831" t="s">
        <v>29</v>
      </c>
      <c r="U831" t="s">
        <v>37</v>
      </c>
      <c r="V831" s="3">
        <v>290103</v>
      </c>
      <c r="W831">
        <v>3.66</v>
      </c>
      <c r="X831">
        <v>5</v>
      </c>
      <c r="Y831" s="1">
        <f>EV_Data4[[#This Row],[range_miles]]/EV_Data4[[#This Row],[battery_capacity_kwh]]</f>
        <v>3.8223938223938223</v>
      </c>
      <c r="Z831" s="4">
        <f>EV_Data4[[#This Row],[price_usd]]/EV_Data4[[#This Row],[range_miles]]</f>
        <v>215.72794612794613</v>
      </c>
      <c r="AA831" s="2">
        <f>(EV_Data4[[#This Row],[customer_rating]]*EV_Data4[[#This Row],[safety_rating]]*1000)/EV_Data4[[#This Row],[price_usd]]</f>
        <v>0.17137184881818976</v>
      </c>
      <c r="AB831">
        <f>EV_Data4[[#This Row],[horsepower]]+EV_Data4[[#This Row],[torque_nm]]/EV_Data4[[#This Row],[acceleration_0_60_mph]]</f>
        <v>841.45273631840791</v>
      </c>
      <c r="AC831" t="str">
        <f>IF(EV_Data4[[#This Row],[price_usd]]&gt;=80000,"Luxury",IF(EV_Data4[[#This Row],[price_usd]]&gt;=40000,"Mid-Range","Budget"))</f>
        <v>Mid-Range</v>
      </c>
      <c r="AD831" t="str">
        <f>IF(EV_Data4[[#This Row],[range_miles]]&gt;=350,"Long-Range",IF(EV_Data4[[#This Row],[range_miles]]&gt;=250,"Medium-Range","Short-Range"))</f>
        <v>Medium-Range</v>
      </c>
      <c r="AE831" t="str">
        <f>IF(EV_Data4[[#This Row],[charging_speed_kw]]&gt;=250,"Ultra-Fast",IF(EV_Data4[[#This Row],[charging_speed_kw]]&gt;=150,"Fast-Charging","Standard-Charging"))</f>
        <v>Fast-Charging</v>
      </c>
      <c r="AF831" t="str">
        <f>IF(EV_Data4[[#This Row],[acceleration_0_60_mph]]&lt;=3,"SportsPerformance",IF(EV_Data4[[#This Row],[acceleration_0_60_mph]]&lt;=5,"HighPerformance","Standard"))</f>
        <v>HighPerformance</v>
      </c>
      <c r="AG831" t="str">
        <f>IF(EV_Data4[[#This Row],[customer_rating]]&gt;=4.5,"Excellent",IF(EV_Data4[[#This Row],[customer_rating]]&gt;=3.5,"Good","Average"))</f>
        <v>Good</v>
      </c>
      <c r="AH83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32" spans="1:34" x14ac:dyDescent="0.3">
      <c r="A832" t="s">
        <v>63</v>
      </c>
      <c r="B832" t="s">
        <v>67</v>
      </c>
      <c r="C832">
        <v>2026</v>
      </c>
      <c r="D832" t="s">
        <v>26</v>
      </c>
      <c r="E832" s="3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48</v>
      </c>
      <c r="N832">
        <v>7</v>
      </c>
      <c r="O832" t="s">
        <v>51</v>
      </c>
      <c r="P832">
        <v>20.7</v>
      </c>
      <c r="Q832">
        <v>1500</v>
      </c>
      <c r="R832">
        <v>3</v>
      </c>
      <c r="S832">
        <v>0</v>
      </c>
      <c r="T832" t="s">
        <v>65</v>
      </c>
      <c r="U832" t="s">
        <v>66</v>
      </c>
      <c r="V832" s="3">
        <v>219100</v>
      </c>
      <c r="W832">
        <v>4.1900000000000004</v>
      </c>
      <c r="X832">
        <v>5</v>
      </c>
      <c r="Y832" s="1">
        <f>EV_Data4[[#This Row],[range_miles]]/EV_Data4[[#This Row],[battery_capacity_kwh]]</f>
        <v>3.5863219349457878</v>
      </c>
      <c r="Z832" s="4">
        <f>EV_Data4[[#This Row],[price_usd]]/EV_Data4[[#This Row],[range_miles]]</f>
        <v>74.263883720930238</v>
      </c>
      <c r="AA832" s="2">
        <f>(EV_Data4[[#This Row],[customer_rating]]*EV_Data4[[#This Row],[safety_rating]]*1000)/EV_Data4[[#This Row],[price_usd]]</f>
        <v>0.39363088320811984</v>
      </c>
      <c r="AB832">
        <f>EV_Data4[[#This Row],[horsepower]]+EV_Data4[[#This Row],[torque_nm]]/EV_Data4[[#This Row],[acceleration_0_60_mph]]</f>
        <v>484.40221402214024</v>
      </c>
      <c r="AC832" t="str">
        <f>IF(EV_Data4[[#This Row],[price_usd]]&gt;=80000,"Luxury",IF(EV_Data4[[#This Row],[price_usd]]&gt;=40000,"Mid-Range","Budget"))</f>
        <v>Budget</v>
      </c>
      <c r="AD832" t="str">
        <f>IF(EV_Data4[[#This Row],[range_miles]]&gt;=350,"Long-Range",IF(EV_Data4[[#This Row],[range_miles]]&gt;=250,"Medium-Range","Short-Range"))</f>
        <v>Long-Range</v>
      </c>
      <c r="AE832" t="str">
        <f>IF(EV_Data4[[#This Row],[charging_speed_kw]]&gt;=250,"Ultra-Fast",IF(EV_Data4[[#This Row],[charging_speed_kw]]&gt;=150,"Fast-Charging","Standard-Charging"))</f>
        <v>Fast-Charging</v>
      </c>
      <c r="AF832" t="str">
        <f>IF(EV_Data4[[#This Row],[acceleration_0_60_mph]]&lt;=3,"SportsPerformance",IF(EV_Data4[[#This Row],[acceleration_0_60_mph]]&lt;=5,"HighPerformance","Standard"))</f>
        <v>SportsPerformance</v>
      </c>
      <c r="AG832" t="str">
        <f>IF(EV_Data4[[#This Row],[customer_rating]]&gt;=4.5,"Excellent",IF(EV_Data4[[#This Row],[customer_rating]]&gt;=3.5,"Good","Average"))</f>
        <v>Good</v>
      </c>
      <c r="AH83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33" spans="1:34" x14ac:dyDescent="0.3">
      <c r="A833" t="s">
        <v>24</v>
      </c>
      <c r="B833" t="s">
        <v>85</v>
      </c>
      <c r="C833">
        <v>2026</v>
      </c>
      <c r="D833" t="s">
        <v>61</v>
      </c>
      <c r="E833" s="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27</v>
      </c>
      <c r="N833">
        <v>5</v>
      </c>
      <c r="O833" t="s">
        <v>28</v>
      </c>
      <c r="P833">
        <v>53.2</v>
      </c>
      <c r="Q833">
        <v>2437</v>
      </c>
      <c r="R833">
        <v>5</v>
      </c>
      <c r="S833">
        <v>0</v>
      </c>
      <c r="T833" t="s">
        <v>29</v>
      </c>
      <c r="U833" t="s">
        <v>66</v>
      </c>
      <c r="V833" s="3">
        <v>207337</v>
      </c>
      <c r="W833">
        <v>3.62</v>
      </c>
      <c r="X833">
        <v>5</v>
      </c>
      <c r="Y833" s="1">
        <f>EV_Data4[[#This Row],[range_miles]]/EV_Data4[[#This Row],[battery_capacity_kwh]]</f>
        <v>3.5472154963680391</v>
      </c>
      <c r="Z833" s="4">
        <f>EV_Data4[[#This Row],[price_usd]]/EV_Data4[[#This Row],[range_miles]]</f>
        <v>114.279590443686</v>
      </c>
      <c r="AA833" s="2">
        <f>(EV_Data4[[#This Row],[customer_rating]]*EV_Data4[[#This Row],[safety_rating]]*1000)/EV_Data4[[#This Row],[price_usd]]</f>
        <v>0.54055797529082616</v>
      </c>
      <c r="AB833">
        <f>EV_Data4[[#This Row],[horsepower]]+EV_Data4[[#This Row],[torque_nm]]/EV_Data4[[#This Row],[acceleration_0_60_mph]]</f>
        <v>234.22259136212625</v>
      </c>
      <c r="AC833" t="str">
        <f>IF(EV_Data4[[#This Row],[price_usd]]&gt;=80000,"Luxury",IF(EV_Data4[[#This Row],[price_usd]]&gt;=40000,"Mid-Range","Budget"))</f>
        <v>Budget</v>
      </c>
      <c r="AD833" t="str">
        <f>IF(EV_Data4[[#This Row],[range_miles]]&gt;=350,"Long-Range",IF(EV_Data4[[#This Row],[range_miles]]&gt;=250,"Medium-Range","Short-Range"))</f>
        <v>Medium-Range</v>
      </c>
      <c r="AE833" t="str">
        <f>IF(EV_Data4[[#This Row],[charging_speed_kw]]&gt;=250,"Ultra-Fast",IF(EV_Data4[[#This Row],[charging_speed_kw]]&gt;=150,"Fast-Charging","Standard-Charging"))</f>
        <v>Standard-Charging</v>
      </c>
      <c r="AF833" t="str">
        <f>IF(EV_Data4[[#This Row],[acceleration_0_60_mph]]&lt;=3,"SportsPerformance",IF(EV_Data4[[#This Row],[acceleration_0_60_mph]]&lt;=5,"HighPerformance","Standard"))</f>
        <v>Standard</v>
      </c>
      <c r="AG833" t="str">
        <f>IF(EV_Data4[[#This Row],[customer_rating]]&gt;=4.5,"Excellent",IF(EV_Data4[[#This Row],[customer_rating]]&gt;=3.5,"Good","Average"))</f>
        <v>Good</v>
      </c>
      <c r="AH83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34" spans="1:34" x14ac:dyDescent="0.3">
      <c r="A834" t="s">
        <v>46</v>
      </c>
      <c r="B834" t="s">
        <v>57</v>
      </c>
      <c r="C834">
        <v>2025</v>
      </c>
      <c r="D834" t="s">
        <v>26</v>
      </c>
      <c r="E834" s="3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34</v>
      </c>
      <c r="N834">
        <v>7</v>
      </c>
      <c r="O834" t="s">
        <v>51</v>
      </c>
      <c r="P834">
        <v>33.5</v>
      </c>
      <c r="Q834">
        <v>1685</v>
      </c>
      <c r="R834">
        <v>5</v>
      </c>
      <c r="S834">
        <v>3</v>
      </c>
      <c r="T834" t="s">
        <v>41</v>
      </c>
      <c r="U834" t="s">
        <v>33</v>
      </c>
      <c r="V834" s="3">
        <v>245974</v>
      </c>
      <c r="W834">
        <v>4.2300000000000004</v>
      </c>
      <c r="X834">
        <v>5</v>
      </c>
      <c r="Y834" s="1">
        <f>EV_Data4[[#This Row],[range_miles]]/EV_Data4[[#This Row],[battery_capacity_kwh]]</f>
        <v>3.3550185873605951</v>
      </c>
      <c r="Z834" s="4">
        <f>EV_Data4[[#This Row],[price_usd]]/EV_Data4[[#This Row],[range_miles]]</f>
        <v>190.01030470914128</v>
      </c>
      <c r="AA834" s="2">
        <f>(EV_Data4[[#This Row],[customer_rating]]*EV_Data4[[#This Row],[safety_rating]]*1000)/EV_Data4[[#This Row],[price_usd]]</f>
        <v>0.30833726469420236</v>
      </c>
      <c r="AB834">
        <f>EV_Data4[[#This Row],[horsepower]]+EV_Data4[[#This Row],[torque_nm]]/EV_Data4[[#This Row],[acceleration_0_60_mph]]</f>
        <v>544.18009478672991</v>
      </c>
      <c r="AC834" t="str">
        <f>IF(EV_Data4[[#This Row],[price_usd]]&gt;=80000,"Luxury",IF(EV_Data4[[#This Row],[price_usd]]&gt;=40000,"Mid-Range","Budget"))</f>
        <v>Mid-Range</v>
      </c>
      <c r="AD834" t="str">
        <f>IF(EV_Data4[[#This Row],[range_miles]]&gt;=350,"Long-Range",IF(EV_Data4[[#This Row],[range_miles]]&gt;=250,"Medium-Range","Short-Range"))</f>
        <v>Long-Range</v>
      </c>
      <c r="AE834" t="str">
        <f>IF(EV_Data4[[#This Row],[charging_speed_kw]]&gt;=250,"Ultra-Fast",IF(EV_Data4[[#This Row],[charging_speed_kw]]&gt;=150,"Fast-Charging","Standard-Charging"))</f>
        <v>Fast-Charging</v>
      </c>
      <c r="AF834" t="str">
        <f>IF(EV_Data4[[#This Row],[acceleration_0_60_mph]]&lt;=3,"SportsPerformance",IF(EV_Data4[[#This Row],[acceleration_0_60_mph]]&lt;=5,"HighPerformance","Standard"))</f>
        <v>HighPerformance</v>
      </c>
      <c r="AG834" t="str">
        <f>IF(EV_Data4[[#This Row],[customer_rating]]&gt;=4.5,"Excellent",IF(EV_Data4[[#This Row],[customer_rating]]&gt;=3.5,"Good","Average"))</f>
        <v>Good</v>
      </c>
      <c r="AH83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835" spans="1:34" x14ac:dyDescent="0.3">
      <c r="A835" t="s">
        <v>46</v>
      </c>
      <c r="B835" t="s">
        <v>72</v>
      </c>
      <c r="C835">
        <v>2025</v>
      </c>
      <c r="D835" t="s">
        <v>61</v>
      </c>
      <c r="E835" s="3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34</v>
      </c>
      <c r="N835">
        <v>7</v>
      </c>
      <c r="O835" t="s">
        <v>28</v>
      </c>
      <c r="P835">
        <v>52.1</v>
      </c>
      <c r="Q835">
        <v>2708</v>
      </c>
      <c r="R835">
        <v>3</v>
      </c>
      <c r="S835">
        <v>2</v>
      </c>
      <c r="T835" t="s">
        <v>41</v>
      </c>
      <c r="U835" t="s">
        <v>37</v>
      </c>
      <c r="V835" s="3">
        <v>132800</v>
      </c>
      <c r="W835">
        <v>3.35</v>
      </c>
      <c r="X835">
        <v>5</v>
      </c>
      <c r="Y835" s="1">
        <f>EV_Data4[[#This Row],[range_miles]]/EV_Data4[[#This Row],[battery_capacity_kwh]]</f>
        <v>3.4513274336283182</v>
      </c>
      <c r="Z835" s="4">
        <f>EV_Data4[[#This Row],[price_usd]]/EV_Data4[[#This Row],[range_miles]]</f>
        <v>391.11205128205131</v>
      </c>
      <c r="AA835" s="2">
        <f>(EV_Data4[[#This Row],[customer_rating]]*EV_Data4[[#This Row],[safety_rating]]*1000)/EV_Data4[[#This Row],[price_usd]]</f>
        <v>0.1647176984495885</v>
      </c>
      <c r="AB835">
        <f>EV_Data4[[#This Row],[horsepower]]+EV_Data4[[#This Row],[torque_nm]]/EV_Data4[[#This Row],[acceleration_0_60_mph]]</f>
        <v>482.3532041728763</v>
      </c>
      <c r="AC835" t="str">
        <f>IF(EV_Data4[[#This Row],[price_usd]]&gt;=80000,"Luxury",IF(EV_Data4[[#This Row],[price_usd]]&gt;=40000,"Mid-Range","Budget"))</f>
        <v>Mid-Range</v>
      </c>
      <c r="AD835" t="str">
        <f>IF(EV_Data4[[#This Row],[range_miles]]&gt;=350,"Long-Range",IF(EV_Data4[[#This Row],[range_miles]]&gt;=250,"Medium-Range","Short-Range"))</f>
        <v>Short-Range</v>
      </c>
      <c r="AE835" t="str">
        <f>IF(EV_Data4[[#This Row],[charging_speed_kw]]&gt;=250,"Ultra-Fast",IF(EV_Data4[[#This Row],[charging_speed_kw]]&gt;=150,"Fast-Charging","Standard-Charging"))</f>
        <v>Ultra-Fast</v>
      </c>
      <c r="AF835" t="str">
        <f>IF(EV_Data4[[#This Row],[acceleration_0_60_mph]]&lt;=3,"SportsPerformance",IF(EV_Data4[[#This Row],[acceleration_0_60_mph]]&lt;=5,"HighPerformance","Standard"))</f>
        <v>Standard</v>
      </c>
      <c r="AG835" t="str">
        <f>IF(EV_Data4[[#This Row],[customer_rating]]&gt;=4.5,"Excellent",IF(EV_Data4[[#This Row],[customer_rating]]&gt;=3.5,"Good","Average"))</f>
        <v>Average</v>
      </c>
      <c r="AH83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36" spans="1:34" x14ac:dyDescent="0.3">
      <c r="A836" t="s">
        <v>68</v>
      </c>
      <c r="B836" t="s">
        <v>106</v>
      </c>
      <c r="C836">
        <v>2025</v>
      </c>
      <c r="D836" t="s">
        <v>56</v>
      </c>
      <c r="E836" s="3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34</v>
      </c>
      <c r="N836">
        <v>7</v>
      </c>
      <c r="O836" t="s">
        <v>35</v>
      </c>
      <c r="P836">
        <v>60.5</v>
      </c>
      <c r="Q836">
        <v>2317</v>
      </c>
      <c r="R836">
        <v>5</v>
      </c>
      <c r="S836">
        <v>0</v>
      </c>
      <c r="T836" t="s">
        <v>45</v>
      </c>
      <c r="U836" t="s">
        <v>33</v>
      </c>
      <c r="V836" s="3">
        <v>109721</v>
      </c>
      <c r="W836">
        <v>3.31</v>
      </c>
      <c r="X836">
        <v>5</v>
      </c>
      <c r="Y836" s="1">
        <f>EV_Data4[[#This Row],[range_miles]]/EV_Data4[[#This Row],[battery_capacity_kwh]]</f>
        <v>3.4346103038309113</v>
      </c>
      <c r="Z836" s="4">
        <f>EV_Data4[[#This Row],[price_usd]]/EV_Data4[[#This Row],[range_miles]]</f>
        <v>263.85476923076925</v>
      </c>
      <c r="AA836" s="2">
        <f>(EV_Data4[[#This Row],[customer_rating]]*EV_Data4[[#This Row],[safety_rating]]*1000)/EV_Data4[[#This Row],[price_usd]]</f>
        <v>0.24124576690207197</v>
      </c>
      <c r="AB836">
        <f>EV_Data4[[#This Row],[horsepower]]+EV_Data4[[#This Row],[torque_nm]]/EV_Data4[[#This Row],[acceleration_0_60_mph]]</f>
        <v>951.63366336633658</v>
      </c>
      <c r="AC836" t="str">
        <f>IF(EV_Data4[[#This Row],[price_usd]]&gt;=80000,"Luxury",IF(EV_Data4[[#This Row],[price_usd]]&gt;=40000,"Mid-Range","Budget"))</f>
        <v>Mid-Range</v>
      </c>
      <c r="AD836" t="str">
        <f>IF(EV_Data4[[#This Row],[range_miles]]&gt;=350,"Long-Range",IF(EV_Data4[[#This Row],[range_miles]]&gt;=250,"Medium-Range","Short-Range"))</f>
        <v>Medium-Range</v>
      </c>
      <c r="AE836" t="str">
        <f>IF(EV_Data4[[#This Row],[charging_speed_kw]]&gt;=250,"Ultra-Fast",IF(EV_Data4[[#This Row],[charging_speed_kw]]&gt;=150,"Fast-Charging","Standard-Charging"))</f>
        <v>Standard-Charging</v>
      </c>
      <c r="AF836" t="str">
        <f>IF(EV_Data4[[#This Row],[acceleration_0_60_mph]]&lt;=3,"SportsPerformance",IF(EV_Data4[[#This Row],[acceleration_0_60_mph]]&lt;=5,"HighPerformance","Standard"))</f>
        <v>Standard</v>
      </c>
      <c r="AG836" t="str">
        <f>IF(EV_Data4[[#This Row],[customer_rating]]&gt;=4.5,"Excellent",IF(EV_Data4[[#This Row],[customer_rating]]&gt;=3.5,"Good","Average"))</f>
        <v>Average</v>
      </c>
      <c r="AH83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37" spans="1:34" x14ac:dyDescent="0.3">
      <c r="A837" t="s">
        <v>24</v>
      </c>
      <c r="B837" t="s">
        <v>75</v>
      </c>
      <c r="C837">
        <v>2021</v>
      </c>
      <c r="D837" t="s">
        <v>44</v>
      </c>
      <c r="E837" s="3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48</v>
      </c>
      <c r="N837">
        <v>5</v>
      </c>
      <c r="O837" t="s">
        <v>28</v>
      </c>
      <c r="P837">
        <v>71.900000000000006</v>
      </c>
      <c r="Q837">
        <v>2363</v>
      </c>
      <c r="R837">
        <v>5</v>
      </c>
      <c r="S837">
        <v>2</v>
      </c>
      <c r="T837" t="s">
        <v>29</v>
      </c>
      <c r="U837" t="s">
        <v>33</v>
      </c>
      <c r="V837" s="3">
        <v>249899</v>
      </c>
      <c r="W837">
        <v>3.71</v>
      </c>
      <c r="X837">
        <v>4</v>
      </c>
      <c r="Y837" s="1">
        <f>EV_Data4[[#This Row],[range_miles]]/EV_Data4[[#This Row],[battery_capacity_kwh]]</f>
        <v>3.7703141928494044</v>
      </c>
      <c r="Z837" s="4">
        <f>EV_Data4[[#This Row],[price_usd]]/EV_Data4[[#This Row],[range_miles]]</f>
        <v>219.00833333333333</v>
      </c>
      <c r="AA837" s="2">
        <f>(EV_Data4[[#This Row],[customer_rating]]*EV_Data4[[#This Row],[safety_rating]]*1000)/EV_Data4[[#This Row],[price_usd]]</f>
        <v>0.24339072805973638</v>
      </c>
      <c r="AB837">
        <f>EV_Data4[[#This Row],[horsepower]]+EV_Data4[[#This Row],[torque_nm]]/EV_Data4[[#This Row],[acceleration_0_60_mph]]</f>
        <v>1000.4104882459312</v>
      </c>
      <c r="AC837" t="str">
        <f>IF(EV_Data4[[#This Row],[price_usd]]&gt;=80000,"Luxury",IF(EV_Data4[[#This Row],[price_usd]]&gt;=40000,"Mid-Range","Budget"))</f>
        <v>Mid-Range</v>
      </c>
      <c r="AD837" t="str">
        <f>IF(EV_Data4[[#This Row],[range_miles]]&gt;=350,"Long-Range",IF(EV_Data4[[#This Row],[range_miles]]&gt;=250,"Medium-Range","Short-Range"))</f>
        <v>Medium-Range</v>
      </c>
      <c r="AE837" t="str">
        <f>IF(EV_Data4[[#This Row],[charging_speed_kw]]&gt;=250,"Ultra-Fast",IF(EV_Data4[[#This Row],[charging_speed_kw]]&gt;=150,"Fast-Charging","Standard-Charging"))</f>
        <v>Standard-Charging</v>
      </c>
      <c r="AF837" t="str">
        <f>IF(EV_Data4[[#This Row],[acceleration_0_60_mph]]&lt;=3,"SportsPerformance",IF(EV_Data4[[#This Row],[acceleration_0_60_mph]]&lt;=5,"HighPerformance","Standard"))</f>
        <v>Standard</v>
      </c>
      <c r="AG837" t="str">
        <f>IF(EV_Data4[[#This Row],[customer_rating]]&gt;=4.5,"Excellent",IF(EV_Data4[[#This Row],[customer_rating]]&gt;=3.5,"Good","Average"))</f>
        <v>Good</v>
      </c>
      <c r="AH83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38" spans="1:34" x14ac:dyDescent="0.3">
      <c r="A838" t="s">
        <v>94</v>
      </c>
      <c r="B838" t="s">
        <v>128</v>
      </c>
      <c r="C838">
        <v>2026</v>
      </c>
      <c r="D838" t="s">
        <v>33</v>
      </c>
      <c r="E838" s="3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48</v>
      </c>
      <c r="N838">
        <v>5</v>
      </c>
      <c r="O838" t="s">
        <v>58</v>
      </c>
      <c r="P838">
        <v>37.6</v>
      </c>
      <c r="Q838">
        <v>1664</v>
      </c>
      <c r="R838">
        <v>5</v>
      </c>
      <c r="S838">
        <v>1</v>
      </c>
      <c r="T838" t="s">
        <v>41</v>
      </c>
      <c r="U838" t="s">
        <v>30</v>
      </c>
      <c r="V838" s="3">
        <v>26386</v>
      </c>
      <c r="W838">
        <v>3.24</v>
      </c>
      <c r="X838">
        <v>6</v>
      </c>
      <c r="Y838" s="1">
        <f>EV_Data4[[#This Row],[range_miles]]/EV_Data4[[#This Row],[battery_capacity_kwh]]</f>
        <v>3.3677685950413223</v>
      </c>
      <c r="Z838" s="4">
        <f>EV_Data4[[#This Row],[price_usd]]/EV_Data4[[#This Row],[range_miles]]</f>
        <v>679.38079754601233</v>
      </c>
      <c r="AA838" s="2">
        <f>(EV_Data4[[#This Row],[customer_rating]]*EV_Data4[[#This Row],[safety_rating]]*1000)/EV_Data4[[#This Row],[price_usd]]</f>
        <v>0.14628983248640251</v>
      </c>
      <c r="AB838">
        <f>EV_Data4[[#This Row],[horsepower]]+EV_Data4[[#This Row],[torque_nm]]/EV_Data4[[#This Row],[acceleration_0_60_mph]]</f>
        <v>1127.8174037089871</v>
      </c>
      <c r="AC838" t="str">
        <f>IF(EV_Data4[[#This Row],[price_usd]]&gt;=80000,"Luxury",IF(EV_Data4[[#This Row],[price_usd]]&gt;=40000,"Mid-Range","Budget"))</f>
        <v>Luxury</v>
      </c>
      <c r="AD838" t="str">
        <f>IF(EV_Data4[[#This Row],[range_miles]]&gt;=350,"Long-Range",IF(EV_Data4[[#This Row],[range_miles]]&gt;=250,"Medium-Range","Short-Range"))</f>
        <v>Short-Range</v>
      </c>
      <c r="AE838" t="str">
        <f>IF(EV_Data4[[#This Row],[charging_speed_kw]]&gt;=250,"Ultra-Fast",IF(EV_Data4[[#This Row],[charging_speed_kw]]&gt;=150,"Fast-Charging","Standard-Charging"))</f>
        <v>Standard-Charging</v>
      </c>
      <c r="AF838" t="str">
        <f>IF(EV_Data4[[#This Row],[acceleration_0_60_mph]]&lt;=3,"SportsPerformance",IF(EV_Data4[[#This Row],[acceleration_0_60_mph]]&lt;=5,"HighPerformance","Standard"))</f>
        <v>Standard</v>
      </c>
      <c r="AG838" t="str">
        <f>IF(EV_Data4[[#This Row],[customer_rating]]&gt;=4.5,"Excellent",IF(EV_Data4[[#This Row],[customer_rating]]&gt;=3.5,"Good","Average"))</f>
        <v>Average</v>
      </c>
      <c r="AH83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39" spans="1:34" x14ac:dyDescent="0.3">
      <c r="A839" t="s">
        <v>24</v>
      </c>
      <c r="B839" t="s">
        <v>70</v>
      </c>
      <c r="C839">
        <v>2024</v>
      </c>
      <c r="D839" t="s">
        <v>26</v>
      </c>
      <c r="E839" s="3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27</v>
      </c>
      <c r="N839">
        <v>7</v>
      </c>
      <c r="O839" t="s">
        <v>28</v>
      </c>
      <c r="P839">
        <v>57.8</v>
      </c>
      <c r="Q839">
        <v>2464</v>
      </c>
      <c r="R839">
        <v>5</v>
      </c>
      <c r="S839">
        <v>0</v>
      </c>
      <c r="T839" t="s">
        <v>29</v>
      </c>
      <c r="U839" t="s">
        <v>30</v>
      </c>
      <c r="V839" s="3">
        <v>230069</v>
      </c>
      <c r="W839">
        <v>3.24</v>
      </c>
      <c r="X839">
        <v>4</v>
      </c>
      <c r="Y839" s="1">
        <f>EV_Data4[[#This Row],[range_miles]]/EV_Data4[[#This Row],[battery_capacity_kwh]]</f>
        <v>3.2523616734143053</v>
      </c>
      <c r="Z839" s="4">
        <f>EV_Data4[[#This Row],[price_usd]]/EV_Data4[[#This Row],[range_miles]]</f>
        <v>462.70232365145228</v>
      </c>
      <c r="AA839" s="2">
        <f>(EV_Data4[[#This Row],[customer_rating]]*EV_Data4[[#This Row],[safety_rating]]*1000)/EV_Data4[[#This Row],[price_usd]]</f>
        <v>0.14527680881733382</v>
      </c>
      <c r="AB839">
        <f>EV_Data4[[#This Row],[horsepower]]+EV_Data4[[#This Row],[torque_nm]]/EV_Data4[[#This Row],[acceleration_0_60_mph]]</f>
        <v>1214.6853146853148</v>
      </c>
      <c r="AC839" t="str">
        <f>IF(EV_Data4[[#This Row],[price_usd]]&gt;=80000,"Luxury",IF(EV_Data4[[#This Row],[price_usd]]&gt;=40000,"Mid-Range","Budget"))</f>
        <v>Luxury</v>
      </c>
      <c r="AD839" t="str">
        <f>IF(EV_Data4[[#This Row],[range_miles]]&gt;=350,"Long-Range",IF(EV_Data4[[#This Row],[range_miles]]&gt;=250,"Medium-Range","Short-Range"))</f>
        <v>Short-Range</v>
      </c>
      <c r="AE839" t="str">
        <f>IF(EV_Data4[[#This Row],[charging_speed_kw]]&gt;=250,"Ultra-Fast",IF(EV_Data4[[#This Row],[charging_speed_kw]]&gt;=150,"Fast-Charging","Standard-Charging"))</f>
        <v>Fast-Charging</v>
      </c>
      <c r="AF839" t="str">
        <f>IF(EV_Data4[[#This Row],[acceleration_0_60_mph]]&lt;=3,"SportsPerformance",IF(EV_Data4[[#This Row],[acceleration_0_60_mph]]&lt;=5,"HighPerformance","Standard"))</f>
        <v>HighPerformance</v>
      </c>
      <c r="AG839" t="str">
        <f>IF(EV_Data4[[#This Row],[customer_rating]]&gt;=4.5,"Excellent",IF(EV_Data4[[#This Row],[customer_rating]]&gt;=3.5,"Good","Average"))</f>
        <v>Average</v>
      </c>
      <c r="AH83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40" spans="1:34" x14ac:dyDescent="0.3">
      <c r="A840" t="s">
        <v>42</v>
      </c>
      <c r="B840" t="s">
        <v>54</v>
      </c>
      <c r="C840">
        <v>2025</v>
      </c>
      <c r="D840" t="s">
        <v>33</v>
      </c>
      <c r="E840" s="3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48</v>
      </c>
      <c r="N840">
        <v>5</v>
      </c>
      <c r="O840" t="s">
        <v>28</v>
      </c>
      <c r="P840">
        <v>66.3</v>
      </c>
      <c r="Q840">
        <v>2102</v>
      </c>
      <c r="R840">
        <v>5</v>
      </c>
      <c r="S840">
        <v>0</v>
      </c>
      <c r="T840" t="s">
        <v>45</v>
      </c>
      <c r="U840" t="s">
        <v>37</v>
      </c>
      <c r="V840" s="3">
        <v>135916</v>
      </c>
      <c r="W840">
        <v>3.12</v>
      </c>
      <c r="X840">
        <v>4</v>
      </c>
      <c r="Y840" s="1">
        <f>EV_Data4[[#This Row],[range_miles]]/EV_Data4[[#This Row],[battery_capacity_kwh]]</f>
        <v>3.8814531548757172</v>
      </c>
      <c r="Z840" s="4">
        <f>EV_Data4[[#This Row],[price_usd]]/EV_Data4[[#This Row],[range_miles]]</f>
        <v>318.85182266009849</v>
      </c>
      <c r="AA840" s="2">
        <f>(EV_Data4[[#This Row],[customer_rating]]*EV_Data4[[#This Row],[safety_rating]]*1000)/EV_Data4[[#This Row],[price_usd]]</f>
        <v>0.2410125493380498</v>
      </c>
      <c r="AB840">
        <f>EV_Data4[[#This Row],[horsepower]]+EV_Data4[[#This Row],[torque_nm]]/EV_Data4[[#This Row],[acceleration_0_60_mph]]</f>
        <v>766.63660477453584</v>
      </c>
      <c r="AC840" t="str">
        <f>IF(EV_Data4[[#This Row],[price_usd]]&gt;=80000,"Luxury",IF(EV_Data4[[#This Row],[price_usd]]&gt;=40000,"Mid-Range","Budget"))</f>
        <v>Mid-Range</v>
      </c>
      <c r="AD840" t="str">
        <f>IF(EV_Data4[[#This Row],[range_miles]]&gt;=350,"Long-Range",IF(EV_Data4[[#This Row],[range_miles]]&gt;=250,"Medium-Range","Short-Range"))</f>
        <v>Short-Range</v>
      </c>
      <c r="AE840" t="str">
        <f>IF(EV_Data4[[#This Row],[charging_speed_kw]]&gt;=250,"Ultra-Fast",IF(EV_Data4[[#This Row],[charging_speed_kw]]&gt;=150,"Fast-Charging","Standard-Charging"))</f>
        <v>Standard-Charging</v>
      </c>
      <c r="AF840" t="str">
        <f>IF(EV_Data4[[#This Row],[acceleration_0_60_mph]]&lt;=3,"SportsPerformance",IF(EV_Data4[[#This Row],[acceleration_0_60_mph]]&lt;=5,"HighPerformance","Standard"))</f>
        <v>Standard</v>
      </c>
      <c r="AG840" t="str">
        <f>IF(EV_Data4[[#This Row],[customer_rating]]&gt;=4.5,"Excellent",IF(EV_Data4[[#This Row],[customer_rating]]&gt;=3.5,"Good","Average"))</f>
        <v>Average</v>
      </c>
      <c r="AH84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41" spans="1:34" x14ac:dyDescent="0.3">
      <c r="A841" t="s">
        <v>83</v>
      </c>
      <c r="B841" t="s">
        <v>84</v>
      </c>
      <c r="C841">
        <v>2023</v>
      </c>
      <c r="D841" t="s">
        <v>56</v>
      </c>
      <c r="E841" s="3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48</v>
      </c>
      <c r="N841">
        <v>5</v>
      </c>
      <c r="O841" t="s">
        <v>28</v>
      </c>
      <c r="P841">
        <v>78.599999999999994</v>
      </c>
      <c r="Q841">
        <v>2470</v>
      </c>
      <c r="R841">
        <v>4</v>
      </c>
      <c r="S841">
        <v>1</v>
      </c>
      <c r="T841" t="s">
        <v>29</v>
      </c>
      <c r="U841" t="s">
        <v>33</v>
      </c>
      <c r="V841" s="3">
        <v>72062</v>
      </c>
      <c r="W841">
        <v>3.37</v>
      </c>
      <c r="X841">
        <v>6</v>
      </c>
      <c r="Y841" s="1">
        <f>EV_Data4[[#This Row],[range_miles]]/EV_Data4[[#This Row],[battery_capacity_kwh]]</f>
        <v>3.4062927496580029</v>
      </c>
      <c r="Z841" s="4">
        <f>EV_Data4[[#This Row],[price_usd]]/EV_Data4[[#This Row],[range_miles]]</f>
        <v>360.04473895582328</v>
      </c>
      <c r="AA841" s="2">
        <f>(EV_Data4[[#This Row],[customer_rating]]*EV_Data4[[#This Row],[safety_rating]]*1000)/EV_Data4[[#This Row],[price_usd]]</f>
        <v>0.15036060891138697</v>
      </c>
      <c r="AB841">
        <f>EV_Data4[[#This Row],[horsepower]]+EV_Data4[[#This Row],[torque_nm]]/EV_Data4[[#This Row],[acceleration_0_60_mph]]</f>
        <v>822.26760563380276</v>
      </c>
      <c r="AC841" t="str">
        <f>IF(EV_Data4[[#This Row],[price_usd]]&gt;=80000,"Luxury",IF(EV_Data4[[#This Row],[price_usd]]&gt;=40000,"Mid-Range","Budget"))</f>
        <v>Luxury</v>
      </c>
      <c r="AD841" t="str">
        <f>IF(EV_Data4[[#This Row],[range_miles]]&gt;=350,"Long-Range",IF(EV_Data4[[#This Row],[range_miles]]&gt;=250,"Medium-Range","Short-Range"))</f>
        <v>Short-Range</v>
      </c>
      <c r="AE841" t="str">
        <f>IF(EV_Data4[[#This Row],[charging_speed_kw]]&gt;=250,"Ultra-Fast",IF(EV_Data4[[#This Row],[charging_speed_kw]]&gt;=150,"Fast-Charging","Standard-Charging"))</f>
        <v>Standard-Charging</v>
      </c>
      <c r="AF841" t="str">
        <f>IF(EV_Data4[[#This Row],[acceleration_0_60_mph]]&lt;=3,"SportsPerformance",IF(EV_Data4[[#This Row],[acceleration_0_60_mph]]&lt;=5,"HighPerformance","Standard"))</f>
        <v>Standard</v>
      </c>
      <c r="AG841" t="str">
        <f>IF(EV_Data4[[#This Row],[customer_rating]]&gt;=4.5,"Excellent",IF(EV_Data4[[#This Row],[customer_rating]]&gt;=3.5,"Good","Average"))</f>
        <v>Average</v>
      </c>
      <c r="AH84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42" spans="1:34" x14ac:dyDescent="0.3">
      <c r="A842" t="s">
        <v>46</v>
      </c>
      <c r="B842" t="s">
        <v>47</v>
      </c>
      <c r="C842">
        <v>2023</v>
      </c>
      <c r="D842" t="s">
        <v>26</v>
      </c>
      <c r="E842" s="3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48</v>
      </c>
      <c r="N842">
        <v>7</v>
      </c>
      <c r="O842" t="s">
        <v>50</v>
      </c>
      <c r="P842">
        <v>15.1</v>
      </c>
      <c r="Q842">
        <v>1567</v>
      </c>
      <c r="R842">
        <v>5</v>
      </c>
      <c r="S842">
        <v>2</v>
      </c>
      <c r="T842" t="s">
        <v>41</v>
      </c>
      <c r="U842" t="s">
        <v>30</v>
      </c>
      <c r="V842" s="3">
        <v>223587</v>
      </c>
      <c r="W842">
        <v>3.94</v>
      </c>
      <c r="X842">
        <v>4</v>
      </c>
      <c r="Y842" s="1">
        <f>EV_Data4[[#This Row],[range_miles]]/EV_Data4[[#This Row],[battery_capacity_kwh]]</f>
        <v>3.3668341708542715</v>
      </c>
      <c r="Z842" s="4">
        <f>EV_Data4[[#This Row],[price_usd]]/EV_Data4[[#This Row],[range_miles]]</f>
        <v>468.78500000000003</v>
      </c>
      <c r="AA842" s="2">
        <f>(EV_Data4[[#This Row],[customer_rating]]*EV_Data4[[#This Row],[safety_rating]]*1000)/EV_Data4[[#This Row],[price_usd]]</f>
        <v>0.15680421235015446</v>
      </c>
      <c r="AB842">
        <f>EV_Data4[[#This Row],[horsepower]]+EV_Data4[[#This Row],[torque_nm]]/EV_Data4[[#This Row],[acceleration_0_60_mph]]</f>
        <v>1172.8730650154798</v>
      </c>
      <c r="AC842" t="str">
        <f>IF(EV_Data4[[#This Row],[price_usd]]&gt;=80000,"Luxury",IF(EV_Data4[[#This Row],[price_usd]]&gt;=40000,"Mid-Range","Budget"))</f>
        <v>Luxury</v>
      </c>
      <c r="AD842" t="str">
        <f>IF(EV_Data4[[#This Row],[range_miles]]&gt;=350,"Long-Range",IF(EV_Data4[[#This Row],[range_miles]]&gt;=250,"Medium-Range","Short-Range"))</f>
        <v>Medium-Range</v>
      </c>
      <c r="AE842" t="str">
        <f>IF(EV_Data4[[#This Row],[charging_speed_kw]]&gt;=250,"Ultra-Fast",IF(EV_Data4[[#This Row],[charging_speed_kw]]&gt;=150,"Fast-Charging","Standard-Charging"))</f>
        <v>Ultra-Fast</v>
      </c>
      <c r="AF842" t="str">
        <f>IF(EV_Data4[[#This Row],[acceleration_0_60_mph]]&lt;=3,"SportsPerformance",IF(EV_Data4[[#This Row],[acceleration_0_60_mph]]&lt;=5,"HighPerformance","Standard"))</f>
        <v>HighPerformance</v>
      </c>
      <c r="AG842" t="str">
        <f>IF(EV_Data4[[#This Row],[customer_rating]]&gt;=4.5,"Excellent",IF(EV_Data4[[#This Row],[customer_rating]]&gt;=3.5,"Good","Average"))</f>
        <v>Good</v>
      </c>
      <c r="AH84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43" spans="1:34" x14ac:dyDescent="0.3">
      <c r="A843" t="s">
        <v>83</v>
      </c>
      <c r="B843" t="s">
        <v>89</v>
      </c>
      <c r="C843">
        <v>2025</v>
      </c>
      <c r="D843" t="s">
        <v>56</v>
      </c>
      <c r="E843" s="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34</v>
      </c>
      <c r="N843">
        <v>5</v>
      </c>
      <c r="O843" t="s">
        <v>40</v>
      </c>
      <c r="P843">
        <v>60.1</v>
      </c>
      <c r="Q843">
        <v>1564</v>
      </c>
      <c r="R843">
        <v>4</v>
      </c>
      <c r="S843">
        <v>2</v>
      </c>
      <c r="T843" t="s">
        <v>29</v>
      </c>
      <c r="U843" t="s">
        <v>33</v>
      </c>
      <c r="V843" s="3">
        <v>71204</v>
      </c>
      <c r="W843">
        <v>3.55</v>
      </c>
      <c r="X843">
        <v>7</v>
      </c>
      <c r="Y843" s="1">
        <f>EV_Data4[[#This Row],[range_miles]]/EV_Data4[[#This Row],[battery_capacity_kwh]]</f>
        <v>3.4048257372654156</v>
      </c>
      <c r="Z843" s="4">
        <f>EV_Data4[[#This Row],[price_usd]]/EV_Data4[[#This Row],[range_miles]]</f>
        <v>366.7566535433071</v>
      </c>
      <c r="AA843" s="2">
        <f>(EV_Data4[[#This Row],[customer_rating]]*EV_Data4[[#This Row],[safety_rating]]*1000)/EV_Data4[[#This Row],[price_usd]]</f>
        <v>0.15243216795362713</v>
      </c>
      <c r="AB843">
        <f>EV_Data4[[#This Row],[horsepower]]+EV_Data4[[#This Row],[torque_nm]]/EV_Data4[[#This Row],[acceleration_0_60_mph]]</f>
        <v>768.63685636856371</v>
      </c>
      <c r="AC843" t="str">
        <f>IF(EV_Data4[[#This Row],[price_usd]]&gt;=80000,"Luxury",IF(EV_Data4[[#This Row],[price_usd]]&gt;=40000,"Mid-Range","Budget"))</f>
        <v>Luxury</v>
      </c>
      <c r="AD843" t="str">
        <f>IF(EV_Data4[[#This Row],[range_miles]]&gt;=350,"Long-Range",IF(EV_Data4[[#This Row],[range_miles]]&gt;=250,"Medium-Range","Short-Range"))</f>
        <v>Medium-Range</v>
      </c>
      <c r="AE843" t="str">
        <f>IF(EV_Data4[[#This Row],[charging_speed_kw]]&gt;=250,"Ultra-Fast",IF(EV_Data4[[#This Row],[charging_speed_kw]]&gt;=150,"Fast-Charging","Standard-Charging"))</f>
        <v>Standard-Charging</v>
      </c>
      <c r="AF843" t="str">
        <f>IF(EV_Data4[[#This Row],[acceleration_0_60_mph]]&lt;=3,"SportsPerformance",IF(EV_Data4[[#This Row],[acceleration_0_60_mph]]&lt;=5,"HighPerformance","Standard"))</f>
        <v>Standard</v>
      </c>
      <c r="AG843" t="str">
        <f>IF(EV_Data4[[#This Row],[customer_rating]]&gt;=4.5,"Excellent",IF(EV_Data4[[#This Row],[customer_rating]]&gt;=3.5,"Good","Average"))</f>
        <v>Good</v>
      </c>
      <c r="AH84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44" spans="1:34" x14ac:dyDescent="0.3">
      <c r="A844" t="s">
        <v>46</v>
      </c>
      <c r="B844" t="s">
        <v>72</v>
      </c>
      <c r="C844">
        <v>2022</v>
      </c>
      <c r="D844" t="s">
        <v>44</v>
      </c>
      <c r="E844" s="3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34</v>
      </c>
      <c r="N844">
        <v>5</v>
      </c>
      <c r="O844" t="s">
        <v>28</v>
      </c>
      <c r="P844">
        <v>66</v>
      </c>
      <c r="Q844">
        <v>2476</v>
      </c>
      <c r="R844">
        <v>5</v>
      </c>
      <c r="S844">
        <v>2</v>
      </c>
      <c r="T844" t="s">
        <v>41</v>
      </c>
      <c r="U844" t="s">
        <v>33</v>
      </c>
      <c r="V844" s="3">
        <v>124977</v>
      </c>
      <c r="W844">
        <v>3.96</v>
      </c>
      <c r="X844">
        <v>5</v>
      </c>
      <c r="Y844" s="1">
        <f>EV_Data4[[#This Row],[range_miles]]/EV_Data4[[#This Row],[battery_capacity_kwh]]</f>
        <v>3.7712344280860703</v>
      </c>
      <c r="Z844" s="4">
        <f>EV_Data4[[#This Row],[price_usd]]/EV_Data4[[#This Row],[range_miles]]</f>
        <v>282.28063063063064</v>
      </c>
      <c r="AA844" s="2">
        <f>(EV_Data4[[#This Row],[customer_rating]]*EV_Data4[[#This Row],[safety_rating]]*1000)/EV_Data4[[#This Row],[price_usd]]</f>
        <v>0.21063953033767752</v>
      </c>
      <c r="AB844">
        <f>EV_Data4[[#This Row],[horsepower]]+EV_Data4[[#This Row],[torque_nm]]/EV_Data4[[#This Row],[acceleration_0_60_mph]]</f>
        <v>812.7602739726027</v>
      </c>
      <c r="AC844" t="str">
        <f>IF(EV_Data4[[#This Row],[price_usd]]&gt;=80000,"Luxury",IF(EV_Data4[[#This Row],[price_usd]]&gt;=40000,"Mid-Range","Budget"))</f>
        <v>Luxury</v>
      </c>
      <c r="AD844" t="str">
        <f>IF(EV_Data4[[#This Row],[range_miles]]&gt;=350,"Long-Range",IF(EV_Data4[[#This Row],[range_miles]]&gt;=250,"Medium-Range","Short-Range"))</f>
        <v>Medium-Range</v>
      </c>
      <c r="AE844" t="str">
        <f>IF(EV_Data4[[#This Row],[charging_speed_kw]]&gt;=250,"Ultra-Fast",IF(EV_Data4[[#This Row],[charging_speed_kw]]&gt;=150,"Fast-Charging","Standard-Charging"))</f>
        <v>Ultra-Fast</v>
      </c>
      <c r="AF844" t="str">
        <f>IF(EV_Data4[[#This Row],[acceleration_0_60_mph]]&lt;=3,"SportsPerformance",IF(EV_Data4[[#This Row],[acceleration_0_60_mph]]&lt;=5,"HighPerformance","Standard"))</f>
        <v>Standard</v>
      </c>
      <c r="AG844" t="str">
        <f>IF(EV_Data4[[#This Row],[customer_rating]]&gt;=4.5,"Excellent",IF(EV_Data4[[#This Row],[customer_rating]]&gt;=3.5,"Good","Average"))</f>
        <v>Good</v>
      </c>
      <c r="AH84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45" spans="1:34" x14ac:dyDescent="0.3">
      <c r="A845" t="s">
        <v>31</v>
      </c>
      <c r="B845" t="s">
        <v>32</v>
      </c>
      <c r="C845">
        <v>2023</v>
      </c>
      <c r="D845" t="s">
        <v>33</v>
      </c>
      <c r="E845" s="3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48</v>
      </c>
      <c r="N845">
        <v>7</v>
      </c>
      <c r="O845" t="s">
        <v>35</v>
      </c>
      <c r="P845">
        <v>40</v>
      </c>
      <c r="Q845">
        <v>2088</v>
      </c>
      <c r="R845">
        <v>5</v>
      </c>
      <c r="S845">
        <v>0</v>
      </c>
      <c r="T845" t="s">
        <v>36</v>
      </c>
      <c r="U845" t="s">
        <v>37</v>
      </c>
      <c r="V845" s="3">
        <v>7110</v>
      </c>
      <c r="W845">
        <v>3.56</v>
      </c>
      <c r="X845">
        <v>4</v>
      </c>
      <c r="Y845" s="1">
        <f>EV_Data4[[#This Row],[range_miles]]/EV_Data4[[#This Row],[battery_capacity_kwh]]</f>
        <v>3.3717579250720457</v>
      </c>
      <c r="Z845" s="4">
        <f>EV_Data4[[#This Row],[price_usd]]/EV_Data4[[#This Row],[range_miles]]</f>
        <v>222.91021367521367</v>
      </c>
      <c r="AA845" s="2">
        <f>(EV_Data4[[#This Row],[customer_rating]]*EV_Data4[[#This Row],[safety_rating]]*1000)/EV_Data4[[#This Row],[price_usd]]</f>
        <v>0.34125119174310153</v>
      </c>
      <c r="AB845">
        <f>EV_Data4[[#This Row],[horsepower]]+EV_Data4[[#This Row],[torque_nm]]/EV_Data4[[#This Row],[acceleration_0_60_mph]]</f>
        <v>588.45571658615131</v>
      </c>
      <c r="AC845" t="str">
        <f>IF(EV_Data4[[#This Row],[price_usd]]&gt;=80000,"Luxury",IF(EV_Data4[[#This Row],[price_usd]]&gt;=40000,"Mid-Range","Budget"))</f>
        <v>Mid-Range</v>
      </c>
      <c r="AD845" t="str">
        <f>IF(EV_Data4[[#This Row],[range_miles]]&gt;=350,"Long-Range",IF(EV_Data4[[#This Row],[range_miles]]&gt;=250,"Medium-Range","Short-Range"))</f>
        <v>Short-Range</v>
      </c>
      <c r="AE845" t="str">
        <f>IF(EV_Data4[[#This Row],[charging_speed_kw]]&gt;=250,"Ultra-Fast",IF(EV_Data4[[#This Row],[charging_speed_kw]]&gt;=150,"Fast-Charging","Standard-Charging"))</f>
        <v>Standard-Charging</v>
      </c>
      <c r="AF845" t="str">
        <f>IF(EV_Data4[[#This Row],[acceleration_0_60_mph]]&lt;=3,"SportsPerformance",IF(EV_Data4[[#This Row],[acceleration_0_60_mph]]&lt;=5,"HighPerformance","Standard"))</f>
        <v>Standard</v>
      </c>
      <c r="AG845" t="str">
        <f>IF(EV_Data4[[#This Row],[customer_rating]]&gt;=4.5,"Excellent",IF(EV_Data4[[#This Row],[customer_rating]]&gt;=3.5,"Good","Average"))</f>
        <v>Good</v>
      </c>
      <c r="AH84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46" spans="1:34" x14ac:dyDescent="0.3">
      <c r="A846" t="s">
        <v>46</v>
      </c>
      <c r="B846" t="s">
        <v>57</v>
      </c>
      <c r="C846">
        <v>2024</v>
      </c>
      <c r="D846" t="s">
        <v>26</v>
      </c>
      <c r="E846" s="3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48</v>
      </c>
      <c r="N846">
        <v>5</v>
      </c>
      <c r="O846" t="s">
        <v>58</v>
      </c>
      <c r="P846">
        <v>35.799999999999997</v>
      </c>
      <c r="Q846">
        <v>1500</v>
      </c>
      <c r="R846">
        <v>4</v>
      </c>
      <c r="S846">
        <v>3</v>
      </c>
      <c r="T846" t="s">
        <v>41</v>
      </c>
      <c r="U846" t="s">
        <v>33</v>
      </c>
      <c r="V846" s="3">
        <v>153891</v>
      </c>
      <c r="W846">
        <v>3.65</v>
      </c>
      <c r="X846">
        <v>4</v>
      </c>
      <c r="Y846" s="1">
        <f>EV_Data4[[#This Row],[range_miles]]/EV_Data4[[#This Row],[battery_capacity_kwh]]</f>
        <v>3.5674157303370784</v>
      </c>
      <c r="Z846" s="4">
        <f>EV_Data4[[#This Row],[price_usd]]/EV_Data4[[#This Row],[range_miles]]</f>
        <v>306.68448818897639</v>
      </c>
      <c r="AA846" s="2">
        <f>(EV_Data4[[#This Row],[customer_rating]]*EV_Data4[[#This Row],[safety_rating]]*1000)/EV_Data4[[#This Row],[price_usd]]</f>
        <v>0.18742491770634007</v>
      </c>
      <c r="AB846">
        <f>EV_Data4[[#This Row],[horsepower]]+EV_Data4[[#This Row],[torque_nm]]/EV_Data4[[#This Row],[acceleration_0_60_mph]]</f>
        <v>672.06993006993002</v>
      </c>
      <c r="AC846" t="str">
        <f>IF(EV_Data4[[#This Row],[price_usd]]&gt;=80000,"Luxury",IF(EV_Data4[[#This Row],[price_usd]]&gt;=40000,"Mid-Range","Budget"))</f>
        <v>Mid-Range</v>
      </c>
      <c r="AD846" t="str">
        <f>IF(EV_Data4[[#This Row],[range_miles]]&gt;=350,"Long-Range",IF(EV_Data4[[#This Row],[range_miles]]&gt;=250,"Medium-Range","Short-Range"))</f>
        <v>Medium-Range</v>
      </c>
      <c r="AE846" t="str">
        <f>IF(EV_Data4[[#This Row],[charging_speed_kw]]&gt;=250,"Ultra-Fast",IF(EV_Data4[[#This Row],[charging_speed_kw]]&gt;=150,"Fast-Charging","Standard-Charging"))</f>
        <v>Ultra-Fast</v>
      </c>
      <c r="AF846" t="str">
        <f>IF(EV_Data4[[#This Row],[acceleration_0_60_mph]]&lt;=3,"SportsPerformance",IF(EV_Data4[[#This Row],[acceleration_0_60_mph]]&lt;=5,"HighPerformance","Standard"))</f>
        <v>HighPerformance</v>
      </c>
      <c r="AG846" t="str">
        <f>IF(EV_Data4[[#This Row],[customer_rating]]&gt;=4.5,"Excellent",IF(EV_Data4[[#This Row],[customer_rating]]&gt;=3.5,"Good","Average"))</f>
        <v>Good</v>
      </c>
      <c r="AH846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847" spans="1:34" x14ac:dyDescent="0.3">
      <c r="A847" t="s">
        <v>24</v>
      </c>
      <c r="B847" t="s">
        <v>70</v>
      </c>
      <c r="C847">
        <v>2025</v>
      </c>
      <c r="D847" t="s">
        <v>56</v>
      </c>
      <c r="E847" s="3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48</v>
      </c>
      <c r="N847">
        <v>5</v>
      </c>
      <c r="O847" t="s">
        <v>51</v>
      </c>
      <c r="P847">
        <v>26</v>
      </c>
      <c r="Q847">
        <v>1649</v>
      </c>
      <c r="R847">
        <v>5</v>
      </c>
      <c r="S847">
        <v>0</v>
      </c>
      <c r="T847" t="s">
        <v>29</v>
      </c>
      <c r="U847" t="s">
        <v>33</v>
      </c>
      <c r="V847" s="3">
        <v>200182</v>
      </c>
      <c r="W847">
        <v>3.41</v>
      </c>
      <c r="X847">
        <v>4</v>
      </c>
      <c r="Y847" s="1">
        <f>EV_Data4[[#This Row],[range_miles]]/EV_Data4[[#This Row],[battery_capacity_kwh]]</f>
        <v>2.9673590504451037</v>
      </c>
      <c r="Z847" s="4">
        <f>EV_Data4[[#This Row],[price_usd]]/EV_Data4[[#This Row],[range_miles]]</f>
        <v>393.49349999999998</v>
      </c>
      <c r="AA847" s="2">
        <f>(EV_Data4[[#This Row],[customer_rating]]*EV_Data4[[#This Row],[safety_rating]]*1000)/EV_Data4[[#This Row],[price_usd]]</f>
        <v>0.21664906790074043</v>
      </c>
      <c r="AB847">
        <f>EV_Data4[[#This Row],[horsepower]]+EV_Data4[[#This Row],[torque_nm]]/EV_Data4[[#This Row],[acceleration_0_60_mph]]</f>
        <v>968.84293193717281</v>
      </c>
      <c r="AC847" t="str">
        <f>IF(EV_Data4[[#This Row],[price_usd]]&gt;=80000,"Luxury",IF(EV_Data4[[#This Row],[price_usd]]&gt;=40000,"Mid-Range","Budget"))</f>
        <v>Mid-Range</v>
      </c>
      <c r="AD847" t="str">
        <f>IF(EV_Data4[[#This Row],[range_miles]]&gt;=350,"Long-Range",IF(EV_Data4[[#This Row],[range_miles]]&gt;=250,"Medium-Range","Short-Range"))</f>
        <v>Short-Range</v>
      </c>
      <c r="AE847" t="str">
        <f>IF(EV_Data4[[#This Row],[charging_speed_kw]]&gt;=250,"Ultra-Fast",IF(EV_Data4[[#This Row],[charging_speed_kw]]&gt;=150,"Fast-Charging","Standard-Charging"))</f>
        <v>Standard-Charging</v>
      </c>
      <c r="AF847" t="str">
        <f>IF(EV_Data4[[#This Row],[acceleration_0_60_mph]]&lt;=3,"SportsPerformance",IF(EV_Data4[[#This Row],[acceleration_0_60_mph]]&lt;=5,"HighPerformance","Standard"))</f>
        <v>Standard</v>
      </c>
      <c r="AG847" t="str">
        <f>IF(EV_Data4[[#This Row],[customer_rating]]&gt;=4.5,"Excellent",IF(EV_Data4[[#This Row],[customer_rating]]&gt;=3.5,"Good","Average"))</f>
        <v>Average</v>
      </c>
      <c r="AH84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48" spans="1:34" x14ac:dyDescent="0.3">
      <c r="A848" t="s">
        <v>46</v>
      </c>
      <c r="B848" t="s">
        <v>57</v>
      </c>
      <c r="C848">
        <v>2021</v>
      </c>
      <c r="D848" t="s">
        <v>56</v>
      </c>
      <c r="E848" s="3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27</v>
      </c>
      <c r="N848">
        <v>7</v>
      </c>
      <c r="O848" t="s">
        <v>28</v>
      </c>
      <c r="P848">
        <v>78.2</v>
      </c>
      <c r="Q848">
        <v>2219</v>
      </c>
      <c r="R848">
        <v>4</v>
      </c>
      <c r="S848">
        <v>3</v>
      </c>
      <c r="T848" t="s">
        <v>41</v>
      </c>
      <c r="U848" t="s">
        <v>30</v>
      </c>
      <c r="V848" s="3">
        <v>117148</v>
      </c>
      <c r="W848">
        <v>3.95</v>
      </c>
      <c r="X848">
        <v>5</v>
      </c>
      <c r="Y848" s="1">
        <f>EV_Data4[[#This Row],[range_miles]]/EV_Data4[[#This Row],[battery_capacity_kwh]]</f>
        <v>3.4204275534441804</v>
      </c>
      <c r="Z848" s="4">
        <f>EV_Data4[[#This Row],[price_usd]]/EV_Data4[[#This Row],[range_miles]]</f>
        <v>381.7217013888889</v>
      </c>
      <c r="AA848" s="2">
        <f>(EV_Data4[[#This Row],[customer_rating]]*EV_Data4[[#This Row],[safety_rating]]*1000)/EV_Data4[[#This Row],[price_usd]]</f>
        <v>0.14372017863144734</v>
      </c>
      <c r="AB848">
        <f>EV_Data4[[#This Row],[horsepower]]+EV_Data4[[#This Row],[torque_nm]]/EV_Data4[[#This Row],[acceleration_0_60_mph]]</f>
        <v>829.73228346456699</v>
      </c>
      <c r="AC848" t="str">
        <f>IF(EV_Data4[[#This Row],[price_usd]]&gt;=80000,"Luxury",IF(EV_Data4[[#This Row],[price_usd]]&gt;=40000,"Mid-Range","Budget"))</f>
        <v>Luxury</v>
      </c>
      <c r="AD848" t="str">
        <f>IF(EV_Data4[[#This Row],[range_miles]]&gt;=350,"Long-Range",IF(EV_Data4[[#This Row],[range_miles]]&gt;=250,"Medium-Range","Short-Range"))</f>
        <v>Medium-Range</v>
      </c>
      <c r="AE848" t="str">
        <f>IF(EV_Data4[[#This Row],[charging_speed_kw]]&gt;=250,"Ultra-Fast",IF(EV_Data4[[#This Row],[charging_speed_kw]]&gt;=150,"Fast-Charging","Standard-Charging"))</f>
        <v>Fast-Charging</v>
      </c>
      <c r="AF848" t="str">
        <f>IF(EV_Data4[[#This Row],[acceleration_0_60_mph]]&lt;=3,"SportsPerformance",IF(EV_Data4[[#This Row],[acceleration_0_60_mph]]&lt;=5,"HighPerformance","Standard"))</f>
        <v>Standard</v>
      </c>
      <c r="AG848" t="str">
        <f>IF(EV_Data4[[#This Row],[customer_rating]]&gt;=4.5,"Excellent",IF(EV_Data4[[#This Row],[customer_rating]]&gt;=3.5,"Good","Average"))</f>
        <v>Good</v>
      </c>
      <c r="AH84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849" spans="1:34" x14ac:dyDescent="0.3">
      <c r="A849" t="s">
        <v>131</v>
      </c>
      <c r="B849" t="s">
        <v>132</v>
      </c>
      <c r="C849">
        <v>2024</v>
      </c>
      <c r="D849" t="s">
        <v>26</v>
      </c>
      <c r="E849" s="3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48</v>
      </c>
      <c r="N849">
        <v>5</v>
      </c>
      <c r="O849" t="s">
        <v>35</v>
      </c>
      <c r="P849">
        <v>50.9</v>
      </c>
      <c r="Q849">
        <v>2328</v>
      </c>
      <c r="R849">
        <v>3</v>
      </c>
      <c r="S849">
        <v>0</v>
      </c>
      <c r="T849" t="s">
        <v>65</v>
      </c>
      <c r="U849" t="s">
        <v>30</v>
      </c>
      <c r="V849" s="3">
        <v>8357</v>
      </c>
      <c r="W849">
        <v>3.71</v>
      </c>
      <c r="X849">
        <v>5</v>
      </c>
      <c r="Y849" s="1">
        <f>EV_Data4[[#This Row],[range_miles]]/EV_Data4[[#This Row],[battery_capacity_kwh]]</f>
        <v>3.568075117370892</v>
      </c>
      <c r="Z849" s="4">
        <f>EV_Data4[[#This Row],[price_usd]]/EV_Data4[[#This Row],[range_miles]]</f>
        <v>380.50253289473687</v>
      </c>
      <c r="AA849" s="2">
        <f>(EV_Data4[[#This Row],[customer_rating]]*EV_Data4[[#This Row],[safety_rating]]*1000)/EV_Data4[[#This Row],[price_usd]]</f>
        <v>9.6219706677725433E-2</v>
      </c>
      <c r="AB849">
        <f>EV_Data4[[#This Row],[horsepower]]+EV_Data4[[#This Row],[torque_nm]]/EV_Data4[[#This Row],[acceleration_0_60_mph]]</f>
        <v>1247.7272727272727</v>
      </c>
      <c r="AC849" t="str">
        <f>IF(EV_Data4[[#This Row],[price_usd]]&gt;=80000,"Luxury",IF(EV_Data4[[#This Row],[price_usd]]&gt;=40000,"Mid-Range","Budget"))</f>
        <v>Luxury</v>
      </c>
      <c r="AD849" t="str">
        <f>IF(EV_Data4[[#This Row],[range_miles]]&gt;=350,"Long-Range",IF(EV_Data4[[#This Row],[range_miles]]&gt;=250,"Medium-Range","Short-Range"))</f>
        <v>Medium-Range</v>
      </c>
      <c r="AE849" t="str">
        <f>IF(EV_Data4[[#This Row],[charging_speed_kw]]&gt;=250,"Ultra-Fast",IF(EV_Data4[[#This Row],[charging_speed_kw]]&gt;=150,"Fast-Charging","Standard-Charging"))</f>
        <v>Fast-Charging</v>
      </c>
      <c r="AF849" t="str">
        <f>IF(EV_Data4[[#This Row],[acceleration_0_60_mph]]&lt;=3,"SportsPerformance",IF(EV_Data4[[#This Row],[acceleration_0_60_mph]]&lt;=5,"HighPerformance","Standard"))</f>
        <v>HighPerformance</v>
      </c>
      <c r="AG849" t="str">
        <f>IF(EV_Data4[[#This Row],[customer_rating]]&gt;=4.5,"Excellent",IF(EV_Data4[[#This Row],[customer_rating]]&gt;=3.5,"Good","Average"))</f>
        <v>Good</v>
      </c>
      <c r="AH84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50" spans="1:34" x14ac:dyDescent="0.3">
      <c r="A850" t="s">
        <v>68</v>
      </c>
      <c r="B850" t="s">
        <v>69</v>
      </c>
      <c r="C850">
        <v>2024</v>
      </c>
      <c r="D850" t="s">
        <v>26</v>
      </c>
      <c r="E850" s="3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27</v>
      </c>
      <c r="N850">
        <v>5</v>
      </c>
      <c r="O850" t="s">
        <v>40</v>
      </c>
      <c r="P850">
        <v>77.7</v>
      </c>
      <c r="Q850">
        <v>1707</v>
      </c>
      <c r="R850">
        <v>4</v>
      </c>
      <c r="S850">
        <v>1</v>
      </c>
      <c r="T850" t="s">
        <v>45</v>
      </c>
      <c r="U850" t="s">
        <v>37</v>
      </c>
      <c r="V850" s="3">
        <v>71109</v>
      </c>
      <c r="W850">
        <v>3.49</v>
      </c>
      <c r="X850">
        <v>5</v>
      </c>
      <c r="Y850" s="1">
        <f>EV_Data4[[#This Row],[range_miles]]/EV_Data4[[#This Row],[battery_capacity_kwh]]</f>
        <v>3.5894357743097238</v>
      </c>
      <c r="Z850" s="4">
        <f>EV_Data4[[#This Row],[price_usd]]/EV_Data4[[#This Row],[range_miles]]</f>
        <v>146.04431438127091</v>
      </c>
      <c r="AA850" s="2">
        <f>(EV_Data4[[#This Row],[customer_rating]]*EV_Data4[[#This Row],[safety_rating]]*1000)/EV_Data4[[#This Row],[price_usd]]</f>
        <v>0.31969038581545667</v>
      </c>
      <c r="AB850">
        <f>EV_Data4[[#This Row],[horsepower]]+EV_Data4[[#This Row],[torque_nm]]/EV_Data4[[#This Row],[acceleration_0_60_mph]]</f>
        <v>603.9776357827476</v>
      </c>
      <c r="AC850" t="str">
        <f>IF(EV_Data4[[#This Row],[price_usd]]&gt;=80000,"Luxury",IF(EV_Data4[[#This Row],[price_usd]]&gt;=40000,"Mid-Range","Budget"))</f>
        <v>Mid-Range</v>
      </c>
      <c r="AD850" t="str">
        <f>IF(EV_Data4[[#This Row],[range_miles]]&gt;=350,"Long-Range",IF(EV_Data4[[#This Row],[range_miles]]&gt;=250,"Medium-Range","Short-Range"))</f>
        <v>Medium-Range</v>
      </c>
      <c r="AE850" t="str">
        <f>IF(EV_Data4[[#This Row],[charging_speed_kw]]&gt;=250,"Ultra-Fast",IF(EV_Data4[[#This Row],[charging_speed_kw]]&gt;=150,"Fast-Charging","Standard-Charging"))</f>
        <v>Fast-Charging</v>
      </c>
      <c r="AF850" t="str">
        <f>IF(EV_Data4[[#This Row],[acceleration_0_60_mph]]&lt;=3,"SportsPerformance",IF(EV_Data4[[#This Row],[acceleration_0_60_mph]]&lt;=5,"HighPerformance","Standard"))</f>
        <v>HighPerformance</v>
      </c>
      <c r="AG850" t="str">
        <f>IF(EV_Data4[[#This Row],[customer_rating]]&gt;=4.5,"Excellent",IF(EV_Data4[[#This Row],[customer_rating]]&gt;=3.5,"Good","Average"))</f>
        <v>Average</v>
      </c>
      <c r="AH85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51" spans="1:34" x14ac:dyDescent="0.3">
      <c r="A851" t="s">
        <v>42</v>
      </c>
      <c r="B851" t="s">
        <v>115</v>
      </c>
      <c r="C851">
        <v>2025</v>
      </c>
      <c r="D851" t="s">
        <v>56</v>
      </c>
      <c r="E851" s="3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48</v>
      </c>
      <c r="N851">
        <v>7</v>
      </c>
      <c r="O851" t="s">
        <v>51</v>
      </c>
      <c r="P851">
        <v>25.8</v>
      </c>
      <c r="Q851">
        <v>1638</v>
      </c>
      <c r="R851">
        <v>4</v>
      </c>
      <c r="S851">
        <v>1</v>
      </c>
      <c r="T851" t="s">
        <v>45</v>
      </c>
      <c r="U851" t="s">
        <v>37</v>
      </c>
      <c r="V851" s="3">
        <v>105178</v>
      </c>
      <c r="W851">
        <v>3.37</v>
      </c>
      <c r="X851">
        <v>4</v>
      </c>
      <c r="Y851" s="1">
        <f>EV_Data4[[#This Row],[range_miles]]/EV_Data4[[#This Row],[battery_capacity_kwh]]</f>
        <v>3.6904761904761907</v>
      </c>
      <c r="Z851" s="4">
        <f>EV_Data4[[#This Row],[price_usd]]/EV_Data4[[#This Row],[range_miles]]</f>
        <v>278.91317972350231</v>
      </c>
      <c r="AA851" s="2">
        <f>(EV_Data4[[#This Row],[customer_rating]]*EV_Data4[[#This Row],[safety_rating]]*1000)/EV_Data4[[#This Row],[price_usd]]</f>
        <v>0.22272097621842252</v>
      </c>
      <c r="AB851">
        <f>EV_Data4[[#This Row],[horsepower]]+EV_Data4[[#This Row],[torque_nm]]/EV_Data4[[#This Row],[acceleration_0_60_mph]]</f>
        <v>700.38461538461536</v>
      </c>
      <c r="AC851" t="str">
        <f>IF(EV_Data4[[#This Row],[price_usd]]&gt;=80000,"Luxury",IF(EV_Data4[[#This Row],[price_usd]]&gt;=40000,"Mid-Range","Budget"))</f>
        <v>Mid-Range</v>
      </c>
      <c r="AD851" t="str">
        <f>IF(EV_Data4[[#This Row],[range_miles]]&gt;=350,"Long-Range",IF(EV_Data4[[#This Row],[range_miles]]&gt;=250,"Medium-Range","Short-Range"))</f>
        <v>Short-Range</v>
      </c>
      <c r="AE851" t="str">
        <f>IF(EV_Data4[[#This Row],[charging_speed_kw]]&gt;=250,"Ultra-Fast",IF(EV_Data4[[#This Row],[charging_speed_kw]]&gt;=150,"Fast-Charging","Standard-Charging"))</f>
        <v>Standard-Charging</v>
      </c>
      <c r="AF851" t="str">
        <f>IF(EV_Data4[[#This Row],[acceleration_0_60_mph]]&lt;=3,"SportsPerformance",IF(EV_Data4[[#This Row],[acceleration_0_60_mph]]&lt;=5,"HighPerformance","Standard"))</f>
        <v>Standard</v>
      </c>
      <c r="AG851" t="str">
        <f>IF(EV_Data4[[#This Row],[customer_rating]]&gt;=4.5,"Excellent",IF(EV_Data4[[#This Row],[customer_rating]]&gt;=3.5,"Good","Average"))</f>
        <v>Average</v>
      </c>
      <c r="AH85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52" spans="1:34" x14ac:dyDescent="0.3">
      <c r="A852" t="s">
        <v>46</v>
      </c>
      <c r="B852" t="s">
        <v>47</v>
      </c>
      <c r="C852">
        <v>2021</v>
      </c>
      <c r="D852" t="s">
        <v>61</v>
      </c>
      <c r="E852" s="3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48</v>
      </c>
      <c r="N852">
        <v>5</v>
      </c>
      <c r="O852" t="s">
        <v>50</v>
      </c>
      <c r="P852">
        <v>27.6</v>
      </c>
      <c r="Q852">
        <v>1500</v>
      </c>
      <c r="R852">
        <v>5</v>
      </c>
      <c r="S852">
        <v>3</v>
      </c>
      <c r="T852" t="s">
        <v>41</v>
      </c>
      <c r="U852" t="s">
        <v>66</v>
      </c>
      <c r="V852" s="3">
        <v>132068</v>
      </c>
      <c r="W852">
        <v>3.73</v>
      </c>
      <c r="X852">
        <v>4</v>
      </c>
      <c r="Y852" s="1">
        <f>EV_Data4[[#This Row],[range_miles]]/EV_Data4[[#This Row],[battery_capacity_kwh]]</f>
        <v>3.3415536374845871</v>
      </c>
      <c r="Z852" s="4">
        <f>EV_Data4[[#This Row],[price_usd]]/EV_Data4[[#This Row],[range_miles]]</f>
        <v>92.177047970479705</v>
      </c>
      <c r="AA852" s="2">
        <f>(EV_Data4[[#This Row],[customer_rating]]*EV_Data4[[#This Row],[safety_rating]]*1000)/EV_Data4[[#This Row],[price_usd]]</f>
        <v>0.74659787557876345</v>
      </c>
      <c r="AB852">
        <f>EV_Data4[[#This Row],[horsepower]]+EV_Data4[[#This Row],[torque_nm]]/EV_Data4[[#This Row],[acceleration_0_60_mph]]</f>
        <v>179.28257686676426</v>
      </c>
      <c r="AC852" t="str">
        <f>IF(EV_Data4[[#This Row],[price_usd]]&gt;=80000,"Luxury",IF(EV_Data4[[#This Row],[price_usd]]&gt;=40000,"Mid-Range","Budget"))</f>
        <v>Budget</v>
      </c>
      <c r="AD852" t="str">
        <f>IF(EV_Data4[[#This Row],[range_miles]]&gt;=350,"Long-Range",IF(EV_Data4[[#This Row],[range_miles]]&gt;=250,"Medium-Range","Short-Range"))</f>
        <v>Medium-Range</v>
      </c>
      <c r="AE852" t="str">
        <f>IF(EV_Data4[[#This Row],[charging_speed_kw]]&gt;=250,"Ultra-Fast",IF(EV_Data4[[#This Row],[charging_speed_kw]]&gt;=150,"Fast-Charging","Standard-Charging"))</f>
        <v>Ultra-Fast</v>
      </c>
      <c r="AF852" t="str">
        <f>IF(EV_Data4[[#This Row],[acceleration_0_60_mph]]&lt;=3,"SportsPerformance",IF(EV_Data4[[#This Row],[acceleration_0_60_mph]]&lt;=5,"HighPerformance","Standard"))</f>
        <v>Standard</v>
      </c>
      <c r="AG852" t="str">
        <f>IF(EV_Data4[[#This Row],[customer_rating]]&gt;=4.5,"Excellent",IF(EV_Data4[[#This Row],[customer_rating]]&gt;=3.5,"Good","Average"))</f>
        <v>Good</v>
      </c>
      <c r="AH852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853" spans="1:34" x14ac:dyDescent="0.3">
      <c r="A853" t="s">
        <v>38</v>
      </c>
      <c r="B853" t="s">
        <v>55</v>
      </c>
      <c r="C853">
        <v>2024</v>
      </c>
      <c r="D853" t="s">
        <v>56</v>
      </c>
      <c r="E853" s="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34</v>
      </c>
      <c r="N853">
        <v>5</v>
      </c>
      <c r="O853" t="s">
        <v>58</v>
      </c>
      <c r="P853">
        <v>22.4</v>
      </c>
      <c r="Q853">
        <v>1754</v>
      </c>
      <c r="R853">
        <v>5</v>
      </c>
      <c r="S853">
        <v>1</v>
      </c>
      <c r="T853" t="s">
        <v>41</v>
      </c>
      <c r="U853" t="s">
        <v>37</v>
      </c>
      <c r="V853" s="3">
        <v>22110</v>
      </c>
      <c r="W853">
        <v>3.62</v>
      </c>
      <c r="X853">
        <v>3</v>
      </c>
      <c r="Y853" s="1">
        <f>EV_Data4[[#This Row],[range_miles]]/EV_Data4[[#This Row],[battery_capacity_kwh]]</f>
        <v>3.7440191387559811</v>
      </c>
      <c r="Z853" s="4">
        <f>EV_Data4[[#This Row],[price_usd]]/EV_Data4[[#This Row],[range_miles]]</f>
        <v>187.59287539936102</v>
      </c>
      <c r="AA853" s="2">
        <f>(EV_Data4[[#This Row],[customer_rating]]*EV_Data4[[#This Row],[safety_rating]]*1000)/EV_Data4[[#This Row],[price_usd]]</f>
        <v>0.30826051317370889</v>
      </c>
      <c r="AB853">
        <f>EV_Data4[[#This Row],[horsepower]]+EV_Data4[[#This Row],[torque_nm]]/EV_Data4[[#This Row],[acceleration_0_60_mph]]</f>
        <v>836.43085880640467</v>
      </c>
      <c r="AC853" t="str">
        <f>IF(EV_Data4[[#This Row],[price_usd]]&gt;=80000,"Luxury",IF(EV_Data4[[#This Row],[price_usd]]&gt;=40000,"Mid-Range","Budget"))</f>
        <v>Mid-Range</v>
      </c>
      <c r="AD853" t="str">
        <f>IF(EV_Data4[[#This Row],[range_miles]]&gt;=350,"Long-Range",IF(EV_Data4[[#This Row],[range_miles]]&gt;=250,"Medium-Range","Short-Range"))</f>
        <v>Medium-Range</v>
      </c>
      <c r="AE853" t="str">
        <f>IF(EV_Data4[[#This Row],[charging_speed_kw]]&gt;=250,"Ultra-Fast",IF(EV_Data4[[#This Row],[charging_speed_kw]]&gt;=150,"Fast-Charging","Standard-Charging"))</f>
        <v>Standard-Charging</v>
      </c>
      <c r="AF853" t="str">
        <f>IF(EV_Data4[[#This Row],[acceleration_0_60_mph]]&lt;=3,"SportsPerformance",IF(EV_Data4[[#This Row],[acceleration_0_60_mph]]&lt;=5,"HighPerformance","Standard"))</f>
        <v>Standard</v>
      </c>
      <c r="AG853" t="str">
        <f>IF(EV_Data4[[#This Row],[customer_rating]]&gt;=4.5,"Excellent",IF(EV_Data4[[#This Row],[customer_rating]]&gt;=3.5,"Good","Average"))</f>
        <v>Good</v>
      </c>
      <c r="AH85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54" spans="1:34" x14ac:dyDescent="0.3">
      <c r="A854" t="s">
        <v>63</v>
      </c>
      <c r="B854" t="s">
        <v>107</v>
      </c>
      <c r="C854">
        <v>2024</v>
      </c>
      <c r="D854" t="s">
        <v>56</v>
      </c>
      <c r="E854" s="3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34</v>
      </c>
      <c r="N854">
        <v>7</v>
      </c>
      <c r="O854" t="s">
        <v>50</v>
      </c>
      <c r="P854">
        <v>36.4</v>
      </c>
      <c r="Q854">
        <v>1788</v>
      </c>
      <c r="R854">
        <v>4</v>
      </c>
      <c r="S854">
        <v>0</v>
      </c>
      <c r="T854" t="s">
        <v>65</v>
      </c>
      <c r="U854" t="s">
        <v>66</v>
      </c>
      <c r="V854" s="3">
        <v>212740</v>
      </c>
      <c r="W854">
        <v>3.54</v>
      </c>
      <c r="X854">
        <v>4</v>
      </c>
      <c r="Y854" s="1">
        <f>EV_Data4[[#This Row],[range_miles]]/EV_Data4[[#This Row],[battery_capacity_kwh]]</f>
        <v>3.5897435897435899</v>
      </c>
      <c r="Z854" s="4">
        <f>EV_Data4[[#This Row],[price_usd]]/EV_Data4[[#This Row],[range_miles]]</f>
        <v>63.490428571428573</v>
      </c>
      <c r="AA854" s="2">
        <f>(EV_Data4[[#This Row],[customer_rating]]*EV_Data4[[#This Row],[safety_rating]]*1000)/EV_Data4[[#This Row],[price_usd]]</f>
        <v>0.79652051040314287</v>
      </c>
      <c r="AB854">
        <f>EV_Data4[[#This Row],[horsepower]]+EV_Data4[[#This Row],[torque_nm]]/EV_Data4[[#This Row],[acceleration_0_60_mph]]</f>
        <v>201.56042496679947</v>
      </c>
      <c r="AC854" t="str">
        <f>IF(EV_Data4[[#This Row],[price_usd]]&gt;=80000,"Luxury",IF(EV_Data4[[#This Row],[price_usd]]&gt;=40000,"Mid-Range","Budget"))</f>
        <v>Budget</v>
      </c>
      <c r="AD854" t="str">
        <f>IF(EV_Data4[[#This Row],[range_miles]]&gt;=350,"Long-Range",IF(EV_Data4[[#This Row],[range_miles]]&gt;=250,"Medium-Range","Short-Range"))</f>
        <v>Medium-Range</v>
      </c>
      <c r="AE854" t="str">
        <f>IF(EV_Data4[[#This Row],[charging_speed_kw]]&gt;=250,"Ultra-Fast",IF(EV_Data4[[#This Row],[charging_speed_kw]]&gt;=150,"Fast-Charging","Standard-Charging"))</f>
        <v>Standard-Charging</v>
      </c>
      <c r="AF854" t="str">
        <f>IF(EV_Data4[[#This Row],[acceleration_0_60_mph]]&lt;=3,"SportsPerformance",IF(EV_Data4[[#This Row],[acceleration_0_60_mph]]&lt;=5,"HighPerformance","Standard"))</f>
        <v>Standard</v>
      </c>
      <c r="AG854" t="str">
        <f>IF(EV_Data4[[#This Row],[customer_rating]]&gt;=4.5,"Excellent",IF(EV_Data4[[#This Row],[customer_rating]]&gt;=3.5,"Good","Average"))</f>
        <v>Good</v>
      </c>
      <c r="AH85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55" spans="1:34" x14ac:dyDescent="0.3">
      <c r="A855" t="s">
        <v>86</v>
      </c>
      <c r="B855" t="s">
        <v>117</v>
      </c>
      <c r="C855">
        <v>2026</v>
      </c>
      <c r="D855" t="s">
        <v>26</v>
      </c>
      <c r="E855" s="3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48</v>
      </c>
      <c r="N855">
        <v>7</v>
      </c>
      <c r="O855" t="s">
        <v>58</v>
      </c>
      <c r="P855">
        <v>16.600000000000001</v>
      </c>
      <c r="Q855">
        <v>1500</v>
      </c>
      <c r="R855">
        <v>5</v>
      </c>
      <c r="S855">
        <v>2</v>
      </c>
      <c r="T855" t="s">
        <v>29</v>
      </c>
      <c r="U855" t="s">
        <v>30</v>
      </c>
      <c r="V855" s="3">
        <v>31112</v>
      </c>
      <c r="W855">
        <v>3.43</v>
      </c>
      <c r="X855">
        <v>6</v>
      </c>
      <c r="Y855" s="1">
        <f>EV_Data4[[#This Row],[range_miles]]/EV_Data4[[#This Row],[battery_capacity_kwh]]</f>
        <v>3.6376021798365121</v>
      </c>
      <c r="Z855" s="4">
        <f>EV_Data4[[#This Row],[price_usd]]/EV_Data4[[#This Row],[range_miles]]</f>
        <v>612.25063670411987</v>
      </c>
      <c r="AA855" s="2">
        <f>(EV_Data4[[#This Row],[customer_rating]]*EV_Data4[[#This Row],[safety_rating]]*1000)/EV_Data4[[#This Row],[price_usd]]</f>
        <v>0.10491162587205113</v>
      </c>
      <c r="AB855">
        <f>EV_Data4[[#This Row],[horsepower]]+EV_Data4[[#This Row],[torque_nm]]/EV_Data4[[#This Row],[acceleration_0_60_mph]]</f>
        <v>1234.8167539267015</v>
      </c>
      <c r="AC855" t="str">
        <f>IF(EV_Data4[[#This Row],[price_usd]]&gt;=80000,"Luxury",IF(EV_Data4[[#This Row],[price_usd]]&gt;=40000,"Mid-Range","Budget"))</f>
        <v>Luxury</v>
      </c>
      <c r="AD855" t="str">
        <f>IF(EV_Data4[[#This Row],[range_miles]]&gt;=350,"Long-Range",IF(EV_Data4[[#This Row],[range_miles]]&gt;=250,"Medium-Range","Short-Range"))</f>
        <v>Medium-Range</v>
      </c>
      <c r="AE855" t="str">
        <f>IF(EV_Data4[[#This Row],[charging_speed_kw]]&gt;=250,"Ultra-Fast",IF(EV_Data4[[#This Row],[charging_speed_kw]]&gt;=150,"Fast-Charging","Standard-Charging"))</f>
        <v>Fast-Charging</v>
      </c>
      <c r="AF855" t="str">
        <f>IF(EV_Data4[[#This Row],[acceleration_0_60_mph]]&lt;=3,"SportsPerformance",IF(EV_Data4[[#This Row],[acceleration_0_60_mph]]&lt;=5,"HighPerformance","Standard"))</f>
        <v>HighPerformance</v>
      </c>
      <c r="AG855" t="str">
        <f>IF(EV_Data4[[#This Row],[customer_rating]]&gt;=4.5,"Excellent",IF(EV_Data4[[#This Row],[customer_rating]]&gt;=3.5,"Good","Average"))</f>
        <v>Average</v>
      </c>
      <c r="AH85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56" spans="1:34" x14ac:dyDescent="0.3">
      <c r="A856" t="s">
        <v>63</v>
      </c>
      <c r="B856" t="s">
        <v>64</v>
      </c>
      <c r="C856">
        <v>2021</v>
      </c>
      <c r="D856" t="s">
        <v>56</v>
      </c>
      <c r="E856" s="3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48</v>
      </c>
      <c r="N856">
        <v>5</v>
      </c>
      <c r="O856" t="s">
        <v>40</v>
      </c>
      <c r="P856">
        <v>62.5</v>
      </c>
      <c r="Q856">
        <v>1599</v>
      </c>
      <c r="R856">
        <v>4</v>
      </c>
      <c r="S856">
        <v>1</v>
      </c>
      <c r="T856" t="s">
        <v>65</v>
      </c>
      <c r="U856" t="s">
        <v>37</v>
      </c>
      <c r="V856" s="3">
        <v>162990</v>
      </c>
      <c r="W856">
        <v>3.75</v>
      </c>
      <c r="X856">
        <v>3</v>
      </c>
      <c r="Y856" s="1">
        <f>EV_Data4[[#This Row],[range_miles]]/EV_Data4[[#This Row],[battery_capacity_kwh]]</f>
        <v>3.7072018890200709</v>
      </c>
      <c r="Z856" s="4">
        <f>EV_Data4[[#This Row],[price_usd]]/EV_Data4[[#This Row],[range_miles]]</f>
        <v>171.28299363057326</v>
      </c>
      <c r="AA856" s="2">
        <f>(EV_Data4[[#This Row],[customer_rating]]*EV_Data4[[#This Row],[safety_rating]]*1000)/EV_Data4[[#This Row],[price_usd]]</f>
        <v>0.27889926270190912</v>
      </c>
      <c r="AB856">
        <f>EV_Data4[[#This Row],[horsepower]]+EV_Data4[[#This Row],[torque_nm]]/EV_Data4[[#This Row],[acceleration_0_60_mph]]</f>
        <v>599.78787878787875</v>
      </c>
      <c r="AC856" t="str">
        <f>IF(EV_Data4[[#This Row],[price_usd]]&gt;=80000,"Luxury",IF(EV_Data4[[#This Row],[price_usd]]&gt;=40000,"Mid-Range","Budget"))</f>
        <v>Mid-Range</v>
      </c>
      <c r="AD856" t="str">
        <f>IF(EV_Data4[[#This Row],[range_miles]]&gt;=350,"Long-Range",IF(EV_Data4[[#This Row],[range_miles]]&gt;=250,"Medium-Range","Short-Range"))</f>
        <v>Medium-Range</v>
      </c>
      <c r="AE856" t="str">
        <f>IF(EV_Data4[[#This Row],[charging_speed_kw]]&gt;=250,"Ultra-Fast",IF(EV_Data4[[#This Row],[charging_speed_kw]]&gt;=150,"Fast-Charging","Standard-Charging"))</f>
        <v>Standard-Charging</v>
      </c>
      <c r="AF856" t="str">
        <f>IF(EV_Data4[[#This Row],[acceleration_0_60_mph]]&lt;=3,"SportsPerformance",IF(EV_Data4[[#This Row],[acceleration_0_60_mph]]&lt;=5,"HighPerformance","Standard"))</f>
        <v>Standard</v>
      </c>
      <c r="AG856" t="str">
        <f>IF(EV_Data4[[#This Row],[customer_rating]]&gt;=4.5,"Excellent",IF(EV_Data4[[#This Row],[customer_rating]]&gt;=3.5,"Good","Average"))</f>
        <v>Good</v>
      </c>
      <c r="AH85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57" spans="1:34" x14ac:dyDescent="0.3">
      <c r="A857" t="s">
        <v>46</v>
      </c>
      <c r="B857" t="s">
        <v>49</v>
      </c>
      <c r="C857">
        <v>2022</v>
      </c>
      <c r="D857" t="s">
        <v>44</v>
      </c>
      <c r="E857" s="3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48</v>
      </c>
      <c r="N857">
        <v>5</v>
      </c>
      <c r="O857" t="s">
        <v>28</v>
      </c>
      <c r="P857">
        <v>71.8</v>
      </c>
      <c r="Q857">
        <v>2329</v>
      </c>
      <c r="R857">
        <v>5</v>
      </c>
      <c r="S857">
        <v>3</v>
      </c>
      <c r="T857" t="s">
        <v>41</v>
      </c>
      <c r="U857" t="s">
        <v>37</v>
      </c>
      <c r="V857" s="3">
        <v>424786</v>
      </c>
      <c r="W857">
        <v>4.1399999999999997</v>
      </c>
      <c r="X857">
        <v>4</v>
      </c>
      <c r="Y857" s="1">
        <f>EV_Data4[[#This Row],[range_miles]]/EV_Data4[[#This Row],[battery_capacity_kwh]]</f>
        <v>3.4025374855824682</v>
      </c>
      <c r="Z857" s="4">
        <f>EV_Data4[[#This Row],[price_usd]]/EV_Data4[[#This Row],[range_miles]]</f>
        <v>131.54335593220338</v>
      </c>
      <c r="AA857" s="2">
        <f>(EV_Data4[[#This Row],[customer_rating]]*EV_Data4[[#This Row],[safety_rating]]*1000)/EV_Data4[[#This Row],[price_usd]]</f>
        <v>0.53343242635218036</v>
      </c>
      <c r="AB857">
        <f>EV_Data4[[#This Row],[horsepower]]+EV_Data4[[#This Row],[torque_nm]]/EV_Data4[[#This Row],[acceleration_0_60_mph]]</f>
        <v>366.38271604938274</v>
      </c>
      <c r="AC857" t="str">
        <f>IF(EV_Data4[[#This Row],[price_usd]]&gt;=80000,"Luxury",IF(EV_Data4[[#This Row],[price_usd]]&gt;=40000,"Mid-Range","Budget"))</f>
        <v>Budget</v>
      </c>
      <c r="AD857" t="str">
        <f>IF(EV_Data4[[#This Row],[range_miles]]&gt;=350,"Long-Range",IF(EV_Data4[[#This Row],[range_miles]]&gt;=250,"Medium-Range","Short-Range"))</f>
        <v>Medium-Range</v>
      </c>
      <c r="AE857" t="str">
        <f>IF(EV_Data4[[#This Row],[charging_speed_kw]]&gt;=250,"Ultra-Fast",IF(EV_Data4[[#This Row],[charging_speed_kw]]&gt;=150,"Fast-Charging","Standard-Charging"))</f>
        <v>Ultra-Fast</v>
      </c>
      <c r="AF857" t="str">
        <f>IF(EV_Data4[[#This Row],[acceleration_0_60_mph]]&lt;=3,"SportsPerformance",IF(EV_Data4[[#This Row],[acceleration_0_60_mph]]&lt;=5,"HighPerformance","Standard"))</f>
        <v>HighPerformance</v>
      </c>
      <c r="AG857" t="str">
        <f>IF(EV_Data4[[#This Row],[customer_rating]]&gt;=4.5,"Excellent",IF(EV_Data4[[#This Row],[customer_rating]]&gt;=3.5,"Good","Average"))</f>
        <v>Good</v>
      </c>
      <c r="AH857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858" spans="1:34" x14ac:dyDescent="0.3">
      <c r="A858" t="s">
        <v>46</v>
      </c>
      <c r="B858" t="s">
        <v>78</v>
      </c>
      <c r="C858">
        <v>2024</v>
      </c>
      <c r="D858" t="s">
        <v>26</v>
      </c>
      <c r="E858" s="3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27</v>
      </c>
      <c r="N858">
        <v>5</v>
      </c>
      <c r="O858" t="s">
        <v>51</v>
      </c>
      <c r="P858">
        <v>24</v>
      </c>
      <c r="Q858">
        <v>1771</v>
      </c>
      <c r="R858">
        <v>4</v>
      </c>
      <c r="S858">
        <v>2</v>
      </c>
      <c r="T858" t="s">
        <v>41</v>
      </c>
      <c r="U858" t="s">
        <v>33</v>
      </c>
      <c r="V858" s="3">
        <v>189429</v>
      </c>
      <c r="W858">
        <v>4.03</v>
      </c>
      <c r="X858">
        <v>6</v>
      </c>
      <c r="Y858" s="1">
        <f>EV_Data4[[#This Row],[range_miles]]/EV_Data4[[#This Row],[battery_capacity_kwh]]</f>
        <v>3.3919597989949746</v>
      </c>
      <c r="Z858" s="4">
        <f>EV_Data4[[#This Row],[price_usd]]/EV_Data4[[#This Row],[range_miles]]</f>
        <v>223.50553086419754</v>
      </c>
      <c r="AA858" s="2">
        <f>(EV_Data4[[#This Row],[customer_rating]]*EV_Data4[[#This Row],[safety_rating]]*1000)/EV_Data4[[#This Row],[price_usd]]</f>
        <v>0.17808270328659806</v>
      </c>
      <c r="AB858">
        <f>EV_Data4[[#This Row],[horsepower]]+EV_Data4[[#This Row],[torque_nm]]/EV_Data4[[#This Row],[acceleration_0_60_mph]]</f>
        <v>826.5978260869565</v>
      </c>
      <c r="AC858" t="str">
        <f>IF(EV_Data4[[#This Row],[price_usd]]&gt;=80000,"Luxury",IF(EV_Data4[[#This Row],[price_usd]]&gt;=40000,"Mid-Range","Budget"))</f>
        <v>Luxury</v>
      </c>
      <c r="AD858" t="str">
        <f>IF(EV_Data4[[#This Row],[range_miles]]&gt;=350,"Long-Range",IF(EV_Data4[[#This Row],[range_miles]]&gt;=250,"Medium-Range","Short-Range"))</f>
        <v>Long-Range</v>
      </c>
      <c r="AE858" t="str">
        <f>IF(EV_Data4[[#This Row],[charging_speed_kw]]&gt;=250,"Ultra-Fast",IF(EV_Data4[[#This Row],[charging_speed_kw]]&gt;=150,"Fast-Charging","Standard-Charging"))</f>
        <v>Fast-Charging</v>
      </c>
      <c r="AF858" t="str">
        <f>IF(EV_Data4[[#This Row],[acceleration_0_60_mph]]&lt;=3,"SportsPerformance",IF(EV_Data4[[#This Row],[acceleration_0_60_mph]]&lt;=5,"HighPerformance","Standard"))</f>
        <v>HighPerformance</v>
      </c>
      <c r="AG858" t="str">
        <f>IF(EV_Data4[[#This Row],[customer_rating]]&gt;=4.5,"Excellent",IF(EV_Data4[[#This Row],[customer_rating]]&gt;=3.5,"Good","Average"))</f>
        <v>Good</v>
      </c>
      <c r="AH85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59" spans="1:34" x14ac:dyDescent="0.3">
      <c r="A859" t="s">
        <v>68</v>
      </c>
      <c r="B859" t="s">
        <v>106</v>
      </c>
      <c r="C859">
        <v>2025</v>
      </c>
      <c r="D859" t="s">
        <v>56</v>
      </c>
      <c r="E859" s="3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48</v>
      </c>
      <c r="N859">
        <v>5</v>
      </c>
      <c r="O859" t="s">
        <v>28</v>
      </c>
      <c r="P859">
        <v>65.5</v>
      </c>
      <c r="Q859">
        <v>2726</v>
      </c>
      <c r="R859">
        <v>4</v>
      </c>
      <c r="S859">
        <v>1</v>
      </c>
      <c r="T859" t="s">
        <v>45</v>
      </c>
      <c r="U859" t="s">
        <v>37</v>
      </c>
      <c r="V859" s="3">
        <v>58564</v>
      </c>
      <c r="W859">
        <v>3.62</v>
      </c>
      <c r="X859">
        <v>3</v>
      </c>
      <c r="Y859" s="1">
        <f>EV_Data4[[#This Row],[range_miles]]/EV_Data4[[#This Row],[battery_capacity_kwh]]</f>
        <v>3.5790725326991679</v>
      </c>
      <c r="Z859" s="4">
        <f>EV_Data4[[#This Row],[price_usd]]/EV_Data4[[#This Row],[range_miles]]</f>
        <v>154.10345514950166</v>
      </c>
      <c r="AA859" s="2">
        <f>(EV_Data4[[#This Row],[customer_rating]]*EV_Data4[[#This Row],[safety_rating]]*1000)/EV_Data4[[#This Row],[price_usd]]</f>
        <v>0.31216894031148767</v>
      </c>
      <c r="AB859">
        <f>EV_Data4[[#This Row],[horsepower]]+EV_Data4[[#This Row],[torque_nm]]/EV_Data4[[#This Row],[acceleration_0_60_mph]]</f>
        <v>508.30275229357801</v>
      </c>
      <c r="AC859" t="str">
        <f>IF(EV_Data4[[#This Row],[price_usd]]&gt;=80000,"Luxury",IF(EV_Data4[[#This Row],[price_usd]]&gt;=40000,"Mid-Range","Budget"))</f>
        <v>Mid-Range</v>
      </c>
      <c r="AD859" t="str">
        <f>IF(EV_Data4[[#This Row],[range_miles]]&gt;=350,"Long-Range",IF(EV_Data4[[#This Row],[range_miles]]&gt;=250,"Medium-Range","Short-Range"))</f>
        <v>Medium-Range</v>
      </c>
      <c r="AE859" t="str">
        <f>IF(EV_Data4[[#This Row],[charging_speed_kw]]&gt;=250,"Ultra-Fast",IF(EV_Data4[[#This Row],[charging_speed_kw]]&gt;=150,"Fast-Charging","Standard-Charging"))</f>
        <v>Standard-Charging</v>
      </c>
      <c r="AF859" t="str">
        <f>IF(EV_Data4[[#This Row],[acceleration_0_60_mph]]&lt;=3,"SportsPerformance",IF(EV_Data4[[#This Row],[acceleration_0_60_mph]]&lt;=5,"HighPerformance","Standard"))</f>
        <v>Standard</v>
      </c>
      <c r="AG859" t="str">
        <f>IF(EV_Data4[[#This Row],[customer_rating]]&gt;=4.5,"Excellent",IF(EV_Data4[[#This Row],[customer_rating]]&gt;=3.5,"Good","Average"))</f>
        <v>Good</v>
      </c>
      <c r="AH85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60" spans="1:34" x14ac:dyDescent="0.3">
      <c r="A860" t="s">
        <v>42</v>
      </c>
      <c r="B860" t="s">
        <v>54</v>
      </c>
      <c r="C860">
        <v>2026</v>
      </c>
      <c r="D860" t="s">
        <v>26</v>
      </c>
      <c r="E860" s="3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27</v>
      </c>
      <c r="N860">
        <v>5</v>
      </c>
      <c r="O860" t="s">
        <v>51</v>
      </c>
      <c r="P860">
        <v>24.1</v>
      </c>
      <c r="Q860">
        <v>1738</v>
      </c>
      <c r="R860">
        <v>5</v>
      </c>
      <c r="S860">
        <v>0</v>
      </c>
      <c r="T860" t="s">
        <v>45</v>
      </c>
      <c r="U860" t="s">
        <v>30</v>
      </c>
      <c r="V860" s="3">
        <v>62032</v>
      </c>
      <c r="W860">
        <v>3.56</v>
      </c>
      <c r="X860">
        <v>3</v>
      </c>
      <c r="Y860" s="1">
        <f>EV_Data4[[#This Row],[range_miles]]/EV_Data4[[#This Row],[battery_capacity_kwh]]</f>
        <v>3.6235595390524971</v>
      </c>
      <c r="Z860" s="4">
        <f>EV_Data4[[#This Row],[price_usd]]/EV_Data4[[#This Row],[range_miles]]</f>
        <v>390.51558303886929</v>
      </c>
      <c r="AA860" s="2">
        <f>(EV_Data4[[#This Row],[customer_rating]]*EV_Data4[[#This Row],[safety_rating]]*1000)/EV_Data4[[#This Row],[price_usd]]</f>
        <v>0.1610627827251298</v>
      </c>
      <c r="AB860">
        <f>EV_Data4[[#This Row],[horsepower]]+EV_Data4[[#This Row],[torque_nm]]/EV_Data4[[#This Row],[acceleration_0_60_mph]]</f>
        <v>1304.8442906574394</v>
      </c>
      <c r="AC860" t="str">
        <f>IF(EV_Data4[[#This Row],[price_usd]]&gt;=80000,"Luxury",IF(EV_Data4[[#This Row],[price_usd]]&gt;=40000,"Mid-Range","Budget"))</f>
        <v>Luxury</v>
      </c>
      <c r="AD860" t="str">
        <f>IF(EV_Data4[[#This Row],[range_miles]]&gt;=350,"Long-Range",IF(EV_Data4[[#This Row],[range_miles]]&gt;=250,"Medium-Range","Short-Range"))</f>
        <v>Medium-Range</v>
      </c>
      <c r="AE860" t="str">
        <f>IF(EV_Data4[[#This Row],[charging_speed_kw]]&gt;=250,"Ultra-Fast",IF(EV_Data4[[#This Row],[charging_speed_kw]]&gt;=150,"Fast-Charging","Standard-Charging"))</f>
        <v>Fast-Charging</v>
      </c>
      <c r="AF860" t="str">
        <f>IF(EV_Data4[[#This Row],[acceleration_0_60_mph]]&lt;=3,"SportsPerformance",IF(EV_Data4[[#This Row],[acceleration_0_60_mph]]&lt;=5,"HighPerformance","Standard"))</f>
        <v>SportsPerformance</v>
      </c>
      <c r="AG860" t="str">
        <f>IF(EV_Data4[[#This Row],[customer_rating]]&gt;=4.5,"Excellent",IF(EV_Data4[[#This Row],[customer_rating]]&gt;=3.5,"Good","Average"))</f>
        <v>Good</v>
      </c>
      <c r="AH86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61" spans="1:34" x14ac:dyDescent="0.3">
      <c r="A861" t="s">
        <v>46</v>
      </c>
      <c r="B861" t="s">
        <v>72</v>
      </c>
      <c r="C861">
        <v>2023</v>
      </c>
      <c r="D861" t="s">
        <v>61</v>
      </c>
      <c r="E861" s="3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34</v>
      </c>
      <c r="N861">
        <v>7</v>
      </c>
      <c r="O861" t="s">
        <v>28</v>
      </c>
      <c r="P861">
        <v>53</v>
      </c>
      <c r="Q861">
        <v>2535</v>
      </c>
      <c r="R861">
        <v>5</v>
      </c>
      <c r="S861">
        <v>2</v>
      </c>
      <c r="T861" t="s">
        <v>41</v>
      </c>
      <c r="U861" t="s">
        <v>37</v>
      </c>
      <c r="V861" s="3">
        <v>139628</v>
      </c>
      <c r="W861">
        <v>3.17</v>
      </c>
      <c r="X861">
        <v>5</v>
      </c>
      <c r="Y861" s="1">
        <f>EV_Data4[[#This Row],[range_miles]]/EV_Data4[[#This Row],[battery_capacity_kwh]]</f>
        <v>3.66412213740458</v>
      </c>
      <c r="Z861" s="4">
        <f>EV_Data4[[#This Row],[price_usd]]/EV_Data4[[#This Row],[range_miles]]</f>
        <v>182.66437499999998</v>
      </c>
      <c r="AA861" s="2">
        <f>(EV_Data4[[#This Row],[customer_rating]]*EV_Data4[[#This Row],[safety_rating]]*1000)/EV_Data4[[#This Row],[price_usd]]</f>
        <v>0.45193313328520318</v>
      </c>
      <c r="AB861">
        <f>EV_Data4[[#This Row],[horsepower]]+EV_Data4[[#This Row],[torque_nm]]/EV_Data4[[#This Row],[acceleration_0_60_mph]]</f>
        <v>290.41221374045801</v>
      </c>
      <c r="AC861" t="str">
        <f>IF(EV_Data4[[#This Row],[price_usd]]&gt;=80000,"Luxury",IF(EV_Data4[[#This Row],[price_usd]]&gt;=40000,"Mid-Range","Budget"))</f>
        <v>Budget</v>
      </c>
      <c r="AD861" t="str">
        <f>IF(EV_Data4[[#This Row],[range_miles]]&gt;=350,"Long-Range",IF(EV_Data4[[#This Row],[range_miles]]&gt;=250,"Medium-Range","Short-Range"))</f>
        <v>Short-Range</v>
      </c>
      <c r="AE861" t="str">
        <f>IF(EV_Data4[[#This Row],[charging_speed_kw]]&gt;=250,"Ultra-Fast",IF(EV_Data4[[#This Row],[charging_speed_kw]]&gt;=150,"Fast-Charging","Standard-Charging"))</f>
        <v>Ultra-Fast</v>
      </c>
      <c r="AF861" t="str">
        <f>IF(EV_Data4[[#This Row],[acceleration_0_60_mph]]&lt;=3,"SportsPerformance",IF(EV_Data4[[#This Row],[acceleration_0_60_mph]]&lt;=5,"HighPerformance","Standard"))</f>
        <v>Standard</v>
      </c>
      <c r="AG861" t="str">
        <f>IF(EV_Data4[[#This Row],[customer_rating]]&gt;=4.5,"Excellent",IF(EV_Data4[[#This Row],[customer_rating]]&gt;=3.5,"Good","Average"))</f>
        <v>Average</v>
      </c>
      <c r="AH86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62" spans="1:34" x14ac:dyDescent="0.3">
      <c r="A862" t="s">
        <v>76</v>
      </c>
      <c r="B862" t="s">
        <v>98</v>
      </c>
      <c r="C862">
        <v>2025</v>
      </c>
      <c r="D862" t="s">
        <v>26</v>
      </c>
      <c r="E862" s="3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34</v>
      </c>
      <c r="N862">
        <v>5</v>
      </c>
      <c r="O862" t="s">
        <v>51</v>
      </c>
      <c r="P862">
        <v>24.4</v>
      </c>
      <c r="Q862">
        <v>1701</v>
      </c>
      <c r="R862">
        <v>5</v>
      </c>
      <c r="S862">
        <v>0</v>
      </c>
      <c r="T862" t="s">
        <v>41</v>
      </c>
      <c r="U862" t="s">
        <v>30</v>
      </c>
      <c r="V862" s="3">
        <v>49209</v>
      </c>
      <c r="W862">
        <v>3.4</v>
      </c>
      <c r="X862">
        <v>3</v>
      </c>
      <c r="Y862" s="1">
        <f>EV_Data4[[#This Row],[range_miles]]/EV_Data4[[#This Row],[battery_capacity_kwh]]</f>
        <v>3.7997256515775031</v>
      </c>
      <c r="Z862" s="4">
        <f>EV_Data4[[#This Row],[price_usd]]/EV_Data4[[#This Row],[range_miles]]</f>
        <v>383.56462093862814</v>
      </c>
      <c r="AA862" s="2">
        <f>(EV_Data4[[#This Row],[customer_rating]]*EV_Data4[[#This Row],[safety_rating]]*1000)/EV_Data4[[#This Row],[price_usd]]</f>
        <v>0.16000391538992956</v>
      </c>
      <c r="AB862">
        <f>EV_Data4[[#This Row],[horsepower]]+EV_Data4[[#This Row],[torque_nm]]/EV_Data4[[#This Row],[acceleration_0_60_mph]]</f>
        <v>1338.3720930232557</v>
      </c>
      <c r="AC862" t="str">
        <f>IF(EV_Data4[[#This Row],[price_usd]]&gt;=80000,"Luxury",IF(EV_Data4[[#This Row],[price_usd]]&gt;=40000,"Mid-Range","Budget"))</f>
        <v>Luxury</v>
      </c>
      <c r="AD862" t="str">
        <f>IF(EV_Data4[[#This Row],[range_miles]]&gt;=350,"Long-Range",IF(EV_Data4[[#This Row],[range_miles]]&gt;=250,"Medium-Range","Short-Range"))</f>
        <v>Medium-Range</v>
      </c>
      <c r="AE862" t="str">
        <f>IF(EV_Data4[[#This Row],[charging_speed_kw]]&gt;=250,"Ultra-Fast",IF(EV_Data4[[#This Row],[charging_speed_kw]]&gt;=150,"Fast-Charging","Standard-Charging"))</f>
        <v>Fast-Charging</v>
      </c>
      <c r="AF862" t="str">
        <f>IF(EV_Data4[[#This Row],[acceleration_0_60_mph]]&lt;=3,"SportsPerformance",IF(EV_Data4[[#This Row],[acceleration_0_60_mph]]&lt;=5,"HighPerformance","Standard"))</f>
        <v>SportsPerformance</v>
      </c>
      <c r="AG862" t="str">
        <f>IF(EV_Data4[[#This Row],[customer_rating]]&gt;=4.5,"Excellent",IF(EV_Data4[[#This Row],[customer_rating]]&gt;=3.5,"Good","Average"))</f>
        <v>Average</v>
      </c>
      <c r="AH86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63" spans="1:34" x14ac:dyDescent="0.3">
      <c r="A863" t="s">
        <v>24</v>
      </c>
      <c r="B863" t="s">
        <v>85</v>
      </c>
      <c r="C863">
        <v>2026</v>
      </c>
      <c r="D863" t="s">
        <v>56</v>
      </c>
      <c r="E863" s="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27</v>
      </c>
      <c r="N863">
        <v>7</v>
      </c>
      <c r="O863" t="s">
        <v>50</v>
      </c>
      <c r="P863">
        <v>16.600000000000001</v>
      </c>
      <c r="Q863">
        <v>1500</v>
      </c>
      <c r="R863">
        <v>4</v>
      </c>
      <c r="S863">
        <v>0</v>
      </c>
      <c r="T863" t="s">
        <v>29</v>
      </c>
      <c r="U863" t="s">
        <v>37</v>
      </c>
      <c r="V863" s="3">
        <v>257294</v>
      </c>
      <c r="W863">
        <v>3.13</v>
      </c>
      <c r="X863">
        <v>4</v>
      </c>
      <c r="Y863" s="1">
        <f>EV_Data4[[#This Row],[range_miles]]/EV_Data4[[#This Row],[battery_capacity_kwh]]</f>
        <v>4.1649899396378265</v>
      </c>
      <c r="Z863" s="4">
        <f>EV_Data4[[#This Row],[price_usd]]/EV_Data4[[#This Row],[range_miles]]</f>
        <v>274.0809661835749</v>
      </c>
      <c r="AA863" s="2">
        <f>(EV_Data4[[#This Row],[customer_rating]]*EV_Data4[[#This Row],[safety_rating]]*1000)/EV_Data4[[#This Row],[price_usd]]</f>
        <v>0.22067600180206984</v>
      </c>
      <c r="AB863">
        <f>EV_Data4[[#This Row],[horsepower]]+EV_Data4[[#This Row],[torque_nm]]/EV_Data4[[#This Row],[acceleration_0_60_mph]]</f>
        <v>677.39579349904398</v>
      </c>
      <c r="AC863" t="str">
        <f>IF(EV_Data4[[#This Row],[price_usd]]&gt;=80000,"Luxury",IF(EV_Data4[[#This Row],[price_usd]]&gt;=40000,"Mid-Range","Budget"))</f>
        <v>Mid-Range</v>
      </c>
      <c r="AD863" t="str">
        <f>IF(EV_Data4[[#This Row],[range_miles]]&gt;=350,"Long-Range",IF(EV_Data4[[#This Row],[range_miles]]&gt;=250,"Medium-Range","Short-Range"))</f>
        <v>Short-Range</v>
      </c>
      <c r="AE863" t="str">
        <f>IF(EV_Data4[[#This Row],[charging_speed_kw]]&gt;=250,"Ultra-Fast",IF(EV_Data4[[#This Row],[charging_speed_kw]]&gt;=150,"Fast-Charging","Standard-Charging"))</f>
        <v>Standard-Charging</v>
      </c>
      <c r="AF863" t="str">
        <f>IF(EV_Data4[[#This Row],[acceleration_0_60_mph]]&lt;=3,"SportsPerformance",IF(EV_Data4[[#This Row],[acceleration_0_60_mph]]&lt;=5,"HighPerformance","Standard"))</f>
        <v>Standard</v>
      </c>
      <c r="AG863" t="str">
        <f>IF(EV_Data4[[#This Row],[customer_rating]]&gt;=4.5,"Excellent",IF(EV_Data4[[#This Row],[customer_rating]]&gt;=3.5,"Good","Average"))</f>
        <v>Average</v>
      </c>
      <c r="AH86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64" spans="1:34" x14ac:dyDescent="0.3">
      <c r="A864" t="s">
        <v>68</v>
      </c>
      <c r="B864" t="s">
        <v>90</v>
      </c>
      <c r="C864">
        <v>2025</v>
      </c>
      <c r="D864" t="s">
        <v>44</v>
      </c>
      <c r="E864" s="3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48</v>
      </c>
      <c r="N864">
        <v>7</v>
      </c>
      <c r="O864" t="s">
        <v>50</v>
      </c>
      <c r="P864">
        <v>24.5</v>
      </c>
      <c r="Q864">
        <v>1739</v>
      </c>
      <c r="R864">
        <v>5</v>
      </c>
      <c r="S864">
        <v>1</v>
      </c>
      <c r="T864" t="s">
        <v>45</v>
      </c>
      <c r="U864" t="s">
        <v>33</v>
      </c>
      <c r="V864" s="3">
        <v>138161</v>
      </c>
      <c r="W864">
        <v>3.52</v>
      </c>
      <c r="X864">
        <v>4</v>
      </c>
      <c r="Y864" s="1">
        <f>EV_Data4[[#This Row],[range_miles]]/EV_Data4[[#This Row],[battery_capacity_kwh]]</f>
        <v>3.5639412997903563</v>
      </c>
      <c r="Z864" s="4">
        <f>EV_Data4[[#This Row],[price_usd]]/EV_Data4[[#This Row],[range_miles]]</f>
        <v>219.68635294117647</v>
      </c>
      <c r="AA864" s="2">
        <f>(EV_Data4[[#This Row],[customer_rating]]*EV_Data4[[#This Row],[safety_rating]]*1000)/EV_Data4[[#This Row],[price_usd]]</f>
        <v>0.23563004797213569</v>
      </c>
      <c r="AB864">
        <f>EV_Data4[[#This Row],[horsepower]]+EV_Data4[[#This Row],[torque_nm]]/EV_Data4[[#This Row],[acceleration_0_60_mph]]</f>
        <v>1166.8164146868251</v>
      </c>
      <c r="AC864" t="str">
        <f>IF(EV_Data4[[#This Row],[price_usd]]&gt;=80000,"Luxury",IF(EV_Data4[[#This Row],[price_usd]]&gt;=40000,"Mid-Range","Budget"))</f>
        <v>Mid-Range</v>
      </c>
      <c r="AD864" t="str">
        <f>IF(EV_Data4[[#This Row],[range_miles]]&gt;=350,"Long-Range",IF(EV_Data4[[#This Row],[range_miles]]&gt;=250,"Medium-Range","Short-Range"))</f>
        <v>Medium-Range</v>
      </c>
      <c r="AE864" t="str">
        <f>IF(EV_Data4[[#This Row],[charging_speed_kw]]&gt;=250,"Ultra-Fast",IF(EV_Data4[[#This Row],[charging_speed_kw]]&gt;=150,"Fast-Charging","Standard-Charging"))</f>
        <v>Standard-Charging</v>
      </c>
      <c r="AF864" t="str">
        <f>IF(EV_Data4[[#This Row],[acceleration_0_60_mph]]&lt;=3,"SportsPerformance",IF(EV_Data4[[#This Row],[acceleration_0_60_mph]]&lt;=5,"HighPerformance","Standard"))</f>
        <v>HighPerformance</v>
      </c>
      <c r="AG864" t="str">
        <f>IF(EV_Data4[[#This Row],[customer_rating]]&gt;=4.5,"Excellent",IF(EV_Data4[[#This Row],[customer_rating]]&gt;=3.5,"Good","Average"))</f>
        <v>Good</v>
      </c>
      <c r="AH86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65" spans="1:34" x14ac:dyDescent="0.3">
      <c r="A865" t="s">
        <v>24</v>
      </c>
      <c r="B865" t="s">
        <v>74</v>
      </c>
      <c r="C865">
        <v>2022</v>
      </c>
      <c r="D865" t="s">
        <v>33</v>
      </c>
      <c r="E865" s="3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27</v>
      </c>
      <c r="N865">
        <v>5</v>
      </c>
      <c r="O865" t="s">
        <v>50</v>
      </c>
      <c r="P865">
        <v>26.7</v>
      </c>
      <c r="Q865">
        <v>1533</v>
      </c>
      <c r="R865">
        <v>5</v>
      </c>
      <c r="S865">
        <v>0</v>
      </c>
      <c r="T865" t="s">
        <v>29</v>
      </c>
      <c r="U865" t="s">
        <v>33</v>
      </c>
      <c r="V865" s="3">
        <v>203826</v>
      </c>
      <c r="W865">
        <v>3.8</v>
      </c>
      <c r="X865">
        <v>5</v>
      </c>
      <c r="Y865" s="1">
        <f>EV_Data4[[#This Row],[range_miles]]/EV_Data4[[#This Row],[battery_capacity_kwh]]</f>
        <v>3.8203592814371259</v>
      </c>
      <c r="Z865" s="4">
        <f>EV_Data4[[#This Row],[price_usd]]/EV_Data4[[#This Row],[range_miles]]</f>
        <v>219.87639498432605</v>
      </c>
      <c r="AA865" s="2">
        <f>(EV_Data4[[#This Row],[customer_rating]]*EV_Data4[[#This Row],[safety_rating]]*1000)/EV_Data4[[#This Row],[price_usd]]</f>
        <v>0.27088459646107804</v>
      </c>
      <c r="AB865">
        <f>EV_Data4[[#This Row],[horsepower]]+EV_Data4[[#This Row],[torque_nm]]/EV_Data4[[#This Row],[acceleration_0_60_mph]]</f>
        <v>831.30165912518851</v>
      </c>
      <c r="AC865" t="str">
        <f>IF(EV_Data4[[#This Row],[price_usd]]&gt;=80000,"Luxury",IF(EV_Data4[[#This Row],[price_usd]]&gt;=40000,"Mid-Range","Budget"))</f>
        <v>Mid-Range</v>
      </c>
      <c r="AD865" t="str">
        <f>IF(EV_Data4[[#This Row],[range_miles]]&gt;=350,"Long-Range",IF(EV_Data4[[#This Row],[range_miles]]&gt;=250,"Medium-Range","Short-Range"))</f>
        <v>Medium-Range</v>
      </c>
      <c r="AE865" t="str">
        <f>IF(EV_Data4[[#This Row],[charging_speed_kw]]&gt;=250,"Ultra-Fast",IF(EV_Data4[[#This Row],[charging_speed_kw]]&gt;=150,"Fast-Charging","Standard-Charging"))</f>
        <v>Standard-Charging</v>
      </c>
      <c r="AF865" t="str">
        <f>IF(EV_Data4[[#This Row],[acceleration_0_60_mph]]&lt;=3,"SportsPerformance",IF(EV_Data4[[#This Row],[acceleration_0_60_mph]]&lt;=5,"HighPerformance","Standard"))</f>
        <v>Standard</v>
      </c>
      <c r="AG865" t="str">
        <f>IF(EV_Data4[[#This Row],[customer_rating]]&gt;=4.5,"Excellent",IF(EV_Data4[[#This Row],[customer_rating]]&gt;=3.5,"Good","Average"))</f>
        <v>Good</v>
      </c>
      <c r="AH86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66" spans="1:34" x14ac:dyDescent="0.3">
      <c r="A866" t="s">
        <v>24</v>
      </c>
      <c r="B866" t="s">
        <v>74</v>
      </c>
      <c r="C866">
        <v>2025</v>
      </c>
      <c r="D866" t="s">
        <v>61</v>
      </c>
      <c r="E866" s="3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27</v>
      </c>
      <c r="N866">
        <v>5</v>
      </c>
      <c r="O866" t="s">
        <v>40</v>
      </c>
      <c r="P866">
        <v>60.3</v>
      </c>
      <c r="Q866">
        <v>1739</v>
      </c>
      <c r="R866">
        <v>5</v>
      </c>
      <c r="S866">
        <v>2</v>
      </c>
      <c r="T866" t="s">
        <v>29</v>
      </c>
      <c r="U866" t="s">
        <v>37</v>
      </c>
      <c r="V866" s="3">
        <v>290126</v>
      </c>
      <c r="W866">
        <v>3.59</v>
      </c>
      <c r="X866">
        <v>4</v>
      </c>
      <c r="Y866" s="1">
        <f>EV_Data4[[#This Row],[range_miles]]/EV_Data4[[#This Row],[battery_capacity_kwh]]</f>
        <v>2.8985507246376812</v>
      </c>
      <c r="Z866" s="4">
        <f>EV_Data4[[#This Row],[price_usd]]/EV_Data4[[#This Row],[range_miles]]</f>
        <v>250.91062500000001</v>
      </c>
      <c r="AA866" s="2">
        <f>(EV_Data4[[#This Row],[customer_rating]]*EV_Data4[[#This Row],[safety_rating]]*1000)/EV_Data4[[#This Row],[price_usd]]</f>
        <v>0.29808090696305373</v>
      </c>
      <c r="AB866">
        <f>EV_Data4[[#This Row],[horsepower]]+EV_Data4[[#This Row],[torque_nm]]/EV_Data4[[#This Row],[acceleration_0_60_mph]]</f>
        <v>604.16666666666663</v>
      </c>
      <c r="AC866" t="str">
        <f>IF(EV_Data4[[#This Row],[price_usd]]&gt;=80000,"Luxury",IF(EV_Data4[[#This Row],[price_usd]]&gt;=40000,"Mid-Range","Budget"))</f>
        <v>Mid-Range</v>
      </c>
      <c r="AD866" t="str">
        <f>IF(EV_Data4[[#This Row],[range_miles]]&gt;=350,"Long-Range",IF(EV_Data4[[#This Row],[range_miles]]&gt;=250,"Medium-Range","Short-Range"))</f>
        <v>Short-Range</v>
      </c>
      <c r="AE866" t="str">
        <f>IF(EV_Data4[[#This Row],[charging_speed_kw]]&gt;=250,"Ultra-Fast",IF(EV_Data4[[#This Row],[charging_speed_kw]]&gt;=150,"Fast-Charging","Standard-Charging"))</f>
        <v>Standard-Charging</v>
      </c>
      <c r="AF866" t="str">
        <f>IF(EV_Data4[[#This Row],[acceleration_0_60_mph]]&lt;=3,"SportsPerformance",IF(EV_Data4[[#This Row],[acceleration_0_60_mph]]&lt;=5,"HighPerformance","Standard"))</f>
        <v>Standard</v>
      </c>
      <c r="AG866" t="str">
        <f>IF(EV_Data4[[#This Row],[customer_rating]]&gt;=4.5,"Excellent",IF(EV_Data4[[#This Row],[customer_rating]]&gt;=3.5,"Good","Average"))</f>
        <v>Good</v>
      </c>
      <c r="AH86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67" spans="1:34" x14ac:dyDescent="0.3">
      <c r="A867" t="s">
        <v>42</v>
      </c>
      <c r="B867" t="s">
        <v>71</v>
      </c>
      <c r="C867">
        <v>2020</v>
      </c>
      <c r="D867" t="s">
        <v>56</v>
      </c>
      <c r="E867" s="3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48</v>
      </c>
      <c r="N867">
        <v>7</v>
      </c>
      <c r="O867" t="s">
        <v>58</v>
      </c>
      <c r="P867">
        <v>22.4</v>
      </c>
      <c r="Q867">
        <v>1545</v>
      </c>
      <c r="R867">
        <v>4</v>
      </c>
      <c r="S867">
        <v>0</v>
      </c>
      <c r="T867" t="s">
        <v>45</v>
      </c>
      <c r="U867" t="s">
        <v>37</v>
      </c>
      <c r="V867" s="3">
        <v>62067</v>
      </c>
      <c r="W867">
        <v>3.61</v>
      </c>
      <c r="X867">
        <v>5</v>
      </c>
      <c r="Y867" s="1">
        <f>EV_Data4[[#This Row],[range_miles]]/EV_Data4[[#This Row],[battery_capacity_kwh]]</f>
        <v>3.1755915317559156</v>
      </c>
      <c r="Z867" s="4">
        <f>EV_Data4[[#This Row],[price_usd]]/EV_Data4[[#This Row],[range_miles]]</f>
        <v>174.93854901960785</v>
      </c>
      <c r="AA867" s="2">
        <f>(EV_Data4[[#This Row],[customer_rating]]*EV_Data4[[#This Row],[safety_rating]]*1000)/EV_Data4[[#This Row],[price_usd]]</f>
        <v>0.32369910061415402</v>
      </c>
      <c r="AB867">
        <f>EV_Data4[[#This Row],[horsepower]]+EV_Data4[[#This Row],[torque_nm]]/EV_Data4[[#This Row],[acceleration_0_60_mph]]</f>
        <v>465.68711656441718</v>
      </c>
      <c r="AC867" t="str">
        <f>IF(EV_Data4[[#This Row],[price_usd]]&gt;=80000,"Luxury",IF(EV_Data4[[#This Row],[price_usd]]&gt;=40000,"Mid-Range","Budget"))</f>
        <v>Mid-Range</v>
      </c>
      <c r="AD867" t="str">
        <f>IF(EV_Data4[[#This Row],[range_miles]]&gt;=350,"Long-Range",IF(EV_Data4[[#This Row],[range_miles]]&gt;=250,"Medium-Range","Short-Range"))</f>
        <v>Medium-Range</v>
      </c>
      <c r="AE867" t="str">
        <f>IF(EV_Data4[[#This Row],[charging_speed_kw]]&gt;=250,"Ultra-Fast",IF(EV_Data4[[#This Row],[charging_speed_kw]]&gt;=150,"Fast-Charging","Standard-Charging"))</f>
        <v>Standard-Charging</v>
      </c>
      <c r="AF867" t="str">
        <f>IF(EV_Data4[[#This Row],[acceleration_0_60_mph]]&lt;=3,"SportsPerformance",IF(EV_Data4[[#This Row],[acceleration_0_60_mph]]&lt;=5,"HighPerformance","Standard"))</f>
        <v>Standard</v>
      </c>
      <c r="AG867" t="str">
        <f>IF(EV_Data4[[#This Row],[customer_rating]]&gt;=4.5,"Excellent",IF(EV_Data4[[#This Row],[customer_rating]]&gt;=3.5,"Good","Average"))</f>
        <v>Good</v>
      </c>
      <c r="AH86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68" spans="1:34" x14ac:dyDescent="0.3">
      <c r="A868" t="s">
        <v>46</v>
      </c>
      <c r="B868" t="s">
        <v>47</v>
      </c>
      <c r="C868">
        <v>2025</v>
      </c>
      <c r="D868" t="s">
        <v>26</v>
      </c>
      <c r="E868" s="3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48</v>
      </c>
      <c r="N868">
        <v>7</v>
      </c>
      <c r="O868" t="s">
        <v>40</v>
      </c>
      <c r="P868">
        <v>64.2</v>
      </c>
      <c r="Q868">
        <v>1813</v>
      </c>
      <c r="R868">
        <v>3</v>
      </c>
      <c r="S868">
        <v>2</v>
      </c>
      <c r="T868" t="s">
        <v>41</v>
      </c>
      <c r="U868" t="s">
        <v>37</v>
      </c>
      <c r="V868" s="3">
        <v>216013</v>
      </c>
      <c r="W868">
        <v>3.86</v>
      </c>
      <c r="X868">
        <v>4</v>
      </c>
      <c r="Y868" s="1">
        <f>EV_Data4[[#This Row],[range_miles]]/EV_Data4[[#This Row],[battery_capacity_kwh]]</f>
        <v>3.5492227979274609</v>
      </c>
      <c r="Z868" s="4">
        <f>EV_Data4[[#This Row],[price_usd]]/EV_Data4[[#This Row],[range_miles]]</f>
        <v>213.33189781021898</v>
      </c>
      <c r="AA868" s="2">
        <f>(EV_Data4[[#This Row],[customer_rating]]*EV_Data4[[#This Row],[safety_rating]]*1000)/EV_Data4[[#This Row],[price_usd]]</f>
        <v>0.19810808489701287</v>
      </c>
      <c r="AB868">
        <f>EV_Data4[[#This Row],[horsepower]]+EV_Data4[[#This Row],[torque_nm]]/EV_Data4[[#This Row],[acceleration_0_60_mph]]</f>
        <v>553.70405727923628</v>
      </c>
      <c r="AC868" t="str">
        <f>IF(EV_Data4[[#This Row],[price_usd]]&gt;=80000,"Luxury",IF(EV_Data4[[#This Row],[price_usd]]&gt;=40000,"Mid-Range","Budget"))</f>
        <v>Mid-Range</v>
      </c>
      <c r="AD868" t="str">
        <f>IF(EV_Data4[[#This Row],[range_miles]]&gt;=350,"Long-Range",IF(EV_Data4[[#This Row],[range_miles]]&gt;=250,"Medium-Range","Short-Range"))</f>
        <v>Medium-Range</v>
      </c>
      <c r="AE868" t="str">
        <f>IF(EV_Data4[[#This Row],[charging_speed_kw]]&gt;=250,"Ultra-Fast",IF(EV_Data4[[#This Row],[charging_speed_kw]]&gt;=150,"Fast-Charging","Standard-Charging"))</f>
        <v>Fast-Charging</v>
      </c>
      <c r="AF868" t="str">
        <f>IF(EV_Data4[[#This Row],[acceleration_0_60_mph]]&lt;=3,"SportsPerformance",IF(EV_Data4[[#This Row],[acceleration_0_60_mph]]&lt;=5,"HighPerformance","Standard"))</f>
        <v>HighPerformance</v>
      </c>
      <c r="AG868" t="str">
        <f>IF(EV_Data4[[#This Row],[customer_rating]]&gt;=4.5,"Excellent",IF(EV_Data4[[#This Row],[customer_rating]]&gt;=3.5,"Good","Average"))</f>
        <v>Good</v>
      </c>
      <c r="AH86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69" spans="1:34" x14ac:dyDescent="0.3">
      <c r="A869" t="s">
        <v>46</v>
      </c>
      <c r="B869" t="s">
        <v>72</v>
      </c>
      <c r="C869">
        <v>2023</v>
      </c>
      <c r="D869" t="s">
        <v>33</v>
      </c>
      <c r="E869" s="3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34</v>
      </c>
      <c r="N869">
        <v>7</v>
      </c>
      <c r="O869" t="s">
        <v>28</v>
      </c>
      <c r="P869">
        <v>50.1</v>
      </c>
      <c r="Q869">
        <v>2562</v>
      </c>
      <c r="R869">
        <v>4</v>
      </c>
      <c r="S869">
        <v>3</v>
      </c>
      <c r="T869" t="s">
        <v>41</v>
      </c>
      <c r="U869" t="s">
        <v>30</v>
      </c>
      <c r="V869" s="3">
        <v>197139</v>
      </c>
      <c r="W869">
        <v>3.38</v>
      </c>
      <c r="X869">
        <v>5</v>
      </c>
      <c r="Y869" s="1">
        <f>EV_Data4[[#This Row],[range_miles]]/EV_Data4[[#This Row],[battery_capacity_kwh]]</f>
        <v>3.7453874538745384</v>
      </c>
      <c r="Z869" s="4">
        <f>EV_Data4[[#This Row],[price_usd]]/EV_Data4[[#This Row],[range_miles]]</f>
        <v>585.22561576354678</v>
      </c>
      <c r="AA869" s="2">
        <f>(EV_Data4[[#This Row],[customer_rating]]*EV_Data4[[#This Row],[safety_rating]]*1000)/EV_Data4[[#This Row],[price_usd]]</f>
        <v>0.11380394744816533</v>
      </c>
      <c r="AB869">
        <f>EV_Data4[[#This Row],[horsepower]]+EV_Data4[[#This Row],[torque_nm]]/EV_Data4[[#This Row],[acceleration_0_60_mph]]</f>
        <v>1030.5081967213114</v>
      </c>
      <c r="AC869" t="str">
        <f>IF(EV_Data4[[#This Row],[price_usd]]&gt;=80000,"Luxury",IF(EV_Data4[[#This Row],[price_usd]]&gt;=40000,"Mid-Range","Budget"))</f>
        <v>Luxury</v>
      </c>
      <c r="AD869" t="str">
        <f>IF(EV_Data4[[#This Row],[range_miles]]&gt;=350,"Long-Range",IF(EV_Data4[[#This Row],[range_miles]]&gt;=250,"Medium-Range","Short-Range"))</f>
        <v>Short-Range</v>
      </c>
      <c r="AE869" t="str">
        <f>IF(EV_Data4[[#This Row],[charging_speed_kw]]&gt;=250,"Ultra-Fast",IF(EV_Data4[[#This Row],[charging_speed_kw]]&gt;=150,"Fast-Charging","Standard-Charging"))</f>
        <v>Ultra-Fast</v>
      </c>
      <c r="AF869" t="str">
        <f>IF(EV_Data4[[#This Row],[acceleration_0_60_mph]]&lt;=3,"SportsPerformance",IF(EV_Data4[[#This Row],[acceleration_0_60_mph]]&lt;=5,"HighPerformance","Standard"))</f>
        <v>Standard</v>
      </c>
      <c r="AG869" t="str">
        <f>IF(EV_Data4[[#This Row],[customer_rating]]&gt;=4.5,"Excellent",IF(EV_Data4[[#This Row],[customer_rating]]&gt;=3.5,"Good","Average"))</f>
        <v>Average</v>
      </c>
      <c r="AH869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870" spans="1:34" x14ac:dyDescent="0.3">
      <c r="A870" t="s">
        <v>52</v>
      </c>
      <c r="B870" t="s">
        <v>97</v>
      </c>
      <c r="C870">
        <v>2024</v>
      </c>
      <c r="D870" t="s">
        <v>26</v>
      </c>
      <c r="E870" s="3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27</v>
      </c>
      <c r="N870">
        <v>5</v>
      </c>
      <c r="O870" t="s">
        <v>50</v>
      </c>
      <c r="P870">
        <v>36.6</v>
      </c>
      <c r="Q870">
        <v>1957</v>
      </c>
      <c r="R870">
        <v>4</v>
      </c>
      <c r="S870">
        <v>2</v>
      </c>
      <c r="T870" t="s">
        <v>29</v>
      </c>
      <c r="U870" t="s">
        <v>33</v>
      </c>
      <c r="V870" s="3">
        <v>36911</v>
      </c>
      <c r="W870">
        <v>3.99</v>
      </c>
      <c r="X870">
        <v>7</v>
      </c>
      <c r="Y870" s="1">
        <f>EV_Data4[[#This Row],[range_miles]]/EV_Data4[[#This Row],[battery_capacity_kwh]]</f>
        <v>3.6230248306997743</v>
      </c>
      <c r="Z870" s="4">
        <f>EV_Data4[[#This Row],[price_usd]]/EV_Data4[[#This Row],[range_miles]]</f>
        <v>273.17856697819315</v>
      </c>
      <c r="AA870" s="2">
        <f>(EV_Data4[[#This Row],[customer_rating]]*EV_Data4[[#This Row],[safety_rating]]*1000)/EV_Data4[[#This Row],[price_usd]]</f>
        <v>0.18200412542684299</v>
      </c>
      <c r="AB870">
        <f>EV_Data4[[#This Row],[horsepower]]+EV_Data4[[#This Row],[torque_nm]]/EV_Data4[[#This Row],[acceleration_0_60_mph]]</f>
        <v>577.05617977528095</v>
      </c>
      <c r="AC870" t="str">
        <f>IF(EV_Data4[[#This Row],[price_usd]]&gt;=80000,"Luxury",IF(EV_Data4[[#This Row],[price_usd]]&gt;=40000,"Mid-Range","Budget"))</f>
        <v>Luxury</v>
      </c>
      <c r="AD870" t="str">
        <f>IF(EV_Data4[[#This Row],[range_miles]]&gt;=350,"Long-Range",IF(EV_Data4[[#This Row],[range_miles]]&gt;=250,"Medium-Range","Short-Range"))</f>
        <v>Medium-Range</v>
      </c>
      <c r="AE870" t="str">
        <f>IF(EV_Data4[[#This Row],[charging_speed_kw]]&gt;=250,"Ultra-Fast",IF(EV_Data4[[#This Row],[charging_speed_kw]]&gt;=150,"Fast-Charging","Standard-Charging"))</f>
        <v>Fast-Charging</v>
      </c>
      <c r="AF870" t="str">
        <f>IF(EV_Data4[[#This Row],[acceleration_0_60_mph]]&lt;=3,"SportsPerformance",IF(EV_Data4[[#This Row],[acceleration_0_60_mph]]&lt;=5,"HighPerformance","Standard"))</f>
        <v>SportsPerformance</v>
      </c>
      <c r="AG870" t="str">
        <f>IF(EV_Data4[[#This Row],[customer_rating]]&gt;=4.5,"Excellent",IF(EV_Data4[[#This Row],[customer_rating]]&gt;=3.5,"Good","Average"))</f>
        <v>Good</v>
      </c>
      <c r="AH87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71" spans="1:34" x14ac:dyDescent="0.3">
      <c r="A871" t="s">
        <v>31</v>
      </c>
      <c r="B871" t="s">
        <v>112</v>
      </c>
      <c r="C871">
        <v>2022</v>
      </c>
      <c r="D871" t="s">
        <v>61</v>
      </c>
      <c r="E871" s="3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34</v>
      </c>
      <c r="N871">
        <v>5</v>
      </c>
      <c r="O871" t="s">
        <v>51</v>
      </c>
      <c r="P871">
        <v>22.4</v>
      </c>
      <c r="Q871">
        <v>1626</v>
      </c>
      <c r="R871">
        <v>4</v>
      </c>
      <c r="S871">
        <v>0</v>
      </c>
      <c r="T871" t="s">
        <v>36</v>
      </c>
      <c r="U871" t="s">
        <v>37</v>
      </c>
      <c r="V871" s="3">
        <v>18523</v>
      </c>
      <c r="W871">
        <v>3.32</v>
      </c>
      <c r="X871">
        <v>3</v>
      </c>
      <c r="Y871" s="1">
        <f>EV_Data4[[#This Row],[range_miles]]/EV_Data4[[#This Row],[battery_capacity_kwh]]</f>
        <v>3.3215130023640662</v>
      </c>
      <c r="Z871" s="4">
        <f>EV_Data4[[#This Row],[price_usd]]/EV_Data4[[#This Row],[range_miles]]</f>
        <v>198.49021352313167</v>
      </c>
      <c r="AA871" s="2">
        <f>(EV_Data4[[#This Row],[customer_rating]]*EV_Data4[[#This Row],[safety_rating]]*1000)/EV_Data4[[#This Row],[price_usd]]</f>
        <v>0.23809630529396736</v>
      </c>
      <c r="AB871">
        <f>EV_Data4[[#This Row],[horsepower]]+EV_Data4[[#This Row],[torque_nm]]/EV_Data4[[#This Row],[acceleration_0_60_mph]]</f>
        <v>688.66666666666663</v>
      </c>
      <c r="AC871" t="str">
        <f>IF(EV_Data4[[#This Row],[price_usd]]&gt;=80000,"Luxury",IF(EV_Data4[[#This Row],[price_usd]]&gt;=40000,"Mid-Range","Budget"))</f>
        <v>Mid-Range</v>
      </c>
      <c r="AD871" t="str">
        <f>IF(EV_Data4[[#This Row],[range_miles]]&gt;=350,"Long-Range",IF(EV_Data4[[#This Row],[range_miles]]&gt;=250,"Medium-Range","Short-Range"))</f>
        <v>Medium-Range</v>
      </c>
      <c r="AE871" t="str">
        <f>IF(EV_Data4[[#This Row],[charging_speed_kw]]&gt;=250,"Ultra-Fast",IF(EV_Data4[[#This Row],[charging_speed_kw]]&gt;=150,"Fast-Charging","Standard-Charging"))</f>
        <v>Standard-Charging</v>
      </c>
      <c r="AF871" t="str">
        <f>IF(EV_Data4[[#This Row],[acceleration_0_60_mph]]&lt;=3,"SportsPerformance",IF(EV_Data4[[#This Row],[acceleration_0_60_mph]]&lt;=5,"HighPerformance","Standard"))</f>
        <v>Standard</v>
      </c>
      <c r="AG871" t="str">
        <f>IF(EV_Data4[[#This Row],[customer_rating]]&gt;=4.5,"Excellent",IF(EV_Data4[[#This Row],[customer_rating]]&gt;=3.5,"Good","Average"))</f>
        <v>Average</v>
      </c>
      <c r="AH87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72" spans="1:34" x14ac:dyDescent="0.3">
      <c r="A872" t="s">
        <v>24</v>
      </c>
      <c r="B872" t="s">
        <v>75</v>
      </c>
      <c r="C872">
        <v>2023</v>
      </c>
      <c r="D872" t="s">
        <v>61</v>
      </c>
      <c r="E872" s="3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48</v>
      </c>
      <c r="N872">
        <v>5</v>
      </c>
      <c r="O872" t="s">
        <v>51</v>
      </c>
      <c r="P872">
        <v>26.9</v>
      </c>
      <c r="Q872">
        <v>1555</v>
      </c>
      <c r="R872">
        <v>5</v>
      </c>
      <c r="S872">
        <v>1</v>
      </c>
      <c r="T872" t="s">
        <v>29</v>
      </c>
      <c r="U872" t="s">
        <v>37</v>
      </c>
      <c r="V872" s="3">
        <v>222298</v>
      </c>
      <c r="W872">
        <v>3.5</v>
      </c>
      <c r="X872">
        <v>3</v>
      </c>
      <c r="Y872" s="1">
        <f>EV_Data4[[#This Row],[range_miles]]/EV_Data4[[#This Row],[battery_capacity_kwh]]</f>
        <v>3.75</v>
      </c>
      <c r="Z872" s="4">
        <f>EV_Data4[[#This Row],[price_usd]]/EV_Data4[[#This Row],[range_miles]]</f>
        <v>216.45067510548523</v>
      </c>
      <c r="AA872" s="2">
        <f>(EV_Data4[[#This Row],[customer_rating]]*EV_Data4[[#This Row],[safety_rating]]*1000)/EV_Data4[[#This Row],[price_usd]]</f>
        <v>0.34113851763812847</v>
      </c>
      <c r="AB872">
        <f>EV_Data4[[#This Row],[horsepower]]+EV_Data4[[#This Row],[torque_nm]]/EV_Data4[[#This Row],[acceleration_0_60_mph]]</f>
        <v>450.17324185248714</v>
      </c>
      <c r="AC872" t="str">
        <f>IF(EV_Data4[[#This Row],[price_usd]]&gt;=80000,"Luxury",IF(EV_Data4[[#This Row],[price_usd]]&gt;=40000,"Mid-Range","Budget"))</f>
        <v>Mid-Range</v>
      </c>
      <c r="AD872" t="str">
        <f>IF(EV_Data4[[#This Row],[range_miles]]&gt;=350,"Long-Range",IF(EV_Data4[[#This Row],[range_miles]]&gt;=250,"Medium-Range","Short-Range"))</f>
        <v>Short-Range</v>
      </c>
      <c r="AE872" t="str">
        <f>IF(EV_Data4[[#This Row],[charging_speed_kw]]&gt;=250,"Ultra-Fast",IF(EV_Data4[[#This Row],[charging_speed_kw]]&gt;=150,"Fast-Charging","Standard-Charging"))</f>
        <v>Standard-Charging</v>
      </c>
      <c r="AF872" t="str">
        <f>IF(EV_Data4[[#This Row],[acceleration_0_60_mph]]&lt;=3,"SportsPerformance",IF(EV_Data4[[#This Row],[acceleration_0_60_mph]]&lt;=5,"HighPerformance","Standard"))</f>
        <v>Standard</v>
      </c>
      <c r="AG872" t="str">
        <f>IF(EV_Data4[[#This Row],[customer_rating]]&gt;=4.5,"Excellent",IF(EV_Data4[[#This Row],[customer_rating]]&gt;=3.5,"Good","Average"))</f>
        <v>Good</v>
      </c>
      <c r="AH87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73" spans="1:34" x14ac:dyDescent="0.3">
      <c r="A873" t="s">
        <v>63</v>
      </c>
      <c r="B873" t="s">
        <v>96</v>
      </c>
      <c r="C873">
        <v>2025</v>
      </c>
      <c r="D873" t="s">
        <v>61</v>
      </c>
      <c r="E873" s="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48</v>
      </c>
      <c r="N873">
        <v>5</v>
      </c>
      <c r="O873" t="s">
        <v>35</v>
      </c>
      <c r="P873">
        <v>68.7</v>
      </c>
      <c r="Q873">
        <v>1789</v>
      </c>
      <c r="R873">
        <v>3</v>
      </c>
      <c r="S873">
        <v>0</v>
      </c>
      <c r="T873" t="s">
        <v>65</v>
      </c>
      <c r="U873" t="s">
        <v>33</v>
      </c>
      <c r="V873" s="3">
        <v>125776</v>
      </c>
      <c r="W873">
        <v>3.36</v>
      </c>
      <c r="X873">
        <v>3</v>
      </c>
      <c r="Y873" s="1">
        <f>EV_Data4[[#This Row],[range_miles]]/EV_Data4[[#This Row],[battery_capacity_kwh]]</f>
        <v>3.2060027285129604</v>
      </c>
      <c r="Z873" s="4">
        <f>EV_Data4[[#This Row],[price_usd]]/EV_Data4[[#This Row],[range_miles]]</f>
        <v>352.1688936170213</v>
      </c>
      <c r="AA873" s="2">
        <f>(EV_Data4[[#This Row],[customer_rating]]*EV_Data4[[#This Row],[safety_rating]]*1000)/EV_Data4[[#This Row],[price_usd]]</f>
        <v>0.12179842626283399</v>
      </c>
      <c r="AB873">
        <f>EV_Data4[[#This Row],[horsepower]]+EV_Data4[[#This Row],[torque_nm]]/EV_Data4[[#This Row],[acceleration_0_60_mph]]</f>
        <v>1035.7639553429028</v>
      </c>
      <c r="AC873" t="str">
        <f>IF(EV_Data4[[#This Row],[price_usd]]&gt;=80000,"Luxury",IF(EV_Data4[[#This Row],[price_usd]]&gt;=40000,"Mid-Range","Budget"))</f>
        <v>Luxury</v>
      </c>
      <c r="AD873" t="str">
        <f>IF(EV_Data4[[#This Row],[range_miles]]&gt;=350,"Long-Range",IF(EV_Data4[[#This Row],[range_miles]]&gt;=250,"Medium-Range","Short-Range"))</f>
        <v>Short-Range</v>
      </c>
      <c r="AE873" t="str">
        <f>IF(EV_Data4[[#This Row],[charging_speed_kw]]&gt;=250,"Ultra-Fast",IF(EV_Data4[[#This Row],[charging_speed_kw]]&gt;=150,"Fast-Charging","Standard-Charging"))</f>
        <v>Standard-Charging</v>
      </c>
      <c r="AF873" t="str">
        <f>IF(EV_Data4[[#This Row],[acceleration_0_60_mph]]&lt;=3,"SportsPerformance",IF(EV_Data4[[#This Row],[acceleration_0_60_mph]]&lt;=5,"HighPerformance","Standard"))</f>
        <v>Standard</v>
      </c>
      <c r="AG873" t="str">
        <f>IF(EV_Data4[[#This Row],[customer_rating]]&gt;=4.5,"Excellent",IF(EV_Data4[[#This Row],[customer_rating]]&gt;=3.5,"Good","Average"))</f>
        <v>Average</v>
      </c>
      <c r="AH87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74" spans="1:34" x14ac:dyDescent="0.3">
      <c r="A874" t="s">
        <v>83</v>
      </c>
      <c r="B874" t="s">
        <v>116</v>
      </c>
      <c r="C874">
        <v>2023</v>
      </c>
      <c r="D874" t="s">
        <v>26</v>
      </c>
      <c r="E874" s="3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48</v>
      </c>
      <c r="N874">
        <v>7</v>
      </c>
      <c r="O874" t="s">
        <v>40</v>
      </c>
      <c r="P874">
        <v>73.099999999999994</v>
      </c>
      <c r="Q874">
        <v>1500</v>
      </c>
      <c r="R874">
        <v>5</v>
      </c>
      <c r="S874">
        <v>2</v>
      </c>
      <c r="T874" t="s">
        <v>29</v>
      </c>
      <c r="U874" t="s">
        <v>30</v>
      </c>
      <c r="V874" s="3">
        <v>64205</v>
      </c>
      <c r="W874">
        <v>3.82</v>
      </c>
      <c r="X874">
        <v>5</v>
      </c>
      <c r="Y874" s="1">
        <f>EV_Data4[[#This Row],[range_miles]]/EV_Data4[[#This Row],[battery_capacity_kwh]]</f>
        <v>3.5166816952209197</v>
      </c>
      <c r="Z874" s="4">
        <f>EV_Data4[[#This Row],[price_usd]]/EV_Data4[[#This Row],[range_miles]]</f>
        <v>335.85556410256407</v>
      </c>
      <c r="AA874" s="2">
        <f>(EV_Data4[[#This Row],[customer_rating]]*EV_Data4[[#This Row],[safety_rating]]*1000)/EV_Data4[[#This Row],[price_usd]]</f>
        <v>0.14581970408983042</v>
      </c>
      <c r="AB874">
        <f>EV_Data4[[#This Row],[horsepower]]+EV_Data4[[#This Row],[torque_nm]]/EV_Data4[[#This Row],[acceleration_0_60_mph]]</f>
        <v>1349.800796812749</v>
      </c>
      <c r="AC874" t="str">
        <f>IF(EV_Data4[[#This Row],[price_usd]]&gt;=80000,"Luxury",IF(EV_Data4[[#This Row],[price_usd]]&gt;=40000,"Mid-Range","Budget"))</f>
        <v>Luxury</v>
      </c>
      <c r="AD874" t="str">
        <f>IF(EV_Data4[[#This Row],[range_miles]]&gt;=350,"Long-Range",IF(EV_Data4[[#This Row],[range_miles]]&gt;=250,"Medium-Range","Short-Range"))</f>
        <v>Long-Range</v>
      </c>
      <c r="AE874" t="str">
        <f>IF(EV_Data4[[#This Row],[charging_speed_kw]]&gt;=250,"Ultra-Fast",IF(EV_Data4[[#This Row],[charging_speed_kw]]&gt;=150,"Fast-Charging","Standard-Charging"))</f>
        <v>Fast-Charging</v>
      </c>
      <c r="AF874" t="str">
        <f>IF(EV_Data4[[#This Row],[acceleration_0_60_mph]]&lt;=3,"SportsPerformance",IF(EV_Data4[[#This Row],[acceleration_0_60_mph]]&lt;=5,"HighPerformance","Standard"))</f>
        <v>SportsPerformance</v>
      </c>
      <c r="AG874" t="str">
        <f>IF(EV_Data4[[#This Row],[customer_rating]]&gt;=4.5,"Excellent",IF(EV_Data4[[#This Row],[customer_rating]]&gt;=3.5,"Good","Average"))</f>
        <v>Good</v>
      </c>
      <c r="AH87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75" spans="1:34" x14ac:dyDescent="0.3">
      <c r="A875" t="s">
        <v>24</v>
      </c>
      <c r="B875" t="s">
        <v>70</v>
      </c>
      <c r="C875">
        <v>2025</v>
      </c>
      <c r="D875" t="s">
        <v>56</v>
      </c>
      <c r="E875" s="3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27</v>
      </c>
      <c r="N875">
        <v>5</v>
      </c>
      <c r="O875" t="s">
        <v>51</v>
      </c>
      <c r="P875">
        <v>37.799999999999997</v>
      </c>
      <c r="Q875">
        <v>1613</v>
      </c>
      <c r="R875">
        <v>5</v>
      </c>
      <c r="S875">
        <v>1</v>
      </c>
      <c r="T875" t="s">
        <v>29</v>
      </c>
      <c r="U875" t="s">
        <v>33</v>
      </c>
      <c r="V875" s="3">
        <v>282957</v>
      </c>
      <c r="W875">
        <v>3.68</v>
      </c>
      <c r="X875">
        <v>3</v>
      </c>
      <c r="Y875" s="1">
        <f>EV_Data4[[#This Row],[range_miles]]/EV_Data4[[#This Row],[battery_capacity_kwh]]</f>
        <v>3.2565284178187408</v>
      </c>
      <c r="Z875" s="4">
        <f>EV_Data4[[#This Row],[price_usd]]/EV_Data4[[#This Row],[range_miles]]</f>
        <v>306.89575471698112</v>
      </c>
      <c r="AA875" s="2">
        <f>(EV_Data4[[#This Row],[customer_rating]]*EV_Data4[[#This Row],[safety_rating]]*1000)/EV_Data4[[#This Row],[price_usd]]</f>
        <v>0.28280760322093274</v>
      </c>
      <c r="AB875">
        <f>EV_Data4[[#This Row],[horsepower]]+EV_Data4[[#This Row],[torque_nm]]/EV_Data4[[#This Row],[acceleration_0_60_mph]]</f>
        <v>732.27927927927931</v>
      </c>
      <c r="AC875" t="str">
        <f>IF(EV_Data4[[#This Row],[price_usd]]&gt;=80000,"Luxury",IF(EV_Data4[[#This Row],[price_usd]]&gt;=40000,"Mid-Range","Budget"))</f>
        <v>Mid-Range</v>
      </c>
      <c r="AD875" t="str">
        <f>IF(EV_Data4[[#This Row],[range_miles]]&gt;=350,"Long-Range",IF(EV_Data4[[#This Row],[range_miles]]&gt;=250,"Medium-Range","Short-Range"))</f>
        <v>Short-Range</v>
      </c>
      <c r="AE875" t="str">
        <f>IF(EV_Data4[[#This Row],[charging_speed_kw]]&gt;=250,"Ultra-Fast",IF(EV_Data4[[#This Row],[charging_speed_kw]]&gt;=150,"Fast-Charging","Standard-Charging"))</f>
        <v>Standard-Charging</v>
      </c>
      <c r="AF875" t="str">
        <f>IF(EV_Data4[[#This Row],[acceleration_0_60_mph]]&lt;=3,"SportsPerformance",IF(EV_Data4[[#This Row],[acceleration_0_60_mph]]&lt;=5,"HighPerformance","Standard"))</f>
        <v>Standard</v>
      </c>
      <c r="AG875" t="str">
        <f>IF(EV_Data4[[#This Row],[customer_rating]]&gt;=4.5,"Excellent",IF(EV_Data4[[#This Row],[customer_rating]]&gt;=3.5,"Good","Average"))</f>
        <v>Good</v>
      </c>
      <c r="AH87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76" spans="1:34" x14ac:dyDescent="0.3">
      <c r="A876" t="s">
        <v>46</v>
      </c>
      <c r="B876" t="s">
        <v>57</v>
      </c>
      <c r="C876">
        <v>2022</v>
      </c>
      <c r="D876" t="s">
        <v>33</v>
      </c>
      <c r="E876" s="3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48</v>
      </c>
      <c r="N876">
        <v>7</v>
      </c>
      <c r="O876" t="s">
        <v>50</v>
      </c>
      <c r="P876">
        <v>34.9</v>
      </c>
      <c r="Q876">
        <v>1653</v>
      </c>
      <c r="R876">
        <v>5</v>
      </c>
      <c r="S876">
        <v>2</v>
      </c>
      <c r="T876" t="s">
        <v>41</v>
      </c>
      <c r="U876" t="s">
        <v>30</v>
      </c>
      <c r="V876" s="3">
        <v>241709</v>
      </c>
      <c r="W876">
        <v>3.96</v>
      </c>
      <c r="X876">
        <v>5</v>
      </c>
      <c r="Y876" s="1">
        <f>EV_Data4[[#This Row],[range_miles]]/EV_Data4[[#This Row],[battery_capacity_kwh]]</f>
        <v>2.951070336391437</v>
      </c>
      <c r="Z876" s="4">
        <f>EV_Data4[[#This Row],[price_usd]]/EV_Data4[[#This Row],[range_miles]]</f>
        <v>847.11295336787555</v>
      </c>
      <c r="AA876" s="2">
        <f>(EV_Data4[[#This Row],[customer_rating]]*EV_Data4[[#This Row],[safety_rating]]*1000)/EV_Data4[[#This Row],[price_usd]]</f>
        <v>0.12110625055048296</v>
      </c>
      <c r="AB876">
        <f>EV_Data4[[#This Row],[horsepower]]+EV_Data4[[#This Row],[torque_nm]]/EV_Data4[[#This Row],[acceleration_0_60_mph]]</f>
        <v>1138.4732824427481</v>
      </c>
      <c r="AC876" t="str">
        <f>IF(EV_Data4[[#This Row],[price_usd]]&gt;=80000,"Luxury",IF(EV_Data4[[#This Row],[price_usd]]&gt;=40000,"Mid-Range","Budget"))</f>
        <v>Luxury</v>
      </c>
      <c r="AD876" t="str">
        <f>IF(EV_Data4[[#This Row],[range_miles]]&gt;=350,"Long-Range",IF(EV_Data4[[#This Row],[range_miles]]&gt;=250,"Medium-Range","Short-Range"))</f>
        <v>Short-Range</v>
      </c>
      <c r="AE876" t="str">
        <f>IF(EV_Data4[[#This Row],[charging_speed_kw]]&gt;=250,"Ultra-Fast",IF(EV_Data4[[#This Row],[charging_speed_kw]]&gt;=150,"Fast-Charging","Standard-Charging"))</f>
        <v>Ultra-Fast</v>
      </c>
      <c r="AF876" t="str">
        <f>IF(EV_Data4[[#This Row],[acceleration_0_60_mph]]&lt;=3,"SportsPerformance",IF(EV_Data4[[#This Row],[acceleration_0_60_mph]]&lt;=5,"HighPerformance","Standard"))</f>
        <v>Standard</v>
      </c>
      <c r="AG876" t="str">
        <f>IF(EV_Data4[[#This Row],[customer_rating]]&gt;=4.5,"Excellent",IF(EV_Data4[[#This Row],[customer_rating]]&gt;=3.5,"Good","Average"))</f>
        <v>Good</v>
      </c>
      <c r="AH87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77" spans="1:34" x14ac:dyDescent="0.3">
      <c r="A877" t="s">
        <v>46</v>
      </c>
      <c r="B877" t="s">
        <v>78</v>
      </c>
      <c r="C877">
        <v>2023</v>
      </c>
      <c r="D877" t="s">
        <v>33</v>
      </c>
      <c r="E877" s="3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34</v>
      </c>
      <c r="N877">
        <v>7</v>
      </c>
      <c r="O877" t="s">
        <v>58</v>
      </c>
      <c r="P877">
        <v>15.8</v>
      </c>
      <c r="Q877">
        <v>1500</v>
      </c>
      <c r="R877">
        <v>5</v>
      </c>
      <c r="S877">
        <v>2</v>
      </c>
      <c r="T877" t="s">
        <v>41</v>
      </c>
      <c r="U877" t="s">
        <v>37</v>
      </c>
      <c r="V877" s="3">
        <v>206669</v>
      </c>
      <c r="W877">
        <v>3.87</v>
      </c>
      <c r="X877">
        <v>5</v>
      </c>
      <c r="Y877" s="1">
        <f>EV_Data4[[#This Row],[range_miles]]/EV_Data4[[#This Row],[battery_capacity_kwh]]</f>
        <v>3.6440677966101696</v>
      </c>
      <c r="Z877" s="4">
        <f>EV_Data4[[#This Row],[price_usd]]/EV_Data4[[#This Row],[range_miles]]</f>
        <v>179.31418604651162</v>
      </c>
      <c r="AA877" s="2">
        <f>(EV_Data4[[#This Row],[customer_rating]]*EV_Data4[[#This Row],[safety_rating]]*1000)/EV_Data4[[#This Row],[price_usd]]</f>
        <v>0.35850880347547881</v>
      </c>
      <c r="AB877">
        <f>EV_Data4[[#This Row],[horsepower]]+EV_Data4[[#This Row],[torque_nm]]/EV_Data4[[#This Row],[acceleration_0_60_mph]]</f>
        <v>494.12587412587413</v>
      </c>
      <c r="AC877" t="str">
        <f>IF(EV_Data4[[#This Row],[price_usd]]&gt;=80000,"Luxury",IF(EV_Data4[[#This Row],[price_usd]]&gt;=40000,"Mid-Range","Budget"))</f>
        <v>Mid-Range</v>
      </c>
      <c r="AD877" t="str">
        <f>IF(EV_Data4[[#This Row],[range_miles]]&gt;=350,"Long-Range",IF(EV_Data4[[#This Row],[range_miles]]&gt;=250,"Medium-Range","Short-Range"))</f>
        <v>Medium-Range</v>
      </c>
      <c r="AE877" t="str">
        <f>IF(EV_Data4[[#This Row],[charging_speed_kw]]&gt;=250,"Ultra-Fast",IF(EV_Data4[[#This Row],[charging_speed_kw]]&gt;=150,"Fast-Charging","Standard-Charging"))</f>
        <v>Ultra-Fast</v>
      </c>
      <c r="AF877" t="str">
        <f>IF(EV_Data4[[#This Row],[acceleration_0_60_mph]]&lt;=3,"SportsPerformance",IF(EV_Data4[[#This Row],[acceleration_0_60_mph]]&lt;=5,"HighPerformance","Standard"))</f>
        <v>Standard</v>
      </c>
      <c r="AG877" t="str">
        <f>IF(EV_Data4[[#This Row],[customer_rating]]&gt;=4.5,"Excellent",IF(EV_Data4[[#This Row],[customer_rating]]&gt;=3.5,"Good","Average"))</f>
        <v>Good</v>
      </c>
      <c r="AH87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78" spans="1:34" x14ac:dyDescent="0.3">
      <c r="A878" t="s">
        <v>38</v>
      </c>
      <c r="B878" t="s">
        <v>39</v>
      </c>
      <c r="C878">
        <v>2025</v>
      </c>
      <c r="D878" t="s">
        <v>26</v>
      </c>
      <c r="E878" s="3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34</v>
      </c>
      <c r="N878">
        <v>5</v>
      </c>
      <c r="O878" t="s">
        <v>51</v>
      </c>
      <c r="P878">
        <v>18.8</v>
      </c>
      <c r="Q878">
        <v>1519</v>
      </c>
      <c r="R878">
        <v>4</v>
      </c>
      <c r="S878">
        <v>0</v>
      </c>
      <c r="T878" t="s">
        <v>41</v>
      </c>
      <c r="U878" t="s">
        <v>37</v>
      </c>
      <c r="V878" s="3">
        <v>23288</v>
      </c>
      <c r="W878">
        <v>3.63</v>
      </c>
      <c r="X878">
        <v>4</v>
      </c>
      <c r="Y878" s="1">
        <f>EV_Data4[[#This Row],[range_miles]]/EV_Data4[[#This Row],[battery_capacity_kwh]]</f>
        <v>3.6647727272727271</v>
      </c>
      <c r="Z878" s="4">
        <f>EV_Data4[[#This Row],[price_usd]]/EV_Data4[[#This Row],[range_miles]]</f>
        <v>233.37461240310077</v>
      </c>
      <c r="AA878" s="2">
        <f>(EV_Data4[[#This Row],[customer_rating]]*EV_Data4[[#This Row],[safety_rating]]*1000)/EV_Data4[[#This Row],[price_usd]]</f>
        <v>0.24115335077764483</v>
      </c>
      <c r="AB878">
        <f>EV_Data4[[#This Row],[horsepower]]+EV_Data4[[#This Row],[torque_nm]]/EV_Data4[[#This Row],[acceleration_0_60_mph]]</f>
        <v>984.19946091644204</v>
      </c>
      <c r="AC878" t="str">
        <f>IF(EV_Data4[[#This Row],[price_usd]]&gt;=80000,"Luxury",IF(EV_Data4[[#This Row],[price_usd]]&gt;=40000,"Mid-Range","Budget"))</f>
        <v>Mid-Range</v>
      </c>
      <c r="AD878" t="str">
        <f>IF(EV_Data4[[#This Row],[range_miles]]&gt;=350,"Long-Range",IF(EV_Data4[[#This Row],[range_miles]]&gt;=250,"Medium-Range","Short-Range"))</f>
        <v>Medium-Range</v>
      </c>
      <c r="AE878" t="str">
        <f>IF(EV_Data4[[#This Row],[charging_speed_kw]]&gt;=250,"Ultra-Fast",IF(EV_Data4[[#This Row],[charging_speed_kw]]&gt;=150,"Fast-Charging","Standard-Charging"))</f>
        <v>Fast-Charging</v>
      </c>
      <c r="AF878" t="str">
        <f>IF(EV_Data4[[#This Row],[acceleration_0_60_mph]]&lt;=3,"SportsPerformance",IF(EV_Data4[[#This Row],[acceleration_0_60_mph]]&lt;=5,"HighPerformance","Standard"))</f>
        <v>HighPerformance</v>
      </c>
      <c r="AG878" t="str">
        <f>IF(EV_Data4[[#This Row],[customer_rating]]&gt;=4.5,"Excellent",IF(EV_Data4[[#This Row],[customer_rating]]&gt;=3.5,"Good","Average"))</f>
        <v>Good</v>
      </c>
      <c r="AH87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79" spans="1:34" x14ac:dyDescent="0.3">
      <c r="A879" t="s">
        <v>83</v>
      </c>
      <c r="B879" t="s">
        <v>89</v>
      </c>
      <c r="C879">
        <v>2023</v>
      </c>
      <c r="D879" t="s">
        <v>33</v>
      </c>
      <c r="E879" s="3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48</v>
      </c>
      <c r="N879">
        <v>7</v>
      </c>
      <c r="O879" t="s">
        <v>58</v>
      </c>
      <c r="P879">
        <v>32.9</v>
      </c>
      <c r="Q879">
        <v>1755</v>
      </c>
      <c r="R879">
        <v>4</v>
      </c>
      <c r="S879">
        <v>1</v>
      </c>
      <c r="T879" t="s">
        <v>29</v>
      </c>
      <c r="U879" t="s">
        <v>33</v>
      </c>
      <c r="V879" s="3">
        <v>60859</v>
      </c>
      <c r="W879">
        <v>3.29</v>
      </c>
      <c r="X879">
        <v>8</v>
      </c>
      <c r="Y879" s="1">
        <f>EV_Data4[[#This Row],[range_miles]]/EV_Data4[[#This Row],[battery_capacity_kwh]]</f>
        <v>3.225308641975309</v>
      </c>
      <c r="Z879" s="4">
        <f>EV_Data4[[#This Row],[price_usd]]/EV_Data4[[#This Row],[range_miles]]</f>
        <v>389.86468899521532</v>
      </c>
      <c r="AA879" s="2">
        <f>(EV_Data4[[#This Row],[customer_rating]]*EV_Data4[[#This Row],[safety_rating]]*1000)/EV_Data4[[#This Row],[price_usd]]</f>
        <v>0.16150861812931783</v>
      </c>
      <c r="AB879">
        <f>EV_Data4[[#This Row],[horsepower]]+EV_Data4[[#This Row],[torque_nm]]/EV_Data4[[#This Row],[acceleration_0_60_mph]]</f>
        <v>640.65517241379314</v>
      </c>
      <c r="AC879" t="str">
        <f>IF(EV_Data4[[#This Row],[price_usd]]&gt;=80000,"Luxury",IF(EV_Data4[[#This Row],[price_usd]]&gt;=40000,"Mid-Range","Budget"))</f>
        <v>Luxury</v>
      </c>
      <c r="AD879" t="str">
        <f>IF(EV_Data4[[#This Row],[range_miles]]&gt;=350,"Long-Range",IF(EV_Data4[[#This Row],[range_miles]]&gt;=250,"Medium-Range","Short-Range"))</f>
        <v>Short-Range</v>
      </c>
      <c r="AE879" t="str">
        <f>IF(EV_Data4[[#This Row],[charging_speed_kw]]&gt;=250,"Ultra-Fast",IF(EV_Data4[[#This Row],[charging_speed_kw]]&gt;=150,"Fast-Charging","Standard-Charging"))</f>
        <v>Standard-Charging</v>
      </c>
      <c r="AF879" t="str">
        <f>IF(EV_Data4[[#This Row],[acceleration_0_60_mph]]&lt;=3,"SportsPerformance",IF(EV_Data4[[#This Row],[acceleration_0_60_mph]]&lt;=5,"HighPerformance","Standard"))</f>
        <v>Standard</v>
      </c>
      <c r="AG879" t="str">
        <f>IF(EV_Data4[[#This Row],[customer_rating]]&gt;=4.5,"Excellent",IF(EV_Data4[[#This Row],[customer_rating]]&gt;=3.5,"Good","Average"))</f>
        <v>Average</v>
      </c>
      <c r="AH87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80" spans="1:34" x14ac:dyDescent="0.3">
      <c r="A880" t="s">
        <v>46</v>
      </c>
      <c r="B880" t="s">
        <v>57</v>
      </c>
      <c r="C880">
        <v>2025</v>
      </c>
      <c r="D880" t="s">
        <v>26</v>
      </c>
      <c r="E880" s="3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27</v>
      </c>
      <c r="N880">
        <v>7</v>
      </c>
      <c r="O880" t="s">
        <v>58</v>
      </c>
      <c r="P880">
        <v>15.6</v>
      </c>
      <c r="Q880">
        <v>1500</v>
      </c>
      <c r="R880">
        <v>5</v>
      </c>
      <c r="S880">
        <v>2</v>
      </c>
      <c r="T880" t="s">
        <v>41</v>
      </c>
      <c r="U880" t="s">
        <v>30</v>
      </c>
      <c r="V880" s="3">
        <v>186365</v>
      </c>
      <c r="W880">
        <v>3.84</v>
      </c>
      <c r="X880">
        <v>5</v>
      </c>
      <c r="Y880" s="1">
        <f>EV_Data4[[#This Row],[range_miles]]/EV_Data4[[#This Row],[battery_capacity_kwh]]</f>
        <v>3.500660501981506</v>
      </c>
      <c r="Z880" s="4">
        <f>EV_Data4[[#This Row],[price_usd]]/EV_Data4[[#This Row],[range_miles]]</f>
        <v>529.2261132075472</v>
      </c>
      <c r="AA880" s="2">
        <f>(EV_Data4[[#This Row],[customer_rating]]*EV_Data4[[#This Row],[safety_rating]]*1000)/EV_Data4[[#This Row],[price_usd]]</f>
        <v>0.13690335450296523</v>
      </c>
      <c r="AB880">
        <f>EV_Data4[[#This Row],[horsepower]]+EV_Data4[[#This Row],[torque_nm]]/EV_Data4[[#This Row],[acceleration_0_60_mph]]</f>
        <v>1186.2352941176471</v>
      </c>
      <c r="AC880" t="str">
        <f>IF(EV_Data4[[#This Row],[price_usd]]&gt;=80000,"Luxury",IF(EV_Data4[[#This Row],[price_usd]]&gt;=40000,"Mid-Range","Budget"))</f>
        <v>Luxury</v>
      </c>
      <c r="AD880" t="str">
        <f>IF(EV_Data4[[#This Row],[range_miles]]&gt;=350,"Long-Range",IF(EV_Data4[[#This Row],[range_miles]]&gt;=250,"Medium-Range","Short-Range"))</f>
        <v>Medium-Range</v>
      </c>
      <c r="AE880" t="str">
        <f>IF(EV_Data4[[#This Row],[charging_speed_kw]]&gt;=250,"Ultra-Fast",IF(EV_Data4[[#This Row],[charging_speed_kw]]&gt;=150,"Fast-Charging","Standard-Charging"))</f>
        <v>Ultra-Fast</v>
      </c>
      <c r="AF880" t="str">
        <f>IF(EV_Data4[[#This Row],[acceleration_0_60_mph]]&lt;=3,"SportsPerformance",IF(EV_Data4[[#This Row],[acceleration_0_60_mph]]&lt;=5,"HighPerformance","Standard"))</f>
        <v>HighPerformance</v>
      </c>
      <c r="AG880" t="str">
        <f>IF(EV_Data4[[#This Row],[customer_rating]]&gt;=4.5,"Excellent",IF(EV_Data4[[#This Row],[customer_rating]]&gt;=3.5,"Good","Average"))</f>
        <v>Good</v>
      </c>
      <c r="AH88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81" spans="1:34" x14ac:dyDescent="0.3">
      <c r="A881" t="s">
        <v>63</v>
      </c>
      <c r="B881" t="s">
        <v>96</v>
      </c>
      <c r="C881">
        <v>2024</v>
      </c>
      <c r="D881" t="s">
        <v>26</v>
      </c>
      <c r="E881" s="3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48</v>
      </c>
      <c r="N881">
        <v>5</v>
      </c>
      <c r="O881" t="s">
        <v>28</v>
      </c>
      <c r="P881">
        <v>68.3</v>
      </c>
      <c r="Q881">
        <v>2422</v>
      </c>
      <c r="R881">
        <v>3</v>
      </c>
      <c r="S881">
        <v>0</v>
      </c>
      <c r="T881" t="s">
        <v>65</v>
      </c>
      <c r="U881" t="s">
        <v>30</v>
      </c>
      <c r="V881" s="3">
        <v>136507</v>
      </c>
      <c r="W881">
        <v>3.47</v>
      </c>
      <c r="X881">
        <v>3</v>
      </c>
      <c r="Y881" s="1">
        <f>EV_Data4[[#This Row],[range_miles]]/EV_Data4[[#This Row],[battery_capacity_kwh]]</f>
        <v>3.2906976744186047</v>
      </c>
      <c r="Z881" s="4">
        <f>EV_Data4[[#This Row],[price_usd]]/EV_Data4[[#This Row],[range_miles]]</f>
        <v>384.83756183745584</v>
      </c>
      <c r="AA881" s="2">
        <f>(EV_Data4[[#This Row],[customer_rating]]*EV_Data4[[#This Row],[safety_rating]]*1000)/EV_Data4[[#This Row],[price_usd]]</f>
        <v>9.5584360635660795E-2</v>
      </c>
      <c r="AB881">
        <f>EV_Data4[[#This Row],[horsepower]]+EV_Data4[[#This Row],[torque_nm]]/EV_Data4[[#This Row],[acceleration_0_60_mph]]</f>
        <v>1292.638036809816</v>
      </c>
      <c r="AC881" t="str">
        <f>IF(EV_Data4[[#This Row],[price_usd]]&gt;=80000,"Luxury",IF(EV_Data4[[#This Row],[price_usd]]&gt;=40000,"Mid-Range","Budget"))</f>
        <v>Luxury</v>
      </c>
      <c r="AD881" t="str">
        <f>IF(EV_Data4[[#This Row],[range_miles]]&gt;=350,"Long-Range",IF(EV_Data4[[#This Row],[range_miles]]&gt;=250,"Medium-Range","Short-Range"))</f>
        <v>Medium-Range</v>
      </c>
      <c r="AE881" t="str">
        <f>IF(EV_Data4[[#This Row],[charging_speed_kw]]&gt;=250,"Ultra-Fast",IF(EV_Data4[[#This Row],[charging_speed_kw]]&gt;=150,"Fast-Charging","Standard-Charging"))</f>
        <v>Fast-Charging</v>
      </c>
      <c r="AF881" t="str">
        <f>IF(EV_Data4[[#This Row],[acceleration_0_60_mph]]&lt;=3,"SportsPerformance",IF(EV_Data4[[#This Row],[acceleration_0_60_mph]]&lt;=5,"HighPerformance","Standard"))</f>
        <v>HighPerformance</v>
      </c>
      <c r="AG881" t="str">
        <f>IF(EV_Data4[[#This Row],[customer_rating]]&gt;=4.5,"Excellent",IF(EV_Data4[[#This Row],[customer_rating]]&gt;=3.5,"Good","Average"))</f>
        <v>Average</v>
      </c>
      <c r="AH88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82" spans="1:34" x14ac:dyDescent="0.3">
      <c r="A882" t="s">
        <v>63</v>
      </c>
      <c r="B882" t="s">
        <v>64</v>
      </c>
      <c r="C882">
        <v>2025</v>
      </c>
      <c r="D882" t="s">
        <v>56</v>
      </c>
      <c r="E882" s="3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34</v>
      </c>
      <c r="N882">
        <v>5</v>
      </c>
      <c r="O882" t="s">
        <v>40</v>
      </c>
      <c r="P882">
        <v>69.400000000000006</v>
      </c>
      <c r="Q882">
        <v>1935</v>
      </c>
      <c r="R882">
        <v>5</v>
      </c>
      <c r="S882">
        <v>0</v>
      </c>
      <c r="T882" t="s">
        <v>65</v>
      </c>
      <c r="U882" t="s">
        <v>66</v>
      </c>
      <c r="V882" s="3">
        <v>162790</v>
      </c>
      <c r="W882">
        <v>3.33</v>
      </c>
      <c r="X882">
        <v>4</v>
      </c>
      <c r="Y882" s="1">
        <f>EV_Data4[[#This Row],[range_miles]]/EV_Data4[[#This Row],[battery_capacity_kwh]]</f>
        <v>3.177159590043924</v>
      </c>
      <c r="Z882" s="4">
        <f>EV_Data4[[#This Row],[price_usd]]/EV_Data4[[#This Row],[range_miles]]</f>
        <v>145.92377880184333</v>
      </c>
      <c r="AA882" s="2">
        <f>(EV_Data4[[#This Row],[customer_rating]]*EV_Data4[[#This Row],[safety_rating]]*1000)/EV_Data4[[#This Row],[price_usd]]</f>
        <v>0.52580950979395213</v>
      </c>
      <c r="AB882">
        <f>EV_Data4[[#This Row],[horsepower]]+EV_Data4[[#This Row],[torque_nm]]/EV_Data4[[#This Row],[acceleration_0_60_mph]]</f>
        <v>339.45173041894355</v>
      </c>
      <c r="AC882" t="str">
        <f>IF(EV_Data4[[#This Row],[price_usd]]&gt;=80000,"Luxury",IF(EV_Data4[[#This Row],[price_usd]]&gt;=40000,"Mid-Range","Budget"))</f>
        <v>Budget</v>
      </c>
      <c r="AD882" t="str">
        <f>IF(EV_Data4[[#This Row],[range_miles]]&gt;=350,"Long-Range",IF(EV_Data4[[#This Row],[range_miles]]&gt;=250,"Medium-Range","Short-Range"))</f>
        <v>Short-Range</v>
      </c>
      <c r="AE882" t="str">
        <f>IF(EV_Data4[[#This Row],[charging_speed_kw]]&gt;=250,"Ultra-Fast",IF(EV_Data4[[#This Row],[charging_speed_kw]]&gt;=150,"Fast-Charging","Standard-Charging"))</f>
        <v>Standard-Charging</v>
      </c>
      <c r="AF882" t="str">
        <f>IF(EV_Data4[[#This Row],[acceleration_0_60_mph]]&lt;=3,"SportsPerformance",IF(EV_Data4[[#This Row],[acceleration_0_60_mph]]&lt;=5,"HighPerformance","Standard"))</f>
        <v>Standard</v>
      </c>
      <c r="AG882" t="str">
        <f>IF(EV_Data4[[#This Row],[customer_rating]]&gt;=4.5,"Excellent",IF(EV_Data4[[#This Row],[customer_rating]]&gt;=3.5,"Good","Average"))</f>
        <v>Average</v>
      </c>
      <c r="AH88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83" spans="1:34" x14ac:dyDescent="0.3">
      <c r="A883" t="s">
        <v>83</v>
      </c>
      <c r="B883" t="s">
        <v>84</v>
      </c>
      <c r="C883">
        <v>2026</v>
      </c>
      <c r="D883" t="s">
        <v>33</v>
      </c>
      <c r="E883" s="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27</v>
      </c>
      <c r="N883">
        <v>5</v>
      </c>
      <c r="O883" t="s">
        <v>50</v>
      </c>
      <c r="P883">
        <v>22.1</v>
      </c>
      <c r="Q883">
        <v>1500</v>
      </c>
      <c r="R883">
        <v>3</v>
      </c>
      <c r="S883">
        <v>2</v>
      </c>
      <c r="T883" t="s">
        <v>29</v>
      </c>
      <c r="U883" t="s">
        <v>30</v>
      </c>
      <c r="V883" s="3">
        <v>62950</v>
      </c>
      <c r="W883">
        <v>3.45</v>
      </c>
      <c r="X883">
        <v>6</v>
      </c>
      <c r="Y883" s="1">
        <f>EV_Data4[[#This Row],[range_miles]]/EV_Data4[[#This Row],[battery_capacity_kwh]]</f>
        <v>3.5275590551181102</v>
      </c>
      <c r="Z883" s="4">
        <f>EV_Data4[[#This Row],[price_usd]]/EV_Data4[[#This Row],[range_miles]]</f>
        <v>561.36839285714291</v>
      </c>
      <c r="AA883" s="2">
        <f>(EV_Data4[[#This Row],[customer_rating]]*EV_Data4[[#This Row],[safety_rating]]*1000)/EV_Data4[[#This Row],[price_usd]]</f>
        <v>8.2308440822060139E-2</v>
      </c>
      <c r="AB883">
        <f>EV_Data4[[#This Row],[horsepower]]+EV_Data4[[#This Row],[torque_nm]]/EV_Data4[[#This Row],[acceleration_0_60_mph]]</f>
        <v>1179.4059405940593</v>
      </c>
      <c r="AC883" t="str">
        <f>IF(EV_Data4[[#This Row],[price_usd]]&gt;=80000,"Luxury",IF(EV_Data4[[#This Row],[price_usd]]&gt;=40000,"Mid-Range","Budget"))</f>
        <v>Luxury</v>
      </c>
      <c r="AD883" t="str">
        <f>IF(EV_Data4[[#This Row],[range_miles]]&gt;=350,"Long-Range",IF(EV_Data4[[#This Row],[range_miles]]&gt;=250,"Medium-Range","Short-Range"))</f>
        <v>Short-Range</v>
      </c>
      <c r="AE883" t="str">
        <f>IF(EV_Data4[[#This Row],[charging_speed_kw]]&gt;=250,"Ultra-Fast",IF(EV_Data4[[#This Row],[charging_speed_kw]]&gt;=150,"Fast-Charging","Standard-Charging"))</f>
        <v>Standard-Charging</v>
      </c>
      <c r="AF883" t="str">
        <f>IF(EV_Data4[[#This Row],[acceleration_0_60_mph]]&lt;=3,"SportsPerformance",IF(EV_Data4[[#This Row],[acceleration_0_60_mph]]&lt;=5,"HighPerformance","Standard"))</f>
        <v>Standard</v>
      </c>
      <c r="AG883" t="str">
        <f>IF(EV_Data4[[#This Row],[customer_rating]]&gt;=4.5,"Excellent",IF(EV_Data4[[#This Row],[customer_rating]]&gt;=3.5,"Good","Average"))</f>
        <v>Average</v>
      </c>
      <c r="AH88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84" spans="1:34" x14ac:dyDescent="0.3">
      <c r="A884" t="s">
        <v>46</v>
      </c>
      <c r="B884" t="s">
        <v>57</v>
      </c>
      <c r="C884">
        <v>2024</v>
      </c>
      <c r="D884" t="s">
        <v>44</v>
      </c>
      <c r="E884" s="3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48</v>
      </c>
      <c r="N884">
        <v>5</v>
      </c>
      <c r="O884" t="s">
        <v>28</v>
      </c>
      <c r="P884">
        <v>62.1</v>
      </c>
      <c r="Q884">
        <v>2460</v>
      </c>
      <c r="R884">
        <v>5</v>
      </c>
      <c r="S884">
        <v>2</v>
      </c>
      <c r="T884" t="s">
        <v>41</v>
      </c>
      <c r="U884" t="s">
        <v>33</v>
      </c>
      <c r="V884" s="3">
        <v>105880</v>
      </c>
      <c r="W884">
        <v>4.1100000000000003</v>
      </c>
      <c r="X884">
        <v>4</v>
      </c>
      <c r="Y884" s="1">
        <f>EV_Data4[[#This Row],[range_miles]]/EV_Data4[[#This Row],[battery_capacity_kwh]]</f>
        <v>3.5992217898832686</v>
      </c>
      <c r="Z884" s="4">
        <f>EV_Data4[[#This Row],[price_usd]]/EV_Data4[[#This Row],[range_miles]]</f>
        <v>203.24681081081084</v>
      </c>
      <c r="AA884" s="2">
        <f>(EV_Data4[[#This Row],[customer_rating]]*EV_Data4[[#This Row],[safety_rating]]*1000)/EV_Data4[[#This Row],[price_usd]]</f>
        <v>0.2732664798968954</v>
      </c>
      <c r="AB884">
        <f>EV_Data4[[#This Row],[horsepower]]+EV_Data4[[#This Row],[torque_nm]]/EV_Data4[[#This Row],[acceleration_0_60_mph]]</f>
        <v>718.30272952853602</v>
      </c>
      <c r="AC884" t="str">
        <f>IF(EV_Data4[[#This Row],[price_usd]]&gt;=80000,"Luxury",IF(EV_Data4[[#This Row],[price_usd]]&gt;=40000,"Mid-Range","Budget"))</f>
        <v>Mid-Range</v>
      </c>
      <c r="AD884" t="str">
        <f>IF(EV_Data4[[#This Row],[range_miles]]&gt;=350,"Long-Range",IF(EV_Data4[[#This Row],[range_miles]]&gt;=250,"Medium-Range","Short-Range"))</f>
        <v>Long-Range</v>
      </c>
      <c r="AE884" t="str">
        <f>IF(EV_Data4[[#This Row],[charging_speed_kw]]&gt;=250,"Ultra-Fast",IF(EV_Data4[[#This Row],[charging_speed_kw]]&gt;=150,"Fast-Charging","Standard-Charging"))</f>
        <v>Ultra-Fast</v>
      </c>
      <c r="AF884" t="str">
        <f>IF(EV_Data4[[#This Row],[acceleration_0_60_mph]]&lt;=3,"SportsPerformance",IF(EV_Data4[[#This Row],[acceleration_0_60_mph]]&lt;=5,"HighPerformance","Standard"))</f>
        <v>HighPerformance</v>
      </c>
      <c r="AG884" t="str">
        <f>IF(EV_Data4[[#This Row],[customer_rating]]&gt;=4.5,"Excellent",IF(EV_Data4[[#This Row],[customer_rating]]&gt;=3.5,"Good","Average"))</f>
        <v>Good</v>
      </c>
      <c r="AH88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85" spans="1:34" x14ac:dyDescent="0.3">
      <c r="A885" t="s">
        <v>46</v>
      </c>
      <c r="B885" t="s">
        <v>47</v>
      </c>
      <c r="C885">
        <v>2025</v>
      </c>
      <c r="D885" t="s">
        <v>44</v>
      </c>
      <c r="E885" s="3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34</v>
      </c>
      <c r="N885">
        <v>5</v>
      </c>
      <c r="O885" t="s">
        <v>58</v>
      </c>
      <c r="P885">
        <v>39.9</v>
      </c>
      <c r="Q885">
        <v>1624</v>
      </c>
      <c r="R885">
        <v>4</v>
      </c>
      <c r="S885">
        <v>2</v>
      </c>
      <c r="T885" t="s">
        <v>41</v>
      </c>
      <c r="U885" t="s">
        <v>33</v>
      </c>
      <c r="V885" s="3">
        <v>148700</v>
      </c>
      <c r="W885">
        <v>3.99</v>
      </c>
      <c r="X885">
        <v>5</v>
      </c>
      <c r="Y885" s="1">
        <f>EV_Data4[[#This Row],[range_miles]]/EV_Data4[[#This Row],[battery_capacity_kwh]]</f>
        <v>3.4965034965034967</v>
      </c>
      <c r="Z885" s="4">
        <f>EV_Data4[[#This Row],[price_usd]]/EV_Data4[[#This Row],[range_miles]]</f>
        <v>261.10871428571431</v>
      </c>
      <c r="AA885" s="2">
        <f>(EV_Data4[[#This Row],[customer_rating]]*EV_Data4[[#This Row],[safety_rating]]*1000)/EV_Data4[[#This Row],[price_usd]]</f>
        <v>0.17463990094985066</v>
      </c>
      <c r="AB885">
        <f>EV_Data4[[#This Row],[horsepower]]+EV_Data4[[#This Row],[torque_nm]]/EV_Data4[[#This Row],[acceleration_0_60_mph]]</f>
        <v>812.11026615969581</v>
      </c>
      <c r="AC885" t="str">
        <f>IF(EV_Data4[[#This Row],[price_usd]]&gt;=80000,"Luxury",IF(EV_Data4[[#This Row],[price_usd]]&gt;=40000,"Mid-Range","Budget"))</f>
        <v>Luxury</v>
      </c>
      <c r="AD885" t="str">
        <f>IF(EV_Data4[[#This Row],[range_miles]]&gt;=350,"Long-Range",IF(EV_Data4[[#This Row],[range_miles]]&gt;=250,"Medium-Range","Short-Range"))</f>
        <v>Long-Range</v>
      </c>
      <c r="AE885" t="str">
        <f>IF(EV_Data4[[#This Row],[charging_speed_kw]]&gt;=250,"Ultra-Fast",IF(EV_Data4[[#This Row],[charging_speed_kw]]&gt;=150,"Fast-Charging","Standard-Charging"))</f>
        <v>Fast-Charging</v>
      </c>
      <c r="AF885" t="str">
        <f>IF(EV_Data4[[#This Row],[acceleration_0_60_mph]]&lt;=3,"SportsPerformance",IF(EV_Data4[[#This Row],[acceleration_0_60_mph]]&lt;=5,"HighPerformance","Standard"))</f>
        <v>Standard</v>
      </c>
      <c r="AG885" t="str">
        <f>IF(EV_Data4[[#This Row],[customer_rating]]&gt;=4.5,"Excellent",IF(EV_Data4[[#This Row],[customer_rating]]&gt;=3.5,"Good","Average"))</f>
        <v>Good</v>
      </c>
      <c r="AH88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86" spans="1:34" x14ac:dyDescent="0.3">
      <c r="A886" t="s">
        <v>76</v>
      </c>
      <c r="B886" t="s">
        <v>91</v>
      </c>
      <c r="C886">
        <v>2024</v>
      </c>
      <c r="D886" t="s">
        <v>61</v>
      </c>
      <c r="E886" s="3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34</v>
      </c>
      <c r="N886">
        <v>2</v>
      </c>
      <c r="O886" t="s">
        <v>28</v>
      </c>
      <c r="P886">
        <v>71.3</v>
      </c>
      <c r="Q886">
        <v>2747</v>
      </c>
      <c r="R886">
        <v>4</v>
      </c>
      <c r="S886">
        <v>2</v>
      </c>
      <c r="T886" t="s">
        <v>41</v>
      </c>
      <c r="U886" t="s">
        <v>37</v>
      </c>
      <c r="V886" s="3">
        <v>58206</v>
      </c>
      <c r="W886">
        <v>3.54</v>
      </c>
      <c r="X886">
        <v>4</v>
      </c>
      <c r="Y886" s="1">
        <f>EV_Data4[[#This Row],[range_miles]]/EV_Data4[[#This Row],[battery_capacity_kwh]]</f>
        <v>3.3212121212121213</v>
      </c>
      <c r="Z886" s="4">
        <f>EV_Data4[[#This Row],[price_usd]]/EV_Data4[[#This Row],[range_miles]]</f>
        <v>222.07850364963505</v>
      </c>
      <c r="AA886" s="2">
        <f>(EV_Data4[[#This Row],[customer_rating]]*EV_Data4[[#This Row],[safety_rating]]*1000)/EV_Data4[[#This Row],[price_usd]]</f>
        <v>0.23270524281953955</v>
      </c>
      <c r="AB886">
        <f>EV_Data4[[#This Row],[horsepower]]+EV_Data4[[#This Row],[torque_nm]]/EV_Data4[[#This Row],[acceleration_0_60_mph]]</f>
        <v>698.53701380175653</v>
      </c>
      <c r="AC886" t="str">
        <f>IF(EV_Data4[[#This Row],[price_usd]]&gt;=80000,"Luxury",IF(EV_Data4[[#This Row],[price_usd]]&gt;=40000,"Mid-Range","Budget"))</f>
        <v>Mid-Range</v>
      </c>
      <c r="AD886" t="str">
        <f>IF(EV_Data4[[#This Row],[range_miles]]&gt;=350,"Long-Range",IF(EV_Data4[[#This Row],[range_miles]]&gt;=250,"Medium-Range","Short-Range"))</f>
        <v>Medium-Range</v>
      </c>
      <c r="AE886" t="str">
        <f>IF(EV_Data4[[#This Row],[charging_speed_kw]]&gt;=250,"Ultra-Fast",IF(EV_Data4[[#This Row],[charging_speed_kw]]&gt;=150,"Fast-Charging","Standard-Charging"))</f>
        <v>Standard-Charging</v>
      </c>
      <c r="AF886" t="str">
        <f>IF(EV_Data4[[#This Row],[acceleration_0_60_mph]]&lt;=3,"SportsPerformance",IF(EV_Data4[[#This Row],[acceleration_0_60_mph]]&lt;=5,"HighPerformance","Standard"))</f>
        <v>Standard</v>
      </c>
      <c r="AG886" t="str">
        <f>IF(EV_Data4[[#This Row],[customer_rating]]&gt;=4.5,"Excellent",IF(EV_Data4[[#This Row],[customer_rating]]&gt;=3.5,"Good","Average"))</f>
        <v>Good</v>
      </c>
      <c r="AH88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87" spans="1:34" x14ac:dyDescent="0.3">
      <c r="A887" t="s">
        <v>46</v>
      </c>
      <c r="B887" t="s">
        <v>72</v>
      </c>
      <c r="C887">
        <v>2024</v>
      </c>
      <c r="D887" t="s">
        <v>44</v>
      </c>
      <c r="E887" s="3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34</v>
      </c>
      <c r="N887">
        <v>5</v>
      </c>
      <c r="O887" t="s">
        <v>28</v>
      </c>
      <c r="P887">
        <v>53.6</v>
      </c>
      <c r="Q887">
        <v>2319</v>
      </c>
      <c r="R887">
        <v>4</v>
      </c>
      <c r="S887">
        <v>2</v>
      </c>
      <c r="T887" t="s">
        <v>41</v>
      </c>
      <c r="U887" t="s">
        <v>30</v>
      </c>
      <c r="V887" s="3">
        <v>162108</v>
      </c>
      <c r="W887">
        <v>3.56</v>
      </c>
      <c r="X887">
        <v>5</v>
      </c>
      <c r="Y887" s="1">
        <f>EV_Data4[[#This Row],[range_miles]]/EV_Data4[[#This Row],[battery_capacity_kwh]]</f>
        <v>3.6288416075650121</v>
      </c>
      <c r="Z887" s="4">
        <f>EV_Data4[[#This Row],[price_usd]]/EV_Data4[[#This Row],[range_miles]]</f>
        <v>429.08553745928344</v>
      </c>
      <c r="AA887" s="2">
        <f>(EV_Data4[[#This Row],[customer_rating]]*EV_Data4[[#This Row],[safety_rating]]*1000)/EV_Data4[[#This Row],[price_usd]]</f>
        <v>0.10810050857341792</v>
      </c>
      <c r="AB887">
        <f>EV_Data4[[#This Row],[horsepower]]+EV_Data4[[#This Row],[torque_nm]]/EV_Data4[[#This Row],[acceleration_0_60_mph]]</f>
        <v>1142.0654205607477</v>
      </c>
      <c r="AC887" t="str">
        <f>IF(EV_Data4[[#This Row],[price_usd]]&gt;=80000,"Luxury",IF(EV_Data4[[#This Row],[price_usd]]&gt;=40000,"Mid-Range","Budget"))</f>
        <v>Luxury</v>
      </c>
      <c r="AD887" t="str">
        <f>IF(EV_Data4[[#This Row],[range_miles]]&gt;=350,"Long-Range",IF(EV_Data4[[#This Row],[range_miles]]&gt;=250,"Medium-Range","Short-Range"))</f>
        <v>Medium-Range</v>
      </c>
      <c r="AE887" t="str">
        <f>IF(EV_Data4[[#This Row],[charging_speed_kw]]&gt;=250,"Ultra-Fast",IF(EV_Data4[[#This Row],[charging_speed_kw]]&gt;=150,"Fast-Charging","Standard-Charging"))</f>
        <v>Fast-Charging</v>
      </c>
      <c r="AF887" t="str">
        <f>IF(EV_Data4[[#This Row],[acceleration_0_60_mph]]&lt;=3,"SportsPerformance",IF(EV_Data4[[#This Row],[acceleration_0_60_mph]]&lt;=5,"HighPerformance","Standard"))</f>
        <v>HighPerformance</v>
      </c>
      <c r="AG887" t="str">
        <f>IF(EV_Data4[[#This Row],[customer_rating]]&gt;=4.5,"Excellent",IF(EV_Data4[[#This Row],[customer_rating]]&gt;=3.5,"Good","Average"))</f>
        <v>Good</v>
      </c>
      <c r="AH88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88" spans="1:34" x14ac:dyDescent="0.3">
      <c r="A888" t="s">
        <v>83</v>
      </c>
      <c r="B888" t="s">
        <v>104</v>
      </c>
      <c r="C888">
        <v>2021</v>
      </c>
      <c r="D888" t="s">
        <v>61</v>
      </c>
      <c r="E888" s="3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48</v>
      </c>
      <c r="N888">
        <v>7</v>
      </c>
      <c r="O888" t="s">
        <v>50</v>
      </c>
      <c r="P888">
        <v>15.7</v>
      </c>
      <c r="Q888">
        <v>1723</v>
      </c>
      <c r="R888">
        <v>4</v>
      </c>
      <c r="S888">
        <v>1</v>
      </c>
      <c r="T888" t="s">
        <v>29</v>
      </c>
      <c r="U888" t="s">
        <v>33</v>
      </c>
      <c r="V888" s="3">
        <v>59553</v>
      </c>
      <c r="W888">
        <v>3.74</v>
      </c>
      <c r="X888">
        <v>6</v>
      </c>
      <c r="Y888" s="1">
        <f>EV_Data4[[#This Row],[range_miles]]/EV_Data4[[#This Row],[battery_capacity_kwh]]</f>
        <v>3.5933147632311977</v>
      </c>
      <c r="Z888" s="4">
        <f>EV_Data4[[#This Row],[price_usd]]/EV_Data4[[#This Row],[range_miles]]</f>
        <v>319.10569767441859</v>
      </c>
      <c r="AA888" s="2">
        <f>(EV_Data4[[#This Row],[customer_rating]]*EV_Data4[[#This Row],[safety_rating]]*1000)/EV_Data4[[#This Row],[price_usd]]</f>
        <v>0.18170937262045442</v>
      </c>
      <c r="AB888">
        <f>EV_Data4[[#This Row],[horsepower]]+EV_Data4[[#This Row],[torque_nm]]/EV_Data4[[#This Row],[acceleration_0_60_mph]]</f>
        <v>644.74468085106378</v>
      </c>
      <c r="AC888" t="str">
        <f>IF(EV_Data4[[#This Row],[price_usd]]&gt;=80000,"Luxury",IF(EV_Data4[[#This Row],[price_usd]]&gt;=40000,"Mid-Range","Budget"))</f>
        <v>Luxury</v>
      </c>
      <c r="AD888" t="str">
        <f>IF(EV_Data4[[#This Row],[range_miles]]&gt;=350,"Long-Range",IF(EV_Data4[[#This Row],[range_miles]]&gt;=250,"Medium-Range","Short-Range"))</f>
        <v>Medium-Range</v>
      </c>
      <c r="AE888" t="str">
        <f>IF(EV_Data4[[#This Row],[charging_speed_kw]]&gt;=250,"Ultra-Fast",IF(EV_Data4[[#This Row],[charging_speed_kw]]&gt;=150,"Fast-Charging","Standard-Charging"))</f>
        <v>Standard-Charging</v>
      </c>
      <c r="AF888" t="str">
        <f>IF(EV_Data4[[#This Row],[acceleration_0_60_mph]]&lt;=3,"SportsPerformance",IF(EV_Data4[[#This Row],[acceleration_0_60_mph]]&lt;=5,"HighPerformance","Standard"))</f>
        <v>Standard</v>
      </c>
      <c r="AG888" t="str">
        <f>IF(EV_Data4[[#This Row],[customer_rating]]&gt;=4.5,"Excellent",IF(EV_Data4[[#This Row],[customer_rating]]&gt;=3.5,"Good","Average"))</f>
        <v>Good</v>
      </c>
      <c r="AH88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89" spans="1:34" x14ac:dyDescent="0.3">
      <c r="A889" t="s">
        <v>63</v>
      </c>
      <c r="B889" t="s">
        <v>67</v>
      </c>
      <c r="C889">
        <v>2021</v>
      </c>
      <c r="D889" t="s">
        <v>26</v>
      </c>
      <c r="E889" s="3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48</v>
      </c>
      <c r="N889">
        <v>5</v>
      </c>
      <c r="O889" t="s">
        <v>50</v>
      </c>
      <c r="P889">
        <v>19.5</v>
      </c>
      <c r="Q889">
        <v>1550</v>
      </c>
      <c r="R889">
        <v>5</v>
      </c>
      <c r="S889">
        <v>1</v>
      </c>
      <c r="T889" t="s">
        <v>65</v>
      </c>
      <c r="U889" t="s">
        <v>33</v>
      </c>
      <c r="V889" s="3">
        <v>177248</v>
      </c>
      <c r="W889">
        <v>3.63</v>
      </c>
      <c r="X889">
        <v>3</v>
      </c>
      <c r="Y889" s="1">
        <f>EV_Data4[[#This Row],[range_miles]]/EV_Data4[[#This Row],[battery_capacity_kwh]]</f>
        <v>3.3458177278401999</v>
      </c>
      <c r="Z889" s="4">
        <f>EV_Data4[[#This Row],[price_usd]]/EV_Data4[[#This Row],[range_miles]]</f>
        <v>342.20940298507463</v>
      </c>
      <c r="AA889" s="2">
        <f>(EV_Data4[[#This Row],[customer_rating]]*EV_Data4[[#This Row],[safety_rating]]*1000)/EV_Data4[[#This Row],[price_usd]]</f>
        <v>0.19790186945847507</v>
      </c>
      <c r="AB889">
        <f>EV_Data4[[#This Row],[horsepower]]+EV_Data4[[#This Row],[torque_nm]]/EV_Data4[[#This Row],[acceleration_0_60_mph]]</f>
        <v>1274.3902439024391</v>
      </c>
      <c r="AC889" t="str">
        <f>IF(EV_Data4[[#This Row],[price_usd]]&gt;=80000,"Luxury",IF(EV_Data4[[#This Row],[price_usd]]&gt;=40000,"Mid-Range","Budget"))</f>
        <v>Luxury</v>
      </c>
      <c r="AD889" t="str">
        <f>IF(EV_Data4[[#This Row],[range_miles]]&gt;=350,"Long-Range",IF(EV_Data4[[#This Row],[range_miles]]&gt;=250,"Medium-Range","Short-Range"))</f>
        <v>Medium-Range</v>
      </c>
      <c r="AE889" t="str">
        <f>IF(EV_Data4[[#This Row],[charging_speed_kw]]&gt;=250,"Ultra-Fast",IF(EV_Data4[[#This Row],[charging_speed_kw]]&gt;=150,"Fast-Charging","Standard-Charging"))</f>
        <v>Fast-Charging</v>
      </c>
      <c r="AF889" t="str">
        <f>IF(EV_Data4[[#This Row],[acceleration_0_60_mph]]&lt;=3,"SportsPerformance",IF(EV_Data4[[#This Row],[acceleration_0_60_mph]]&lt;=5,"HighPerformance","Standard"))</f>
        <v>HighPerformance</v>
      </c>
      <c r="AG889" t="str">
        <f>IF(EV_Data4[[#This Row],[customer_rating]]&gt;=4.5,"Excellent",IF(EV_Data4[[#This Row],[customer_rating]]&gt;=3.5,"Good","Average"))</f>
        <v>Good</v>
      </c>
      <c r="AH88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90" spans="1:34" x14ac:dyDescent="0.3">
      <c r="A890" t="s">
        <v>46</v>
      </c>
      <c r="B890" t="s">
        <v>47</v>
      </c>
      <c r="C890">
        <v>2024</v>
      </c>
      <c r="D890" t="s">
        <v>61</v>
      </c>
      <c r="E890" s="3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34</v>
      </c>
      <c r="N890">
        <v>5</v>
      </c>
      <c r="O890" t="s">
        <v>50</v>
      </c>
      <c r="P890">
        <v>27.5</v>
      </c>
      <c r="Q890">
        <v>1673</v>
      </c>
      <c r="R890">
        <v>5</v>
      </c>
      <c r="S890">
        <v>2</v>
      </c>
      <c r="T890" t="s">
        <v>41</v>
      </c>
      <c r="U890" t="s">
        <v>30</v>
      </c>
      <c r="V890" s="3">
        <v>103912</v>
      </c>
      <c r="W890">
        <v>3.73</v>
      </c>
      <c r="X890">
        <v>5</v>
      </c>
      <c r="Y890" s="1">
        <f>EV_Data4[[#This Row],[range_miles]]/EV_Data4[[#This Row],[battery_capacity_kwh]]</f>
        <v>3.9550264550264553</v>
      </c>
      <c r="Z890" s="4">
        <f>EV_Data4[[#This Row],[price_usd]]/EV_Data4[[#This Row],[range_miles]]</f>
        <v>356.55481605351173</v>
      </c>
      <c r="AA890" s="2">
        <f>(EV_Data4[[#This Row],[customer_rating]]*EV_Data4[[#This Row],[safety_rating]]*1000)/EV_Data4[[#This Row],[price_usd]]</f>
        <v>0.17493686561349983</v>
      </c>
      <c r="AB890">
        <f>EV_Data4[[#This Row],[horsepower]]+EV_Data4[[#This Row],[torque_nm]]/EV_Data4[[#This Row],[acceleration_0_60_mph]]</f>
        <v>889.68356374807991</v>
      </c>
      <c r="AC890" t="str">
        <f>IF(EV_Data4[[#This Row],[price_usd]]&gt;=80000,"Luxury",IF(EV_Data4[[#This Row],[price_usd]]&gt;=40000,"Mid-Range","Budget"))</f>
        <v>Luxury</v>
      </c>
      <c r="AD890" t="str">
        <f>IF(EV_Data4[[#This Row],[range_miles]]&gt;=350,"Long-Range",IF(EV_Data4[[#This Row],[range_miles]]&gt;=250,"Medium-Range","Short-Range"))</f>
        <v>Medium-Range</v>
      </c>
      <c r="AE890" t="str">
        <f>IF(EV_Data4[[#This Row],[charging_speed_kw]]&gt;=250,"Ultra-Fast",IF(EV_Data4[[#This Row],[charging_speed_kw]]&gt;=150,"Fast-Charging","Standard-Charging"))</f>
        <v>Ultra-Fast</v>
      </c>
      <c r="AF890" t="str">
        <f>IF(EV_Data4[[#This Row],[acceleration_0_60_mph]]&lt;=3,"SportsPerformance",IF(EV_Data4[[#This Row],[acceleration_0_60_mph]]&lt;=5,"HighPerformance","Standard"))</f>
        <v>Standard</v>
      </c>
      <c r="AG890" t="str">
        <f>IF(EV_Data4[[#This Row],[customer_rating]]&gt;=4.5,"Excellent",IF(EV_Data4[[#This Row],[customer_rating]]&gt;=3.5,"Good","Average"))</f>
        <v>Good</v>
      </c>
      <c r="AH89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91" spans="1:34" x14ac:dyDescent="0.3">
      <c r="A891" t="s">
        <v>63</v>
      </c>
      <c r="B891" t="s">
        <v>107</v>
      </c>
      <c r="C891">
        <v>2020</v>
      </c>
      <c r="D891" t="s">
        <v>44</v>
      </c>
      <c r="E891" s="3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34</v>
      </c>
      <c r="N891">
        <v>5</v>
      </c>
      <c r="O891" t="s">
        <v>58</v>
      </c>
      <c r="P891">
        <v>22.8</v>
      </c>
      <c r="Q891">
        <v>1500</v>
      </c>
      <c r="R891">
        <v>4</v>
      </c>
      <c r="S891">
        <v>1</v>
      </c>
      <c r="T891" t="s">
        <v>65</v>
      </c>
      <c r="U891" t="s">
        <v>37</v>
      </c>
      <c r="V891" s="3">
        <v>178041</v>
      </c>
      <c r="W891">
        <v>3.55</v>
      </c>
      <c r="X891">
        <v>4</v>
      </c>
      <c r="Y891" s="1">
        <f>EV_Data4[[#This Row],[range_miles]]/EV_Data4[[#This Row],[battery_capacity_kwh]]</f>
        <v>3.6363636363636362</v>
      </c>
      <c r="Z891" s="4">
        <f>EV_Data4[[#This Row],[price_usd]]/EV_Data4[[#This Row],[range_miles]]</f>
        <v>119.32483766233767</v>
      </c>
      <c r="AA891" s="2">
        <f>(EV_Data4[[#This Row],[customer_rating]]*EV_Data4[[#This Row],[safety_rating]]*1000)/EV_Data4[[#This Row],[price_usd]]</f>
        <v>0.38637300504325606</v>
      </c>
      <c r="AB891">
        <f>EV_Data4[[#This Row],[horsepower]]+EV_Data4[[#This Row],[torque_nm]]/EV_Data4[[#This Row],[acceleration_0_60_mph]]</f>
        <v>456.90631808278869</v>
      </c>
      <c r="AC891" t="str">
        <f>IF(EV_Data4[[#This Row],[price_usd]]&gt;=80000,"Luxury",IF(EV_Data4[[#This Row],[price_usd]]&gt;=40000,"Mid-Range","Budget"))</f>
        <v>Budget</v>
      </c>
      <c r="AD891" t="str">
        <f>IF(EV_Data4[[#This Row],[range_miles]]&gt;=350,"Long-Range",IF(EV_Data4[[#This Row],[range_miles]]&gt;=250,"Medium-Range","Short-Range"))</f>
        <v>Medium-Range</v>
      </c>
      <c r="AE891" t="str">
        <f>IF(EV_Data4[[#This Row],[charging_speed_kw]]&gt;=250,"Ultra-Fast",IF(EV_Data4[[#This Row],[charging_speed_kw]]&gt;=150,"Fast-Charging","Standard-Charging"))</f>
        <v>Standard-Charging</v>
      </c>
      <c r="AF891" t="str">
        <f>IF(EV_Data4[[#This Row],[acceleration_0_60_mph]]&lt;=3,"SportsPerformance",IF(EV_Data4[[#This Row],[acceleration_0_60_mph]]&lt;=5,"HighPerformance","Standard"))</f>
        <v>HighPerformance</v>
      </c>
      <c r="AG891" t="str">
        <f>IF(EV_Data4[[#This Row],[customer_rating]]&gt;=4.5,"Excellent",IF(EV_Data4[[#This Row],[customer_rating]]&gt;=3.5,"Good","Average"))</f>
        <v>Good</v>
      </c>
      <c r="AH89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92" spans="1:34" x14ac:dyDescent="0.3">
      <c r="A892" t="s">
        <v>38</v>
      </c>
      <c r="B892" t="s">
        <v>102</v>
      </c>
      <c r="C892">
        <v>2024</v>
      </c>
      <c r="D892" t="s">
        <v>44</v>
      </c>
      <c r="E892" s="3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27</v>
      </c>
      <c r="N892">
        <v>7</v>
      </c>
      <c r="O892" t="s">
        <v>35</v>
      </c>
      <c r="P892">
        <v>63.7</v>
      </c>
      <c r="Q892">
        <v>2188</v>
      </c>
      <c r="R892">
        <v>5</v>
      </c>
      <c r="S892">
        <v>1</v>
      </c>
      <c r="T892" t="s">
        <v>41</v>
      </c>
      <c r="U892" t="s">
        <v>37</v>
      </c>
      <c r="V892" s="3">
        <v>18580</v>
      </c>
      <c r="W892">
        <v>3.71</v>
      </c>
      <c r="X892">
        <v>4</v>
      </c>
      <c r="Y892" s="1">
        <f>EV_Data4[[#This Row],[range_miles]]/EV_Data4[[#This Row],[battery_capacity_kwh]]</f>
        <v>3.5745140388768899</v>
      </c>
      <c r="Z892" s="4">
        <f>EV_Data4[[#This Row],[price_usd]]/EV_Data4[[#This Row],[range_miles]]</f>
        <v>167.67996978851963</v>
      </c>
      <c r="AA892" s="2">
        <f>(EV_Data4[[#This Row],[customer_rating]]*EV_Data4[[#This Row],[safety_rating]]*1000)/EV_Data4[[#This Row],[price_usd]]</f>
        <v>0.33422176866556508</v>
      </c>
      <c r="AB892">
        <f>EV_Data4[[#This Row],[horsepower]]+EV_Data4[[#This Row],[torque_nm]]/EV_Data4[[#This Row],[acceleration_0_60_mph]]</f>
        <v>817.47619047619048</v>
      </c>
      <c r="AC892" t="str">
        <f>IF(EV_Data4[[#This Row],[price_usd]]&gt;=80000,"Luxury",IF(EV_Data4[[#This Row],[price_usd]]&gt;=40000,"Mid-Range","Budget"))</f>
        <v>Mid-Range</v>
      </c>
      <c r="AD892" t="str">
        <f>IF(EV_Data4[[#This Row],[range_miles]]&gt;=350,"Long-Range",IF(EV_Data4[[#This Row],[range_miles]]&gt;=250,"Medium-Range","Short-Range"))</f>
        <v>Medium-Range</v>
      </c>
      <c r="AE892" t="str">
        <f>IF(EV_Data4[[#This Row],[charging_speed_kw]]&gt;=250,"Ultra-Fast",IF(EV_Data4[[#This Row],[charging_speed_kw]]&gt;=150,"Fast-Charging","Standard-Charging"))</f>
        <v>Standard-Charging</v>
      </c>
      <c r="AF892" t="str">
        <f>IF(EV_Data4[[#This Row],[acceleration_0_60_mph]]&lt;=3,"SportsPerformance",IF(EV_Data4[[#This Row],[acceleration_0_60_mph]]&lt;=5,"HighPerformance","Standard"))</f>
        <v>HighPerformance</v>
      </c>
      <c r="AG892" t="str">
        <f>IF(EV_Data4[[#This Row],[customer_rating]]&gt;=4.5,"Excellent",IF(EV_Data4[[#This Row],[customer_rating]]&gt;=3.5,"Good","Average"))</f>
        <v>Good</v>
      </c>
      <c r="AH89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93" spans="1:34" x14ac:dyDescent="0.3">
      <c r="A893" t="s">
        <v>52</v>
      </c>
      <c r="B893" t="s">
        <v>53</v>
      </c>
      <c r="C893">
        <v>2025</v>
      </c>
      <c r="D893" t="s">
        <v>56</v>
      </c>
      <c r="E893" s="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27</v>
      </c>
      <c r="N893">
        <v>7</v>
      </c>
      <c r="O893" t="s">
        <v>51</v>
      </c>
      <c r="P893">
        <v>25.1</v>
      </c>
      <c r="Q893">
        <v>1500</v>
      </c>
      <c r="R893">
        <v>5</v>
      </c>
      <c r="S893">
        <v>1</v>
      </c>
      <c r="T893" t="s">
        <v>29</v>
      </c>
      <c r="U893" t="s">
        <v>30</v>
      </c>
      <c r="V893" s="3">
        <v>59537</v>
      </c>
      <c r="W893">
        <v>3.51</v>
      </c>
      <c r="X893">
        <v>7</v>
      </c>
      <c r="Y893" s="1">
        <f>EV_Data4[[#This Row],[range_miles]]/EV_Data4[[#This Row],[battery_capacity_kwh]]</f>
        <v>3.5135135135135136</v>
      </c>
      <c r="Z893" s="4">
        <f>EV_Data4[[#This Row],[price_usd]]/EV_Data4[[#This Row],[range_miles]]</f>
        <v>702.14794871794879</v>
      </c>
      <c r="AA893" s="2">
        <f>(EV_Data4[[#This Row],[customer_rating]]*EV_Data4[[#This Row],[safety_rating]]*1000)/EV_Data4[[#This Row],[price_usd]]</f>
        <v>0.12817811426257228</v>
      </c>
      <c r="AB893">
        <f>EV_Data4[[#This Row],[horsepower]]+EV_Data4[[#This Row],[torque_nm]]/EV_Data4[[#This Row],[acceleration_0_60_mph]]</f>
        <v>933.33428981348641</v>
      </c>
      <c r="AC893" t="str">
        <f>IF(EV_Data4[[#This Row],[price_usd]]&gt;=80000,"Luxury",IF(EV_Data4[[#This Row],[price_usd]]&gt;=40000,"Mid-Range","Budget"))</f>
        <v>Luxury</v>
      </c>
      <c r="AD893" t="str">
        <f>IF(EV_Data4[[#This Row],[range_miles]]&gt;=350,"Long-Range",IF(EV_Data4[[#This Row],[range_miles]]&gt;=250,"Medium-Range","Short-Range"))</f>
        <v>Short-Range</v>
      </c>
      <c r="AE893" t="str">
        <f>IF(EV_Data4[[#This Row],[charging_speed_kw]]&gt;=250,"Ultra-Fast",IF(EV_Data4[[#This Row],[charging_speed_kw]]&gt;=150,"Fast-Charging","Standard-Charging"))</f>
        <v>Standard-Charging</v>
      </c>
      <c r="AF893" t="str">
        <f>IF(EV_Data4[[#This Row],[acceleration_0_60_mph]]&lt;=3,"SportsPerformance",IF(EV_Data4[[#This Row],[acceleration_0_60_mph]]&lt;=5,"HighPerformance","Standard"))</f>
        <v>Standard</v>
      </c>
      <c r="AG893" t="str">
        <f>IF(EV_Data4[[#This Row],[customer_rating]]&gt;=4.5,"Excellent",IF(EV_Data4[[#This Row],[customer_rating]]&gt;=3.5,"Good","Average"))</f>
        <v>Good</v>
      </c>
      <c r="AH89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94" spans="1:34" x14ac:dyDescent="0.3">
      <c r="A894" t="s">
        <v>52</v>
      </c>
      <c r="B894" t="s">
        <v>126</v>
      </c>
      <c r="C894">
        <v>2023</v>
      </c>
      <c r="D894" t="s">
        <v>44</v>
      </c>
      <c r="E894" s="3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34</v>
      </c>
      <c r="N894">
        <v>7</v>
      </c>
      <c r="O894" t="s">
        <v>58</v>
      </c>
      <c r="P894">
        <v>30.1</v>
      </c>
      <c r="Q894">
        <v>1500</v>
      </c>
      <c r="R894">
        <v>4</v>
      </c>
      <c r="S894">
        <v>1</v>
      </c>
      <c r="T894" t="s">
        <v>29</v>
      </c>
      <c r="U894" t="s">
        <v>30</v>
      </c>
      <c r="V894" s="3">
        <v>32410</v>
      </c>
      <c r="W894">
        <v>3.94</v>
      </c>
      <c r="X894">
        <v>8</v>
      </c>
      <c r="Y894" s="1">
        <f>EV_Data4[[#This Row],[range_miles]]/EV_Data4[[#This Row],[battery_capacity_kwh]]</f>
        <v>3.2343584305408273</v>
      </c>
      <c r="Z894" s="4">
        <f>EV_Data4[[#This Row],[price_usd]]/EV_Data4[[#This Row],[range_miles]]</f>
        <v>467.3287868852459</v>
      </c>
      <c r="AA894" s="2">
        <f>(EV_Data4[[#This Row],[customer_rating]]*EV_Data4[[#This Row],[safety_rating]]*1000)/EV_Data4[[#This Row],[price_usd]]</f>
        <v>0.11056911664256036</v>
      </c>
      <c r="AB894">
        <f>EV_Data4[[#This Row],[horsepower]]+EV_Data4[[#This Row],[torque_nm]]/EV_Data4[[#This Row],[acceleration_0_60_mph]]</f>
        <v>978.33568904593642</v>
      </c>
      <c r="AC894" t="str">
        <f>IF(EV_Data4[[#This Row],[price_usd]]&gt;=80000,"Luxury",IF(EV_Data4[[#This Row],[price_usd]]&gt;=40000,"Mid-Range","Budget"))</f>
        <v>Luxury</v>
      </c>
      <c r="AD894" t="str">
        <f>IF(EV_Data4[[#This Row],[range_miles]]&gt;=350,"Long-Range",IF(EV_Data4[[#This Row],[range_miles]]&gt;=250,"Medium-Range","Short-Range"))</f>
        <v>Medium-Range</v>
      </c>
      <c r="AE894" t="str">
        <f>IF(EV_Data4[[#This Row],[charging_speed_kw]]&gt;=250,"Ultra-Fast",IF(EV_Data4[[#This Row],[charging_speed_kw]]&gt;=150,"Fast-Charging","Standard-Charging"))</f>
        <v>Standard-Charging</v>
      </c>
      <c r="AF894" t="str">
        <f>IF(EV_Data4[[#This Row],[acceleration_0_60_mph]]&lt;=3,"SportsPerformance",IF(EV_Data4[[#This Row],[acceleration_0_60_mph]]&lt;=5,"HighPerformance","Standard"))</f>
        <v>Standard</v>
      </c>
      <c r="AG894" t="str">
        <f>IF(EV_Data4[[#This Row],[customer_rating]]&gt;=4.5,"Excellent",IF(EV_Data4[[#This Row],[customer_rating]]&gt;=3.5,"Good","Average"))</f>
        <v>Good</v>
      </c>
      <c r="AH89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895" spans="1:34" x14ac:dyDescent="0.3">
      <c r="A895" t="s">
        <v>24</v>
      </c>
      <c r="B895" t="s">
        <v>75</v>
      </c>
      <c r="C895">
        <v>2025</v>
      </c>
      <c r="D895" t="s">
        <v>26</v>
      </c>
      <c r="E895" s="3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48</v>
      </c>
      <c r="N895">
        <v>5</v>
      </c>
      <c r="O895" t="s">
        <v>58</v>
      </c>
      <c r="P895">
        <v>22.1</v>
      </c>
      <c r="Q895">
        <v>1589</v>
      </c>
      <c r="R895">
        <v>5</v>
      </c>
      <c r="S895">
        <v>0</v>
      </c>
      <c r="T895" t="s">
        <v>29</v>
      </c>
      <c r="U895" t="s">
        <v>33</v>
      </c>
      <c r="V895" s="3">
        <v>215601</v>
      </c>
      <c r="W895">
        <v>3.82</v>
      </c>
      <c r="X895">
        <v>5</v>
      </c>
      <c r="Y895" s="1">
        <f>EV_Data4[[#This Row],[range_miles]]/EV_Data4[[#This Row],[battery_capacity_kwh]]</f>
        <v>3.5991379310344827</v>
      </c>
      <c r="Z895" s="4">
        <f>EV_Data4[[#This Row],[price_usd]]/EV_Data4[[#This Row],[range_miles]]</f>
        <v>204.36008982035929</v>
      </c>
      <c r="AA895" s="2">
        <f>(EV_Data4[[#This Row],[customer_rating]]*EV_Data4[[#This Row],[safety_rating]]*1000)/EV_Data4[[#This Row],[price_usd]]</f>
        <v>0.27982777259876629</v>
      </c>
      <c r="AB895">
        <f>EV_Data4[[#This Row],[horsepower]]+EV_Data4[[#This Row],[torque_nm]]/EV_Data4[[#This Row],[acceleration_0_60_mph]]</f>
        <v>866.46753246753246</v>
      </c>
      <c r="AC895" t="str">
        <f>IF(EV_Data4[[#This Row],[price_usd]]&gt;=80000,"Luxury",IF(EV_Data4[[#This Row],[price_usd]]&gt;=40000,"Mid-Range","Budget"))</f>
        <v>Mid-Range</v>
      </c>
      <c r="AD895" t="str">
        <f>IF(EV_Data4[[#This Row],[range_miles]]&gt;=350,"Long-Range",IF(EV_Data4[[#This Row],[range_miles]]&gt;=250,"Medium-Range","Short-Range"))</f>
        <v>Medium-Range</v>
      </c>
      <c r="AE895" t="str">
        <f>IF(EV_Data4[[#This Row],[charging_speed_kw]]&gt;=250,"Ultra-Fast",IF(EV_Data4[[#This Row],[charging_speed_kw]]&gt;=150,"Fast-Charging","Standard-Charging"))</f>
        <v>Fast-Charging</v>
      </c>
      <c r="AF895" t="str">
        <f>IF(EV_Data4[[#This Row],[acceleration_0_60_mph]]&lt;=3,"SportsPerformance",IF(EV_Data4[[#This Row],[acceleration_0_60_mph]]&lt;=5,"HighPerformance","Standard"))</f>
        <v>HighPerformance</v>
      </c>
      <c r="AG895" t="str">
        <f>IF(EV_Data4[[#This Row],[customer_rating]]&gt;=4.5,"Excellent",IF(EV_Data4[[#This Row],[customer_rating]]&gt;=3.5,"Good","Average"))</f>
        <v>Good</v>
      </c>
      <c r="AH89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96" spans="1:34" x14ac:dyDescent="0.3">
      <c r="A896" t="s">
        <v>83</v>
      </c>
      <c r="B896" t="s">
        <v>89</v>
      </c>
      <c r="C896">
        <v>2025</v>
      </c>
      <c r="D896" t="s">
        <v>33</v>
      </c>
      <c r="E896" s="3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48</v>
      </c>
      <c r="N896">
        <v>5</v>
      </c>
      <c r="O896" t="s">
        <v>51</v>
      </c>
      <c r="P896">
        <v>18.8</v>
      </c>
      <c r="Q896">
        <v>1671</v>
      </c>
      <c r="R896">
        <v>5</v>
      </c>
      <c r="S896">
        <v>2</v>
      </c>
      <c r="T896" t="s">
        <v>29</v>
      </c>
      <c r="U896" t="s">
        <v>30</v>
      </c>
      <c r="V896" s="3">
        <v>25659</v>
      </c>
      <c r="W896">
        <v>3.39</v>
      </c>
      <c r="X896">
        <v>7</v>
      </c>
      <c r="Y896" s="1">
        <f>EV_Data4[[#This Row],[range_miles]]/EV_Data4[[#This Row],[battery_capacity_kwh]]</f>
        <v>3.4345351043643264</v>
      </c>
      <c r="Z896" s="4">
        <f>EV_Data4[[#This Row],[price_usd]]/EV_Data4[[#This Row],[range_miles]]</f>
        <v>707.01668508287298</v>
      </c>
      <c r="AA896" s="2">
        <f>(EV_Data4[[#This Row],[customer_rating]]*EV_Data4[[#This Row],[safety_rating]]*1000)/EV_Data4[[#This Row],[price_usd]]</f>
        <v>0.13245289795219223</v>
      </c>
      <c r="AB896">
        <f>EV_Data4[[#This Row],[horsepower]]+EV_Data4[[#This Row],[torque_nm]]/EV_Data4[[#This Row],[acceleration_0_60_mph]]</f>
        <v>1170.1520912547528</v>
      </c>
      <c r="AC896" t="str">
        <f>IF(EV_Data4[[#This Row],[price_usd]]&gt;=80000,"Luxury",IF(EV_Data4[[#This Row],[price_usd]]&gt;=40000,"Mid-Range","Budget"))</f>
        <v>Luxury</v>
      </c>
      <c r="AD896" t="str">
        <f>IF(EV_Data4[[#This Row],[range_miles]]&gt;=350,"Long-Range",IF(EV_Data4[[#This Row],[range_miles]]&gt;=250,"Medium-Range","Short-Range"))</f>
        <v>Short-Range</v>
      </c>
      <c r="AE896" t="str">
        <f>IF(EV_Data4[[#This Row],[charging_speed_kw]]&gt;=250,"Ultra-Fast",IF(EV_Data4[[#This Row],[charging_speed_kw]]&gt;=150,"Fast-Charging","Standard-Charging"))</f>
        <v>Standard-Charging</v>
      </c>
      <c r="AF896" t="str">
        <f>IF(EV_Data4[[#This Row],[acceleration_0_60_mph]]&lt;=3,"SportsPerformance",IF(EV_Data4[[#This Row],[acceleration_0_60_mph]]&lt;=5,"HighPerformance","Standard"))</f>
        <v>Standard</v>
      </c>
      <c r="AG896" t="str">
        <f>IF(EV_Data4[[#This Row],[customer_rating]]&gt;=4.5,"Excellent",IF(EV_Data4[[#This Row],[customer_rating]]&gt;=3.5,"Good","Average"))</f>
        <v>Average</v>
      </c>
      <c r="AH89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897" spans="1:34" x14ac:dyDescent="0.3">
      <c r="A897" t="s">
        <v>63</v>
      </c>
      <c r="B897" t="s">
        <v>73</v>
      </c>
      <c r="C897">
        <v>2026</v>
      </c>
      <c r="D897" t="s">
        <v>56</v>
      </c>
      <c r="E897" s="3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27</v>
      </c>
      <c r="N897">
        <v>5</v>
      </c>
      <c r="O897" t="s">
        <v>58</v>
      </c>
      <c r="P897">
        <v>18.5</v>
      </c>
      <c r="Q897">
        <v>1702</v>
      </c>
      <c r="R897">
        <v>4</v>
      </c>
      <c r="S897">
        <v>0</v>
      </c>
      <c r="T897" t="s">
        <v>65</v>
      </c>
      <c r="U897" t="s">
        <v>33</v>
      </c>
      <c r="V897" s="3">
        <v>163682</v>
      </c>
      <c r="W897">
        <v>3.35</v>
      </c>
      <c r="X897">
        <v>3</v>
      </c>
      <c r="Y897" s="1">
        <f>EV_Data4[[#This Row],[range_miles]]/EV_Data4[[#This Row],[battery_capacity_kwh]]</f>
        <v>3.4657534246575343</v>
      </c>
      <c r="Z897" s="4">
        <f>EV_Data4[[#This Row],[price_usd]]/EV_Data4[[#This Row],[range_miles]]</f>
        <v>283.81980237154153</v>
      </c>
      <c r="AA897" s="2">
        <f>(EV_Data4[[#This Row],[customer_rating]]*EV_Data4[[#This Row],[safety_rating]]*1000)/EV_Data4[[#This Row],[price_usd]]</f>
        <v>0.18661286645579411</v>
      </c>
      <c r="AB897">
        <f>EV_Data4[[#This Row],[horsepower]]+EV_Data4[[#This Row],[torque_nm]]/EV_Data4[[#This Row],[acceleration_0_60_mph]]</f>
        <v>947.92642140468229</v>
      </c>
      <c r="AC897" t="str">
        <f>IF(EV_Data4[[#This Row],[price_usd]]&gt;=80000,"Luxury",IF(EV_Data4[[#This Row],[price_usd]]&gt;=40000,"Mid-Range","Budget"))</f>
        <v>Mid-Range</v>
      </c>
      <c r="AD897" t="str">
        <f>IF(EV_Data4[[#This Row],[range_miles]]&gt;=350,"Long-Range",IF(EV_Data4[[#This Row],[range_miles]]&gt;=250,"Medium-Range","Short-Range"))</f>
        <v>Medium-Range</v>
      </c>
      <c r="AE897" t="str">
        <f>IF(EV_Data4[[#This Row],[charging_speed_kw]]&gt;=250,"Ultra-Fast",IF(EV_Data4[[#This Row],[charging_speed_kw]]&gt;=150,"Fast-Charging","Standard-Charging"))</f>
        <v>Standard-Charging</v>
      </c>
      <c r="AF897" t="str">
        <f>IF(EV_Data4[[#This Row],[acceleration_0_60_mph]]&lt;=3,"SportsPerformance",IF(EV_Data4[[#This Row],[acceleration_0_60_mph]]&lt;=5,"HighPerformance","Standard"))</f>
        <v>Standard</v>
      </c>
      <c r="AG897" t="str">
        <f>IF(EV_Data4[[#This Row],[customer_rating]]&gt;=4.5,"Excellent",IF(EV_Data4[[#This Row],[customer_rating]]&gt;=3.5,"Good","Average"))</f>
        <v>Average</v>
      </c>
      <c r="AH89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98" spans="1:34" x14ac:dyDescent="0.3">
      <c r="A898" t="s">
        <v>63</v>
      </c>
      <c r="B898" t="s">
        <v>107</v>
      </c>
      <c r="C898">
        <v>2023</v>
      </c>
      <c r="D898" t="s">
        <v>26</v>
      </c>
      <c r="E898" s="3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27</v>
      </c>
      <c r="N898">
        <v>5</v>
      </c>
      <c r="O898" t="s">
        <v>28</v>
      </c>
      <c r="P898">
        <v>74.099999999999994</v>
      </c>
      <c r="Q898">
        <v>2307</v>
      </c>
      <c r="R898">
        <v>4</v>
      </c>
      <c r="S898">
        <v>0</v>
      </c>
      <c r="T898" t="s">
        <v>65</v>
      </c>
      <c r="U898" t="s">
        <v>37</v>
      </c>
      <c r="V898" s="3">
        <v>205191</v>
      </c>
      <c r="W898">
        <v>3.38</v>
      </c>
      <c r="X898">
        <v>4</v>
      </c>
      <c r="Y898" s="1">
        <f>EV_Data4[[#This Row],[range_miles]]/EV_Data4[[#This Row],[battery_capacity_kwh]]</f>
        <v>3.1141439205955339</v>
      </c>
      <c r="Z898" s="4">
        <f>EV_Data4[[#This Row],[price_usd]]/EV_Data4[[#This Row],[range_miles]]</f>
        <v>216.96207171314742</v>
      </c>
      <c r="AA898" s="2">
        <f>(EV_Data4[[#This Row],[customer_rating]]*EV_Data4[[#This Row],[safety_rating]]*1000)/EV_Data4[[#This Row],[price_usd]]</f>
        <v>0.24826708837794181</v>
      </c>
      <c r="AB898">
        <f>EV_Data4[[#This Row],[horsepower]]+EV_Data4[[#This Row],[torque_nm]]/EV_Data4[[#This Row],[acceleration_0_60_mph]]</f>
        <v>625.74647887323943</v>
      </c>
      <c r="AC898" t="str">
        <f>IF(EV_Data4[[#This Row],[price_usd]]&gt;=80000,"Luxury",IF(EV_Data4[[#This Row],[price_usd]]&gt;=40000,"Mid-Range","Budget"))</f>
        <v>Mid-Range</v>
      </c>
      <c r="AD898" t="str">
        <f>IF(EV_Data4[[#This Row],[range_miles]]&gt;=350,"Long-Range",IF(EV_Data4[[#This Row],[range_miles]]&gt;=250,"Medium-Range","Short-Range"))</f>
        <v>Medium-Range</v>
      </c>
      <c r="AE898" t="str">
        <f>IF(EV_Data4[[#This Row],[charging_speed_kw]]&gt;=250,"Ultra-Fast",IF(EV_Data4[[#This Row],[charging_speed_kw]]&gt;=150,"Fast-Charging","Standard-Charging"))</f>
        <v>Fast-Charging</v>
      </c>
      <c r="AF898" t="str">
        <f>IF(EV_Data4[[#This Row],[acceleration_0_60_mph]]&lt;=3,"SportsPerformance",IF(EV_Data4[[#This Row],[acceleration_0_60_mph]]&lt;=5,"HighPerformance","Standard"))</f>
        <v>HighPerformance</v>
      </c>
      <c r="AG898" t="str">
        <f>IF(EV_Data4[[#This Row],[customer_rating]]&gt;=4.5,"Excellent",IF(EV_Data4[[#This Row],[customer_rating]]&gt;=3.5,"Good","Average"))</f>
        <v>Average</v>
      </c>
      <c r="AH89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899" spans="1:34" x14ac:dyDescent="0.3">
      <c r="A899" t="s">
        <v>86</v>
      </c>
      <c r="B899" t="s">
        <v>117</v>
      </c>
      <c r="C899">
        <v>2026</v>
      </c>
      <c r="D899" t="s">
        <v>44</v>
      </c>
      <c r="E899" s="3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34</v>
      </c>
      <c r="N899">
        <v>7</v>
      </c>
      <c r="O899" t="s">
        <v>51</v>
      </c>
      <c r="P899">
        <v>31.5</v>
      </c>
      <c r="Q899">
        <v>1663</v>
      </c>
      <c r="R899">
        <v>4</v>
      </c>
      <c r="S899">
        <v>2</v>
      </c>
      <c r="T899" t="s">
        <v>29</v>
      </c>
      <c r="U899" t="s">
        <v>30</v>
      </c>
      <c r="V899" s="3">
        <v>21092</v>
      </c>
      <c r="W899">
        <v>3.74</v>
      </c>
      <c r="X899">
        <v>6</v>
      </c>
      <c r="Y899" s="1">
        <f>EV_Data4[[#This Row],[range_miles]]/EV_Data4[[#This Row],[battery_capacity_kwh]]</f>
        <v>3.4398976982097187</v>
      </c>
      <c r="Z899" s="4">
        <f>EV_Data4[[#This Row],[price_usd]]/EV_Data4[[#This Row],[range_miles]]</f>
        <v>542.62215613382898</v>
      </c>
      <c r="AA899" s="2">
        <f>(EV_Data4[[#This Row],[customer_rating]]*EV_Data4[[#This Row],[safety_rating]]*1000)/EV_Data4[[#This Row],[price_usd]]</f>
        <v>0.10249007024680377</v>
      </c>
      <c r="AB899">
        <f>EV_Data4[[#This Row],[horsepower]]+EV_Data4[[#This Row],[torque_nm]]/EV_Data4[[#This Row],[acceleration_0_60_mph]]</f>
        <v>1159.7069597069597</v>
      </c>
      <c r="AC899" t="str">
        <f>IF(EV_Data4[[#This Row],[price_usd]]&gt;=80000,"Luxury",IF(EV_Data4[[#This Row],[price_usd]]&gt;=40000,"Mid-Range","Budget"))</f>
        <v>Luxury</v>
      </c>
      <c r="AD899" t="str">
        <f>IF(EV_Data4[[#This Row],[range_miles]]&gt;=350,"Long-Range",IF(EV_Data4[[#This Row],[range_miles]]&gt;=250,"Medium-Range","Short-Range"))</f>
        <v>Medium-Range</v>
      </c>
      <c r="AE899" t="str">
        <f>IF(EV_Data4[[#This Row],[charging_speed_kw]]&gt;=250,"Ultra-Fast",IF(EV_Data4[[#This Row],[charging_speed_kw]]&gt;=150,"Fast-Charging","Standard-Charging"))</f>
        <v>Standard-Charging</v>
      </c>
      <c r="AF899" t="str">
        <f>IF(EV_Data4[[#This Row],[acceleration_0_60_mph]]&lt;=3,"SportsPerformance",IF(EV_Data4[[#This Row],[acceleration_0_60_mph]]&lt;=5,"HighPerformance","Standard"))</f>
        <v>Standard</v>
      </c>
      <c r="AG899" t="str">
        <f>IF(EV_Data4[[#This Row],[customer_rating]]&gt;=4.5,"Excellent",IF(EV_Data4[[#This Row],[customer_rating]]&gt;=3.5,"Good","Average"))</f>
        <v>Good</v>
      </c>
      <c r="AH89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00" spans="1:34" x14ac:dyDescent="0.3">
      <c r="A900" t="s">
        <v>46</v>
      </c>
      <c r="B900" t="s">
        <v>78</v>
      </c>
      <c r="C900">
        <v>2025</v>
      </c>
      <c r="D900" t="s">
        <v>26</v>
      </c>
      <c r="E900" s="3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27</v>
      </c>
      <c r="N900">
        <v>5</v>
      </c>
      <c r="O900" t="s">
        <v>58</v>
      </c>
      <c r="P900">
        <v>19.899999999999999</v>
      </c>
      <c r="Q900">
        <v>1637</v>
      </c>
      <c r="R900">
        <v>5</v>
      </c>
      <c r="S900">
        <v>3</v>
      </c>
      <c r="T900" t="s">
        <v>41</v>
      </c>
      <c r="U900" t="s">
        <v>37</v>
      </c>
      <c r="V900" s="3">
        <v>192699</v>
      </c>
      <c r="W900">
        <v>3.73</v>
      </c>
      <c r="X900">
        <v>4</v>
      </c>
      <c r="Y900" s="1">
        <f>EV_Data4[[#This Row],[range_miles]]/EV_Data4[[#This Row],[battery_capacity_kwh]]</f>
        <v>3.5607094133697137</v>
      </c>
      <c r="Z900" s="4">
        <f>EV_Data4[[#This Row],[price_usd]]/EV_Data4[[#This Row],[range_miles]]</f>
        <v>157.07777777777778</v>
      </c>
      <c r="AA900" s="2">
        <f>(EV_Data4[[#This Row],[customer_rating]]*EV_Data4[[#This Row],[safety_rating]]*1000)/EV_Data4[[#This Row],[price_usd]]</f>
        <v>0.45490800613698945</v>
      </c>
      <c r="AB900">
        <f>EV_Data4[[#This Row],[horsepower]]+EV_Data4[[#This Row],[torque_nm]]/EV_Data4[[#This Row],[acceleration_0_60_mph]]</f>
        <v>294.98005698005699</v>
      </c>
      <c r="AC900" t="str">
        <f>IF(EV_Data4[[#This Row],[price_usd]]&gt;=80000,"Luxury",IF(EV_Data4[[#This Row],[price_usd]]&gt;=40000,"Mid-Range","Budget"))</f>
        <v>Mid-Range</v>
      </c>
      <c r="AD900" t="str">
        <f>IF(EV_Data4[[#This Row],[range_miles]]&gt;=350,"Long-Range",IF(EV_Data4[[#This Row],[range_miles]]&gt;=250,"Medium-Range","Short-Range"))</f>
        <v>Medium-Range</v>
      </c>
      <c r="AE900" t="str">
        <f>IF(EV_Data4[[#This Row],[charging_speed_kw]]&gt;=250,"Ultra-Fast",IF(EV_Data4[[#This Row],[charging_speed_kw]]&gt;=150,"Fast-Charging","Standard-Charging"))</f>
        <v>Ultra-Fast</v>
      </c>
      <c r="AF900" t="str">
        <f>IF(EV_Data4[[#This Row],[acceleration_0_60_mph]]&lt;=3,"SportsPerformance",IF(EV_Data4[[#This Row],[acceleration_0_60_mph]]&lt;=5,"HighPerformance","Standard"))</f>
        <v>HighPerformance</v>
      </c>
      <c r="AG900" t="str">
        <f>IF(EV_Data4[[#This Row],[customer_rating]]&gt;=4.5,"Excellent",IF(EV_Data4[[#This Row],[customer_rating]]&gt;=3.5,"Good","Average"))</f>
        <v>Good</v>
      </c>
      <c r="AH900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901" spans="1:34" x14ac:dyDescent="0.3">
      <c r="A901" t="s">
        <v>46</v>
      </c>
      <c r="B901" t="s">
        <v>47</v>
      </c>
      <c r="C901">
        <v>2026</v>
      </c>
      <c r="D901" t="s">
        <v>26</v>
      </c>
      <c r="E901" s="3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27</v>
      </c>
      <c r="N901">
        <v>7</v>
      </c>
      <c r="O901" t="s">
        <v>58</v>
      </c>
      <c r="P901">
        <v>15.1</v>
      </c>
      <c r="Q901">
        <v>1521</v>
      </c>
      <c r="R901">
        <v>5</v>
      </c>
      <c r="S901">
        <v>2</v>
      </c>
      <c r="T901" t="s">
        <v>41</v>
      </c>
      <c r="U901" t="s">
        <v>30</v>
      </c>
      <c r="V901" s="3">
        <v>199927</v>
      </c>
      <c r="W901">
        <v>4.26</v>
      </c>
      <c r="X901">
        <v>5</v>
      </c>
      <c r="Y901" s="1">
        <f>EV_Data4[[#This Row],[range_miles]]/EV_Data4[[#This Row],[battery_capacity_kwh]]</f>
        <v>3.6675951717734447</v>
      </c>
      <c r="Z901" s="4">
        <f>EV_Data4[[#This Row],[price_usd]]/EV_Data4[[#This Row],[range_miles]]</f>
        <v>372.35513924050633</v>
      </c>
      <c r="AA901" s="2">
        <f>(EV_Data4[[#This Row],[customer_rating]]*EV_Data4[[#This Row],[safety_rating]]*1000)/EV_Data4[[#This Row],[price_usd]]</f>
        <v>0.14481887034754079</v>
      </c>
      <c r="AB901">
        <f>EV_Data4[[#This Row],[horsepower]]+EV_Data4[[#This Row],[torque_nm]]/EV_Data4[[#This Row],[acceleration_0_60_mph]]</f>
        <v>1262.797619047619</v>
      </c>
      <c r="AC901" t="str">
        <f>IF(EV_Data4[[#This Row],[price_usd]]&gt;=80000,"Luxury",IF(EV_Data4[[#This Row],[price_usd]]&gt;=40000,"Mid-Range","Budget"))</f>
        <v>Luxury</v>
      </c>
      <c r="AD901" t="str">
        <f>IF(EV_Data4[[#This Row],[range_miles]]&gt;=350,"Long-Range",IF(EV_Data4[[#This Row],[range_miles]]&gt;=250,"Medium-Range","Short-Range"))</f>
        <v>Long-Range</v>
      </c>
      <c r="AE901" t="str">
        <f>IF(EV_Data4[[#This Row],[charging_speed_kw]]&gt;=250,"Ultra-Fast",IF(EV_Data4[[#This Row],[charging_speed_kw]]&gt;=150,"Fast-Charging","Standard-Charging"))</f>
        <v>Fast-Charging</v>
      </c>
      <c r="AF901" t="str">
        <f>IF(EV_Data4[[#This Row],[acceleration_0_60_mph]]&lt;=3,"SportsPerformance",IF(EV_Data4[[#This Row],[acceleration_0_60_mph]]&lt;=5,"HighPerformance","Standard"))</f>
        <v>HighPerformance</v>
      </c>
      <c r="AG901" t="str">
        <f>IF(EV_Data4[[#This Row],[customer_rating]]&gt;=4.5,"Excellent",IF(EV_Data4[[#This Row],[customer_rating]]&gt;=3.5,"Good","Average"))</f>
        <v>Good</v>
      </c>
      <c r="AH90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02" spans="1:34" x14ac:dyDescent="0.3">
      <c r="A902" t="s">
        <v>63</v>
      </c>
      <c r="B902" t="s">
        <v>88</v>
      </c>
      <c r="C902">
        <v>2023</v>
      </c>
      <c r="D902" t="s">
        <v>44</v>
      </c>
      <c r="E902" s="3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34</v>
      </c>
      <c r="N902">
        <v>5</v>
      </c>
      <c r="O902" t="s">
        <v>35</v>
      </c>
      <c r="P902">
        <v>42.3</v>
      </c>
      <c r="Q902">
        <v>2227</v>
      </c>
      <c r="R902">
        <v>5</v>
      </c>
      <c r="S902">
        <v>2</v>
      </c>
      <c r="T902" t="s">
        <v>65</v>
      </c>
      <c r="U902" t="s">
        <v>37</v>
      </c>
      <c r="V902" s="3">
        <v>176515</v>
      </c>
      <c r="W902">
        <v>3.84</v>
      </c>
      <c r="X902">
        <v>4</v>
      </c>
      <c r="Y902" s="1">
        <f>EV_Data4[[#This Row],[range_miles]]/EV_Data4[[#This Row],[battery_capacity_kwh]]</f>
        <v>3.4318181818181817</v>
      </c>
      <c r="Z902" s="4">
        <f>EV_Data4[[#This Row],[price_usd]]/EV_Data4[[#This Row],[range_miles]]</f>
        <v>118.87493377483445</v>
      </c>
      <c r="AA902" s="2">
        <f>(EV_Data4[[#This Row],[customer_rating]]*EV_Data4[[#This Row],[safety_rating]]*1000)/EV_Data4[[#This Row],[price_usd]]</f>
        <v>0.5348155151095132</v>
      </c>
      <c r="AB902">
        <f>EV_Data4[[#This Row],[horsepower]]+EV_Data4[[#This Row],[torque_nm]]/EV_Data4[[#This Row],[acceleration_0_60_mph]]</f>
        <v>432.29906542056074</v>
      </c>
      <c r="AC902" t="str">
        <f>IF(EV_Data4[[#This Row],[price_usd]]&gt;=80000,"Luxury",IF(EV_Data4[[#This Row],[price_usd]]&gt;=40000,"Mid-Range","Budget"))</f>
        <v>Budget</v>
      </c>
      <c r="AD902" t="str">
        <f>IF(EV_Data4[[#This Row],[range_miles]]&gt;=350,"Long-Range",IF(EV_Data4[[#This Row],[range_miles]]&gt;=250,"Medium-Range","Short-Range"))</f>
        <v>Medium-Range</v>
      </c>
      <c r="AE902" t="str">
        <f>IF(EV_Data4[[#This Row],[charging_speed_kw]]&gt;=250,"Ultra-Fast",IF(EV_Data4[[#This Row],[charging_speed_kw]]&gt;=150,"Fast-Charging","Standard-Charging"))</f>
        <v>Standard-Charging</v>
      </c>
      <c r="AF902" t="str">
        <f>IF(EV_Data4[[#This Row],[acceleration_0_60_mph]]&lt;=3,"SportsPerformance",IF(EV_Data4[[#This Row],[acceleration_0_60_mph]]&lt;=5,"HighPerformance","Standard"))</f>
        <v>HighPerformance</v>
      </c>
      <c r="AG902" t="str">
        <f>IF(EV_Data4[[#This Row],[customer_rating]]&gt;=4.5,"Excellent",IF(EV_Data4[[#This Row],[customer_rating]]&gt;=3.5,"Good","Average"))</f>
        <v>Good</v>
      </c>
      <c r="AH90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03" spans="1:34" x14ac:dyDescent="0.3">
      <c r="A903" t="s">
        <v>46</v>
      </c>
      <c r="B903" t="s">
        <v>78</v>
      </c>
      <c r="C903">
        <v>2025</v>
      </c>
      <c r="D903" t="s">
        <v>56</v>
      </c>
      <c r="E903" s="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34</v>
      </c>
      <c r="N903">
        <v>7</v>
      </c>
      <c r="O903" t="s">
        <v>58</v>
      </c>
      <c r="P903">
        <v>24.3</v>
      </c>
      <c r="Q903">
        <v>1675</v>
      </c>
      <c r="R903">
        <v>5</v>
      </c>
      <c r="S903">
        <v>3</v>
      </c>
      <c r="T903" t="s">
        <v>41</v>
      </c>
      <c r="U903" t="s">
        <v>33</v>
      </c>
      <c r="V903" s="3">
        <v>136111</v>
      </c>
      <c r="W903">
        <v>3.64</v>
      </c>
      <c r="X903">
        <v>6</v>
      </c>
      <c r="Y903" s="1">
        <f>EV_Data4[[#This Row],[range_miles]]/EV_Data4[[#This Row],[battery_capacity_kwh]]</f>
        <v>3.9712918660287082</v>
      </c>
      <c r="Z903" s="4">
        <f>EV_Data4[[#This Row],[price_usd]]/EV_Data4[[#This Row],[range_miles]]</f>
        <v>462.68807228915665</v>
      </c>
      <c r="AA903" s="2">
        <f>(EV_Data4[[#This Row],[customer_rating]]*EV_Data4[[#This Row],[safety_rating]]*1000)/EV_Data4[[#This Row],[price_usd]]</f>
        <v>0.2369599753769942</v>
      </c>
      <c r="AB903">
        <f>EV_Data4[[#This Row],[horsepower]]+EV_Data4[[#This Row],[torque_nm]]/EV_Data4[[#This Row],[acceleration_0_60_mph]]</f>
        <v>653.07109737248845</v>
      </c>
      <c r="AC903" t="str">
        <f>IF(EV_Data4[[#This Row],[price_usd]]&gt;=80000,"Luxury",IF(EV_Data4[[#This Row],[price_usd]]&gt;=40000,"Mid-Range","Budget"))</f>
        <v>Mid-Range</v>
      </c>
      <c r="AD903" t="str">
        <f>IF(EV_Data4[[#This Row],[range_miles]]&gt;=350,"Long-Range",IF(EV_Data4[[#This Row],[range_miles]]&gt;=250,"Medium-Range","Short-Range"))</f>
        <v>Short-Range</v>
      </c>
      <c r="AE903" t="str">
        <f>IF(EV_Data4[[#This Row],[charging_speed_kw]]&gt;=250,"Ultra-Fast",IF(EV_Data4[[#This Row],[charging_speed_kw]]&gt;=150,"Fast-Charging","Standard-Charging"))</f>
        <v>Ultra-Fast</v>
      </c>
      <c r="AF903" t="str">
        <f>IF(EV_Data4[[#This Row],[acceleration_0_60_mph]]&lt;=3,"SportsPerformance",IF(EV_Data4[[#This Row],[acceleration_0_60_mph]]&lt;=5,"HighPerformance","Standard"))</f>
        <v>Standard</v>
      </c>
      <c r="AG903" t="str">
        <f>IF(EV_Data4[[#This Row],[customer_rating]]&gt;=4.5,"Excellent",IF(EV_Data4[[#This Row],[customer_rating]]&gt;=3.5,"Good","Average"))</f>
        <v>Good</v>
      </c>
      <c r="AH903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904" spans="1:34" x14ac:dyDescent="0.3">
      <c r="A904" t="s">
        <v>46</v>
      </c>
      <c r="B904" t="s">
        <v>72</v>
      </c>
      <c r="C904">
        <v>2025</v>
      </c>
      <c r="D904" t="s">
        <v>56</v>
      </c>
      <c r="E904" s="3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34</v>
      </c>
      <c r="N904">
        <v>7</v>
      </c>
      <c r="O904" t="s">
        <v>28</v>
      </c>
      <c r="P904">
        <v>55.2</v>
      </c>
      <c r="Q904">
        <v>2373</v>
      </c>
      <c r="R904">
        <v>4</v>
      </c>
      <c r="S904">
        <v>2</v>
      </c>
      <c r="T904" t="s">
        <v>41</v>
      </c>
      <c r="U904" t="s">
        <v>33</v>
      </c>
      <c r="V904" s="3">
        <v>113593</v>
      </c>
      <c r="W904">
        <v>3.86</v>
      </c>
      <c r="X904">
        <v>6</v>
      </c>
      <c r="Y904" s="1">
        <f>EV_Data4[[#This Row],[range_miles]]/EV_Data4[[#This Row],[battery_capacity_kwh]]</f>
        <v>3.1941544885177455</v>
      </c>
      <c r="Z904" s="4">
        <f>EV_Data4[[#This Row],[price_usd]]/EV_Data4[[#This Row],[range_miles]]</f>
        <v>632.74679738562088</v>
      </c>
      <c r="AA904" s="2">
        <f>(EV_Data4[[#This Row],[customer_rating]]*EV_Data4[[#This Row],[safety_rating]]*1000)/EV_Data4[[#This Row],[price_usd]]</f>
        <v>0.15948722790332348</v>
      </c>
      <c r="AB904">
        <f>EV_Data4[[#This Row],[horsepower]]+EV_Data4[[#This Row],[torque_nm]]/EV_Data4[[#This Row],[acceleration_0_60_mph]]</f>
        <v>746.61313868613138</v>
      </c>
      <c r="AC904" t="str">
        <f>IF(EV_Data4[[#This Row],[price_usd]]&gt;=80000,"Luxury",IF(EV_Data4[[#This Row],[price_usd]]&gt;=40000,"Mid-Range","Budget"))</f>
        <v>Luxury</v>
      </c>
      <c r="AD904" t="str">
        <f>IF(EV_Data4[[#This Row],[range_miles]]&gt;=350,"Long-Range",IF(EV_Data4[[#This Row],[range_miles]]&gt;=250,"Medium-Range","Short-Range"))</f>
        <v>Short-Range</v>
      </c>
      <c r="AE904" t="str">
        <f>IF(EV_Data4[[#This Row],[charging_speed_kw]]&gt;=250,"Ultra-Fast",IF(EV_Data4[[#This Row],[charging_speed_kw]]&gt;=150,"Fast-Charging","Standard-Charging"))</f>
        <v>Fast-Charging</v>
      </c>
      <c r="AF904" t="str">
        <f>IF(EV_Data4[[#This Row],[acceleration_0_60_mph]]&lt;=3,"SportsPerformance",IF(EV_Data4[[#This Row],[acceleration_0_60_mph]]&lt;=5,"HighPerformance","Standard"))</f>
        <v>Standard</v>
      </c>
      <c r="AG904" t="str">
        <f>IF(EV_Data4[[#This Row],[customer_rating]]&gt;=4.5,"Excellent",IF(EV_Data4[[#This Row],[customer_rating]]&gt;=3.5,"Good","Average"))</f>
        <v>Good</v>
      </c>
      <c r="AH90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05" spans="1:34" x14ac:dyDescent="0.3">
      <c r="A905" t="s">
        <v>42</v>
      </c>
      <c r="B905" t="s">
        <v>80</v>
      </c>
      <c r="C905">
        <v>2026</v>
      </c>
      <c r="D905" t="s">
        <v>26</v>
      </c>
      <c r="E905" s="3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48</v>
      </c>
      <c r="N905">
        <v>5</v>
      </c>
      <c r="O905" t="s">
        <v>35</v>
      </c>
      <c r="P905">
        <v>58</v>
      </c>
      <c r="Q905">
        <v>2121</v>
      </c>
      <c r="R905">
        <v>5</v>
      </c>
      <c r="S905">
        <v>0</v>
      </c>
      <c r="T905" t="s">
        <v>45</v>
      </c>
      <c r="U905" t="s">
        <v>33</v>
      </c>
      <c r="V905" s="3">
        <v>103428</v>
      </c>
      <c r="W905">
        <v>3.83</v>
      </c>
      <c r="X905">
        <v>4</v>
      </c>
      <c r="Y905" s="1">
        <f>EV_Data4[[#This Row],[range_miles]]/EV_Data4[[#This Row],[battery_capacity_kwh]]</f>
        <v>3.5859030837004404</v>
      </c>
      <c r="Z905" s="4">
        <f>EV_Data4[[#This Row],[price_usd]]/EV_Data4[[#This Row],[range_miles]]</f>
        <v>191.74734643734644</v>
      </c>
      <c r="AA905" s="2">
        <f>(EV_Data4[[#This Row],[customer_rating]]*EV_Data4[[#This Row],[safety_rating]]*1000)/EV_Data4[[#This Row],[price_usd]]</f>
        <v>0.24538330217243026</v>
      </c>
      <c r="AB905">
        <f>EV_Data4[[#This Row],[horsepower]]+EV_Data4[[#This Row],[torque_nm]]/EV_Data4[[#This Row],[acceleration_0_60_mph]]</f>
        <v>1091.8523002421307</v>
      </c>
      <c r="AC905" t="str">
        <f>IF(EV_Data4[[#This Row],[price_usd]]&gt;=80000,"Luxury",IF(EV_Data4[[#This Row],[price_usd]]&gt;=40000,"Mid-Range","Budget"))</f>
        <v>Mid-Range</v>
      </c>
      <c r="AD905" t="str">
        <f>IF(EV_Data4[[#This Row],[range_miles]]&gt;=350,"Long-Range",IF(EV_Data4[[#This Row],[range_miles]]&gt;=250,"Medium-Range","Short-Range"))</f>
        <v>Long-Range</v>
      </c>
      <c r="AE905" t="str">
        <f>IF(EV_Data4[[#This Row],[charging_speed_kw]]&gt;=250,"Ultra-Fast",IF(EV_Data4[[#This Row],[charging_speed_kw]]&gt;=150,"Fast-Charging","Standard-Charging"))</f>
        <v>Fast-Charging</v>
      </c>
      <c r="AF905" t="str">
        <f>IF(EV_Data4[[#This Row],[acceleration_0_60_mph]]&lt;=3,"SportsPerformance",IF(EV_Data4[[#This Row],[acceleration_0_60_mph]]&lt;=5,"HighPerformance","Standard"))</f>
        <v>HighPerformance</v>
      </c>
      <c r="AG905" t="str">
        <f>IF(EV_Data4[[#This Row],[customer_rating]]&gt;=4.5,"Excellent",IF(EV_Data4[[#This Row],[customer_rating]]&gt;=3.5,"Good","Average"))</f>
        <v>Good</v>
      </c>
      <c r="AH90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06" spans="1:34" x14ac:dyDescent="0.3">
      <c r="A906" t="s">
        <v>24</v>
      </c>
      <c r="B906" t="s">
        <v>85</v>
      </c>
      <c r="C906">
        <v>2025</v>
      </c>
      <c r="D906" t="s">
        <v>56</v>
      </c>
      <c r="E906" s="3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27</v>
      </c>
      <c r="N906">
        <v>7</v>
      </c>
      <c r="O906" t="s">
        <v>58</v>
      </c>
      <c r="P906">
        <v>34.799999999999997</v>
      </c>
      <c r="Q906">
        <v>1500</v>
      </c>
      <c r="R906">
        <v>3</v>
      </c>
      <c r="S906">
        <v>0</v>
      </c>
      <c r="T906" t="s">
        <v>29</v>
      </c>
      <c r="U906" t="s">
        <v>37</v>
      </c>
      <c r="V906" s="3">
        <v>247700</v>
      </c>
      <c r="W906">
        <v>3.21</v>
      </c>
      <c r="X906">
        <v>3</v>
      </c>
      <c r="Y906" s="1">
        <f>EV_Data4[[#This Row],[range_miles]]/EV_Data4[[#This Row],[battery_capacity_kwh]]</f>
        <v>3.537519142419602</v>
      </c>
      <c r="Z906" s="4">
        <f>EV_Data4[[#This Row],[price_usd]]/EV_Data4[[#This Row],[range_miles]]</f>
        <v>207.19441558441559</v>
      </c>
      <c r="AA906" s="2">
        <f>(EV_Data4[[#This Row],[customer_rating]]*EV_Data4[[#This Row],[safety_rating]]*1000)/EV_Data4[[#This Row],[price_usd]]</f>
        <v>0.20120383829228708</v>
      </c>
      <c r="AB906">
        <f>EV_Data4[[#This Row],[horsepower]]+EV_Data4[[#This Row],[torque_nm]]/EV_Data4[[#This Row],[acceleration_0_60_mph]]</f>
        <v>509.55574043261231</v>
      </c>
      <c r="AC906" t="str">
        <f>IF(EV_Data4[[#This Row],[price_usd]]&gt;=80000,"Luxury",IF(EV_Data4[[#This Row],[price_usd]]&gt;=40000,"Mid-Range","Budget"))</f>
        <v>Mid-Range</v>
      </c>
      <c r="AD906" t="str">
        <f>IF(EV_Data4[[#This Row],[range_miles]]&gt;=350,"Long-Range",IF(EV_Data4[[#This Row],[range_miles]]&gt;=250,"Medium-Range","Short-Range"))</f>
        <v>Short-Range</v>
      </c>
      <c r="AE906" t="str">
        <f>IF(EV_Data4[[#This Row],[charging_speed_kw]]&gt;=250,"Ultra-Fast",IF(EV_Data4[[#This Row],[charging_speed_kw]]&gt;=150,"Fast-Charging","Standard-Charging"))</f>
        <v>Standard-Charging</v>
      </c>
      <c r="AF906" t="str">
        <f>IF(EV_Data4[[#This Row],[acceleration_0_60_mph]]&lt;=3,"SportsPerformance",IF(EV_Data4[[#This Row],[acceleration_0_60_mph]]&lt;=5,"HighPerformance","Standard"))</f>
        <v>Standard</v>
      </c>
      <c r="AG906" t="str">
        <f>IF(EV_Data4[[#This Row],[customer_rating]]&gt;=4.5,"Excellent",IF(EV_Data4[[#This Row],[customer_rating]]&gt;=3.5,"Good","Average"))</f>
        <v>Average</v>
      </c>
      <c r="AH90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07" spans="1:34" x14ac:dyDescent="0.3">
      <c r="A907" t="s">
        <v>86</v>
      </c>
      <c r="B907" t="s">
        <v>117</v>
      </c>
      <c r="C907">
        <v>2025</v>
      </c>
      <c r="D907" t="s">
        <v>56</v>
      </c>
      <c r="E907" s="3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27</v>
      </c>
      <c r="N907">
        <v>5</v>
      </c>
      <c r="O907" t="s">
        <v>50</v>
      </c>
      <c r="P907">
        <v>39.200000000000003</v>
      </c>
      <c r="Q907">
        <v>1666</v>
      </c>
      <c r="R907">
        <v>4</v>
      </c>
      <c r="S907">
        <v>1</v>
      </c>
      <c r="T907" t="s">
        <v>29</v>
      </c>
      <c r="U907" t="s">
        <v>33</v>
      </c>
      <c r="V907" s="3">
        <v>60155</v>
      </c>
      <c r="W907">
        <v>3.29</v>
      </c>
      <c r="X907">
        <v>8</v>
      </c>
      <c r="Y907" s="1">
        <f>EV_Data4[[#This Row],[range_miles]]/EV_Data4[[#This Row],[battery_capacity_kwh]]</f>
        <v>3.605839416058394</v>
      </c>
      <c r="Z907" s="4">
        <f>EV_Data4[[#This Row],[price_usd]]/EV_Data4[[#This Row],[range_miles]]</f>
        <v>340.58222672064778</v>
      </c>
      <c r="AA907" s="2">
        <f>(EV_Data4[[#This Row],[customer_rating]]*EV_Data4[[#This Row],[safety_rating]]*1000)/EV_Data4[[#This Row],[price_usd]]</f>
        <v>0.15643609104247658</v>
      </c>
      <c r="AB907">
        <f>EV_Data4[[#This Row],[horsepower]]+EV_Data4[[#This Row],[torque_nm]]/EV_Data4[[#This Row],[acceleration_0_60_mph]]</f>
        <v>649.88736681887372</v>
      </c>
      <c r="AC907" t="str">
        <f>IF(EV_Data4[[#This Row],[price_usd]]&gt;=80000,"Luxury",IF(EV_Data4[[#This Row],[price_usd]]&gt;=40000,"Mid-Range","Budget"))</f>
        <v>Luxury</v>
      </c>
      <c r="AD907" t="str">
        <f>IF(EV_Data4[[#This Row],[range_miles]]&gt;=350,"Long-Range",IF(EV_Data4[[#This Row],[range_miles]]&gt;=250,"Medium-Range","Short-Range"))</f>
        <v>Short-Range</v>
      </c>
      <c r="AE907" t="str">
        <f>IF(EV_Data4[[#This Row],[charging_speed_kw]]&gt;=250,"Ultra-Fast",IF(EV_Data4[[#This Row],[charging_speed_kw]]&gt;=150,"Fast-Charging","Standard-Charging"))</f>
        <v>Standard-Charging</v>
      </c>
      <c r="AF907" t="str">
        <f>IF(EV_Data4[[#This Row],[acceleration_0_60_mph]]&lt;=3,"SportsPerformance",IF(EV_Data4[[#This Row],[acceleration_0_60_mph]]&lt;=5,"HighPerformance","Standard"))</f>
        <v>Standard</v>
      </c>
      <c r="AG907" t="str">
        <f>IF(EV_Data4[[#This Row],[customer_rating]]&gt;=4.5,"Excellent",IF(EV_Data4[[#This Row],[customer_rating]]&gt;=3.5,"Good","Average"))</f>
        <v>Average</v>
      </c>
      <c r="AH90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08" spans="1:34" x14ac:dyDescent="0.3">
      <c r="A908" t="s">
        <v>76</v>
      </c>
      <c r="B908" t="s">
        <v>77</v>
      </c>
      <c r="C908">
        <v>2024</v>
      </c>
      <c r="D908" t="s">
        <v>33</v>
      </c>
      <c r="E908" s="3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34</v>
      </c>
      <c r="N908">
        <v>5</v>
      </c>
      <c r="O908" t="s">
        <v>40</v>
      </c>
      <c r="P908">
        <v>69.8</v>
      </c>
      <c r="Q908">
        <v>1502</v>
      </c>
      <c r="R908">
        <v>4</v>
      </c>
      <c r="S908">
        <v>0</v>
      </c>
      <c r="T908" t="s">
        <v>41</v>
      </c>
      <c r="U908" t="s">
        <v>37</v>
      </c>
      <c r="V908" s="3">
        <v>65997</v>
      </c>
      <c r="W908">
        <v>3.42</v>
      </c>
      <c r="X908">
        <v>3</v>
      </c>
      <c r="Y908" s="1">
        <f>EV_Data4[[#This Row],[range_miles]]/EV_Data4[[#This Row],[battery_capacity_kwh]]</f>
        <v>3.59375</v>
      </c>
      <c r="Z908" s="4">
        <f>EV_Data4[[#This Row],[price_usd]]/EV_Data4[[#This Row],[range_miles]]</f>
        <v>299.79531400966181</v>
      </c>
      <c r="AA908" s="2">
        <f>(EV_Data4[[#This Row],[customer_rating]]*EV_Data4[[#This Row],[safety_rating]]*1000)/EV_Data4[[#This Row],[price_usd]]</f>
        <v>0.22044025851454527</v>
      </c>
      <c r="AB908">
        <f>EV_Data4[[#This Row],[horsepower]]+EV_Data4[[#This Row],[torque_nm]]/EV_Data4[[#This Row],[acceleration_0_60_mph]]</f>
        <v>834.05371248025278</v>
      </c>
      <c r="AC908" t="str">
        <f>IF(EV_Data4[[#This Row],[price_usd]]&gt;=80000,"Luxury",IF(EV_Data4[[#This Row],[price_usd]]&gt;=40000,"Mid-Range","Budget"))</f>
        <v>Mid-Range</v>
      </c>
      <c r="AD908" t="str">
        <f>IF(EV_Data4[[#This Row],[range_miles]]&gt;=350,"Long-Range",IF(EV_Data4[[#This Row],[range_miles]]&gt;=250,"Medium-Range","Short-Range"))</f>
        <v>Short-Range</v>
      </c>
      <c r="AE908" t="str">
        <f>IF(EV_Data4[[#This Row],[charging_speed_kw]]&gt;=250,"Ultra-Fast",IF(EV_Data4[[#This Row],[charging_speed_kw]]&gt;=150,"Fast-Charging","Standard-Charging"))</f>
        <v>Standard-Charging</v>
      </c>
      <c r="AF908" t="str">
        <f>IF(EV_Data4[[#This Row],[acceleration_0_60_mph]]&lt;=3,"SportsPerformance",IF(EV_Data4[[#This Row],[acceleration_0_60_mph]]&lt;=5,"HighPerformance","Standard"))</f>
        <v>Standard</v>
      </c>
      <c r="AG908" t="str">
        <f>IF(EV_Data4[[#This Row],[customer_rating]]&gt;=4.5,"Excellent",IF(EV_Data4[[#This Row],[customer_rating]]&gt;=3.5,"Good","Average"))</f>
        <v>Average</v>
      </c>
      <c r="AH90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09" spans="1:34" x14ac:dyDescent="0.3">
      <c r="A909" t="s">
        <v>63</v>
      </c>
      <c r="B909" t="s">
        <v>64</v>
      </c>
      <c r="C909">
        <v>2026</v>
      </c>
      <c r="D909" t="s">
        <v>26</v>
      </c>
      <c r="E909" s="3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48</v>
      </c>
      <c r="N909">
        <v>5</v>
      </c>
      <c r="O909" t="s">
        <v>51</v>
      </c>
      <c r="P909">
        <v>21.7</v>
      </c>
      <c r="Q909">
        <v>1789</v>
      </c>
      <c r="R909">
        <v>4</v>
      </c>
      <c r="S909">
        <v>1</v>
      </c>
      <c r="T909" t="s">
        <v>65</v>
      </c>
      <c r="U909" t="s">
        <v>33</v>
      </c>
      <c r="V909" s="3">
        <v>171938</v>
      </c>
      <c r="W909">
        <v>3.56</v>
      </c>
      <c r="X909">
        <v>3</v>
      </c>
      <c r="Y909" s="1">
        <f>EV_Data4[[#This Row],[range_miles]]/EV_Data4[[#This Row],[battery_capacity_kwh]]</f>
        <v>3.4367245657568239</v>
      </c>
      <c r="Z909" s="4">
        <f>EV_Data4[[#This Row],[price_usd]]/EV_Data4[[#This Row],[range_miles]]</f>
        <v>345.7080144404332</v>
      </c>
      <c r="AA909" s="2">
        <f>(EV_Data4[[#This Row],[customer_rating]]*EV_Data4[[#This Row],[safety_rating]]*1000)/EV_Data4[[#This Row],[price_usd]]</f>
        <v>0.14870335685296915</v>
      </c>
      <c r="AB909">
        <f>EV_Data4[[#This Row],[horsepower]]+EV_Data4[[#This Row],[torque_nm]]/EV_Data4[[#This Row],[acceleration_0_60_mph]]</f>
        <v>1240.1041666666667</v>
      </c>
      <c r="AC909" t="str">
        <f>IF(EV_Data4[[#This Row],[price_usd]]&gt;=80000,"Luxury",IF(EV_Data4[[#This Row],[price_usd]]&gt;=40000,"Mid-Range","Budget"))</f>
        <v>Luxury</v>
      </c>
      <c r="AD909" t="str">
        <f>IF(EV_Data4[[#This Row],[range_miles]]&gt;=350,"Long-Range",IF(EV_Data4[[#This Row],[range_miles]]&gt;=250,"Medium-Range","Short-Range"))</f>
        <v>Medium-Range</v>
      </c>
      <c r="AE909" t="str">
        <f>IF(EV_Data4[[#This Row],[charging_speed_kw]]&gt;=250,"Ultra-Fast",IF(EV_Data4[[#This Row],[charging_speed_kw]]&gt;=150,"Fast-Charging","Standard-Charging"))</f>
        <v>Fast-Charging</v>
      </c>
      <c r="AF909" t="str">
        <f>IF(EV_Data4[[#This Row],[acceleration_0_60_mph]]&lt;=3,"SportsPerformance",IF(EV_Data4[[#This Row],[acceleration_0_60_mph]]&lt;=5,"HighPerformance","Standard"))</f>
        <v>HighPerformance</v>
      </c>
      <c r="AG909" t="str">
        <f>IF(EV_Data4[[#This Row],[customer_rating]]&gt;=4.5,"Excellent",IF(EV_Data4[[#This Row],[customer_rating]]&gt;=3.5,"Good","Average"))</f>
        <v>Good</v>
      </c>
      <c r="AH90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10" spans="1:34" x14ac:dyDescent="0.3">
      <c r="A910" t="s">
        <v>63</v>
      </c>
      <c r="B910" t="s">
        <v>107</v>
      </c>
      <c r="C910">
        <v>2024</v>
      </c>
      <c r="D910" t="s">
        <v>56</v>
      </c>
      <c r="E910" s="3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48</v>
      </c>
      <c r="N910">
        <v>5</v>
      </c>
      <c r="O910" t="s">
        <v>28</v>
      </c>
      <c r="P910">
        <v>72.7</v>
      </c>
      <c r="Q910">
        <v>2335</v>
      </c>
      <c r="R910">
        <v>5</v>
      </c>
      <c r="S910">
        <v>0</v>
      </c>
      <c r="T910" t="s">
        <v>65</v>
      </c>
      <c r="U910" t="s">
        <v>33</v>
      </c>
      <c r="V910" s="3">
        <v>228964</v>
      </c>
      <c r="W910">
        <v>3.42</v>
      </c>
      <c r="X910">
        <v>4</v>
      </c>
      <c r="Y910" s="1">
        <f>EV_Data4[[#This Row],[range_miles]]/EV_Data4[[#This Row],[battery_capacity_kwh]]</f>
        <v>3.5930735930735933</v>
      </c>
      <c r="Z910" s="4">
        <f>EV_Data4[[#This Row],[price_usd]]/EV_Data4[[#This Row],[range_miles]]</f>
        <v>304.14811244979921</v>
      </c>
      <c r="AA910" s="2">
        <f>(EV_Data4[[#This Row],[customer_rating]]*EV_Data4[[#This Row],[safety_rating]]*1000)/EV_Data4[[#This Row],[price_usd]]</f>
        <v>0.22579360510256574</v>
      </c>
      <c r="AB910">
        <f>EV_Data4[[#This Row],[horsepower]]+EV_Data4[[#This Row],[torque_nm]]/EV_Data4[[#This Row],[acceleration_0_60_mph]]</f>
        <v>924.02564102564099</v>
      </c>
      <c r="AC910" t="str">
        <f>IF(EV_Data4[[#This Row],[price_usd]]&gt;=80000,"Luxury",IF(EV_Data4[[#This Row],[price_usd]]&gt;=40000,"Mid-Range","Budget"))</f>
        <v>Mid-Range</v>
      </c>
      <c r="AD910" t="str">
        <f>IF(EV_Data4[[#This Row],[range_miles]]&gt;=350,"Long-Range",IF(EV_Data4[[#This Row],[range_miles]]&gt;=250,"Medium-Range","Short-Range"))</f>
        <v>Short-Range</v>
      </c>
      <c r="AE910" t="str">
        <f>IF(EV_Data4[[#This Row],[charging_speed_kw]]&gt;=250,"Ultra-Fast",IF(EV_Data4[[#This Row],[charging_speed_kw]]&gt;=150,"Fast-Charging","Standard-Charging"))</f>
        <v>Standard-Charging</v>
      </c>
      <c r="AF910" t="str">
        <f>IF(EV_Data4[[#This Row],[acceleration_0_60_mph]]&lt;=3,"SportsPerformance",IF(EV_Data4[[#This Row],[acceleration_0_60_mph]]&lt;=5,"HighPerformance","Standard"))</f>
        <v>Standard</v>
      </c>
      <c r="AG910" t="str">
        <f>IF(EV_Data4[[#This Row],[customer_rating]]&gt;=4.5,"Excellent",IF(EV_Data4[[#This Row],[customer_rating]]&gt;=3.5,"Good","Average"))</f>
        <v>Average</v>
      </c>
      <c r="AH91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11" spans="1:34" x14ac:dyDescent="0.3">
      <c r="A911" t="s">
        <v>24</v>
      </c>
      <c r="B911" t="s">
        <v>25</v>
      </c>
      <c r="C911">
        <v>2024</v>
      </c>
      <c r="D911" t="s">
        <v>33</v>
      </c>
      <c r="E911" s="3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48</v>
      </c>
      <c r="N911">
        <v>5</v>
      </c>
      <c r="O911" t="s">
        <v>51</v>
      </c>
      <c r="P911">
        <v>19.399999999999999</v>
      </c>
      <c r="Q911">
        <v>1522</v>
      </c>
      <c r="R911">
        <v>5</v>
      </c>
      <c r="S911">
        <v>1</v>
      </c>
      <c r="T911" t="s">
        <v>29</v>
      </c>
      <c r="U911" t="s">
        <v>33</v>
      </c>
      <c r="V911" s="3">
        <v>290963</v>
      </c>
      <c r="W911">
        <v>3.67</v>
      </c>
      <c r="X911">
        <v>4</v>
      </c>
      <c r="Y911" s="1">
        <f>EV_Data4[[#This Row],[range_miles]]/EV_Data4[[#This Row],[battery_capacity_kwh]]</f>
        <v>3.4159779614325072</v>
      </c>
      <c r="Z911" s="4">
        <f>EV_Data4[[#This Row],[price_usd]]/EV_Data4[[#This Row],[range_miles]]</f>
        <v>298.57709677419354</v>
      </c>
      <c r="AA911" s="2">
        <f>(EV_Data4[[#This Row],[customer_rating]]*EV_Data4[[#This Row],[safety_rating]]*1000)/EV_Data4[[#This Row],[price_usd]]</f>
        <v>0.24781517498587388</v>
      </c>
      <c r="AB911">
        <f>EV_Data4[[#This Row],[horsepower]]+EV_Data4[[#This Row],[torque_nm]]/EV_Data4[[#This Row],[acceleration_0_60_mph]]</f>
        <v>917.84375</v>
      </c>
      <c r="AC911" t="str">
        <f>IF(EV_Data4[[#This Row],[price_usd]]&gt;=80000,"Luxury",IF(EV_Data4[[#This Row],[price_usd]]&gt;=40000,"Mid-Range","Budget"))</f>
        <v>Mid-Range</v>
      </c>
      <c r="AD911" t="str">
        <f>IF(EV_Data4[[#This Row],[range_miles]]&gt;=350,"Long-Range",IF(EV_Data4[[#This Row],[range_miles]]&gt;=250,"Medium-Range","Short-Range"))</f>
        <v>Short-Range</v>
      </c>
      <c r="AE911" t="str">
        <f>IF(EV_Data4[[#This Row],[charging_speed_kw]]&gt;=250,"Ultra-Fast",IF(EV_Data4[[#This Row],[charging_speed_kw]]&gt;=150,"Fast-Charging","Standard-Charging"))</f>
        <v>Standard-Charging</v>
      </c>
      <c r="AF911" t="str">
        <f>IF(EV_Data4[[#This Row],[acceleration_0_60_mph]]&lt;=3,"SportsPerformance",IF(EV_Data4[[#This Row],[acceleration_0_60_mph]]&lt;=5,"HighPerformance","Standard"))</f>
        <v>Standard</v>
      </c>
      <c r="AG911" t="str">
        <f>IF(EV_Data4[[#This Row],[customer_rating]]&gt;=4.5,"Excellent",IF(EV_Data4[[#This Row],[customer_rating]]&gt;=3.5,"Good","Average"))</f>
        <v>Good</v>
      </c>
      <c r="AH91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12" spans="1:34" x14ac:dyDescent="0.3">
      <c r="A912" t="s">
        <v>42</v>
      </c>
      <c r="B912" t="s">
        <v>54</v>
      </c>
      <c r="C912">
        <v>2026</v>
      </c>
      <c r="D912" t="s">
        <v>26</v>
      </c>
      <c r="E912" s="3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27</v>
      </c>
      <c r="N912">
        <v>5</v>
      </c>
      <c r="O912" t="s">
        <v>40</v>
      </c>
      <c r="P912">
        <v>71</v>
      </c>
      <c r="Q912">
        <v>1525</v>
      </c>
      <c r="R912">
        <v>4</v>
      </c>
      <c r="S912">
        <v>0</v>
      </c>
      <c r="T912" t="s">
        <v>45</v>
      </c>
      <c r="U912" t="s">
        <v>33</v>
      </c>
      <c r="V912" s="3">
        <v>54833</v>
      </c>
      <c r="W912">
        <v>3.25</v>
      </c>
      <c r="X912">
        <v>4</v>
      </c>
      <c r="Y912" s="1">
        <f>EV_Data4[[#This Row],[range_miles]]/EV_Data4[[#This Row],[battery_capacity_kwh]]</f>
        <v>3.682758620689655</v>
      </c>
      <c r="Z912" s="4">
        <f>EV_Data4[[#This Row],[price_usd]]/EV_Data4[[#This Row],[range_miles]]</f>
        <v>340.94865168539326</v>
      </c>
      <c r="AA912" s="2">
        <f>(EV_Data4[[#This Row],[customer_rating]]*EV_Data4[[#This Row],[safety_rating]]*1000)/EV_Data4[[#This Row],[price_usd]]</f>
        <v>0.14280490137179488</v>
      </c>
      <c r="AB912">
        <f>EV_Data4[[#This Row],[horsepower]]+EV_Data4[[#This Row],[torque_nm]]/EV_Data4[[#This Row],[acceleration_0_60_mph]]</f>
        <v>1275.8720930232557</v>
      </c>
      <c r="AC912" t="str">
        <f>IF(EV_Data4[[#This Row],[price_usd]]&gt;=80000,"Luxury",IF(EV_Data4[[#This Row],[price_usd]]&gt;=40000,"Mid-Range","Budget"))</f>
        <v>Luxury</v>
      </c>
      <c r="AD912" t="str">
        <f>IF(EV_Data4[[#This Row],[range_miles]]&gt;=350,"Long-Range",IF(EV_Data4[[#This Row],[range_miles]]&gt;=250,"Medium-Range","Short-Range"))</f>
        <v>Medium-Range</v>
      </c>
      <c r="AE912" t="str">
        <f>IF(EV_Data4[[#This Row],[charging_speed_kw]]&gt;=250,"Ultra-Fast",IF(EV_Data4[[#This Row],[charging_speed_kw]]&gt;=150,"Fast-Charging","Standard-Charging"))</f>
        <v>Fast-Charging</v>
      </c>
      <c r="AF912" t="str">
        <f>IF(EV_Data4[[#This Row],[acceleration_0_60_mph]]&lt;=3,"SportsPerformance",IF(EV_Data4[[#This Row],[acceleration_0_60_mph]]&lt;=5,"HighPerformance","Standard"))</f>
        <v>HighPerformance</v>
      </c>
      <c r="AG912" t="str">
        <f>IF(EV_Data4[[#This Row],[customer_rating]]&gt;=4.5,"Excellent",IF(EV_Data4[[#This Row],[customer_rating]]&gt;=3.5,"Good","Average"))</f>
        <v>Average</v>
      </c>
      <c r="AH91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13" spans="1:34" x14ac:dyDescent="0.3">
      <c r="A913" t="s">
        <v>63</v>
      </c>
      <c r="B913" t="s">
        <v>67</v>
      </c>
      <c r="C913">
        <v>2024</v>
      </c>
      <c r="D913" t="s">
        <v>61</v>
      </c>
      <c r="E913" s="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27</v>
      </c>
      <c r="N913">
        <v>7</v>
      </c>
      <c r="O913" t="s">
        <v>50</v>
      </c>
      <c r="P913">
        <v>39.5</v>
      </c>
      <c r="Q913">
        <v>1578</v>
      </c>
      <c r="R913">
        <v>4</v>
      </c>
      <c r="S913">
        <v>2</v>
      </c>
      <c r="T913" t="s">
        <v>65</v>
      </c>
      <c r="U913" t="s">
        <v>66</v>
      </c>
      <c r="V913" s="3">
        <v>206164</v>
      </c>
      <c r="W913">
        <v>3</v>
      </c>
      <c r="X913">
        <v>4</v>
      </c>
      <c r="Y913" s="1">
        <f>EV_Data4[[#This Row],[range_miles]]/EV_Data4[[#This Row],[battery_capacity_kwh]]</f>
        <v>3.489795918367347</v>
      </c>
      <c r="Z913" s="4">
        <f>EV_Data4[[#This Row],[price_usd]]/EV_Data4[[#This Row],[range_miles]]</f>
        <v>180.36894736842106</v>
      </c>
      <c r="AA913" s="2">
        <f>(EV_Data4[[#This Row],[customer_rating]]*EV_Data4[[#This Row],[safety_rating]]*1000)/EV_Data4[[#This Row],[price_usd]]</f>
        <v>0.38906607606436322</v>
      </c>
      <c r="AB913">
        <f>EV_Data4[[#This Row],[horsepower]]+EV_Data4[[#This Row],[torque_nm]]/EV_Data4[[#This Row],[acceleration_0_60_mph]]</f>
        <v>351.98642533936652</v>
      </c>
      <c r="AC913" t="str">
        <f>IF(EV_Data4[[#This Row],[price_usd]]&gt;=80000,"Luxury",IF(EV_Data4[[#This Row],[price_usd]]&gt;=40000,"Mid-Range","Budget"))</f>
        <v>Budget</v>
      </c>
      <c r="AD913" t="str">
        <f>IF(EV_Data4[[#This Row],[range_miles]]&gt;=350,"Long-Range",IF(EV_Data4[[#This Row],[range_miles]]&gt;=250,"Medium-Range","Short-Range"))</f>
        <v>Short-Range</v>
      </c>
      <c r="AE913" t="str">
        <f>IF(EV_Data4[[#This Row],[charging_speed_kw]]&gt;=250,"Ultra-Fast",IF(EV_Data4[[#This Row],[charging_speed_kw]]&gt;=150,"Fast-Charging","Standard-Charging"))</f>
        <v>Standard-Charging</v>
      </c>
      <c r="AF913" t="str">
        <f>IF(EV_Data4[[#This Row],[acceleration_0_60_mph]]&lt;=3,"SportsPerformance",IF(EV_Data4[[#This Row],[acceleration_0_60_mph]]&lt;=5,"HighPerformance","Standard"))</f>
        <v>Standard</v>
      </c>
      <c r="AG913" t="str">
        <f>IF(EV_Data4[[#This Row],[customer_rating]]&gt;=4.5,"Excellent",IF(EV_Data4[[#This Row],[customer_rating]]&gt;=3.5,"Good","Average"))</f>
        <v>Average</v>
      </c>
      <c r="AH91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14" spans="1:34" x14ac:dyDescent="0.3">
      <c r="A914" t="s">
        <v>83</v>
      </c>
      <c r="B914" t="s">
        <v>114</v>
      </c>
      <c r="C914">
        <v>2021</v>
      </c>
      <c r="D914" t="s">
        <v>33</v>
      </c>
      <c r="E914" s="3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34</v>
      </c>
      <c r="N914">
        <v>5</v>
      </c>
      <c r="O914" t="s">
        <v>28</v>
      </c>
      <c r="P914">
        <v>58.7</v>
      </c>
      <c r="Q914">
        <v>2464</v>
      </c>
      <c r="R914">
        <v>5</v>
      </c>
      <c r="S914">
        <v>1</v>
      </c>
      <c r="T914" t="s">
        <v>29</v>
      </c>
      <c r="U914" t="s">
        <v>30</v>
      </c>
      <c r="V914" s="3">
        <v>48199</v>
      </c>
      <c r="W914">
        <v>3.44</v>
      </c>
      <c r="X914">
        <v>5</v>
      </c>
      <c r="Y914" s="1">
        <f>EV_Data4[[#This Row],[range_miles]]/EV_Data4[[#This Row],[battery_capacity_kwh]]</f>
        <v>3.6535433070866143</v>
      </c>
      <c r="Z914" s="4">
        <f>EV_Data4[[#This Row],[price_usd]]/EV_Data4[[#This Row],[range_miles]]</f>
        <v>599.22633620689658</v>
      </c>
      <c r="AA914" s="2">
        <f>(EV_Data4[[#This Row],[customer_rating]]*EV_Data4[[#This Row],[safety_rating]]*1000)/EV_Data4[[#This Row],[price_usd]]</f>
        <v>0.12372275141272319</v>
      </c>
      <c r="AB914">
        <f>EV_Data4[[#This Row],[horsepower]]+EV_Data4[[#This Row],[torque_nm]]/EV_Data4[[#This Row],[acceleration_0_60_mph]]</f>
        <v>1121.1734693877552</v>
      </c>
      <c r="AC914" t="str">
        <f>IF(EV_Data4[[#This Row],[price_usd]]&gt;=80000,"Luxury",IF(EV_Data4[[#This Row],[price_usd]]&gt;=40000,"Mid-Range","Budget"))</f>
        <v>Luxury</v>
      </c>
      <c r="AD914" t="str">
        <f>IF(EV_Data4[[#This Row],[range_miles]]&gt;=350,"Long-Range",IF(EV_Data4[[#This Row],[range_miles]]&gt;=250,"Medium-Range","Short-Range"))</f>
        <v>Short-Range</v>
      </c>
      <c r="AE914" t="str">
        <f>IF(EV_Data4[[#This Row],[charging_speed_kw]]&gt;=250,"Ultra-Fast",IF(EV_Data4[[#This Row],[charging_speed_kw]]&gt;=150,"Fast-Charging","Standard-Charging"))</f>
        <v>Standard-Charging</v>
      </c>
      <c r="AF914" t="str">
        <f>IF(EV_Data4[[#This Row],[acceleration_0_60_mph]]&lt;=3,"SportsPerformance",IF(EV_Data4[[#This Row],[acceleration_0_60_mph]]&lt;=5,"HighPerformance","Standard"))</f>
        <v>Standard</v>
      </c>
      <c r="AG914" t="str">
        <f>IF(EV_Data4[[#This Row],[customer_rating]]&gt;=4.5,"Excellent",IF(EV_Data4[[#This Row],[customer_rating]]&gt;=3.5,"Good","Average"))</f>
        <v>Average</v>
      </c>
      <c r="AH91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15" spans="1:34" x14ac:dyDescent="0.3">
      <c r="A915" t="s">
        <v>24</v>
      </c>
      <c r="B915" t="s">
        <v>75</v>
      </c>
      <c r="C915">
        <v>2021</v>
      </c>
      <c r="D915" t="s">
        <v>61</v>
      </c>
      <c r="E915" s="3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48</v>
      </c>
      <c r="N915">
        <v>7</v>
      </c>
      <c r="O915" t="s">
        <v>28</v>
      </c>
      <c r="P915">
        <v>54.4</v>
      </c>
      <c r="Q915">
        <v>2360</v>
      </c>
      <c r="R915">
        <v>3</v>
      </c>
      <c r="S915">
        <v>1</v>
      </c>
      <c r="T915" t="s">
        <v>29</v>
      </c>
      <c r="U915" t="s">
        <v>37</v>
      </c>
      <c r="V915" s="3">
        <v>256880</v>
      </c>
      <c r="W915">
        <v>3.23</v>
      </c>
      <c r="X915">
        <v>3</v>
      </c>
      <c r="Y915" s="1">
        <f>EV_Data4[[#This Row],[range_miles]]/EV_Data4[[#This Row],[battery_capacity_kwh]]</f>
        <v>3.3088235294117645</v>
      </c>
      <c r="Z915" s="4">
        <f>EV_Data4[[#This Row],[price_usd]]/EV_Data4[[#This Row],[range_miles]]</f>
        <v>268.41088888888885</v>
      </c>
      <c r="AA915" s="2">
        <f>(EV_Data4[[#This Row],[customer_rating]]*EV_Data4[[#This Row],[safety_rating]]*1000)/EV_Data4[[#This Row],[price_usd]]</f>
        <v>0.16045051989114534</v>
      </c>
      <c r="AB915">
        <f>EV_Data4[[#This Row],[horsepower]]+EV_Data4[[#This Row],[torque_nm]]/EV_Data4[[#This Row],[acceleration_0_60_mph]]</f>
        <v>699.84065934065939</v>
      </c>
      <c r="AC915" t="str">
        <f>IF(EV_Data4[[#This Row],[price_usd]]&gt;=80000,"Luxury",IF(EV_Data4[[#This Row],[price_usd]]&gt;=40000,"Mid-Range","Budget"))</f>
        <v>Mid-Range</v>
      </c>
      <c r="AD915" t="str">
        <f>IF(EV_Data4[[#This Row],[range_miles]]&gt;=350,"Long-Range",IF(EV_Data4[[#This Row],[range_miles]]&gt;=250,"Medium-Range","Short-Range"))</f>
        <v>Short-Range</v>
      </c>
      <c r="AE915" t="str">
        <f>IF(EV_Data4[[#This Row],[charging_speed_kw]]&gt;=250,"Ultra-Fast",IF(EV_Data4[[#This Row],[charging_speed_kw]]&gt;=150,"Fast-Charging","Standard-Charging"))</f>
        <v>Standard-Charging</v>
      </c>
      <c r="AF915" t="str">
        <f>IF(EV_Data4[[#This Row],[acceleration_0_60_mph]]&lt;=3,"SportsPerformance",IF(EV_Data4[[#This Row],[acceleration_0_60_mph]]&lt;=5,"HighPerformance","Standard"))</f>
        <v>Standard</v>
      </c>
      <c r="AG915" t="str">
        <f>IF(EV_Data4[[#This Row],[customer_rating]]&gt;=4.5,"Excellent",IF(EV_Data4[[#This Row],[customer_rating]]&gt;=3.5,"Good","Average"))</f>
        <v>Average</v>
      </c>
      <c r="AH91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16" spans="1:34" x14ac:dyDescent="0.3">
      <c r="A916" t="s">
        <v>42</v>
      </c>
      <c r="B916" t="s">
        <v>43</v>
      </c>
      <c r="C916">
        <v>2020</v>
      </c>
      <c r="D916" t="s">
        <v>61</v>
      </c>
      <c r="E916" s="3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48</v>
      </c>
      <c r="N916">
        <v>5</v>
      </c>
      <c r="O916" t="s">
        <v>35</v>
      </c>
      <c r="P916">
        <v>46.3</v>
      </c>
      <c r="Q916">
        <v>1818</v>
      </c>
      <c r="R916">
        <v>5</v>
      </c>
      <c r="S916">
        <v>1</v>
      </c>
      <c r="T916" t="s">
        <v>45</v>
      </c>
      <c r="U916" t="s">
        <v>66</v>
      </c>
      <c r="V916" s="3">
        <v>147499</v>
      </c>
      <c r="W916">
        <v>3.27</v>
      </c>
      <c r="X916">
        <v>4</v>
      </c>
      <c r="Y916" s="1">
        <f>EV_Data4[[#This Row],[range_miles]]/EV_Data4[[#This Row],[battery_capacity_kwh]]</f>
        <v>3.3905013192612139</v>
      </c>
      <c r="Z916" s="4">
        <f>EV_Data4[[#This Row],[price_usd]]/EV_Data4[[#This Row],[range_miles]]</f>
        <v>104.01536964980545</v>
      </c>
      <c r="AA916" s="2">
        <f>(EV_Data4[[#This Row],[customer_rating]]*EV_Data4[[#This Row],[safety_rating]]*1000)/EV_Data4[[#This Row],[price_usd]]</f>
        <v>0.61162765903721961</v>
      </c>
      <c r="AB916">
        <f>EV_Data4[[#This Row],[horsepower]]+EV_Data4[[#This Row],[torque_nm]]/EV_Data4[[#This Row],[acceleration_0_60_mph]]</f>
        <v>226.50083752093803</v>
      </c>
      <c r="AC916" t="str">
        <f>IF(EV_Data4[[#This Row],[price_usd]]&gt;=80000,"Luxury",IF(EV_Data4[[#This Row],[price_usd]]&gt;=40000,"Mid-Range","Budget"))</f>
        <v>Budget</v>
      </c>
      <c r="AD916" t="str">
        <f>IF(EV_Data4[[#This Row],[range_miles]]&gt;=350,"Long-Range",IF(EV_Data4[[#This Row],[range_miles]]&gt;=250,"Medium-Range","Short-Range"))</f>
        <v>Medium-Range</v>
      </c>
      <c r="AE916" t="str">
        <f>IF(EV_Data4[[#This Row],[charging_speed_kw]]&gt;=250,"Ultra-Fast",IF(EV_Data4[[#This Row],[charging_speed_kw]]&gt;=150,"Fast-Charging","Standard-Charging"))</f>
        <v>Standard-Charging</v>
      </c>
      <c r="AF916" t="str">
        <f>IF(EV_Data4[[#This Row],[acceleration_0_60_mph]]&lt;=3,"SportsPerformance",IF(EV_Data4[[#This Row],[acceleration_0_60_mph]]&lt;=5,"HighPerformance","Standard"))</f>
        <v>Standard</v>
      </c>
      <c r="AG916" t="str">
        <f>IF(EV_Data4[[#This Row],[customer_rating]]&gt;=4.5,"Excellent",IF(EV_Data4[[#This Row],[customer_rating]]&gt;=3.5,"Good","Average"))</f>
        <v>Average</v>
      </c>
      <c r="AH91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17" spans="1:34" x14ac:dyDescent="0.3">
      <c r="A917" t="s">
        <v>24</v>
      </c>
      <c r="B917" t="s">
        <v>25</v>
      </c>
      <c r="C917">
        <v>2024</v>
      </c>
      <c r="D917" t="s">
        <v>44</v>
      </c>
      <c r="E917" s="3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34</v>
      </c>
      <c r="N917">
        <v>5</v>
      </c>
      <c r="O917" t="s">
        <v>50</v>
      </c>
      <c r="P917">
        <v>16.100000000000001</v>
      </c>
      <c r="Q917">
        <v>1613</v>
      </c>
      <c r="R917">
        <v>4</v>
      </c>
      <c r="S917">
        <v>1</v>
      </c>
      <c r="T917" t="s">
        <v>29</v>
      </c>
      <c r="U917" t="s">
        <v>33</v>
      </c>
      <c r="V917" s="3">
        <v>289608</v>
      </c>
      <c r="W917">
        <v>3.58</v>
      </c>
      <c r="X917">
        <v>3</v>
      </c>
      <c r="Y917" s="1">
        <f>EV_Data4[[#This Row],[range_miles]]/EV_Data4[[#This Row],[battery_capacity_kwh]]</f>
        <v>3.4821428571428572</v>
      </c>
      <c r="Z917" s="4">
        <f>EV_Data4[[#This Row],[price_usd]]/EV_Data4[[#This Row],[range_miles]]</f>
        <v>226.39416666666665</v>
      </c>
      <c r="AA917" s="2">
        <f>(EV_Data4[[#This Row],[customer_rating]]*EV_Data4[[#This Row],[safety_rating]]*1000)/EV_Data4[[#This Row],[price_usd]]</f>
        <v>0.20273241388331958</v>
      </c>
      <c r="AB917">
        <f>EV_Data4[[#This Row],[horsepower]]+EV_Data4[[#This Row],[torque_nm]]/EV_Data4[[#This Row],[acceleration_0_60_mph]]</f>
        <v>858.8648648648649</v>
      </c>
      <c r="AC917" t="str">
        <f>IF(EV_Data4[[#This Row],[price_usd]]&gt;=80000,"Luxury",IF(EV_Data4[[#This Row],[price_usd]]&gt;=40000,"Mid-Range","Budget"))</f>
        <v>Mid-Range</v>
      </c>
      <c r="AD917" t="str">
        <f>IF(EV_Data4[[#This Row],[range_miles]]&gt;=350,"Long-Range",IF(EV_Data4[[#This Row],[range_miles]]&gt;=250,"Medium-Range","Short-Range"))</f>
        <v>Medium-Range</v>
      </c>
      <c r="AE917" t="str">
        <f>IF(EV_Data4[[#This Row],[charging_speed_kw]]&gt;=250,"Ultra-Fast",IF(EV_Data4[[#This Row],[charging_speed_kw]]&gt;=150,"Fast-Charging","Standard-Charging"))</f>
        <v>Standard-Charging</v>
      </c>
      <c r="AF917" t="str">
        <f>IF(EV_Data4[[#This Row],[acceleration_0_60_mph]]&lt;=3,"SportsPerformance",IF(EV_Data4[[#This Row],[acceleration_0_60_mph]]&lt;=5,"HighPerformance","Standard"))</f>
        <v>Standard</v>
      </c>
      <c r="AG917" t="str">
        <f>IF(EV_Data4[[#This Row],[customer_rating]]&gt;=4.5,"Excellent",IF(EV_Data4[[#This Row],[customer_rating]]&gt;=3.5,"Good","Average"))</f>
        <v>Good</v>
      </c>
      <c r="AH91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18" spans="1:34" x14ac:dyDescent="0.3">
      <c r="A918" t="s">
        <v>63</v>
      </c>
      <c r="B918" t="s">
        <v>96</v>
      </c>
      <c r="C918">
        <v>2023</v>
      </c>
      <c r="D918" t="s">
        <v>33</v>
      </c>
      <c r="E918" s="3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27</v>
      </c>
      <c r="N918">
        <v>5</v>
      </c>
      <c r="O918" t="s">
        <v>28</v>
      </c>
      <c r="P918">
        <v>67.900000000000006</v>
      </c>
      <c r="Q918">
        <v>2438</v>
      </c>
      <c r="R918">
        <v>3</v>
      </c>
      <c r="S918">
        <v>0</v>
      </c>
      <c r="T918" t="s">
        <v>65</v>
      </c>
      <c r="U918" t="s">
        <v>66</v>
      </c>
      <c r="V918" s="3">
        <v>112218</v>
      </c>
      <c r="W918">
        <v>3.59</v>
      </c>
      <c r="X918">
        <v>4</v>
      </c>
      <c r="Y918" s="1">
        <f>EV_Data4[[#This Row],[range_miles]]/EV_Data4[[#This Row],[battery_capacity_kwh]]</f>
        <v>3.7524950099800396</v>
      </c>
      <c r="Z918" s="4">
        <f>EV_Data4[[#This Row],[price_usd]]/EV_Data4[[#This Row],[range_miles]]</f>
        <v>137.20356382978724</v>
      </c>
      <c r="AA918" s="2">
        <f>(EV_Data4[[#This Row],[customer_rating]]*EV_Data4[[#This Row],[safety_rating]]*1000)/EV_Data4[[#This Row],[price_usd]]</f>
        <v>0.41753459198496412</v>
      </c>
      <c r="AB918">
        <f>EV_Data4[[#This Row],[horsepower]]+EV_Data4[[#This Row],[torque_nm]]/EV_Data4[[#This Row],[acceleration_0_60_mph]]</f>
        <v>241.80645161290323</v>
      </c>
      <c r="AC918" t="str">
        <f>IF(EV_Data4[[#This Row],[price_usd]]&gt;=80000,"Luxury",IF(EV_Data4[[#This Row],[price_usd]]&gt;=40000,"Mid-Range","Budget"))</f>
        <v>Budget</v>
      </c>
      <c r="AD918" t="str">
        <f>IF(EV_Data4[[#This Row],[range_miles]]&gt;=350,"Long-Range",IF(EV_Data4[[#This Row],[range_miles]]&gt;=250,"Medium-Range","Short-Range"))</f>
        <v>Short-Range</v>
      </c>
      <c r="AE918" t="str">
        <f>IF(EV_Data4[[#This Row],[charging_speed_kw]]&gt;=250,"Ultra-Fast",IF(EV_Data4[[#This Row],[charging_speed_kw]]&gt;=150,"Fast-Charging","Standard-Charging"))</f>
        <v>Standard-Charging</v>
      </c>
      <c r="AF918" t="str">
        <f>IF(EV_Data4[[#This Row],[acceleration_0_60_mph]]&lt;=3,"SportsPerformance",IF(EV_Data4[[#This Row],[acceleration_0_60_mph]]&lt;=5,"HighPerformance","Standard"))</f>
        <v>Standard</v>
      </c>
      <c r="AG918" t="str">
        <f>IF(EV_Data4[[#This Row],[customer_rating]]&gt;=4.5,"Excellent",IF(EV_Data4[[#This Row],[customer_rating]]&gt;=3.5,"Good","Average"))</f>
        <v>Good</v>
      </c>
      <c r="AH91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19" spans="1:34" x14ac:dyDescent="0.3">
      <c r="A919" t="s">
        <v>31</v>
      </c>
      <c r="B919" t="s">
        <v>112</v>
      </c>
      <c r="C919">
        <v>2024</v>
      </c>
      <c r="D919" t="s">
        <v>26</v>
      </c>
      <c r="E919" s="3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27</v>
      </c>
      <c r="N919">
        <v>5</v>
      </c>
      <c r="O919" t="s">
        <v>51</v>
      </c>
      <c r="P919">
        <v>38.799999999999997</v>
      </c>
      <c r="Q919">
        <v>1660</v>
      </c>
      <c r="R919">
        <v>5</v>
      </c>
      <c r="S919">
        <v>0</v>
      </c>
      <c r="T919" t="s">
        <v>36</v>
      </c>
      <c r="U919" t="s">
        <v>33</v>
      </c>
      <c r="V919" s="3">
        <v>1723</v>
      </c>
      <c r="W919">
        <v>3.95</v>
      </c>
      <c r="X919">
        <v>3</v>
      </c>
      <c r="Y919" s="1">
        <f>EV_Data4[[#This Row],[range_miles]]/EV_Data4[[#This Row],[battery_capacity_kwh]]</f>
        <v>3.5018382352941178</v>
      </c>
      <c r="Z919" s="4">
        <f>EV_Data4[[#This Row],[price_usd]]/EV_Data4[[#This Row],[range_miles]]</f>
        <v>247.26976377952755</v>
      </c>
      <c r="AA919" s="2">
        <f>(EV_Data4[[#This Row],[customer_rating]]*EV_Data4[[#This Row],[safety_rating]]*1000)/EV_Data4[[#This Row],[price_usd]]</f>
        <v>0.20963853222032788</v>
      </c>
      <c r="AB919">
        <f>EV_Data4[[#This Row],[horsepower]]+EV_Data4[[#This Row],[torque_nm]]/EV_Data4[[#This Row],[acceleration_0_60_mph]]</f>
        <v>1347.6744186046512</v>
      </c>
      <c r="AC919" t="str">
        <f>IF(EV_Data4[[#This Row],[price_usd]]&gt;=80000,"Luxury",IF(EV_Data4[[#This Row],[price_usd]]&gt;=40000,"Mid-Range","Budget"))</f>
        <v>Luxury</v>
      </c>
      <c r="AD919" t="str">
        <f>IF(EV_Data4[[#This Row],[range_miles]]&gt;=350,"Long-Range",IF(EV_Data4[[#This Row],[range_miles]]&gt;=250,"Medium-Range","Short-Range"))</f>
        <v>Long-Range</v>
      </c>
      <c r="AE919" t="str">
        <f>IF(EV_Data4[[#This Row],[charging_speed_kw]]&gt;=250,"Ultra-Fast",IF(EV_Data4[[#This Row],[charging_speed_kw]]&gt;=150,"Fast-Charging","Standard-Charging"))</f>
        <v>Fast-Charging</v>
      </c>
      <c r="AF919" t="str">
        <f>IF(EV_Data4[[#This Row],[acceleration_0_60_mph]]&lt;=3,"SportsPerformance",IF(EV_Data4[[#This Row],[acceleration_0_60_mph]]&lt;=5,"HighPerformance","Standard"))</f>
        <v>SportsPerformance</v>
      </c>
      <c r="AG919" t="str">
        <f>IF(EV_Data4[[#This Row],[customer_rating]]&gt;=4.5,"Excellent",IF(EV_Data4[[#This Row],[customer_rating]]&gt;=3.5,"Good","Average"))</f>
        <v>Good</v>
      </c>
      <c r="AH91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20" spans="1:34" x14ac:dyDescent="0.3">
      <c r="A920" t="s">
        <v>76</v>
      </c>
      <c r="B920" t="s">
        <v>77</v>
      </c>
      <c r="C920">
        <v>2025</v>
      </c>
      <c r="D920" t="s">
        <v>26</v>
      </c>
      <c r="E920" s="3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48</v>
      </c>
      <c r="N920">
        <v>5</v>
      </c>
      <c r="O920" t="s">
        <v>51</v>
      </c>
      <c r="P920">
        <v>21.1</v>
      </c>
      <c r="Q920">
        <v>1500</v>
      </c>
      <c r="R920">
        <v>3</v>
      </c>
      <c r="S920">
        <v>1</v>
      </c>
      <c r="T920" t="s">
        <v>41</v>
      </c>
      <c r="U920" t="s">
        <v>37</v>
      </c>
      <c r="V920" s="3">
        <v>27560</v>
      </c>
      <c r="W920">
        <v>3.76</v>
      </c>
      <c r="X920">
        <v>5</v>
      </c>
      <c r="Y920" s="1">
        <f>EV_Data4[[#This Row],[range_miles]]/EV_Data4[[#This Row],[battery_capacity_kwh]]</f>
        <v>3.7433628318584069</v>
      </c>
      <c r="Z920" s="4">
        <f>EV_Data4[[#This Row],[price_usd]]/EV_Data4[[#This Row],[range_miles]]</f>
        <v>143.13645390070923</v>
      </c>
      <c r="AA920" s="2">
        <f>(EV_Data4[[#This Row],[customer_rating]]*EV_Data4[[#This Row],[safety_rating]]*1000)/EV_Data4[[#This Row],[price_usd]]</f>
        <v>0.18630241241804676</v>
      </c>
      <c r="AB920">
        <f>EV_Data4[[#This Row],[horsepower]]+EV_Data4[[#This Row],[torque_nm]]/EV_Data4[[#This Row],[acceleration_0_60_mph]]</f>
        <v>780.96815286624201</v>
      </c>
      <c r="AC920" t="str">
        <f>IF(EV_Data4[[#This Row],[price_usd]]&gt;=80000,"Luxury",IF(EV_Data4[[#This Row],[price_usd]]&gt;=40000,"Mid-Range","Budget"))</f>
        <v>Mid-Range</v>
      </c>
      <c r="AD920" t="str">
        <f>IF(EV_Data4[[#This Row],[range_miles]]&gt;=350,"Long-Range",IF(EV_Data4[[#This Row],[range_miles]]&gt;=250,"Medium-Range","Short-Range"))</f>
        <v>Long-Range</v>
      </c>
      <c r="AE920" t="str">
        <f>IF(EV_Data4[[#This Row],[charging_speed_kw]]&gt;=250,"Ultra-Fast",IF(EV_Data4[[#This Row],[charging_speed_kw]]&gt;=150,"Fast-Charging","Standard-Charging"))</f>
        <v>Fast-Charging</v>
      </c>
      <c r="AF920" t="str">
        <f>IF(EV_Data4[[#This Row],[acceleration_0_60_mph]]&lt;=3,"SportsPerformance",IF(EV_Data4[[#This Row],[acceleration_0_60_mph]]&lt;=5,"HighPerformance","Standard"))</f>
        <v>HighPerformance</v>
      </c>
      <c r="AG920" t="str">
        <f>IF(EV_Data4[[#This Row],[customer_rating]]&gt;=4.5,"Excellent",IF(EV_Data4[[#This Row],[customer_rating]]&gt;=3.5,"Good","Average"))</f>
        <v>Good</v>
      </c>
      <c r="AH92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21" spans="1:34" x14ac:dyDescent="0.3">
      <c r="A921" t="s">
        <v>46</v>
      </c>
      <c r="B921" t="s">
        <v>72</v>
      </c>
      <c r="C921">
        <v>2025</v>
      </c>
      <c r="D921" t="s">
        <v>33</v>
      </c>
      <c r="E921" s="3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27</v>
      </c>
      <c r="N921">
        <v>7</v>
      </c>
      <c r="O921" t="s">
        <v>28</v>
      </c>
      <c r="P921">
        <v>64.3</v>
      </c>
      <c r="Q921">
        <v>2453</v>
      </c>
      <c r="R921">
        <v>4</v>
      </c>
      <c r="S921">
        <v>2</v>
      </c>
      <c r="T921" t="s">
        <v>41</v>
      </c>
      <c r="U921" t="s">
        <v>30</v>
      </c>
      <c r="V921" s="3">
        <v>192321</v>
      </c>
      <c r="W921">
        <v>3.6</v>
      </c>
      <c r="X921">
        <v>5</v>
      </c>
      <c r="Y921" s="1">
        <f>EV_Data4[[#This Row],[range_miles]]/EV_Data4[[#This Row],[battery_capacity_kwh]]</f>
        <v>3.4382022471910112</v>
      </c>
      <c r="Z921" s="4">
        <f>EV_Data4[[#This Row],[price_usd]]/EV_Data4[[#This Row],[range_miles]]</f>
        <v>1114.691568627451</v>
      </c>
      <c r="AA921" s="2">
        <f>(EV_Data4[[#This Row],[customer_rating]]*EV_Data4[[#This Row],[safety_rating]]*1000)/EV_Data4[[#This Row],[price_usd]]</f>
        <v>8.4433801876435705E-2</v>
      </c>
      <c r="AB921">
        <f>EV_Data4[[#This Row],[horsepower]]+EV_Data4[[#This Row],[torque_nm]]/EV_Data4[[#This Row],[acceleration_0_60_mph]]</f>
        <v>1111.7276166456495</v>
      </c>
      <c r="AC921" t="str">
        <f>IF(EV_Data4[[#This Row],[price_usd]]&gt;=80000,"Luxury",IF(EV_Data4[[#This Row],[price_usd]]&gt;=40000,"Mid-Range","Budget"))</f>
        <v>Luxury</v>
      </c>
      <c r="AD921" t="str">
        <f>IF(EV_Data4[[#This Row],[range_miles]]&gt;=350,"Long-Range",IF(EV_Data4[[#This Row],[range_miles]]&gt;=250,"Medium-Range","Short-Range"))</f>
        <v>Short-Range</v>
      </c>
      <c r="AE921" t="str">
        <f>IF(EV_Data4[[#This Row],[charging_speed_kw]]&gt;=250,"Ultra-Fast",IF(EV_Data4[[#This Row],[charging_speed_kw]]&gt;=150,"Fast-Charging","Standard-Charging"))</f>
        <v>Fast-Charging</v>
      </c>
      <c r="AF921" t="str">
        <f>IF(EV_Data4[[#This Row],[acceleration_0_60_mph]]&lt;=3,"SportsPerformance",IF(EV_Data4[[#This Row],[acceleration_0_60_mph]]&lt;=5,"HighPerformance","Standard"))</f>
        <v>Standard</v>
      </c>
      <c r="AG921" t="str">
        <f>IF(EV_Data4[[#This Row],[customer_rating]]&gt;=4.5,"Excellent",IF(EV_Data4[[#This Row],[customer_rating]]&gt;=3.5,"Good","Average"))</f>
        <v>Good</v>
      </c>
      <c r="AH92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22" spans="1:34" x14ac:dyDescent="0.3">
      <c r="A922" t="s">
        <v>52</v>
      </c>
      <c r="B922" t="s">
        <v>62</v>
      </c>
      <c r="C922">
        <v>2023</v>
      </c>
      <c r="D922" t="s">
        <v>56</v>
      </c>
      <c r="E922" s="3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48</v>
      </c>
      <c r="N922">
        <v>5</v>
      </c>
      <c r="O922" t="s">
        <v>58</v>
      </c>
      <c r="P922">
        <v>32.200000000000003</v>
      </c>
      <c r="Q922">
        <v>1500</v>
      </c>
      <c r="R922">
        <v>4</v>
      </c>
      <c r="S922">
        <v>1</v>
      </c>
      <c r="T922" t="s">
        <v>29</v>
      </c>
      <c r="U922" t="s">
        <v>33</v>
      </c>
      <c r="V922" s="3">
        <v>59566</v>
      </c>
      <c r="W922">
        <v>3.91</v>
      </c>
      <c r="X922">
        <v>8</v>
      </c>
      <c r="Y922" s="1">
        <f>EV_Data4[[#This Row],[range_miles]]/EV_Data4[[#This Row],[battery_capacity_kwh]]</f>
        <v>3.9521800281293955</v>
      </c>
      <c r="Z922" s="4">
        <f>EV_Data4[[#This Row],[price_usd]]/EV_Data4[[#This Row],[range_miles]]</f>
        <v>292.49537366548043</v>
      </c>
      <c r="AA922" s="2">
        <f>(EV_Data4[[#This Row],[customer_rating]]*EV_Data4[[#This Row],[safety_rating]]*1000)/EV_Data4[[#This Row],[price_usd]]</f>
        <v>0.19028801136861367</v>
      </c>
      <c r="AB922">
        <f>EV_Data4[[#This Row],[horsepower]]+EV_Data4[[#This Row],[torque_nm]]/EV_Data4[[#This Row],[acceleration_0_60_mph]]</f>
        <v>409.69461077844312</v>
      </c>
      <c r="AC922" t="str">
        <f>IF(EV_Data4[[#This Row],[price_usd]]&gt;=80000,"Luxury",IF(EV_Data4[[#This Row],[price_usd]]&gt;=40000,"Mid-Range","Budget"))</f>
        <v>Luxury</v>
      </c>
      <c r="AD922" t="str">
        <f>IF(EV_Data4[[#This Row],[range_miles]]&gt;=350,"Long-Range",IF(EV_Data4[[#This Row],[range_miles]]&gt;=250,"Medium-Range","Short-Range"))</f>
        <v>Medium-Range</v>
      </c>
      <c r="AE922" t="str">
        <f>IF(EV_Data4[[#This Row],[charging_speed_kw]]&gt;=250,"Ultra-Fast",IF(EV_Data4[[#This Row],[charging_speed_kw]]&gt;=150,"Fast-Charging","Standard-Charging"))</f>
        <v>Standard-Charging</v>
      </c>
      <c r="AF922" t="str">
        <f>IF(EV_Data4[[#This Row],[acceleration_0_60_mph]]&lt;=3,"SportsPerformance",IF(EV_Data4[[#This Row],[acceleration_0_60_mph]]&lt;=5,"HighPerformance","Standard"))</f>
        <v>Standard</v>
      </c>
      <c r="AG922" t="str">
        <f>IF(EV_Data4[[#This Row],[customer_rating]]&gt;=4.5,"Excellent",IF(EV_Data4[[#This Row],[customer_rating]]&gt;=3.5,"Good","Average"))</f>
        <v>Good</v>
      </c>
      <c r="AH92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23" spans="1:34" x14ac:dyDescent="0.3">
      <c r="A923" t="s">
        <v>68</v>
      </c>
      <c r="B923" t="s">
        <v>79</v>
      </c>
      <c r="C923">
        <v>2025</v>
      </c>
      <c r="D923" t="s">
        <v>33</v>
      </c>
      <c r="E923" s="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27</v>
      </c>
      <c r="N923">
        <v>7</v>
      </c>
      <c r="O923" t="s">
        <v>50</v>
      </c>
      <c r="P923">
        <v>36.1</v>
      </c>
      <c r="Q923">
        <v>1597</v>
      </c>
      <c r="R923">
        <v>5</v>
      </c>
      <c r="S923">
        <v>0</v>
      </c>
      <c r="T923" t="s">
        <v>45</v>
      </c>
      <c r="U923" t="s">
        <v>30</v>
      </c>
      <c r="V923" s="3">
        <v>101360</v>
      </c>
      <c r="W923">
        <v>3.44</v>
      </c>
      <c r="X923">
        <v>4</v>
      </c>
      <c r="Y923" s="1">
        <f>EV_Data4[[#This Row],[range_miles]]/EV_Data4[[#This Row],[battery_capacity_kwh]]</f>
        <v>3.2231404958677685</v>
      </c>
      <c r="Z923" s="4">
        <f>EV_Data4[[#This Row],[price_usd]]/EV_Data4[[#This Row],[range_miles]]</f>
        <v>517.68117948717952</v>
      </c>
      <c r="AA923" s="2">
        <f>(EV_Data4[[#This Row],[customer_rating]]*EV_Data4[[#This Row],[safety_rating]]*1000)/EV_Data4[[#This Row],[price_usd]]</f>
        <v>0.17038503948029393</v>
      </c>
      <c r="AB923">
        <f>EV_Data4[[#This Row],[horsepower]]+EV_Data4[[#This Row],[torque_nm]]/EV_Data4[[#This Row],[acceleration_0_60_mph]]</f>
        <v>1114.6649810366625</v>
      </c>
      <c r="AC923" t="str">
        <f>IF(EV_Data4[[#This Row],[price_usd]]&gt;=80000,"Luxury",IF(EV_Data4[[#This Row],[price_usd]]&gt;=40000,"Mid-Range","Budget"))</f>
        <v>Luxury</v>
      </c>
      <c r="AD923" t="str">
        <f>IF(EV_Data4[[#This Row],[range_miles]]&gt;=350,"Long-Range",IF(EV_Data4[[#This Row],[range_miles]]&gt;=250,"Medium-Range","Short-Range"))</f>
        <v>Short-Range</v>
      </c>
      <c r="AE923" t="str">
        <f>IF(EV_Data4[[#This Row],[charging_speed_kw]]&gt;=250,"Ultra-Fast",IF(EV_Data4[[#This Row],[charging_speed_kw]]&gt;=150,"Fast-Charging","Standard-Charging"))</f>
        <v>Standard-Charging</v>
      </c>
      <c r="AF923" t="str">
        <f>IF(EV_Data4[[#This Row],[acceleration_0_60_mph]]&lt;=3,"SportsPerformance",IF(EV_Data4[[#This Row],[acceleration_0_60_mph]]&lt;=5,"HighPerformance","Standard"))</f>
        <v>Standard</v>
      </c>
      <c r="AG923" t="str">
        <f>IF(EV_Data4[[#This Row],[customer_rating]]&gt;=4.5,"Excellent",IF(EV_Data4[[#This Row],[customer_rating]]&gt;=3.5,"Good","Average"))</f>
        <v>Average</v>
      </c>
      <c r="AH92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24" spans="1:34" x14ac:dyDescent="0.3">
      <c r="A924" t="s">
        <v>86</v>
      </c>
      <c r="B924" t="s">
        <v>87</v>
      </c>
      <c r="C924">
        <v>2024</v>
      </c>
      <c r="D924" t="s">
        <v>56</v>
      </c>
      <c r="E924" s="3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34</v>
      </c>
      <c r="N924">
        <v>5</v>
      </c>
      <c r="O924" t="s">
        <v>28</v>
      </c>
      <c r="P924">
        <v>72.900000000000006</v>
      </c>
      <c r="Q924">
        <v>2498</v>
      </c>
      <c r="R924">
        <v>5</v>
      </c>
      <c r="S924">
        <v>2</v>
      </c>
      <c r="T924" t="s">
        <v>29</v>
      </c>
      <c r="U924" t="s">
        <v>30</v>
      </c>
      <c r="V924" s="3">
        <v>48443</v>
      </c>
      <c r="W924">
        <v>3.48</v>
      </c>
      <c r="X924">
        <v>7</v>
      </c>
      <c r="Y924" s="1">
        <f>EV_Data4[[#This Row],[range_miles]]/EV_Data4[[#This Row],[battery_capacity_kwh]]</f>
        <v>3.35</v>
      </c>
      <c r="Z924" s="4">
        <f>EV_Data4[[#This Row],[price_usd]]/EV_Data4[[#This Row],[range_miles]]</f>
        <v>398.2541791044776</v>
      </c>
      <c r="AA924" s="2">
        <f>(EV_Data4[[#This Row],[customer_rating]]*EV_Data4[[#This Row],[safety_rating]]*1000)/EV_Data4[[#This Row],[price_usd]]</f>
        <v>0.16302496380658418</v>
      </c>
      <c r="AB924">
        <f>EV_Data4[[#This Row],[horsepower]]+EV_Data4[[#This Row],[torque_nm]]/EV_Data4[[#This Row],[acceleration_0_60_mph]]</f>
        <v>902.15425531914889</v>
      </c>
      <c r="AC924" t="str">
        <f>IF(EV_Data4[[#This Row],[price_usd]]&gt;=80000,"Luxury",IF(EV_Data4[[#This Row],[price_usd]]&gt;=40000,"Mid-Range","Budget"))</f>
        <v>Luxury</v>
      </c>
      <c r="AD924" t="str">
        <f>IF(EV_Data4[[#This Row],[range_miles]]&gt;=350,"Long-Range",IF(EV_Data4[[#This Row],[range_miles]]&gt;=250,"Medium-Range","Short-Range"))</f>
        <v>Medium-Range</v>
      </c>
      <c r="AE924" t="str">
        <f>IF(EV_Data4[[#This Row],[charging_speed_kw]]&gt;=250,"Ultra-Fast",IF(EV_Data4[[#This Row],[charging_speed_kw]]&gt;=150,"Fast-Charging","Standard-Charging"))</f>
        <v>Standard-Charging</v>
      </c>
      <c r="AF924" t="str">
        <f>IF(EV_Data4[[#This Row],[acceleration_0_60_mph]]&lt;=3,"SportsPerformance",IF(EV_Data4[[#This Row],[acceleration_0_60_mph]]&lt;=5,"HighPerformance","Standard"))</f>
        <v>Standard</v>
      </c>
      <c r="AG924" t="str">
        <f>IF(EV_Data4[[#This Row],[customer_rating]]&gt;=4.5,"Excellent",IF(EV_Data4[[#This Row],[customer_rating]]&gt;=3.5,"Good","Average"))</f>
        <v>Average</v>
      </c>
      <c r="AH92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25" spans="1:34" x14ac:dyDescent="0.3">
      <c r="A925" t="s">
        <v>76</v>
      </c>
      <c r="B925" t="s">
        <v>98</v>
      </c>
      <c r="C925">
        <v>2026</v>
      </c>
      <c r="D925" t="s">
        <v>33</v>
      </c>
      <c r="E925" s="3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27</v>
      </c>
      <c r="N925">
        <v>7</v>
      </c>
      <c r="O925" t="s">
        <v>58</v>
      </c>
      <c r="P925">
        <v>39</v>
      </c>
      <c r="Q925">
        <v>1744</v>
      </c>
      <c r="R925">
        <v>5</v>
      </c>
      <c r="S925">
        <v>1</v>
      </c>
      <c r="T925" t="s">
        <v>41</v>
      </c>
      <c r="U925" t="s">
        <v>33</v>
      </c>
      <c r="V925" s="3">
        <v>45069</v>
      </c>
      <c r="W925">
        <v>3.49</v>
      </c>
      <c r="X925">
        <v>3</v>
      </c>
      <c r="Y925" s="1">
        <f>EV_Data4[[#This Row],[range_miles]]/EV_Data4[[#This Row],[battery_capacity_kwh]]</f>
        <v>3.6147443519619502</v>
      </c>
      <c r="Z925" s="4">
        <f>EV_Data4[[#This Row],[price_usd]]/EV_Data4[[#This Row],[range_miles]]</f>
        <v>322.31917763157895</v>
      </c>
      <c r="AA925" s="2">
        <f>(EV_Data4[[#This Row],[customer_rating]]*EV_Data4[[#This Row],[safety_rating]]*1000)/EV_Data4[[#This Row],[price_usd]]</f>
        <v>0.17808842840584937</v>
      </c>
      <c r="AB925">
        <f>EV_Data4[[#This Row],[horsepower]]+EV_Data4[[#This Row],[torque_nm]]/EV_Data4[[#This Row],[acceleration_0_60_mph]]</f>
        <v>1148.5294117647059</v>
      </c>
      <c r="AC925" t="str">
        <f>IF(EV_Data4[[#This Row],[price_usd]]&gt;=80000,"Luxury",IF(EV_Data4[[#This Row],[price_usd]]&gt;=40000,"Mid-Range","Budget"))</f>
        <v>Luxury</v>
      </c>
      <c r="AD925" t="str">
        <f>IF(EV_Data4[[#This Row],[range_miles]]&gt;=350,"Long-Range",IF(EV_Data4[[#This Row],[range_miles]]&gt;=250,"Medium-Range","Short-Range"))</f>
        <v>Medium-Range</v>
      </c>
      <c r="AE925" t="str">
        <f>IF(EV_Data4[[#This Row],[charging_speed_kw]]&gt;=250,"Ultra-Fast",IF(EV_Data4[[#This Row],[charging_speed_kw]]&gt;=150,"Fast-Charging","Standard-Charging"))</f>
        <v>Standard-Charging</v>
      </c>
      <c r="AF925" t="str">
        <f>IF(EV_Data4[[#This Row],[acceleration_0_60_mph]]&lt;=3,"SportsPerformance",IF(EV_Data4[[#This Row],[acceleration_0_60_mph]]&lt;=5,"HighPerformance","Standard"))</f>
        <v>Standard</v>
      </c>
      <c r="AG925" t="str">
        <f>IF(EV_Data4[[#This Row],[customer_rating]]&gt;=4.5,"Excellent",IF(EV_Data4[[#This Row],[customer_rating]]&gt;=3.5,"Good","Average"))</f>
        <v>Average</v>
      </c>
      <c r="AH92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26" spans="1:34" x14ac:dyDescent="0.3">
      <c r="A926" t="s">
        <v>24</v>
      </c>
      <c r="B926" t="s">
        <v>85</v>
      </c>
      <c r="C926">
        <v>2024</v>
      </c>
      <c r="D926" t="s">
        <v>56</v>
      </c>
      <c r="E926" s="3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34</v>
      </c>
      <c r="N926">
        <v>5</v>
      </c>
      <c r="O926" t="s">
        <v>51</v>
      </c>
      <c r="P926">
        <v>30.9</v>
      </c>
      <c r="Q926">
        <v>1516</v>
      </c>
      <c r="R926">
        <v>5</v>
      </c>
      <c r="S926">
        <v>0</v>
      </c>
      <c r="T926" t="s">
        <v>29</v>
      </c>
      <c r="U926" t="s">
        <v>37</v>
      </c>
      <c r="V926" s="3">
        <v>216258</v>
      </c>
      <c r="W926">
        <v>3.83</v>
      </c>
      <c r="X926">
        <v>3</v>
      </c>
      <c r="Y926" s="1">
        <f>EV_Data4[[#This Row],[range_miles]]/EV_Data4[[#This Row],[battery_capacity_kwh]]</f>
        <v>3.7275064267352187</v>
      </c>
      <c r="Z926" s="4">
        <f>EV_Data4[[#This Row],[price_usd]]/EV_Data4[[#This Row],[range_miles]]</f>
        <v>133.77513793103449</v>
      </c>
      <c r="AA926" s="2">
        <f>(EV_Data4[[#This Row],[customer_rating]]*EV_Data4[[#This Row],[safety_rating]]*1000)/EV_Data4[[#This Row],[price_usd]]</f>
        <v>0.49362298391098391</v>
      </c>
      <c r="AB926">
        <f>EV_Data4[[#This Row],[horsepower]]+EV_Data4[[#This Row],[torque_nm]]/EV_Data4[[#This Row],[acceleration_0_60_mph]]</f>
        <v>335.38080959520238</v>
      </c>
      <c r="AC926" t="str">
        <f>IF(EV_Data4[[#This Row],[price_usd]]&gt;=80000,"Luxury",IF(EV_Data4[[#This Row],[price_usd]]&gt;=40000,"Mid-Range","Budget"))</f>
        <v>Budget</v>
      </c>
      <c r="AD926" t="str">
        <f>IF(EV_Data4[[#This Row],[range_miles]]&gt;=350,"Long-Range",IF(EV_Data4[[#This Row],[range_miles]]&gt;=250,"Medium-Range","Short-Range"))</f>
        <v>Medium-Range</v>
      </c>
      <c r="AE926" t="str">
        <f>IF(EV_Data4[[#This Row],[charging_speed_kw]]&gt;=250,"Ultra-Fast",IF(EV_Data4[[#This Row],[charging_speed_kw]]&gt;=150,"Fast-Charging","Standard-Charging"))</f>
        <v>Standard-Charging</v>
      </c>
      <c r="AF926" t="str">
        <f>IF(EV_Data4[[#This Row],[acceleration_0_60_mph]]&lt;=3,"SportsPerformance",IF(EV_Data4[[#This Row],[acceleration_0_60_mph]]&lt;=5,"HighPerformance","Standard"))</f>
        <v>Standard</v>
      </c>
      <c r="AG926" t="str">
        <f>IF(EV_Data4[[#This Row],[customer_rating]]&gt;=4.5,"Excellent",IF(EV_Data4[[#This Row],[customer_rating]]&gt;=3.5,"Good","Average"))</f>
        <v>Good</v>
      </c>
      <c r="AH92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27" spans="1:34" x14ac:dyDescent="0.3">
      <c r="A927" t="s">
        <v>46</v>
      </c>
      <c r="B927" t="s">
        <v>49</v>
      </c>
      <c r="C927">
        <v>2024</v>
      </c>
      <c r="D927" t="s">
        <v>61</v>
      </c>
      <c r="E927" s="3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34</v>
      </c>
      <c r="N927">
        <v>5</v>
      </c>
      <c r="O927" t="s">
        <v>40</v>
      </c>
      <c r="P927">
        <v>69.3</v>
      </c>
      <c r="Q927">
        <v>1500</v>
      </c>
      <c r="R927">
        <v>4</v>
      </c>
      <c r="S927">
        <v>3</v>
      </c>
      <c r="T927" t="s">
        <v>41</v>
      </c>
      <c r="U927" t="s">
        <v>30</v>
      </c>
      <c r="V927" s="3">
        <v>445661</v>
      </c>
      <c r="W927">
        <v>3.56</v>
      </c>
      <c r="X927">
        <v>5</v>
      </c>
      <c r="Y927" s="1">
        <f>EV_Data4[[#This Row],[range_miles]]/EV_Data4[[#This Row],[battery_capacity_kwh]]</f>
        <v>3.7623762376237622</v>
      </c>
      <c r="Z927" s="4">
        <f>EV_Data4[[#This Row],[price_usd]]/EV_Data4[[#This Row],[range_miles]]</f>
        <v>589.45526315789471</v>
      </c>
      <c r="AA927" s="2">
        <f>(EV_Data4[[#This Row],[customer_rating]]*EV_Data4[[#This Row],[safety_rating]]*1000)/EV_Data4[[#This Row],[price_usd]]</f>
        <v>0.12714683048130968</v>
      </c>
      <c r="AB927">
        <f>EV_Data4[[#This Row],[horsepower]]+EV_Data4[[#This Row],[torque_nm]]/EV_Data4[[#This Row],[acceleration_0_60_mph]]</f>
        <v>955.72824156305501</v>
      </c>
      <c r="AC927" t="str">
        <f>IF(EV_Data4[[#This Row],[price_usd]]&gt;=80000,"Luxury",IF(EV_Data4[[#This Row],[price_usd]]&gt;=40000,"Mid-Range","Budget"))</f>
        <v>Luxury</v>
      </c>
      <c r="AD927" t="str">
        <f>IF(EV_Data4[[#This Row],[range_miles]]&gt;=350,"Long-Range",IF(EV_Data4[[#This Row],[range_miles]]&gt;=250,"Medium-Range","Short-Range"))</f>
        <v>Short-Range</v>
      </c>
      <c r="AE927" t="str">
        <f>IF(EV_Data4[[#This Row],[charging_speed_kw]]&gt;=250,"Ultra-Fast",IF(EV_Data4[[#This Row],[charging_speed_kw]]&gt;=150,"Fast-Charging","Standard-Charging"))</f>
        <v>Ultra-Fast</v>
      </c>
      <c r="AF927" t="str">
        <f>IF(EV_Data4[[#This Row],[acceleration_0_60_mph]]&lt;=3,"SportsPerformance",IF(EV_Data4[[#This Row],[acceleration_0_60_mph]]&lt;=5,"HighPerformance","Standard"))</f>
        <v>Standard</v>
      </c>
      <c r="AG927" t="str">
        <f>IF(EV_Data4[[#This Row],[customer_rating]]&gt;=4.5,"Excellent",IF(EV_Data4[[#This Row],[customer_rating]]&gt;=3.5,"Good","Average"))</f>
        <v>Good</v>
      </c>
      <c r="AH927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928" spans="1:34" x14ac:dyDescent="0.3">
      <c r="A928" t="s">
        <v>63</v>
      </c>
      <c r="B928" t="s">
        <v>96</v>
      </c>
      <c r="C928">
        <v>2026</v>
      </c>
      <c r="D928" t="s">
        <v>44</v>
      </c>
      <c r="E928" s="3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48</v>
      </c>
      <c r="N928">
        <v>7</v>
      </c>
      <c r="O928" t="s">
        <v>35</v>
      </c>
      <c r="P928">
        <v>38.700000000000003</v>
      </c>
      <c r="Q928">
        <v>1819</v>
      </c>
      <c r="R928">
        <v>4</v>
      </c>
      <c r="S928">
        <v>1</v>
      </c>
      <c r="T928" t="s">
        <v>65</v>
      </c>
      <c r="U928" t="s">
        <v>37</v>
      </c>
      <c r="V928" s="3">
        <v>124104</v>
      </c>
      <c r="W928">
        <v>3.7</v>
      </c>
      <c r="X928">
        <v>4</v>
      </c>
      <c r="Y928" s="1">
        <f>EV_Data4[[#This Row],[range_miles]]/EV_Data4[[#This Row],[battery_capacity_kwh]]</f>
        <v>3.4443387250237869</v>
      </c>
      <c r="Z928" s="4">
        <f>EV_Data4[[#This Row],[price_usd]]/EV_Data4[[#This Row],[range_miles]]</f>
        <v>136.49558011049723</v>
      </c>
      <c r="AA928" s="2">
        <f>(EV_Data4[[#This Row],[customer_rating]]*EV_Data4[[#This Row],[safety_rating]]*1000)/EV_Data4[[#This Row],[price_usd]]</f>
        <v>0.29952602031110231</v>
      </c>
      <c r="AB928">
        <f>EV_Data4[[#This Row],[horsepower]]+EV_Data4[[#This Row],[torque_nm]]/EV_Data4[[#This Row],[acceleration_0_60_mph]]</f>
        <v>612</v>
      </c>
      <c r="AC928" t="str">
        <f>IF(EV_Data4[[#This Row],[price_usd]]&gt;=80000,"Luxury",IF(EV_Data4[[#This Row],[price_usd]]&gt;=40000,"Mid-Range","Budget"))</f>
        <v>Mid-Range</v>
      </c>
      <c r="AD928" t="str">
        <f>IF(EV_Data4[[#This Row],[range_miles]]&gt;=350,"Long-Range",IF(EV_Data4[[#This Row],[range_miles]]&gt;=250,"Medium-Range","Short-Range"))</f>
        <v>Long-Range</v>
      </c>
      <c r="AE928" t="str">
        <f>IF(EV_Data4[[#This Row],[charging_speed_kw]]&gt;=250,"Ultra-Fast",IF(EV_Data4[[#This Row],[charging_speed_kw]]&gt;=150,"Fast-Charging","Standard-Charging"))</f>
        <v>Standard-Charging</v>
      </c>
      <c r="AF928" t="str">
        <f>IF(EV_Data4[[#This Row],[acceleration_0_60_mph]]&lt;=3,"SportsPerformance",IF(EV_Data4[[#This Row],[acceleration_0_60_mph]]&lt;=5,"HighPerformance","Standard"))</f>
        <v>HighPerformance</v>
      </c>
      <c r="AG928" t="str">
        <f>IF(EV_Data4[[#This Row],[customer_rating]]&gt;=4.5,"Excellent",IF(EV_Data4[[#This Row],[customer_rating]]&gt;=3.5,"Good","Average"))</f>
        <v>Good</v>
      </c>
      <c r="AH92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29" spans="1:34" x14ac:dyDescent="0.3">
      <c r="A929" t="s">
        <v>42</v>
      </c>
      <c r="B929" t="s">
        <v>115</v>
      </c>
      <c r="C929">
        <v>2023</v>
      </c>
      <c r="D929" t="s">
        <v>56</v>
      </c>
      <c r="E929" s="3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34</v>
      </c>
      <c r="N929">
        <v>5</v>
      </c>
      <c r="O929" t="s">
        <v>28</v>
      </c>
      <c r="P929">
        <v>52.5</v>
      </c>
      <c r="Q929">
        <v>2381</v>
      </c>
      <c r="R929">
        <v>5</v>
      </c>
      <c r="S929">
        <v>1</v>
      </c>
      <c r="T929" t="s">
        <v>45</v>
      </c>
      <c r="U929" t="s">
        <v>37</v>
      </c>
      <c r="V929" s="3">
        <v>67143</v>
      </c>
      <c r="W929">
        <v>3.33</v>
      </c>
      <c r="X929">
        <v>4</v>
      </c>
      <c r="Y929" s="1">
        <f>EV_Data4[[#This Row],[range_miles]]/EV_Data4[[#This Row],[battery_capacity_kwh]]</f>
        <v>3.5665529010238908</v>
      </c>
      <c r="Z929" s="4">
        <f>EV_Data4[[#This Row],[price_usd]]/EV_Data4[[#This Row],[range_miles]]</f>
        <v>179.30421052631579</v>
      </c>
      <c r="AA929" s="2">
        <f>(EV_Data4[[#This Row],[customer_rating]]*EV_Data4[[#This Row],[safety_rating]]*1000)/EV_Data4[[#This Row],[price_usd]]</f>
        <v>0.44430117695782045</v>
      </c>
      <c r="AB929">
        <f>EV_Data4[[#This Row],[horsepower]]+EV_Data4[[#This Row],[torque_nm]]/EV_Data4[[#This Row],[acceleration_0_60_mph]]</f>
        <v>337.08108108108109</v>
      </c>
      <c r="AC929" t="str">
        <f>IF(EV_Data4[[#This Row],[price_usd]]&gt;=80000,"Luxury",IF(EV_Data4[[#This Row],[price_usd]]&gt;=40000,"Mid-Range","Budget"))</f>
        <v>Budget</v>
      </c>
      <c r="AD929" t="str">
        <f>IF(EV_Data4[[#This Row],[range_miles]]&gt;=350,"Long-Range",IF(EV_Data4[[#This Row],[range_miles]]&gt;=250,"Medium-Range","Short-Range"))</f>
        <v>Short-Range</v>
      </c>
      <c r="AE929" t="str">
        <f>IF(EV_Data4[[#This Row],[charging_speed_kw]]&gt;=250,"Ultra-Fast",IF(EV_Data4[[#This Row],[charging_speed_kw]]&gt;=150,"Fast-Charging","Standard-Charging"))</f>
        <v>Standard-Charging</v>
      </c>
      <c r="AF929" t="str">
        <f>IF(EV_Data4[[#This Row],[acceleration_0_60_mph]]&lt;=3,"SportsPerformance",IF(EV_Data4[[#This Row],[acceleration_0_60_mph]]&lt;=5,"HighPerformance","Standard"))</f>
        <v>Standard</v>
      </c>
      <c r="AG929" t="str">
        <f>IF(EV_Data4[[#This Row],[customer_rating]]&gt;=4.5,"Excellent",IF(EV_Data4[[#This Row],[customer_rating]]&gt;=3.5,"Good","Average"))</f>
        <v>Average</v>
      </c>
      <c r="AH92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30" spans="1:34" x14ac:dyDescent="0.3">
      <c r="A930" t="s">
        <v>83</v>
      </c>
      <c r="B930" t="s">
        <v>89</v>
      </c>
      <c r="C930">
        <v>2026</v>
      </c>
      <c r="D930" t="s">
        <v>26</v>
      </c>
      <c r="E930" s="3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27</v>
      </c>
      <c r="N930">
        <v>5</v>
      </c>
      <c r="O930" t="s">
        <v>50</v>
      </c>
      <c r="P930">
        <v>25.9</v>
      </c>
      <c r="Q930">
        <v>1500</v>
      </c>
      <c r="R930">
        <v>4</v>
      </c>
      <c r="S930">
        <v>2</v>
      </c>
      <c r="T930" t="s">
        <v>29</v>
      </c>
      <c r="U930" t="s">
        <v>30</v>
      </c>
      <c r="V930" s="3">
        <v>27898</v>
      </c>
      <c r="W930">
        <v>3.83</v>
      </c>
      <c r="X930">
        <v>6</v>
      </c>
      <c r="Y930" s="1">
        <f>EV_Data4[[#This Row],[range_miles]]/EV_Data4[[#This Row],[battery_capacity_kwh]]</f>
        <v>3.5137457044673539</v>
      </c>
      <c r="Z930" s="4">
        <f>EV_Data4[[#This Row],[price_usd]]/EV_Data4[[#This Row],[range_miles]]</f>
        <v>362.85268948655255</v>
      </c>
      <c r="AA930" s="2">
        <f>(EV_Data4[[#This Row],[customer_rating]]*EV_Data4[[#This Row],[safety_rating]]*1000)/EV_Data4[[#This Row],[price_usd]]</f>
        <v>0.10322980592190045</v>
      </c>
      <c r="AB930">
        <f>EV_Data4[[#This Row],[horsepower]]+EV_Data4[[#This Row],[torque_nm]]/EV_Data4[[#This Row],[acceleration_0_60_mph]]</f>
        <v>1221.1031175059952</v>
      </c>
      <c r="AC930" t="str">
        <f>IF(EV_Data4[[#This Row],[price_usd]]&gt;=80000,"Luxury",IF(EV_Data4[[#This Row],[price_usd]]&gt;=40000,"Mid-Range","Budget"))</f>
        <v>Luxury</v>
      </c>
      <c r="AD930" t="str">
        <f>IF(EV_Data4[[#This Row],[range_miles]]&gt;=350,"Long-Range",IF(EV_Data4[[#This Row],[range_miles]]&gt;=250,"Medium-Range","Short-Range"))</f>
        <v>Long-Range</v>
      </c>
      <c r="AE930" t="str">
        <f>IF(EV_Data4[[#This Row],[charging_speed_kw]]&gt;=250,"Ultra-Fast",IF(EV_Data4[[#This Row],[charging_speed_kw]]&gt;=150,"Fast-Charging","Standard-Charging"))</f>
        <v>Fast-Charging</v>
      </c>
      <c r="AF930" t="str">
        <f>IF(EV_Data4[[#This Row],[acceleration_0_60_mph]]&lt;=3,"SportsPerformance",IF(EV_Data4[[#This Row],[acceleration_0_60_mph]]&lt;=5,"HighPerformance","Standard"))</f>
        <v>HighPerformance</v>
      </c>
      <c r="AG930" t="str">
        <f>IF(EV_Data4[[#This Row],[customer_rating]]&gt;=4.5,"Excellent",IF(EV_Data4[[#This Row],[customer_rating]]&gt;=3.5,"Good","Average"))</f>
        <v>Good</v>
      </c>
      <c r="AH93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31" spans="1:34" x14ac:dyDescent="0.3">
      <c r="A931" t="s">
        <v>63</v>
      </c>
      <c r="B931" t="s">
        <v>107</v>
      </c>
      <c r="C931">
        <v>2024</v>
      </c>
      <c r="D931" t="s">
        <v>61</v>
      </c>
      <c r="E931" s="3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27</v>
      </c>
      <c r="N931">
        <v>5</v>
      </c>
      <c r="O931" t="s">
        <v>35</v>
      </c>
      <c r="P931">
        <v>50.9</v>
      </c>
      <c r="Q931">
        <v>2255</v>
      </c>
      <c r="R931">
        <v>5</v>
      </c>
      <c r="S931">
        <v>0</v>
      </c>
      <c r="T931" t="s">
        <v>65</v>
      </c>
      <c r="U931" t="s">
        <v>37</v>
      </c>
      <c r="V931" s="3">
        <v>249607</v>
      </c>
      <c r="W931">
        <v>3.33</v>
      </c>
      <c r="X931">
        <v>4</v>
      </c>
      <c r="Y931" s="1">
        <f>EV_Data4[[#This Row],[range_miles]]/EV_Data4[[#This Row],[battery_capacity_kwh]]</f>
        <v>3.2894736842105261</v>
      </c>
      <c r="Z931" s="4">
        <f>EV_Data4[[#This Row],[price_usd]]/EV_Data4[[#This Row],[range_miles]]</f>
        <v>311.04340000000002</v>
      </c>
      <c r="AA931" s="2">
        <f>(EV_Data4[[#This Row],[customer_rating]]*EV_Data4[[#This Row],[safety_rating]]*1000)/EV_Data4[[#This Row],[price_usd]]</f>
        <v>0.35686338305201137</v>
      </c>
      <c r="AB931">
        <f>EV_Data4[[#This Row],[horsepower]]+EV_Data4[[#This Row],[torque_nm]]/EV_Data4[[#This Row],[acceleration_0_60_mph]]</f>
        <v>625.30605564648113</v>
      </c>
      <c r="AC931" t="str">
        <f>IF(EV_Data4[[#This Row],[price_usd]]&gt;=80000,"Luxury",IF(EV_Data4[[#This Row],[price_usd]]&gt;=40000,"Mid-Range","Budget"))</f>
        <v>Mid-Range</v>
      </c>
      <c r="AD931" t="str">
        <f>IF(EV_Data4[[#This Row],[range_miles]]&gt;=350,"Long-Range",IF(EV_Data4[[#This Row],[range_miles]]&gt;=250,"Medium-Range","Short-Range"))</f>
        <v>Short-Range</v>
      </c>
      <c r="AE931" t="str">
        <f>IF(EV_Data4[[#This Row],[charging_speed_kw]]&gt;=250,"Ultra-Fast",IF(EV_Data4[[#This Row],[charging_speed_kw]]&gt;=150,"Fast-Charging","Standard-Charging"))</f>
        <v>Standard-Charging</v>
      </c>
      <c r="AF931" t="str">
        <f>IF(EV_Data4[[#This Row],[acceleration_0_60_mph]]&lt;=3,"SportsPerformance",IF(EV_Data4[[#This Row],[acceleration_0_60_mph]]&lt;=5,"HighPerformance","Standard"))</f>
        <v>Standard</v>
      </c>
      <c r="AG931" t="str">
        <f>IF(EV_Data4[[#This Row],[customer_rating]]&gt;=4.5,"Excellent",IF(EV_Data4[[#This Row],[customer_rating]]&gt;=3.5,"Good","Average"))</f>
        <v>Average</v>
      </c>
      <c r="AH93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32" spans="1:34" x14ac:dyDescent="0.3">
      <c r="A932" t="s">
        <v>46</v>
      </c>
      <c r="B932" t="s">
        <v>78</v>
      </c>
      <c r="C932">
        <v>2021</v>
      </c>
      <c r="D932" t="s">
        <v>33</v>
      </c>
      <c r="E932" s="3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27</v>
      </c>
      <c r="N932">
        <v>5</v>
      </c>
      <c r="O932" t="s">
        <v>40</v>
      </c>
      <c r="P932">
        <v>69.8</v>
      </c>
      <c r="Q932">
        <v>1693</v>
      </c>
      <c r="R932">
        <v>4</v>
      </c>
      <c r="S932">
        <v>2</v>
      </c>
      <c r="T932" t="s">
        <v>41</v>
      </c>
      <c r="U932" t="s">
        <v>33</v>
      </c>
      <c r="V932" s="3">
        <v>229836</v>
      </c>
      <c r="W932">
        <v>3.91</v>
      </c>
      <c r="X932">
        <v>4</v>
      </c>
      <c r="Y932" s="1">
        <f>EV_Data4[[#This Row],[range_miles]]/EV_Data4[[#This Row],[battery_capacity_kwh]]</f>
        <v>3.2913165266106441</v>
      </c>
      <c r="Z932" s="4">
        <f>EV_Data4[[#This Row],[price_usd]]/EV_Data4[[#This Row],[range_miles]]</f>
        <v>412.88408510638294</v>
      </c>
      <c r="AA932" s="2">
        <f>(EV_Data4[[#This Row],[customer_rating]]*EV_Data4[[#This Row],[safety_rating]]*1000)/EV_Data4[[#This Row],[price_usd]]</f>
        <v>0.16119098286923247</v>
      </c>
      <c r="AB932">
        <f>EV_Data4[[#This Row],[horsepower]]+EV_Data4[[#This Row],[torque_nm]]/EV_Data4[[#This Row],[acceleration_0_60_mph]]</f>
        <v>772.36681887366819</v>
      </c>
      <c r="AC932" t="str">
        <f>IF(EV_Data4[[#This Row],[price_usd]]&gt;=80000,"Luxury",IF(EV_Data4[[#This Row],[price_usd]]&gt;=40000,"Mid-Range","Budget"))</f>
        <v>Luxury</v>
      </c>
      <c r="AD932" t="str">
        <f>IF(EV_Data4[[#This Row],[range_miles]]&gt;=350,"Long-Range",IF(EV_Data4[[#This Row],[range_miles]]&gt;=250,"Medium-Range","Short-Range"))</f>
        <v>Short-Range</v>
      </c>
      <c r="AE932" t="str">
        <f>IF(EV_Data4[[#This Row],[charging_speed_kw]]&gt;=250,"Ultra-Fast",IF(EV_Data4[[#This Row],[charging_speed_kw]]&gt;=150,"Fast-Charging","Standard-Charging"))</f>
        <v>Ultra-Fast</v>
      </c>
      <c r="AF932" t="str">
        <f>IF(EV_Data4[[#This Row],[acceleration_0_60_mph]]&lt;=3,"SportsPerformance",IF(EV_Data4[[#This Row],[acceleration_0_60_mph]]&lt;=5,"HighPerformance","Standard"))</f>
        <v>Standard</v>
      </c>
      <c r="AG932" t="str">
        <f>IF(EV_Data4[[#This Row],[customer_rating]]&gt;=4.5,"Excellent",IF(EV_Data4[[#This Row],[customer_rating]]&gt;=3.5,"Good","Average"))</f>
        <v>Good</v>
      </c>
      <c r="AH93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33" spans="1:34" x14ac:dyDescent="0.3">
      <c r="A933" t="s">
        <v>52</v>
      </c>
      <c r="B933" t="s">
        <v>62</v>
      </c>
      <c r="C933">
        <v>2026</v>
      </c>
      <c r="D933" t="s">
        <v>56</v>
      </c>
      <c r="E933" s="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27</v>
      </c>
      <c r="N933">
        <v>5</v>
      </c>
      <c r="O933" t="s">
        <v>28</v>
      </c>
      <c r="P933">
        <v>57.9</v>
      </c>
      <c r="Q933">
        <v>2639</v>
      </c>
      <c r="R933">
        <v>4</v>
      </c>
      <c r="S933">
        <v>1</v>
      </c>
      <c r="T933" t="s">
        <v>29</v>
      </c>
      <c r="U933" t="s">
        <v>30</v>
      </c>
      <c r="V933" s="3">
        <v>57503</v>
      </c>
      <c r="W933">
        <v>3.59</v>
      </c>
      <c r="X933">
        <v>6</v>
      </c>
      <c r="Y933" s="1">
        <f>EV_Data4[[#This Row],[range_miles]]/EV_Data4[[#This Row],[battery_capacity_kwh]]</f>
        <v>3.4444444444444446</v>
      </c>
      <c r="Z933" s="4">
        <f>EV_Data4[[#This Row],[price_usd]]/EV_Data4[[#This Row],[range_miles]]</f>
        <v>522.36415322580649</v>
      </c>
      <c r="AA933" s="2">
        <f>(EV_Data4[[#This Row],[customer_rating]]*EV_Data4[[#This Row],[safety_rating]]*1000)/EV_Data4[[#This Row],[price_usd]]</f>
        <v>0.11084839081869642</v>
      </c>
      <c r="AB933">
        <f>EV_Data4[[#This Row],[horsepower]]+EV_Data4[[#This Row],[torque_nm]]/EV_Data4[[#This Row],[acceleration_0_60_mph]]</f>
        <v>898.42307692307691</v>
      </c>
      <c r="AC933" t="str">
        <f>IF(EV_Data4[[#This Row],[price_usd]]&gt;=80000,"Luxury",IF(EV_Data4[[#This Row],[price_usd]]&gt;=40000,"Mid-Range","Budget"))</f>
        <v>Luxury</v>
      </c>
      <c r="AD933" t="str">
        <f>IF(EV_Data4[[#This Row],[range_miles]]&gt;=350,"Long-Range",IF(EV_Data4[[#This Row],[range_miles]]&gt;=250,"Medium-Range","Short-Range"))</f>
        <v>Short-Range</v>
      </c>
      <c r="AE933" t="str">
        <f>IF(EV_Data4[[#This Row],[charging_speed_kw]]&gt;=250,"Ultra-Fast",IF(EV_Data4[[#This Row],[charging_speed_kw]]&gt;=150,"Fast-Charging","Standard-Charging"))</f>
        <v>Standard-Charging</v>
      </c>
      <c r="AF933" t="str">
        <f>IF(EV_Data4[[#This Row],[acceleration_0_60_mph]]&lt;=3,"SportsPerformance",IF(EV_Data4[[#This Row],[acceleration_0_60_mph]]&lt;=5,"HighPerformance","Standard"))</f>
        <v>Standard</v>
      </c>
      <c r="AG933" t="str">
        <f>IF(EV_Data4[[#This Row],[customer_rating]]&gt;=4.5,"Excellent",IF(EV_Data4[[#This Row],[customer_rating]]&gt;=3.5,"Good","Average"))</f>
        <v>Good</v>
      </c>
      <c r="AH93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34" spans="1:34" x14ac:dyDescent="0.3">
      <c r="A934" t="s">
        <v>134</v>
      </c>
      <c r="B934">
        <v>2</v>
      </c>
      <c r="C934">
        <v>2025</v>
      </c>
      <c r="D934" t="s">
        <v>26</v>
      </c>
      <c r="E934" s="3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27</v>
      </c>
      <c r="N934">
        <v>5</v>
      </c>
      <c r="O934" t="s">
        <v>51</v>
      </c>
      <c r="P934">
        <v>23.1</v>
      </c>
      <c r="Q934">
        <v>1500</v>
      </c>
      <c r="R934">
        <v>5</v>
      </c>
      <c r="S934">
        <v>0</v>
      </c>
      <c r="T934" t="s">
        <v>123</v>
      </c>
      <c r="U934" t="s">
        <v>33</v>
      </c>
      <c r="V934" s="3">
        <v>6307</v>
      </c>
      <c r="W934">
        <v>3.42</v>
      </c>
      <c r="X934">
        <v>4</v>
      </c>
      <c r="Y934" s="1">
        <f>EV_Data4[[#This Row],[range_miles]]/EV_Data4[[#This Row],[battery_capacity_kwh]]</f>
        <v>3.4257602862254024</v>
      </c>
      <c r="Z934" s="4">
        <f>EV_Data4[[#This Row],[price_usd]]/EV_Data4[[#This Row],[range_miles]]</f>
        <v>244.99723237597911</v>
      </c>
      <c r="AA934" s="2">
        <f>(EV_Data4[[#This Row],[customer_rating]]*EV_Data4[[#This Row],[safety_rating]]*1000)/EV_Data4[[#This Row],[price_usd]]</f>
        <v>0.18223683242971572</v>
      </c>
      <c r="AB934">
        <f>EV_Data4[[#This Row],[horsepower]]+EV_Data4[[#This Row],[torque_nm]]/EV_Data4[[#This Row],[acceleration_0_60_mph]]</f>
        <v>867.66666666666663</v>
      </c>
      <c r="AC934" t="str">
        <f>IF(EV_Data4[[#This Row],[price_usd]]&gt;=80000,"Luxury",IF(EV_Data4[[#This Row],[price_usd]]&gt;=40000,"Mid-Range","Budget"))</f>
        <v>Luxury</v>
      </c>
      <c r="AD934" t="str">
        <f>IF(EV_Data4[[#This Row],[range_miles]]&gt;=350,"Long-Range",IF(EV_Data4[[#This Row],[range_miles]]&gt;=250,"Medium-Range","Short-Range"))</f>
        <v>Long-Range</v>
      </c>
      <c r="AE934" t="str">
        <f>IF(EV_Data4[[#This Row],[charging_speed_kw]]&gt;=250,"Ultra-Fast",IF(EV_Data4[[#This Row],[charging_speed_kw]]&gt;=150,"Fast-Charging","Standard-Charging"))</f>
        <v>Fast-Charging</v>
      </c>
      <c r="AF934" t="str">
        <f>IF(EV_Data4[[#This Row],[acceleration_0_60_mph]]&lt;=3,"SportsPerformance",IF(EV_Data4[[#This Row],[acceleration_0_60_mph]]&lt;=5,"HighPerformance","Standard"))</f>
        <v>HighPerformance</v>
      </c>
      <c r="AG934" t="str">
        <f>IF(EV_Data4[[#This Row],[customer_rating]]&gt;=4.5,"Excellent",IF(EV_Data4[[#This Row],[customer_rating]]&gt;=3.5,"Good","Average"))</f>
        <v>Average</v>
      </c>
      <c r="AH93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35" spans="1:34" x14ac:dyDescent="0.3">
      <c r="A935" t="s">
        <v>68</v>
      </c>
      <c r="B935" t="s">
        <v>109</v>
      </c>
      <c r="C935">
        <v>2023</v>
      </c>
      <c r="D935" t="s">
        <v>56</v>
      </c>
      <c r="E935" s="3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34</v>
      </c>
      <c r="N935">
        <v>7</v>
      </c>
      <c r="O935" t="s">
        <v>40</v>
      </c>
      <c r="P935">
        <v>74.3</v>
      </c>
      <c r="Q935">
        <v>1504</v>
      </c>
      <c r="R935">
        <v>4</v>
      </c>
      <c r="S935">
        <v>0</v>
      </c>
      <c r="T935" t="s">
        <v>45</v>
      </c>
      <c r="U935" t="s">
        <v>37</v>
      </c>
      <c r="V935" s="3">
        <v>129662</v>
      </c>
      <c r="W935">
        <v>3.46</v>
      </c>
      <c r="X935">
        <v>3</v>
      </c>
      <c r="Y935" s="1">
        <f>EV_Data4[[#This Row],[range_miles]]/EV_Data4[[#This Row],[battery_capacity_kwh]]</f>
        <v>3.8584070796460175</v>
      </c>
      <c r="Z935" s="4">
        <f>EV_Data4[[#This Row],[price_usd]]/EV_Data4[[#This Row],[range_miles]]</f>
        <v>171.90270642201835</v>
      </c>
      <c r="AA935" s="2">
        <f>(EV_Data4[[#This Row],[customer_rating]]*EV_Data4[[#This Row],[safety_rating]]*1000)/EV_Data4[[#This Row],[price_usd]]</f>
        <v>0.3693149447935532</v>
      </c>
      <c r="AB935">
        <f>EV_Data4[[#This Row],[horsepower]]+EV_Data4[[#This Row],[torque_nm]]/EV_Data4[[#This Row],[acceleration_0_60_mph]]</f>
        <v>297.64889466840054</v>
      </c>
      <c r="AC935" t="str">
        <f>IF(EV_Data4[[#This Row],[price_usd]]&gt;=80000,"Luxury",IF(EV_Data4[[#This Row],[price_usd]]&gt;=40000,"Mid-Range","Budget"))</f>
        <v>Budget</v>
      </c>
      <c r="AD935" t="str">
        <f>IF(EV_Data4[[#This Row],[range_miles]]&gt;=350,"Long-Range",IF(EV_Data4[[#This Row],[range_miles]]&gt;=250,"Medium-Range","Short-Range"))</f>
        <v>Short-Range</v>
      </c>
      <c r="AE935" t="str">
        <f>IF(EV_Data4[[#This Row],[charging_speed_kw]]&gt;=250,"Ultra-Fast",IF(EV_Data4[[#This Row],[charging_speed_kw]]&gt;=150,"Fast-Charging","Standard-Charging"))</f>
        <v>Standard-Charging</v>
      </c>
      <c r="AF935" t="str">
        <f>IF(EV_Data4[[#This Row],[acceleration_0_60_mph]]&lt;=3,"SportsPerformance",IF(EV_Data4[[#This Row],[acceleration_0_60_mph]]&lt;=5,"HighPerformance","Standard"))</f>
        <v>Standard</v>
      </c>
      <c r="AG935" t="str">
        <f>IF(EV_Data4[[#This Row],[customer_rating]]&gt;=4.5,"Excellent",IF(EV_Data4[[#This Row],[customer_rating]]&gt;=3.5,"Good","Average"))</f>
        <v>Average</v>
      </c>
      <c r="AH93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36" spans="1:34" x14ac:dyDescent="0.3">
      <c r="A936" t="s">
        <v>46</v>
      </c>
      <c r="B936" t="s">
        <v>72</v>
      </c>
      <c r="C936">
        <v>2025</v>
      </c>
      <c r="D936" t="s">
        <v>61</v>
      </c>
      <c r="E936" s="3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27</v>
      </c>
      <c r="N936">
        <v>5</v>
      </c>
      <c r="O936" t="s">
        <v>28</v>
      </c>
      <c r="P936">
        <v>73.5</v>
      </c>
      <c r="Q936">
        <v>2328</v>
      </c>
      <c r="R936">
        <v>5</v>
      </c>
      <c r="S936">
        <v>3</v>
      </c>
      <c r="T936" t="s">
        <v>41</v>
      </c>
      <c r="U936" t="s">
        <v>30</v>
      </c>
      <c r="V936" s="3">
        <v>188107</v>
      </c>
      <c r="W936">
        <v>3.78</v>
      </c>
      <c r="X936">
        <v>4</v>
      </c>
      <c r="Y936" s="1">
        <f>EV_Data4[[#This Row],[range_miles]]/EV_Data4[[#This Row],[battery_capacity_kwh]]</f>
        <v>3.7552155771905422</v>
      </c>
      <c r="Z936" s="4">
        <f>EV_Data4[[#This Row],[price_usd]]/EV_Data4[[#This Row],[range_miles]]</f>
        <v>471.61155555555553</v>
      </c>
      <c r="AA936" s="2">
        <f>(EV_Data4[[#This Row],[customer_rating]]*EV_Data4[[#This Row],[safety_rating]]*1000)/EV_Data4[[#This Row],[price_usd]]</f>
        <v>0.14842723672777786</v>
      </c>
      <c r="AB936">
        <f>EV_Data4[[#This Row],[horsepower]]+EV_Data4[[#This Row],[torque_nm]]/EV_Data4[[#This Row],[acceleration_0_60_mph]]</f>
        <v>1153.9960707269156</v>
      </c>
      <c r="AC936" t="str">
        <f>IF(EV_Data4[[#This Row],[price_usd]]&gt;=80000,"Luxury",IF(EV_Data4[[#This Row],[price_usd]]&gt;=40000,"Mid-Range","Budget"))</f>
        <v>Luxury</v>
      </c>
      <c r="AD936" t="str">
        <f>IF(EV_Data4[[#This Row],[range_miles]]&gt;=350,"Long-Range",IF(EV_Data4[[#This Row],[range_miles]]&gt;=250,"Medium-Range","Short-Range"))</f>
        <v>Medium-Range</v>
      </c>
      <c r="AE936" t="str">
        <f>IF(EV_Data4[[#This Row],[charging_speed_kw]]&gt;=250,"Ultra-Fast",IF(EV_Data4[[#This Row],[charging_speed_kw]]&gt;=150,"Fast-Charging","Standard-Charging"))</f>
        <v>Ultra-Fast</v>
      </c>
      <c r="AF936" t="str">
        <f>IF(EV_Data4[[#This Row],[acceleration_0_60_mph]]&lt;=3,"SportsPerformance",IF(EV_Data4[[#This Row],[acceleration_0_60_mph]]&lt;=5,"HighPerformance","Standard"))</f>
        <v>Standard</v>
      </c>
      <c r="AG936" t="str">
        <f>IF(EV_Data4[[#This Row],[customer_rating]]&gt;=4.5,"Excellent",IF(EV_Data4[[#This Row],[customer_rating]]&gt;=3.5,"Good","Average"))</f>
        <v>Good</v>
      </c>
      <c r="AH936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937" spans="1:34" x14ac:dyDescent="0.3">
      <c r="A937" t="s">
        <v>63</v>
      </c>
      <c r="B937" t="s">
        <v>67</v>
      </c>
      <c r="C937">
        <v>2024</v>
      </c>
      <c r="D937" t="s">
        <v>56</v>
      </c>
      <c r="E937" s="3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48</v>
      </c>
      <c r="N937">
        <v>7</v>
      </c>
      <c r="O937" t="s">
        <v>58</v>
      </c>
      <c r="P937">
        <v>22.9</v>
      </c>
      <c r="Q937">
        <v>1615</v>
      </c>
      <c r="R937">
        <v>5</v>
      </c>
      <c r="S937">
        <v>1</v>
      </c>
      <c r="T937" t="s">
        <v>65</v>
      </c>
      <c r="U937" t="s">
        <v>37</v>
      </c>
      <c r="V937" s="3">
        <v>209468</v>
      </c>
      <c r="W937">
        <v>3.18</v>
      </c>
      <c r="X937">
        <v>4</v>
      </c>
      <c r="Y937" s="1">
        <f>EV_Data4[[#This Row],[range_miles]]/EV_Data4[[#This Row],[battery_capacity_kwh]]</f>
        <v>3.4343434343434347</v>
      </c>
      <c r="Z937" s="4">
        <f>EV_Data4[[#This Row],[price_usd]]/EV_Data4[[#This Row],[range_miles]]</f>
        <v>211.60037815126051</v>
      </c>
      <c r="AA937" s="2">
        <f>(EV_Data4[[#This Row],[customer_rating]]*EV_Data4[[#This Row],[safety_rating]]*1000)/EV_Data4[[#This Row],[price_usd]]</f>
        <v>0.3157211876120537</v>
      </c>
      <c r="AB937">
        <f>EV_Data4[[#This Row],[horsepower]]+EV_Data4[[#This Row],[torque_nm]]/EV_Data4[[#This Row],[acceleration_0_60_mph]]</f>
        <v>674.63427109974418</v>
      </c>
      <c r="AC937" t="str">
        <f>IF(EV_Data4[[#This Row],[price_usd]]&gt;=80000,"Luxury",IF(EV_Data4[[#This Row],[price_usd]]&gt;=40000,"Mid-Range","Budget"))</f>
        <v>Mid-Range</v>
      </c>
      <c r="AD937" t="str">
        <f>IF(EV_Data4[[#This Row],[range_miles]]&gt;=350,"Long-Range",IF(EV_Data4[[#This Row],[range_miles]]&gt;=250,"Medium-Range","Short-Range"))</f>
        <v>Short-Range</v>
      </c>
      <c r="AE937" t="str">
        <f>IF(EV_Data4[[#This Row],[charging_speed_kw]]&gt;=250,"Ultra-Fast",IF(EV_Data4[[#This Row],[charging_speed_kw]]&gt;=150,"Fast-Charging","Standard-Charging"))</f>
        <v>Standard-Charging</v>
      </c>
      <c r="AF937" t="str">
        <f>IF(EV_Data4[[#This Row],[acceleration_0_60_mph]]&lt;=3,"SportsPerformance",IF(EV_Data4[[#This Row],[acceleration_0_60_mph]]&lt;=5,"HighPerformance","Standard"))</f>
        <v>Standard</v>
      </c>
      <c r="AG937" t="str">
        <f>IF(EV_Data4[[#This Row],[customer_rating]]&gt;=4.5,"Excellent",IF(EV_Data4[[#This Row],[customer_rating]]&gt;=3.5,"Good","Average"))</f>
        <v>Average</v>
      </c>
      <c r="AH93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38" spans="1:34" x14ac:dyDescent="0.3">
      <c r="A938" t="s">
        <v>46</v>
      </c>
      <c r="B938" t="s">
        <v>47</v>
      </c>
      <c r="C938">
        <v>2024</v>
      </c>
      <c r="D938" t="s">
        <v>33</v>
      </c>
      <c r="E938" s="3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27</v>
      </c>
      <c r="N938">
        <v>5</v>
      </c>
      <c r="O938" t="s">
        <v>28</v>
      </c>
      <c r="P938">
        <v>59.8</v>
      </c>
      <c r="Q938">
        <v>2696</v>
      </c>
      <c r="R938">
        <v>4</v>
      </c>
      <c r="S938">
        <v>3</v>
      </c>
      <c r="T938" t="s">
        <v>41</v>
      </c>
      <c r="U938" t="s">
        <v>30</v>
      </c>
      <c r="V938" s="3">
        <v>153103</v>
      </c>
      <c r="W938">
        <v>4.05</v>
      </c>
      <c r="X938">
        <v>5</v>
      </c>
      <c r="Y938" s="1">
        <f>EV_Data4[[#This Row],[range_miles]]/EV_Data4[[#This Row],[battery_capacity_kwh]]</f>
        <v>3.6446173800259407</v>
      </c>
      <c r="Z938" s="4">
        <f>EV_Data4[[#This Row],[price_usd]]/EV_Data4[[#This Row],[range_miles]]</f>
        <v>543.93234875444841</v>
      </c>
      <c r="AA938" s="2">
        <f>(EV_Data4[[#This Row],[customer_rating]]*EV_Data4[[#This Row],[safety_rating]]*1000)/EV_Data4[[#This Row],[price_usd]]</f>
        <v>0.10598973509043379</v>
      </c>
      <c r="AB938">
        <f>EV_Data4[[#This Row],[horsepower]]+EV_Data4[[#This Row],[torque_nm]]/EV_Data4[[#This Row],[acceleration_0_60_mph]]</f>
        <v>1175.4681647940074</v>
      </c>
      <c r="AC938" t="str">
        <f>IF(EV_Data4[[#This Row],[price_usd]]&gt;=80000,"Luxury",IF(EV_Data4[[#This Row],[price_usd]]&gt;=40000,"Mid-Range","Budget"))</f>
        <v>Luxury</v>
      </c>
      <c r="AD938" t="str">
        <f>IF(EV_Data4[[#This Row],[range_miles]]&gt;=350,"Long-Range",IF(EV_Data4[[#This Row],[range_miles]]&gt;=250,"Medium-Range","Short-Range"))</f>
        <v>Medium-Range</v>
      </c>
      <c r="AE938" t="str">
        <f>IF(EV_Data4[[#This Row],[charging_speed_kw]]&gt;=250,"Ultra-Fast",IF(EV_Data4[[#This Row],[charging_speed_kw]]&gt;=150,"Fast-Charging","Standard-Charging"))</f>
        <v>Ultra-Fast</v>
      </c>
      <c r="AF938" t="str">
        <f>IF(EV_Data4[[#This Row],[acceleration_0_60_mph]]&lt;=3,"SportsPerformance",IF(EV_Data4[[#This Row],[acceleration_0_60_mph]]&lt;=5,"HighPerformance","Standard"))</f>
        <v>Standard</v>
      </c>
      <c r="AG938" t="str">
        <f>IF(EV_Data4[[#This Row],[customer_rating]]&gt;=4.5,"Excellent",IF(EV_Data4[[#This Row],[customer_rating]]&gt;=3.5,"Good","Average"))</f>
        <v>Good</v>
      </c>
      <c r="AH93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939" spans="1:34" x14ac:dyDescent="0.3">
      <c r="A939" t="s">
        <v>94</v>
      </c>
      <c r="B939" t="s">
        <v>120</v>
      </c>
      <c r="C939">
        <v>2025</v>
      </c>
      <c r="D939" t="s">
        <v>26</v>
      </c>
      <c r="E939" s="3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48</v>
      </c>
      <c r="N939">
        <v>7</v>
      </c>
      <c r="O939" t="s">
        <v>28</v>
      </c>
      <c r="P939">
        <v>57.1</v>
      </c>
      <c r="Q939">
        <v>2401</v>
      </c>
      <c r="R939">
        <v>5</v>
      </c>
      <c r="S939">
        <v>0</v>
      </c>
      <c r="T939" t="s">
        <v>41</v>
      </c>
      <c r="U939" t="s">
        <v>30</v>
      </c>
      <c r="V939" s="3">
        <v>14378</v>
      </c>
      <c r="W939">
        <v>3.8</v>
      </c>
      <c r="X939">
        <v>6</v>
      </c>
      <c r="Y939" s="1">
        <f>EV_Data4[[#This Row],[range_miles]]/EV_Data4[[#This Row],[battery_capacity_kwh]]</f>
        <v>3.4188034188034186</v>
      </c>
      <c r="Z939" s="4">
        <f>EV_Data4[[#This Row],[price_usd]]/EV_Data4[[#This Row],[range_miles]]</f>
        <v>420.96807142857142</v>
      </c>
      <c r="AA939" s="2">
        <f>(EV_Data4[[#This Row],[customer_rating]]*EV_Data4[[#This Row],[safety_rating]]*1000)/EV_Data4[[#This Row],[price_usd]]</f>
        <v>0.16119308675089544</v>
      </c>
      <c r="AB939">
        <f>EV_Data4[[#This Row],[horsepower]]+EV_Data4[[#This Row],[torque_nm]]/EV_Data4[[#This Row],[acceleration_0_60_mph]]</f>
        <v>1243.2717678100264</v>
      </c>
      <c r="AC939" t="str">
        <f>IF(EV_Data4[[#This Row],[price_usd]]&gt;=80000,"Luxury",IF(EV_Data4[[#This Row],[price_usd]]&gt;=40000,"Mid-Range","Budget"))</f>
        <v>Luxury</v>
      </c>
      <c r="AD939" t="str">
        <f>IF(EV_Data4[[#This Row],[range_miles]]&gt;=350,"Long-Range",IF(EV_Data4[[#This Row],[range_miles]]&gt;=250,"Medium-Range","Short-Range"))</f>
        <v>Medium-Range</v>
      </c>
      <c r="AE939" t="str">
        <f>IF(EV_Data4[[#This Row],[charging_speed_kw]]&gt;=250,"Ultra-Fast",IF(EV_Data4[[#This Row],[charging_speed_kw]]&gt;=150,"Fast-Charging","Standard-Charging"))</f>
        <v>Fast-Charging</v>
      </c>
      <c r="AF939" t="str">
        <f>IF(EV_Data4[[#This Row],[acceleration_0_60_mph]]&lt;=3,"SportsPerformance",IF(EV_Data4[[#This Row],[acceleration_0_60_mph]]&lt;=5,"HighPerformance","Standard"))</f>
        <v>HighPerformance</v>
      </c>
      <c r="AG939" t="str">
        <f>IF(EV_Data4[[#This Row],[customer_rating]]&gt;=4.5,"Excellent",IF(EV_Data4[[#This Row],[customer_rating]]&gt;=3.5,"Good","Average"))</f>
        <v>Good</v>
      </c>
      <c r="AH93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40" spans="1:34" x14ac:dyDescent="0.3">
      <c r="A940" t="s">
        <v>46</v>
      </c>
      <c r="B940" t="s">
        <v>78</v>
      </c>
      <c r="C940">
        <v>2025</v>
      </c>
      <c r="D940" t="s">
        <v>26</v>
      </c>
      <c r="E940" s="3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27</v>
      </c>
      <c r="N940">
        <v>7</v>
      </c>
      <c r="O940" t="s">
        <v>40</v>
      </c>
      <c r="P940">
        <v>65.400000000000006</v>
      </c>
      <c r="Q940">
        <v>1500</v>
      </c>
      <c r="R940">
        <v>5</v>
      </c>
      <c r="S940">
        <v>2</v>
      </c>
      <c r="T940" t="s">
        <v>41</v>
      </c>
      <c r="U940" t="s">
        <v>30</v>
      </c>
      <c r="V940" s="3">
        <v>158417</v>
      </c>
      <c r="W940">
        <v>3.71</v>
      </c>
      <c r="X940">
        <v>5</v>
      </c>
      <c r="Y940" s="1">
        <f>EV_Data4[[#This Row],[range_miles]]/EV_Data4[[#This Row],[battery_capacity_kwh]]</f>
        <v>3.5096642929806716</v>
      </c>
      <c r="Z940" s="4">
        <f>EV_Data4[[#This Row],[price_usd]]/EV_Data4[[#This Row],[range_miles]]</f>
        <v>367.75385507246375</v>
      </c>
      <c r="AA940" s="2">
        <f>(EV_Data4[[#This Row],[customer_rating]]*EV_Data4[[#This Row],[safety_rating]]*1000)/EV_Data4[[#This Row],[price_usd]]</f>
        <v>0.14620680436221203</v>
      </c>
      <c r="AB940">
        <f>EV_Data4[[#This Row],[horsepower]]+EV_Data4[[#This Row],[torque_nm]]/EV_Data4[[#This Row],[acceleration_0_60_mph]]</f>
        <v>1108.1860465116279</v>
      </c>
      <c r="AC940" t="str">
        <f>IF(EV_Data4[[#This Row],[price_usd]]&gt;=80000,"Luxury",IF(EV_Data4[[#This Row],[price_usd]]&gt;=40000,"Mid-Range","Budget"))</f>
        <v>Luxury</v>
      </c>
      <c r="AD940" t="str">
        <f>IF(EV_Data4[[#This Row],[range_miles]]&gt;=350,"Long-Range",IF(EV_Data4[[#This Row],[range_miles]]&gt;=250,"Medium-Range","Short-Range"))</f>
        <v>Medium-Range</v>
      </c>
      <c r="AE940" t="str">
        <f>IF(EV_Data4[[#This Row],[charging_speed_kw]]&gt;=250,"Ultra-Fast",IF(EV_Data4[[#This Row],[charging_speed_kw]]&gt;=150,"Fast-Charging","Standard-Charging"))</f>
        <v>Fast-Charging</v>
      </c>
      <c r="AF940" t="str">
        <f>IF(EV_Data4[[#This Row],[acceleration_0_60_mph]]&lt;=3,"SportsPerformance",IF(EV_Data4[[#This Row],[acceleration_0_60_mph]]&lt;=5,"HighPerformance","Standard"))</f>
        <v>HighPerformance</v>
      </c>
      <c r="AG940" t="str">
        <f>IF(EV_Data4[[#This Row],[customer_rating]]&gt;=4.5,"Excellent",IF(EV_Data4[[#This Row],[customer_rating]]&gt;=3.5,"Good","Average"))</f>
        <v>Good</v>
      </c>
      <c r="AH94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41" spans="1:34" x14ac:dyDescent="0.3">
      <c r="A941" t="s">
        <v>42</v>
      </c>
      <c r="B941" t="s">
        <v>71</v>
      </c>
      <c r="C941">
        <v>2024</v>
      </c>
      <c r="D941" t="s">
        <v>44</v>
      </c>
      <c r="E941" s="3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27</v>
      </c>
      <c r="N941">
        <v>5</v>
      </c>
      <c r="O941" t="s">
        <v>51</v>
      </c>
      <c r="P941">
        <v>39.700000000000003</v>
      </c>
      <c r="Q941">
        <v>1735</v>
      </c>
      <c r="R941">
        <v>5</v>
      </c>
      <c r="S941">
        <v>2</v>
      </c>
      <c r="T941" t="s">
        <v>45</v>
      </c>
      <c r="U941" t="s">
        <v>37</v>
      </c>
      <c r="V941" s="3">
        <v>125554</v>
      </c>
      <c r="W941">
        <v>3.47</v>
      </c>
      <c r="X941">
        <v>4</v>
      </c>
      <c r="Y941" s="1">
        <f>EV_Data4[[#This Row],[range_miles]]/EV_Data4[[#This Row],[battery_capacity_kwh]]</f>
        <v>3.4448818897637796</v>
      </c>
      <c r="Z941" s="4">
        <f>EV_Data4[[#This Row],[price_usd]]/EV_Data4[[#This Row],[range_miles]]</f>
        <v>165.28714285714287</v>
      </c>
      <c r="AA941" s="2">
        <f>(EV_Data4[[#This Row],[customer_rating]]*EV_Data4[[#This Row],[safety_rating]]*1000)/EV_Data4[[#This Row],[price_usd]]</f>
        <v>0.29991097743321149</v>
      </c>
      <c r="AB941">
        <f>EV_Data4[[#This Row],[horsepower]]+EV_Data4[[#This Row],[torque_nm]]/EV_Data4[[#This Row],[acceleration_0_60_mph]]</f>
        <v>723.46341463414637</v>
      </c>
      <c r="AC941" t="str">
        <f>IF(EV_Data4[[#This Row],[price_usd]]&gt;=80000,"Luxury",IF(EV_Data4[[#This Row],[price_usd]]&gt;=40000,"Mid-Range","Budget"))</f>
        <v>Mid-Range</v>
      </c>
      <c r="AD941" t="str">
        <f>IF(EV_Data4[[#This Row],[range_miles]]&gt;=350,"Long-Range",IF(EV_Data4[[#This Row],[range_miles]]&gt;=250,"Medium-Range","Short-Range"))</f>
        <v>Long-Range</v>
      </c>
      <c r="AE941" t="str">
        <f>IF(EV_Data4[[#This Row],[charging_speed_kw]]&gt;=250,"Ultra-Fast",IF(EV_Data4[[#This Row],[charging_speed_kw]]&gt;=150,"Fast-Charging","Standard-Charging"))</f>
        <v>Standard-Charging</v>
      </c>
      <c r="AF941" t="str">
        <f>IF(EV_Data4[[#This Row],[acceleration_0_60_mph]]&lt;=3,"SportsPerformance",IF(EV_Data4[[#This Row],[acceleration_0_60_mph]]&lt;=5,"HighPerformance","Standard"))</f>
        <v>Standard</v>
      </c>
      <c r="AG941" t="str">
        <f>IF(EV_Data4[[#This Row],[customer_rating]]&gt;=4.5,"Excellent",IF(EV_Data4[[#This Row],[customer_rating]]&gt;=3.5,"Good","Average"))</f>
        <v>Average</v>
      </c>
      <c r="AH94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42" spans="1:34" x14ac:dyDescent="0.3">
      <c r="A942" t="s">
        <v>63</v>
      </c>
      <c r="B942" t="s">
        <v>88</v>
      </c>
      <c r="C942">
        <v>2024</v>
      </c>
      <c r="D942" t="s">
        <v>56</v>
      </c>
      <c r="E942" s="3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27</v>
      </c>
      <c r="N942">
        <v>7</v>
      </c>
      <c r="O942" t="s">
        <v>28</v>
      </c>
      <c r="P942">
        <v>77.400000000000006</v>
      </c>
      <c r="Q942">
        <v>2252</v>
      </c>
      <c r="R942">
        <v>5</v>
      </c>
      <c r="S942">
        <v>1</v>
      </c>
      <c r="T942" t="s">
        <v>65</v>
      </c>
      <c r="U942" t="s">
        <v>33</v>
      </c>
      <c r="V942" s="3">
        <v>119629</v>
      </c>
      <c r="W942">
        <v>3.38</v>
      </c>
      <c r="X942">
        <v>4</v>
      </c>
      <c r="Y942" s="1">
        <f>EV_Data4[[#This Row],[range_miles]]/EV_Data4[[#This Row],[battery_capacity_kwh]]</f>
        <v>3.751937984496124</v>
      </c>
      <c r="Z942" s="4">
        <f>EV_Data4[[#This Row],[price_usd]]/EV_Data4[[#This Row],[range_miles]]</f>
        <v>292.9361157024793</v>
      </c>
      <c r="AA942" s="2">
        <f>(EV_Data4[[#This Row],[customer_rating]]*EV_Data4[[#This Row],[safety_rating]]*1000)/EV_Data4[[#This Row],[price_usd]]</f>
        <v>0.2383957013164239</v>
      </c>
      <c r="AB942">
        <f>EV_Data4[[#This Row],[horsepower]]+EV_Data4[[#This Row],[torque_nm]]/EV_Data4[[#This Row],[acceleration_0_60_mph]]</f>
        <v>792.73154362416108</v>
      </c>
      <c r="AC942" t="str">
        <f>IF(EV_Data4[[#This Row],[price_usd]]&gt;=80000,"Luxury",IF(EV_Data4[[#This Row],[price_usd]]&gt;=40000,"Mid-Range","Budget"))</f>
        <v>Mid-Range</v>
      </c>
      <c r="AD942" t="str">
        <f>IF(EV_Data4[[#This Row],[range_miles]]&gt;=350,"Long-Range",IF(EV_Data4[[#This Row],[range_miles]]&gt;=250,"Medium-Range","Short-Range"))</f>
        <v>Short-Range</v>
      </c>
      <c r="AE942" t="str">
        <f>IF(EV_Data4[[#This Row],[charging_speed_kw]]&gt;=250,"Ultra-Fast",IF(EV_Data4[[#This Row],[charging_speed_kw]]&gt;=150,"Fast-Charging","Standard-Charging"))</f>
        <v>Standard-Charging</v>
      </c>
      <c r="AF942" t="str">
        <f>IF(EV_Data4[[#This Row],[acceleration_0_60_mph]]&lt;=3,"SportsPerformance",IF(EV_Data4[[#This Row],[acceleration_0_60_mph]]&lt;=5,"HighPerformance","Standard"))</f>
        <v>Standard</v>
      </c>
      <c r="AG942" t="str">
        <f>IF(EV_Data4[[#This Row],[customer_rating]]&gt;=4.5,"Excellent",IF(EV_Data4[[#This Row],[customer_rating]]&gt;=3.5,"Good","Average"))</f>
        <v>Average</v>
      </c>
      <c r="AH94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43" spans="1:34" x14ac:dyDescent="0.3">
      <c r="A943" t="s">
        <v>42</v>
      </c>
      <c r="B943" t="s">
        <v>71</v>
      </c>
      <c r="C943">
        <v>2024</v>
      </c>
      <c r="D943" t="s">
        <v>26</v>
      </c>
      <c r="E943" s="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27</v>
      </c>
      <c r="N943">
        <v>7</v>
      </c>
      <c r="O943" t="s">
        <v>50</v>
      </c>
      <c r="P943">
        <v>16.899999999999999</v>
      </c>
      <c r="Q943">
        <v>1819</v>
      </c>
      <c r="R943">
        <v>3</v>
      </c>
      <c r="S943">
        <v>2</v>
      </c>
      <c r="T943" t="s">
        <v>45</v>
      </c>
      <c r="U943" t="s">
        <v>30</v>
      </c>
      <c r="V943" s="3">
        <v>107830</v>
      </c>
      <c r="W943">
        <v>3.56</v>
      </c>
      <c r="X943">
        <v>5</v>
      </c>
      <c r="Y943" s="1">
        <f>EV_Data4[[#This Row],[range_miles]]/EV_Data4[[#This Row],[battery_capacity_kwh]]</f>
        <v>3.4880803011292345</v>
      </c>
      <c r="Z943" s="4">
        <f>EV_Data4[[#This Row],[price_usd]]/EV_Data4[[#This Row],[range_miles]]</f>
        <v>380.428309352518</v>
      </c>
      <c r="AA943" s="2">
        <f>(EV_Data4[[#This Row],[customer_rating]]*EV_Data4[[#This Row],[safety_rating]]*1000)/EV_Data4[[#This Row],[price_usd]]</f>
        <v>0.1009842465520924</v>
      </c>
      <c r="AB943">
        <f>EV_Data4[[#This Row],[horsepower]]+EV_Data4[[#This Row],[torque_nm]]/EV_Data4[[#This Row],[acceleration_0_60_mph]]</f>
        <v>1290.5537459283387</v>
      </c>
      <c r="AC943" t="str">
        <f>IF(EV_Data4[[#This Row],[price_usd]]&gt;=80000,"Luxury",IF(EV_Data4[[#This Row],[price_usd]]&gt;=40000,"Mid-Range","Budget"))</f>
        <v>Luxury</v>
      </c>
      <c r="AD943" t="str">
        <f>IF(EV_Data4[[#This Row],[range_miles]]&gt;=350,"Long-Range",IF(EV_Data4[[#This Row],[range_miles]]&gt;=250,"Medium-Range","Short-Range"))</f>
        <v>Medium-Range</v>
      </c>
      <c r="AE943" t="str">
        <f>IF(EV_Data4[[#This Row],[charging_speed_kw]]&gt;=250,"Ultra-Fast",IF(EV_Data4[[#This Row],[charging_speed_kw]]&gt;=150,"Fast-Charging","Standard-Charging"))</f>
        <v>Fast-Charging</v>
      </c>
      <c r="AF943" t="str">
        <f>IF(EV_Data4[[#This Row],[acceleration_0_60_mph]]&lt;=3,"SportsPerformance",IF(EV_Data4[[#This Row],[acceleration_0_60_mph]]&lt;=5,"HighPerformance","Standard"))</f>
        <v>HighPerformance</v>
      </c>
      <c r="AG943" t="str">
        <f>IF(EV_Data4[[#This Row],[customer_rating]]&gt;=4.5,"Excellent",IF(EV_Data4[[#This Row],[customer_rating]]&gt;=3.5,"Good","Average"))</f>
        <v>Good</v>
      </c>
      <c r="AH94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44" spans="1:34" x14ac:dyDescent="0.3">
      <c r="A944" t="s">
        <v>83</v>
      </c>
      <c r="B944" t="s">
        <v>114</v>
      </c>
      <c r="C944">
        <v>2025</v>
      </c>
      <c r="D944" t="s">
        <v>26</v>
      </c>
      <c r="E944" s="3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48</v>
      </c>
      <c r="N944">
        <v>7</v>
      </c>
      <c r="O944" t="s">
        <v>28</v>
      </c>
      <c r="P944">
        <v>64.3</v>
      </c>
      <c r="Q944">
        <v>2285</v>
      </c>
      <c r="R944">
        <v>4</v>
      </c>
      <c r="S944">
        <v>1</v>
      </c>
      <c r="T944" t="s">
        <v>29</v>
      </c>
      <c r="U944" t="s">
        <v>33</v>
      </c>
      <c r="V944" s="3">
        <v>61677</v>
      </c>
      <c r="W944">
        <v>3.43</v>
      </c>
      <c r="X944">
        <v>7</v>
      </c>
      <c r="Y944" s="1">
        <f>EV_Data4[[#This Row],[range_miles]]/EV_Data4[[#This Row],[battery_capacity_kwh]]</f>
        <v>3.4460196292257361</v>
      </c>
      <c r="Z944" s="4">
        <f>EV_Data4[[#This Row],[price_usd]]/EV_Data4[[#This Row],[range_miles]]</f>
        <v>265.28689873417721</v>
      </c>
      <c r="AA944" s="2">
        <f>(EV_Data4[[#This Row],[customer_rating]]*EV_Data4[[#This Row],[safety_rating]]*1000)/EV_Data4[[#This Row],[price_usd]]</f>
        <v>0.16366327069356246</v>
      </c>
      <c r="AB944">
        <f>EV_Data4[[#This Row],[horsepower]]+EV_Data4[[#This Row],[torque_nm]]/EV_Data4[[#This Row],[acceleration_0_60_mph]]</f>
        <v>800.02739726027403</v>
      </c>
      <c r="AC944" t="str">
        <f>IF(EV_Data4[[#This Row],[price_usd]]&gt;=80000,"Luxury",IF(EV_Data4[[#This Row],[price_usd]]&gt;=40000,"Mid-Range","Budget"))</f>
        <v>Luxury</v>
      </c>
      <c r="AD944" t="str">
        <f>IF(EV_Data4[[#This Row],[range_miles]]&gt;=350,"Long-Range",IF(EV_Data4[[#This Row],[range_miles]]&gt;=250,"Medium-Range","Short-Range"))</f>
        <v>Medium-Range</v>
      </c>
      <c r="AE944" t="str">
        <f>IF(EV_Data4[[#This Row],[charging_speed_kw]]&gt;=250,"Ultra-Fast",IF(EV_Data4[[#This Row],[charging_speed_kw]]&gt;=150,"Fast-Charging","Standard-Charging"))</f>
        <v>Fast-Charging</v>
      </c>
      <c r="AF944" t="str">
        <f>IF(EV_Data4[[#This Row],[acceleration_0_60_mph]]&lt;=3,"SportsPerformance",IF(EV_Data4[[#This Row],[acceleration_0_60_mph]]&lt;=5,"HighPerformance","Standard"))</f>
        <v>HighPerformance</v>
      </c>
      <c r="AG944" t="str">
        <f>IF(EV_Data4[[#This Row],[customer_rating]]&gt;=4.5,"Excellent",IF(EV_Data4[[#This Row],[customer_rating]]&gt;=3.5,"Good","Average"))</f>
        <v>Average</v>
      </c>
      <c r="AH94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45" spans="1:34" x14ac:dyDescent="0.3">
      <c r="A945" t="s">
        <v>52</v>
      </c>
      <c r="B945" t="s">
        <v>126</v>
      </c>
      <c r="C945">
        <v>2026</v>
      </c>
      <c r="D945" t="s">
        <v>26</v>
      </c>
      <c r="E945" s="3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27</v>
      </c>
      <c r="N945">
        <v>7</v>
      </c>
      <c r="O945" t="s">
        <v>35</v>
      </c>
      <c r="P945">
        <v>61.2</v>
      </c>
      <c r="Q945">
        <v>1889</v>
      </c>
      <c r="R945">
        <v>4</v>
      </c>
      <c r="S945">
        <v>2</v>
      </c>
      <c r="T945" t="s">
        <v>29</v>
      </c>
      <c r="U945" t="s">
        <v>30</v>
      </c>
      <c r="V945" s="3">
        <v>66282</v>
      </c>
      <c r="W945">
        <v>3.8</v>
      </c>
      <c r="X945">
        <v>7</v>
      </c>
      <c r="Y945" s="1">
        <f>EV_Data4[[#This Row],[range_miles]]/EV_Data4[[#This Row],[battery_capacity_kwh]]</f>
        <v>3.6317395727365209</v>
      </c>
      <c r="Z945" s="4">
        <f>EV_Data4[[#This Row],[price_usd]]/EV_Data4[[#This Row],[range_miles]]</f>
        <v>417.15655462184878</v>
      </c>
      <c r="AA945" s="2">
        <f>(EV_Data4[[#This Row],[customer_rating]]*EV_Data4[[#This Row],[safety_rating]]*1000)/EV_Data4[[#This Row],[price_usd]]</f>
        <v>0.10206487310482484</v>
      </c>
      <c r="AB945">
        <f>EV_Data4[[#This Row],[horsepower]]+EV_Data4[[#This Row],[torque_nm]]/EV_Data4[[#This Row],[acceleration_0_60_mph]]</f>
        <v>1145.4878048780488</v>
      </c>
      <c r="AC945" t="str">
        <f>IF(EV_Data4[[#This Row],[price_usd]]&gt;=80000,"Luxury",IF(EV_Data4[[#This Row],[price_usd]]&gt;=40000,"Mid-Range","Budget"))</f>
        <v>Luxury</v>
      </c>
      <c r="AD945" t="str">
        <f>IF(EV_Data4[[#This Row],[range_miles]]&gt;=350,"Long-Range",IF(EV_Data4[[#This Row],[range_miles]]&gt;=250,"Medium-Range","Short-Range"))</f>
        <v>Long-Range</v>
      </c>
      <c r="AE945" t="str">
        <f>IF(EV_Data4[[#This Row],[charging_speed_kw]]&gt;=250,"Ultra-Fast",IF(EV_Data4[[#This Row],[charging_speed_kw]]&gt;=150,"Fast-Charging","Standard-Charging"))</f>
        <v>Fast-Charging</v>
      </c>
      <c r="AF945" t="str">
        <f>IF(EV_Data4[[#This Row],[acceleration_0_60_mph]]&lt;=3,"SportsPerformance",IF(EV_Data4[[#This Row],[acceleration_0_60_mph]]&lt;=5,"HighPerformance","Standard"))</f>
        <v>HighPerformance</v>
      </c>
      <c r="AG945" t="str">
        <f>IF(EV_Data4[[#This Row],[customer_rating]]&gt;=4.5,"Excellent",IF(EV_Data4[[#This Row],[customer_rating]]&gt;=3.5,"Good","Average"))</f>
        <v>Good</v>
      </c>
      <c r="AH94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46" spans="1:34" x14ac:dyDescent="0.3">
      <c r="A946" t="s">
        <v>63</v>
      </c>
      <c r="B946" t="s">
        <v>67</v>
      </c>
      <c r="C946">
        <v>2022</v>
      </c>
      <c r="D946" t="s">
        <v>56</v>
      </c>
      <c r="E946" s="3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34</v>
      </c>
      <c r="N946">
        <v>5</v>
      </c>
      <c r="O946" t="s">
        <v>51</v>
      </c>
      <c r="P946">
        <v>20.6</v>
      </c>
      <c r="Q946">
        <v>1609</v>
      </c>
      <c r="R946">
        <v>5</v>
      </c>
      <c r="S946">
        <v>1</v>
      </c>
      <c r="T946" t="s">
        <v>65</v>
      </c>
      <c r="U946" t="s">
        <v>37</v>
      </c>
      <c r="V946" s="3">
        <v>172454</v>
      </c>
      <c r="W946">
        <v>3.29</v>
      </c>
      <c r="X946">
        <v>4</v>
      </c>
      <c r="Y946" s="1">
        <f>EV_Data4[[#This Row],[range_miles]]/EV_Data4[[#This Row],[battery_capacity_kwh]]</f>
        <v>3.7901498929336186</v>
      </c>
      <c r="Z946" s="4">
        <f>EV_Data4[[#This Row],[price_usd]]/EV_Data4[[#This Row],[range_miles]]</f>
        <v>278.11463276836156</v>
      </c>
      <c r="AA946" s="2">
        <f>(EV_Data4[[#This Row],[customer_rating]]*EV_Data4[[#This Row],[safety_rating]]*1000)/EV_Data4[[#This Row],[price_usd]]</f>
        <v>0.33417102934224779</v>
      </c>
      <c r="AB946">
        <f>EV_Data4[[#This Row],[horsepower]]+EV_Data4[[#This Row],[torque_nm]]/EV_Data4[[#This Row],[acceleration_0_60_mph]]</f>
        <v>617.80866425992781</v>
      </c>
      <c r="AC946" t="str">
        <f>IF(EV_Data4[[#This Row],[price_usd]]&gt;=80000,"Luxury",IF(EV_Data4[[#This Row],[price_usd]]&gt;=40000,"Mid-Range","Budget"))</f>
        <v>Mid-Range</v>
      </c>
      <c r="AD946" t="str">
        <f>IF(EV_Data4[[#This Row],[range_miles]]&gt;=350,"Long-Range",IF(EV_Data4[[#This Row],[range_miles]]&gt;=250,"Medium-Range","Short-Range"))</f>
        <v>Short-Range</v>
      </c>
      <c r="AE946" t="str">
        <f>IF(EV_Data4[[#This Row],[charging_speed_kw]]&gt;=250,"Ultra-Fast",IF(EV_Data4[[#This Row],[charging_speed_kw]]&gt;=150,"Fast-Charging","Standard-Charging"))</f>
        <v>Standard-Charging</v>
      </c>
      <c r="AF946" t="str">
        <f>IF(EV_Data4[[#This Row],[acceleration_0_60_mph]]&lt;=3,"SportsPerformance",IF(EV_Data4[[#This Row],[acceleration_0_60_mph]]&lt;=5,"HighPerformance","Standard"))</f>
        <v>Standard</v>
      </c>
      <c r="AG946" t="str">
        <f>IF(EV_Data4[[#This Row],[customer_rating]]&gt;=4.5,"Excellent",IF(EV_Data4[[#This Row],[customer_rating]]&gt;=3.5,"Good","Average"))</f>
        <v>Average</v>
      </c>
      <c r="AH94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47" spans="1:34" x14ac:dyDescent="0.3">
      <c r="A947" t="s">
        <v>46</v>
      </c>
      <c r="B947" t="s">
        <v>57</v>
      </c>
      <c r="C947">
        <v>2025</v>
      </c>
      <c r="D947" t="s">
        <v>56</v>
      </c>
      <c r="E947" s="3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27</v>
      </c>
      <c r="N947">
        <v>5</v>
      </c>
      <c r="O947" t="s">
        <v>50</v>
      </c>
      <c r="P947">
        <v>31.9</v>
      </c>
      <c r="Q947">
        <v>1705</v>
      </c>
      <c r="R947">
        <v>5</v>
      </c>
      <c r="S947">
        <v>2</v>
      </c>
      <c r="T947" t="s">
        <v>41</v>
      </c>
      <c r="U947" t="s">
        <v>66</v>
      </c>
      <c r="V947" s="3">
        <v>206579</v>
      </c>
      <c r="W947">
        <v>3.63</v>
      </c>
      <c r="X947">
        <v>6</v>
      </c>
      <c r="Y947" s="1">
        <f>EV_Data4[[#This Row],[range_miles]]/EV_Data4[[#This Row],[battery_capacity_kwh]]</f>
        <v>3.594771241830065</v>
      </c>
      <c r="Z947" s="4">
        <f>EV_Data4[[#This Row],[price_usd]]/EV_Data4[[#This Row],[range_miles]]</f>
        <v>133.68881818181819</v>
      </c>
      <c r="AA947" s="2">
        <f>(EV_Data4[[#This Row],[customer_rating]]*EV_Data4[[#This Row],[safety_rating]]*1000)/EV_Data4[[#This Row],[price_usd]]</f>
        <v>0.61710471468002015</v>
      </c>
      <c r="AB947">
        <f>EV_Data4[[#This Row],[horsepower]]+EV_Data4[[#This Row],[torque_nm]]/EV_Data4[[#This Row],[acceleration_0_60_mph]]</f>
        <v>246.69172932330827</v>
      </c>
      <c r="AC947" t="str">
        <f>IF(EV_Data4[[#This Row],[price_usd]]&gt;=80000,"Luxury",IF(EV_Data4[[#This Row],[price_usd]]&gt;=40000,"Mid-Range","Budget"))</f>
        <v>Budget</v>
      </c>
      <c r="AD947" t="str">
        <f>IF(EV_Data4[[#This Row],[range_miles]]&gt;=350,"Long-Range",IF(EV_Data4[[#This Row],[range_miles]]&gt;=250,"Medium-Range","Short-Range"))</f>
        <v>Short-Range</v>
      </c>
      <c r="AE947" t="str">
        <f>IF(EV_Data4[[#This Row],[charging_speed_kw]]&gt;=250,"Ultra-Fast",IF(EV_Data4[[#This Row],[charging_speed_kw]]&gt;=150,"Fast-Charging","Standard-Charging"))</f>
        <v>Ultra-Fast</v>
      </c>
      <c r="AF947" t="str">
        <f>IF(EV_Data4[[#This Row],[acceleration_0_60_mph]]&lt;=3,"SportsPerformance",IF(EV_Data4[[#This Row],[acceleration_0_60_mph]]&lt;=5,"HighPerformance","Standard"))</f>
        <v>Standard</v>
      </c>
      <c r="AG947" t="str">
        <f>IF(EV_Data4[[#This Row],[customer_rating]]&gt;=4.5,"Excellent",IF(EV_Data4[[#This Row],[customer_rating]]&gt;=3.5,"Good","Average"))</f>
        <v>Good</v>
      </c>
      <c r="AH94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48" spans="1:34" x14ac:dyDescent="0.3">
      <c r="A948" t="s">
        <v>46</v>
      </c>
      <c r="B948" t="s">
        <v>72</v>
      </c>
      <c r="C948">
        <v>2024</v>
      </c>
      <c r="D948" t="s">
        <v>61</v>
      </c>
      <c r="E948" s="3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34</v>
      </c>
      <c r="N948">
        <v>5</v>
      </c>
      <c r="O948" t="s">
        <v>28</v>
      </c>
      <c r="P948">
        <v>68.7</v>
      </c>
      <c r="Q948">
        <v>2227</v>
      </c>
      <c r="R948">
        <v>5</v>
      </c>
      <c r="S948">
        <v>2</v>
      </c>
      <c r="T948" t="s">
        <v>41</v>
      </c>
      <c r="U948" t="s">
        <v>30</v>
      </c>
      <c r="V948" s="3">
        <v>188033</v>
      </c>
      <c r="W948">
        <v>3.43</v>
      </c>
      <c r="X948">
        <v>4</v>
      </c>
      <c r="Y948" s="1">
        <f>EV_Data4[[#This Row],[range_miles]]/EV_Data4[[#This Row],[battery_capacity_kwh]]</f>
        <v>3.7473684210526317</v>
      </c>
      <c r="Z948" s="4">
        <f>EV_Data4[[#This Row],[price_usd]]/EV_Data4[[#This Row],[range_miles]]</f>
        <v>606.16640449438205</v>
      </c>
      <c r="AA948" s="2">
        <f>(EV_Data4[[#This Row],[customer_rating]]*EV_Data4[[#This Row],[safety_rating]]*1000)/EV_Data4[[#This Row],[price_usd]]</f>
        <v>0.15894697213895917</v>
      </c>
      <c r="AB948">
        <f>EV_Data4[[#This Row],[horsepower]]+EV_Data4[[#This Row],[torque_nm]]/EV_Data4[[#This Row],[acceleration_0_60_mph]]</f>
        <v>867.97222222222217</v>
      </c>
      <c r="AC948" t="str">
        <f>IF(EV_Data4[[#This Row],[price_usd]]&gt;=80000,"Luxury",IF(EV_Data4[[#This Row],[price_usd]]&gt;=40000,"Mid-Range","Budget"))</f>
        <v>Luxury</v>
      </c>
      <c r="AD948" t="str">
        <f>IF(EV_Data4[[#This Row],[range_miles]]&gt;=350,"Long-Range",IF(EV_Data4[[#This Row],[range_miles]]&gt;=250,"Medium-Range","Short-Range"))</f>
        <v>Short-Range</v>
      </c>
      <c r="AE948" t="str">
        <f>IF(EV_Data4[[#This Row],[charging_speed_kw]]&gt;=250,"Ultra-Fast",IF(EV_Data4[[#This Row],[charging_speed_kw]]&gt;=150,"Fast-Charging","Standard-Charging"))</f>
        <v>Ultra-Fast</v>
      </c>
      <c r="AF948" t="str">
        <f>IF(EV_Data4[[#This Row],[acceleration_0_60_mph]]&lt;=3,"SportsPerformance",IF(EV_Data4[[#This Row],[acceleration_0_60_mph]]&lt;=5,"HighPerformance","Standard"))</f>
        <v>Standard</v>
      </c>
      <c r="AG948" t="str">
        <f>IF(EV_Data4[[#This Row],[customer_rating]]&gt;=4.5,"Excellent",IF(EV_Data4[[#This Row],[customer_rating]]&gt;=3.5,"Good","Average"))</f>
        <v>Average</v>
      </c>
      <c r="AH94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49" spans="1:34" x14ac:dyDescent="0.3">
      <c r="A949" t="s">
        <v>86</v>
      </c>
      <c r="B949" t="s">
        <v>87</v>
      </c>
      <c r="C949">
        <v>2022</v>
      </c>
      <c r="D949" t="s">
        <v>33</v>
      </c>
      <c r="E949" s="3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48</v>
      </c>
      <c r="N949">
        <v>5</v>
      </c>
      <c r="O949" t="s">
        <v>28</v>
      </c>
      <c r="P949">
        <v>68.3</v>
      </c>
      <c r="Q949">
        <v>2791</v>
      </c>
      <c r="R949">
        <v>4</v>
      </c>
      <c r="S949">
        <v>2</v>
      </c>
      <c r="T949" t="s">
        <v>29</v>
      </c>
      <c r="U949" t="s">
        <v>30</v>
      </c>
      <c r="V949" s="3">
        <v>74974</v>
      </c>
      <c r="W949">
        <v>3.3</v>
      </c>
      <c r="X949">
        <v>5</v>
      </c>
      <c r="Y949" s="1">
        <f>EV_Data4[[#This Row],[range_miles]]/EV_Data4[[#This Row],[battery_capacity_kwh]]</f>
        <v>3.4802784222737819</v>
      </c>
      <c r="Z949" s="4">
        <f>EV_Data4[[#This Row],[price_usd]]/EV_Data4[[#This Row],[range_miles]]</f>
        <v>917.54646666666667</v>
      </c>
      <c r="AA949" s="2">
        <f>(EV_Data4[[#This Row],[customer_rating]]*EV_Data4[[#This Row],[safety_rating]]*1000)/EV_Data4[[#This Row],[price_usd]]</f>
        <v>9.5907949294048472E-2</v>
      </c>
      <c r="AB949">
        <f>EV_Data4[[#This Row],[horsepower]]+EV_Data4[[#This Row],[torque_nm]]/EV_Data4[[#This Row],[acceleration_0_60_mph]]</f>
        <v>1177.2128060263653</v>
      </c>
      <c r="AC949" t="str">
        <f>IF(EV_Data4[[#This Row],[price_usd]]&gt;=80000,"Luxury",IF(EV_Data4[[#This Row],[price_usd]]&gt;=40000,"Mid-Range","Budget"))</f>
        <v>Luxury</v>
      </c>
      <c r="AD949" t="str">
        <f>IF(EV_Data4[[#This Row],[range_miles]]&gt;=350,"Long-Range",IF(EV_Data4[[#This Row],[range_miles]]&gt;=250,"Medium-Range","Short-Range"))</f>
        <v>Short-Range</v>
      </c>
      <c r="AE949" t="str">
        <f>IF(EV_Data4[[#This Row],[charging_speed_kw]]&gt;=250,"Ultra-Fast",IF(EV_Data4[[#This Row],[charging_speed_kw]]&gt;=150,"Fast-Charging","Standard-Charging"))</f>
        <v>Standard-Charging</v>
      </c>
      <c r="AF949" t="str">
        <f>IF(EV_Data4[[#This Row],[acceleration_0_60_mph]]&lt;=3,"SportsPerformance",IF(EV_Data4[[#This Row],[acceleration_0_60_mph]]&lt;=5,"HighPerformance","Standard"))</f>
        <v>Standard</v>
      </c>
      <c r="AG949" t="str">
        <f>IF(EV_Data4[[#This Row],[customer_rating]]&gt;=4.5,"Excellent",IF(EV_Data4[[#This Row],[customer_rating]]&gt;=3.5,"Good","Average"))</f>
        <v>Average</v>
      </c>
      <c r="AH94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50" spans="1:34" x14ac:dyDescent="0.3">
      <c r="A950" t="s">
        <v>86</v>
      </c>
      <c r="B950" t="s">
        <v>87</v>
      </c>
      <c r="C950">
        <v>2024</v>
      </c>
      <c r="D950" t="s">
        <v>56</v>
      </c>
      <c r="E950" s="3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48</v>
      </c>
      <c r="N950">
        <v>7</v>
      </c>
      <c r="O950" t="s">
        <v>28</v>
      </c>
      <c r="P950">
        <v>50.6</v>
      </c>
      <c r="Q950">
        <v>2305</v>
      </c>
      <c r="R950">
        <v>4</v>
      </c>
      <c r="S950">
        <v>2</v>
      </c>
      <c r="T950" t="s">
        <v>29</v>
      </c>
      <c r="U950" t="s">
        <v>33</v>
      </c>
      <c r="V950" s="3">
        <v>52856</v>
      </c>
      <c r="W950">
        <v>3.77</v>
      </c>
      <c r="X950">
        <v>8</v>
      </c>
      <c r="Y950" s="1">
        <f>EV_Data4[[#This Row],[range_miles]]/EV_Data4[[#This Row],[battery_capacity_kwh]]</f>
        <v>3.2552083333333335</v>
      </c>
      <c r="Z950" s="4">
        <f>EV_Data4[[#This Row],[price_usd]]/EV_Data4[[#This Row],[range_miles]]</f>
        <v>263.19484</v>
      </c>
      <c r="AA950" s="2">
        <f>(EV_Data4[[#This Row],[customer_rating]]*EV_Data4[[#This Row],[safety_rating]]*1000)/EV_Data4[[#This Row],[price_usd]]</f>
        <v>0.22918382442452137</v>
      </c>
      <c r="AB950">
        <f>EV_Data4[[#This Row],[horsepower]]+EV_Data4[[#This Row],[torque_nm]]/EV_Data4[[#This Row],[acceleration_0_60_mph]]</f>
        <v>410.87898089171972</v>
      </c>
      <c r="AC950" t="str">
        <f>IF(EV_Data4[[#This Row],[price_usd]]&gt;=80000,"Luxury",IF(EV_Data4[[#This Row],[price_usd]]&gt;=40000,"Mid-Range","Budget"))</f>
        <v>Mid-Range</v>
      </c>
      <c r="AD950" t="str">
        <f>IF(EV_Data4[[#This Row],[range_miles]]&gt;=350,"Long-Range",IF(EV_Data4[[#This Row],[range_miles]]&gt;=250,"Medium-Range","Short-Range"))</f>
        <v>Medium-Range</v>
      </c>
      <c r="AE950" t="str">
        <f>IF(EV_Data4[[#This Row],[charging_speed_kw]]&gt;=250,"Ultra-Fast",IF(EV_Data4[[#This Row],[charging_speed_kw]]&gt;=150,"Fast-Charging","Standard-Charging"))</f>
        <v>Standard-Charging</v>
      </c>
      <c r="AF950" t="str">
        <f>IF(EV_Data4[[#This Row],[acceleration_0_60_mph]]&lt;=3,"SportsPerformance",IF(EV_Data4[[#This Row],[acceleration_0_60_mph]]&lt;=5,"HighPerformance","Standard"))</f>
        <v>Standard</v>
      </c>
      <c r="AG950" t="str">
        <f>IF(EV_Data4[[#This Row],[customer_rating]]&gt;=4.5,"Excellent",IF(EV_Data4[[#This Row],[customer_rating]]&gt;=3.5,"Good","Average"))</f>
        <v>Good</v>
      </c>
      <c r="AH95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51" spans="1:34" x14ac:dyDescent="0.3">
      <c r="A951" t="s">
        <v>42</v>
      </c>
      <c r="B951" t="s">
        <v>54</v>
      </c>
      <c r="C951">
        <v>2022</v>
      </c>
      <c r="D951" t="s">
        <v>33</v>
      </c>
      <c r="E951" s="3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27</v>
      </c>
      <c r="N951">
        <v>5</v>
      </c>
      <c r="O951" t="s">
        <v>28</v>
      </c>
      <c r="P951">
        <v>60.1</v>
      </c>
      <c r="Q951">
        <v>2450</v>
      </c>
      <c r="R951">
        <v>5</v>
      </c>
      <c r="S951">
        <v>1</v>
      </c>
      <c r="T951" t="s">
        <v>45</v>
      </c>
      <c r="U951" t="s">
        <v>33</v>
      </c>
      <c r="V951" s="3">
        <v>126881</v>
      </c>
      <c r="W951">
        <v>3.6</v>
      </c>
      <c r="X951">
        <v>3</v>
      </c>
      <c r="Y951" s="1">
        <f>EV_Data4[[#This Row],[range_miles]]/EV_Data4[[#This Row],[battery_capacity_kwh]]</f>
        <v>3.1340872374798061</v>
      </c>
      <c r="Z951" s="4">
        <f>EV_Data4[[#This Row],[price_usd]]/EV_Data4[[#This Row],[range_miles]]</f>
        <v>483.36819587628861</v>
      </c>
      <c r="AA951" s="2">
        <f>(EV_Data4[[#This Row],[customer_rating]]*EV_Data4[[#This Row],[safety_rating]]*1000)/EV_Data4[[#This Row],[price_usd]]</f>
        <v>0.19195202734932487</v>
      </c>
      <c r="AB951">
        <f>EV_Data4[[#This Row],[horsepower]]+EV_Data4[[#This Row],[torque_nm]]/EV_Data4[[#This Row],[acceleration_0_60_mph]]</f>
        <v>1138.6196769456681</v>
      </c>
      <c r="AC951" t="str">
        <f>IF(EV_Data4[[#This Row],[price_usd]]&gt;=80000,"Luxury",IF(EV_Data4[[#This Row],[price_usd]]&gt;=40000,"Mid-Range","Budget"))</f>
        <v>Luxury</v>
      </c>
      <c r="AD951" t="str">
        <f>IF(EV_Data4[[#This Row],[range_miles]]&gt;=350,"Long-Range",IF(EV_Data4[[#This Row],[range_miles]]&gt;=250,"Medium-Range","Short-Range"))</f>
        <v>Short-Range</v>
      </c>
      <c r="AE951" t="str">
        <f>IF(EV_Data4[[#This Row],[charging_speed_kw]]&gt;=250,"Ultra-Fast",IF(EV_Data4[[#This Row],[charging_speed_kw]]&gt;=150,"Fast-Charging","Standard-Charging"))</f>
        <v>Standard-Charging</v>
      </c>
      <c r="AF951" t="str">
        <f>IF(EV_Data4[[#This Row],[acceleration_0_60_mph]]&lt;=3,"SportsPerformance",IF(EV_Data4[[#This Row],[acceleration_0_60_mph]]&lt;=5,"HighPerformance","Standard"))</f>
        <v>Standard</v>
      </c>
      <c r="AG951" t="str">
        <f>IF(EV_Data4[[#This Row],[customer_rating]]&gt;=4.5,"Excellent",IF(EV_Data4[[#This Row],[customer_rating]]&gt;=3.5,"Good","Average"))</f>
        <v>Good</v>
      </c>
      <c r="AH95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52" spans="1:34" x14ac:dyDescent="0.3">
      <c r="A952" t="s">
        <v>42</v>
      </c>
      <c r="B952" t="s">
        <v>71</v>
      </c>
      <c r="C952">
        <v>2024</v>
      </c>
      <c r="D952" t="s">
        <v>56</v>
      </c>
      <c r="E952" s="3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27</v>
      </c>
      <c r="N952">
        <v>5</v>
      </c>
      <c r="O952" t="s">
        <v>58</v>
      </c>
      <c r="P952">
        <v>37.6</v>
      </c>
      <c r="Q952">
        <v>1686</v>
      </c>
      <c r="R952">
        <v>5</v>
      </c>
      <c r="S952">
        <v>1</v>
      </c>
      <c r="T952" t="s">
        <v>45</v>
      </c>
      <c r="U952" t="s">
        <v>37</v>
      </c>
      <c r="V952" s="3">
        <v>149672</v>
      </c>
      <c r="W952">
        <v>3.38</v>
      </c>
      <c r="X952">
        <v>3</v>
      </c>
      <c r="Y952" s="1">
        <f>EV_Data4[[#This Row],[range_miles]]/EV_Data4[[#This Row],[battery_capacity_kwh]]</f>
        <v>3.1078610603290673</v>
      </c>
      <c r="Z952" s="4">
        <f>EV_Data4[[#This Row],[price_usd]]/EV_Data4[[#This Row],[range_miles]]</f>
        <v>339.08199999999999</v>
      </c>
      <c r="AA952" s="2">
        <f>(EV_Data4[[#This Row],[customer_rating]]*EV_Data4[[#This Row],[safety_rating]]*1000)/EV_Data4[[#This Row],[price_usd]]</f>
        <v>0.29317912689521219</v>
      </c>
      <c r="AB952">
        <f>EV_Data4[[#This Row],[horsepower]]+EV_Data4[[#This Row],[torque_nm]]/EV_Data4[[#This Row],[acceleration_0_60_mph]]</f>
        <v>690.89984591679513</v>
      </c>
      <c r="AC952" t="str">
        <f>IF(EV_Data4[[#This Row],[price_usd]]&gt;=80000,"Luxury",IF(EV_Data4[[#This Row],[price_usd]]&gt;=40000,"Mid-Range","Budget"))</f>
        <v>Mid-Range</v>
      </c>
      <c r="AD952" t="str">
        <f>IF(EV_Data4[[#This Row],[range_miles]]&gt;=350,"Long-Range",IF(EV_Data4[[#This Row],[range_miles]]&gt;=250,"Medium-Range","Short-Range"))</f>
        <v>Short-Range</v>
      </c>
      <c r="AE952" t="str">
        <f>IF(EV_Data4[[#This Row],[charging_speed_kw]]&gt;=250,"Ultra-Fast",IF(EV_Data4[[#This Row],[charging_speed_kw]]&gt;=150,"Fast-Charging","Standard-Charging"))</f>
        <v>Standard-Charging</v>
      </c>
      <c r="AF952" t="str">
        <f>IF(EV_Data4[[#This Row],[acceleration_0_60_mph]]&lt;=3,"SportsPerformance",IF(EV_Data4[[#This Row],[acceleration_0_60_mph]]&lt;=5,"HighPerformance","Standard"))</f>
        <v>Standard</v>
      </c>
      <c r="AG952" t="str">
        <f>IF(EV_Data4[[#This Row],[customer_rating]]&gt;=4.5,"Excellent",IF(EV_Data4[[#This Row],[customer_rating]]&gt;=3.5,"Good","Average"))</f>
        <v>Average</v>
      </c>
      <c r="AH95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53" spans="1:34" x14ac:dyDescent="0.3">
      <c r="A953" t="s">
        <v>83</v>
      </c>
      <c r="B953" t="s">
        <v>114</v>
      </c>
      <c r="C953">
        <v>2022</v>
      </c>
      <c r="D953" t="s">
        <v>26</v>
      </c>
      <c r="E953" s="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48</v>
      </c>
      <c r="N953">
        <v>5</v>
      </c>
      <c r="O953" t="s">
        <v>50</v>
      </c>
      <c r="P953">
        <v>32.299999999999997</v>
      </c>
      <c r="Q953">
        <v>1545</v>
      </c>
      <c r="R953">
        <v>3</v>
      </c>
      <c r="S953">
        <v>2</v>
      </c>
      <c r="T953" t="s">
        <v>29</v>
      </c>
      <c r="U953" t="s">
        <v>30</v>
      </c>
      <c r="V953" s="3">
        <v>23392</v>
      </c>
      <c r="W953">
        <v>3.69</v>
      </c>
      <c r="X953">
        <v>7</v>
      </c>
      <c r="Y953" s="1">
        <f>EV_Data4[[#This Row],[range_miles]]/EV_Data4[[#This Row],[battery_capacity_kwh]]</f>
        <v>3.5586061246040126</v>
      </c>
      <c r="Z953" s="4">
        <f>EV_Data4[[#This Row],[price_usd]]/EV_Data4[[#This Row],[range_miles]]</f>
        <v>303.97777448071213</v>
      </c>
      <c r="AA953" s="2">
        <f>(EV_Data4[[#This Row],[customer_rating]]*EV_Data4[[#This Row],[safety_rating]]*1000)/EV_Data4[[#This Row],[price_usd]]</f>
        <v>0.1080627185475746</v>
      </c>
      <c r="AB953">
        <f>EV_Data4[[#This Row],[horsepower]]+EV_Data4[[#This Row],[torque_nm]]/EV_Data4[[#This Row],[acceleration_0_60_mph]]</f>
        <v>983.79844961240315</v>
      </c>
      <c r="AC953" t="str">
        <f>IF(EV_Data4[[#This Row],[price_usd]]&gt;=80000,"Luxury",IF(EV_Data4[[#This Row],[price_usd]]&gt;=40000,"Mid-Range","Budget"))</f>
        <v>Luxury</v>
      </c>
      <c r="AD953" t="str">
        <f>IF(EV_Data4[[#This Row],[range_miles]]&gt;=350,"Long-Range",IF(EV_Data4[[#This Row],[range_miles]]&gt;=250,"Medium-Range","Short-Range"))</f>
        <v>Medium-Range</v>
      </c>
      <c r="AE953" t="str">
        <f>IF(EV_Data4[[#This Row],[charging_speed_kw]]&gt;=250,"Ultra-Fast",IF(EV_Data4[[#This Row],[charging_speed_kw]]&gt;=150,"Fast-Charging","Standard-Charging"))</f>
        <v>Fast-Charging</v>
      </c>
      <c r="AF953" t="str">
        <f>IF(EV_Data4[[#This Row],[acceleration_0_60_mph]]&lt;=3,"SportsPerformance",IF(EV_Data4[[#This Row],[acceleration_0_60_mph]]&lt;=5,"HighPerformance","Standard"))</f>
        <v>HighPerformance</v>
      </c>
      <c r="AG953" t="str">
        <f>IF(EV_Data4[[#This Row],[customer_rating]]&gt;=4.5,"Excellent",IF(EV_Data4[[#This Row],[customer_rating]]&gt;=3.5,"Good","Average"))</f>
        <v>Good</v>
      </c>
      <c r="AH95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54" spans="1:34" x14ac:dyDescent="0.3">
      <c r="A954" t="s">
        <v>46</v>
      </c>
      <c r="B954" t="s">
        <v>72</v>
      </c>
      <c r="C954">
        <v>2024</v>
      </c>
      <c r="D954" t="s">
        <v>56</v>
      </c>
      <c r="E954" s="3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34</v>
      </c>
      <c r="N954">
        <v>5</v>
      </c>
      <c r="O954" t="s">
        <v>28</v>
      </c>
      <c r="P954">
        <v>60.8</v>
      </c>
      <c r="Q954">
        <v>2643</v>
      </c>
      <c r="R954">
        <v>5</v>
      </c>
      <c r="S954">
        <v>3</v>
      </c>
      <c r="T954" t="s">
        <v>41</v>
      </c>
      <c r="U954" t="s">
        <v>37</v>
      </c>
      <c r="V954" s="3">
        <v>241001</v>
      </c>
      <c r="W954">
        <v>3.74</v>
      </c>
      <c r="X954">
        <v>6</v>
      </c>
      <c r="Y954" s="1">
        <f>EV_Data4[[#This Row],[range_miles]]/EV_Data4[[#This Row],[battery_capacity_kwh]]</f>
        <v>3.6690647482014387</v>
      </c>
      <c r="Z954" s="4">
        <f>EV_Data4[[#This Row],[price_usd]]/EV_Data4[[#This Row],[range_miles]]</f>
        <v>322.20039215686279</v>
      </c>
      <c r="AA954" s="2">
        <f>(EV_Data4[[#This Row],[customer_rating]]*EV_Data4[[#This Row],[safety_rating]]*1000)/EV_Data4[[#This Row],[price_usd]]</f>
        <v>0.37933604426750217</v>
      </c>
      <c r="AB954">
        <f>EV_Data4[[#This Row],[horsepower]]+EV_Data4[[#This Row],[torque_nm]]/EV_Data4[[#This Row],[acceleration_0_60_mph]]</f>
        <v>343.00135317997297</v>
      </c>
      <c r="AC954" t="str">
        <f>IF(EV_Data4[[#This Row],[price_usd]]&gt;=80000,"Luxury",IF(EV_Data4[[#This Row],[price_usd]]&gt;=40000,"Mid-Range","Budget"))</f>
        <v>Mid-Range</v>
      </c>
      <c r="AD954" t="str">
        <f>IF(EV_Data4[[#This Row],[range_miles]]&gt;=350,"Long-Range",IF(EV_Data4[[#This Row],[range_miles]]&gt;=250,"Medium-Range","Short-Range"))</f>
        <v>Short-Range</v>
      </c>
      <c r="AE954" t="str">
        <f>IF(EV_Data4[[#This Row],[charging_speed_kw]]&gt;=250,"Ultra-Fast",IF(EV_Data4[[#This Row],[charging_speed_kw]]&gt;=150,"Fast-Charging","Standard-Charging"))</f>
        <v>Ultra-Fast</v>
      </c>
      <c r="AF954" t="str">
        <f>IF(EV_Data4[[#This Row],[acceleration_0_60_mph]]&lt;=3,"SportsPerformance",IF(EV_Data4[[#This Row],[acceleration_0_60_mph]]&lt;=5,"HighPerformance","Standard"))</f>
        <v>Standard</v>
      </c>
      <c r="AG954" t="str">
        <f>IF(EV_Data4[[#This Row],[customer_rating]]&gt;=4.5,"Excellent",IF(EV_Data4[[#This Row],[customer_rating]]&gt;=3.5,"Good","Average"))</f>
        <v>Good</v>
      </c>
      <c r="AH95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955" spans="1:34" x14ac:dyDescent="0.3">
      <c r="A955" t="s">
        <v>94</v>
      </c>
      <c r="B955" t="s">
        <v>128</v>
      </c>
      <c r="C955">
        <v>2024</v>
      </c>
      <c r="D955" t="s">
        <v>26</v>
      </c>
      <c r="E955" s="3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48</v>
      </c>
      <c r="N955">
        <v>7</v>
      </c>
      <c r="O955" t="s">
        <v>50</v>
      </c>
      <c r="P955">
        <v>35.5</v>
      </c>
      <c r="Q955">
        <v>1514</v>
      </c>
      <c r="R955">
        <v>5</v>
      </c>
      <c r="S955">
        <v>1</v>
      </c>
      <c r="T955" t="s">
        <v>41</v>
      </c>
      <c r="U955" t="s">
        <v>30</v>
      </c>
      <c r="V955" s="3">
        <v>656</v>
      </c>
      <c r="W955">
        <v>3.53</v>
      </c>
      <c r="X955">
        <v>5</v>
      </c>
      <c r="Y955" s="1">
        <f>EV_Data4[[#This Row],[range_miles]]/EV_Data4[[#This Row],[battery_capacity_kwh]]</f>
        <v>3.3648648648648649</v>
      </c>
      <c r="Z955" s="4">
        <f>EV_Data4[[#This Row],[price_usd]]/EV_Data4[[#This Row],[range_miles]]</f>
        <v>474.2026907630522</v>
      </c>
      <c r="AA955" s="2">
        <f>(EV_Data4[[#This Row],[customer_rating]]*EV_Data4[[#This Row],[safety_rating]]*1000)/EV_Data4[[#This Row],[price_usd]]</f>
        <v>0.14947940093398795</v>
      </c>
      <c r="AB955">
        <f>EV_Data4[[#This Row],[horsepower]]+EV_Data4[[#This Row],[torque_nm]]/EV_Data4[[#This Row],[acceleration_0_60_mph]]</f>
        <v>1267.1554252199412</v>
      </c>
      <c r="AC955" t="str">
        <f>IF(EV_Data4[[#This Row],[price_usd]]&gt;=80000,"Luxury",IF(EV_Data4[[#This Row],[price_usd]]&gt;=40000,"Mid-Range","Budget"))</f>
        <v>Luxury</v>
      </c>
      <c r="AD955" t="str">
        <f>IF(EV_Data4[[#This Row],[range_miles]]&gt;=350,"Long-Range",IF(EV_Data4[[#This Row],[range_miles]]&gt;=250,"Medium-Range","Short-Range"))</f>
        <v>Short-Range</v>
      </c>
      <c r="AE955" t="str">
        <f>IF(EV_Data4[[#This Row],[charging_speed_kw]]&gt;=250,"Ultra-Fast",IF(EV_Data4[[#This Row],[charging_speed_kw]]&gt;=150,"Fast-Charging","Standard-Charging"))</f>
        <v>Fast-Charging</v>
      </c>
      <c r="AF955" t="str">
        <f>IF(EV_Data4[[#This Row],[acceleration_0_60_mph]]&lt;=3,"SportsPerformance",IF(EV_Data4[[#This Row],[acceleration_0_60_mph]]&lt;=5,"HighPerformance","Standard"))</f>
        <v>HighPerformance</v>
      </c>
      <c r="AG955" t="str">
        <f>IF(EV_Data4[[#This Row],[customer_rating]]&gt;=4.5,"Excellent",IF(EV_Data4[[#This Row],[customer_rating]]&gt;=3.5,"Good","Average"))</f>
        <v>Good</v>
      </c>
      <c r="AH95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56" spans="1:34" x14ac:dyDescent="0.3">
      <c r="A956" t="s">
        <v>24</v>
      </c>
      <c r="B956" t="s">
        <v>70</v>
      </c>
      <c r="C956">
        <v>2023</v>
      </c>
      <c r="D956" t="s">
        <v>33</v>
      </c>
      <c r="E956" s="3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27</v>
      </c>
      <c r="N956">
        <v>7</v>
      </c>
      <c r="O956" t="s">
        <v>28</v>
      </c>
      <c r="P956">
        <v>74.3</v>
      </c>
      <c r="Q956">
        <v>2586</v>
      </c>
      <c r="R956">
        <v>5</v>
      </c>
      <c r="S956">
        <v>1</v>
      </c>
      <c r="T956" t="s">
        <v>29</v>
      </c>
      <c r="U956" t="s">
        <v>33</v>
      </c>
      <c r="V956" s="3">
        <v>211559</v>
      </c>
      <c r="W956">
        <v>3.61</v>
      </c>
      <c r="X956">
        <v>4</v>
      </c>
      <c r="Y956" s="1">
        <f>EV_Data4[[#This Row],[range_miles]]/EV_Data4[[#This Row],[battery_capacity_kwh]]</f>
        <v>3.1774193548387095</v>
      </c>
      <c r="Z956" s="4">
        <f>EV_Data4[[#This Row],[price_usd]]/EV_Data4[[#This Row],[range_miles]]</f>
        <v>351.34654822335028</v>
      </c>
      <c r="AA956" s="2">
        <f>(EV_Data4[[#This Row],[customer_rating]]*EV_Data4[[#This Row],[safety_rating]]*1000)/EV_Data4[[#This Row],[price_usd]]</f>
        <v>0.26078060520460294</v>
      </c>
      <c r="AB956">
        <f>EV_Data4[[#This Row],[horsepower]]+EV_Data4[[#This Row],[torque_nm]]/EV_Data4[[#This Row],[acceleration_0_60_mph]]</f>
        <v>793.23705722070849</v>
      </c>
      <c r="AC956" t="str">
        <f>IF(EV_Data4[[#This Row],[price_usd]]&gt;=80000,"Luxury",IF(EV_Data4[[#This Row],[price_usd]]&gt;=40000,"Mid-Range","Budget"))</f>
        <v>Mid-Range</v>
      </c>
      <c r="AD956" t="str">
        <f>IF(EV_Data4[[#This Row],[range_miles]]&gt;=350,"Long-Range",IF(EV_Data4[[#This Row],[range_miles]]&gt;=250,"Medium-Range","Short-Range"))</f>
        <v>Short-Range</v>
      </c>
      <c r="AE956" t="str">
        <f>IF(EV_Data4[[#This Row],[charging_speed_kw]]&gt;=250,"Ultra-Fast",IF(EV_Data4[[#This Row],[charging_speed_kw]]&gt;=150,"Fast-Charging","Standard-Charging"))</f>
        <v>Standard-Charging</v>
      </c>
      <c r="AF956" t="str">
        <f>IF(EV_Data4[[#This Row],[acceleration_0_60_mph]]&lt;=3,"SportsPerformance",IF(EV_Data4[[#This Row],[acceleration_0_60_mph]]&lt;=5,"HighPerformance","Standard"))</f>
        <v>Standard</v>
      </c>
      <c r="AG956" t="str">
        <f>IF(EV_Data4[[#This Row],[customer_rating]]&gt;=4.5,"Excellent",IF(EV_Data4[[#This Row],[customer_rating]]&gt;=3.5,"Good","Average"))</f>
        <v>Good</v>
      </c>
      <c r="AH95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57" spans="1:34" x14ac:dyDescent="0.3">
      <c r="A957" t="s">
        <v>24</v>
      </c>
      <c r="B957" t="s">
        <v>75</v>
      </c>
      <c r="C957">
        <v>2026</v>
      </c>
      <c r="D957" t="s">
        <v>61</v>
      </c>
      <c r="E957" s="3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34</v>
      </c>
      <c r="N957">
        <v>5</v>
      </c>
      <c r="O957" t="s">
        <v>58</v>
      </c>
      <c r="P957">
        <v>35</v>
      </c>
      <c r="Q957">
        <v>1882</v>
      </c>
      <c r="R957">
        <v>5</v>
      </c>
      <c r="S957">
        <v>0</v>
      </c>
      <c r="T957" t="s">
        <v>29</v>
      </c>
      <c r="U957" t="s">
        <v>33</v>
      </c>
      <c r="V957" s="3">
        <v>279621</v>
      </c>
      <c r="W957">
        <v>3.38</v>
      </c>
      <c r="X957">
        <v>3</v>
      </c>
      <c r="Y957" s="1">
        <f>EV_Data4[[#This Row],[range_miles]]/EV_Data4[[#This Row],[battery_capacity_kwh]]</f>
        <v>3.7543252595155709</v>
      </c>
      <c r="Z957" s="4">
        <f>EV_Data4[[#This Row],[price_usd]]/EV_Data4[[#This Row],[range_miles]]</f>
        <v>397.87834101382492</v>
      </c>
      <c r="AA957" s="2">
        <f>(EV_Data4[[#This Row],[customer_rating]]*EV_Data4[[#This Row],[safety_rating]]*1000)/EV_Data4[[#This Row],[price_usd]]</f>
        <v>0.1957386876937118</v>
      </c>
      <c r="AB957">
        <f>EV_Data4[[#This Row],[horsepower]]+EV_Data4[[#This Row],[torque_nm]]/EV_Data4[[#This Row],[acceleration_0_60_mph]]</f>
        <v>1114.5006839945281</v>
      </c>
      <c r="AC957" t="str">
        <f>IF(EV_Data4[[#This Row],[price_usd]]&gt;=80000,"Luxury",IF(EV_Data4[[#This Row],[price_usd]]&gt;=40000,"Mid-Range","Budget"))</f>
        <v>Luxury</v>
      </c>
      <c r="AD957" t="str">
        <f>IF(EV_Data4[[#This Row],[range_miles]]&gt;=350,"Long-Range",IF(EV_Data4[[#This Row],[range_miles]]&gt;=250,"Medium-Range","Short-Range"))</f>
        <v>Short-Range</v>
      </c>
      <c r="AE957" t="str">
        <f>IF(EV_Data4[[#This Row],[charging_speed_kw]]&gt;=250,"Ultra-Fast",IF(EV_Data4[[#This Row],[charging_speed_kw]]&gt;=150,"Fast-Charging","Standard-Charging"))</f>
        <v>Standard-Charging</v>
      </c>
      <c r="AF957" t="str">
        <f>IF(EV_Data4[[#This Row],[acceleration_0_60_mph]]&lt;=3,"SportsPerformance",IF(EV_Data4[[#This Row],[acceleration_0_60_mph]]&lt;=5,"HighPerformance","Standard"))</f>
        <v>Standard</v>
      </c>
      <c r="AG957" t="str">
        <f>IF(EV_Data4[[#This Row],[customer_rating]]&gt;=4.5,"Excellent",IF(EV_Data4[[#This Row],[customer_rating]]&gt;=3.5,"Good","Average"))</f>
        <v>Average</v>
      </c>
      <c r="AH95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58" spans="1:34" x14ac:dyDescent="0.3">
      <c r="A958" t="s">
        <v>68</v>
      </c>
      <c r="B958" t="s">
        <v>79</v>
      </c>
      <c r="C958">
        <v>2023</v>
      </c>
      <c r="D958" t="s">
        <v>56</v>
      </c>
      <c r="E958" s="3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27</v>
      </c>
      <c r="N958">
        <v>5</v>
      </c>
      <c r="O958" t="s">
        <v>40</v>
      </c>
      <c r="P958">
        <v>69.3</v>
      </c>
      <c r="Q958">
        <v>1580</v>
      </c>
      <c r="R958">
        <v>4</v>
      </c>
      <c r="S958">
        <v>1</v>
      </c>
      <c r="T958" t="s">
        <v>45</v>
      </c>
      <c r="U958" t="s">
        <v>37</v>
      </c>
      <c r="V958" s="3">
        <v>52756</v>
      </c>
      <c r="W958">
        <v>3.29</v>
      </c>
      <c r="X958">
        <v>4</v>
      </c>
      <c r="Y958" s="1">
        <f>EV_Data4[[#This Row],[range_miles]]/EV_Data4[[#This Row],[battery_capacity_kwh]]</f>
        <v>3.7951807228915659</v>
      </c>
      <c r="Z958" s="4">
        <f>EV_Data4[[#This Row],[price_usd]]/EV_Data4[[#This Row],[range_miles]]</f>
        <v>165.38992063492066</v>
      </c>
      <c r="AA958" s="2">
        <f>(EV_Data4[[#This Row],[customer_rating]]*EV_Data4[[#This Row],[safety_rating]]*1000)/EV_Data4[[#This Row],[price_usd]]</f>
        <v>0.31575214512314093</v>
      </c>
      <c r="AB958">
        <f>EV_Data4[[#This Row],[horsepower]]+EV_Data4[[#This Row],[torque_nm]]/EV_Data4[[#This Row],[acceleration_0_60_mph]]</f>
        <v>418.84269662921349</v>
      </c>
      <c r="AC958" t="str">
        <f>IF(EV_Data4[[#This Row],[price_usd]]&gt;=80000,"Luxury",IF(EV_Data4[[#This Row],[price_usd]]&gt;=40000,"Mid-Range","Budget"))</f>
        <v>Mid-Range</v>
      </c>
      <c r="AD958" t="str">
        <f>IF(EV_Data4[[#This Row],[range_miles]]&gt;=350,"Long-Range",IF(EV_Data4[[#This Row],[range_miles]]&gt;=250,"Medium-Range","Short-Range"))</f>
        <v>Medium-Range</v>
      </c>
      <c r="AE958" t="str">
        <f>IF(EV_Data4[[#This Row],[charging_speed_kw]]&gt;=250,"Ultra-Fast",IF(EV_Data4[[#This Row],[charging_speed_kw]]&gt;=150,"Fast-Charging","Standard-Charging"))</f>
        <v>Standard-Charging</v>
      </c>
      <c r="AF958" t="str">
        <f>IF(EV_Data4[[#This Row],[acceleration_0_60_mph]]&lt;=3,"SportsPerformance",IF(EV_Data4[[#This Row],[acceleration_0_60_mph]]&lt;=5,"HighPerformance","Standard"))</f>
        <v>Standard</v>
      </c>
      <c r="AG958" t="str">
        <f>IF(EV_Data4[[#This Row],[customer_rating]]&gt;=4.5,"Excellent",IF(EV_Data4[[#This Row],[customer_rating]]&gt;=3.5,"Good","Average"))</f>
        <v>Average</v>
      </c>
      <c r="AH95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59" spans="1:34" x14ac:dyDescent="0.3">
      <c r="A959" t="s">
        <v>46</v>
      </c>
      <c r="B959" t="s">
        <v>72</v>
      </c>
      <c r="C959">
        <v>2025</v>
      </c>
      <c r="D959" t="s">
        <v>33</v>
      </c>
      <c r="E959" s="3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27</v>
      </c>
      <c r="N959">
        <v>5</v>
      </c>
      <c r="O959" t="s">
        <v>28</v>
      </c>
      <c r="P959">
        <v>73.099999999999994</v>
      </c>
      <c r="Q959">
        <v>2711</v>
      </c>
      <c r="R959">
        <v>5</v>
      </c>
      <c r="S959">
        <v>2</v>
      </c>
      <c r="T959" t="s">
        <v>41</v>
      </c>
      <c r="U959" t="s">
        <v>30</v>
      </c>
      <c r="V959" s="3">
        <v>195107</v>
      </c>
      <c r="W959">
        <v>3.68</v>
      </c>
      <c r="X959">
        <v>5</v>
      </c>
      <c r="Y959" s="1">
        <f>EV_Data4[[#This Row],[range_miles]]/EV_Data4[[#This Row],[battery_capacity_kwh]]</f>
        <v>3.8651685393258428</v>
      </c>
      <c r="Z959" s="4">
        <f>EV_Data4[[#This Row],[price_usd]]/EV_Data4[[#This Row],[range_miles]]</f>
        <v>763.52802325581399</v>
      </c>
      <c r="AA959" s="2">
        <f>(EV_Data4[[#This Row],[customer_rating]]*EV_Data4[[#This Row],[safety_rating]]*1000)/EV_Data4[[#This Row],[price_usd]]</f>
        <v>0.14010847136936691</v>
      </c>
      <c r="AB959">
        <f>EV_Data4[[#This Row],[horsepower]]+EV_Data4[[#This Row],[torque_nm]]/EV_Data4[[#This Row],[acceleration_0_60_mph]]</f>
        <v>1089.9776357827477</v>
      </c>
      <c r="AC959" t="str">
        <f>IF(EV_Data4[[#This Row],[price_usd]]&gt;=80000,"Luxury",IF(EV_Data4[[#This Row],[price_usd]]&gt;=40000,"Mid-Range","Budget"))</f>
        <v>Luxury</v>
      </c>
      <c r="AD959" t="str">
        <f>IF(EV_Data4[[#This Row],[range_miles]]&gt;=350,"Long-Range",IF(EV_Data4[[#This Row],[range_miles]]&gt;=250,"Medium-Range","Short-Range"))</f>
        <v>Short-Range</v>
      </c>
      <c r="AE959" t="str">
        <f>IF(EV_Data4[[#This Row],[charging_speed_kw]]&gt;=250,"Ultra-Fast",IF(EV_Data4[[#This Row],[charging_speed_kw]]&gt;=150,"Fast-Charging","Standard-Charging"))</f>
        <v>Ultra-Fast</v>
      </c>
      <c r="AF959" t="str">
        <f>IF(EV_Data4[[#This Row],[acceleration_0_60_mph]]&lt;=3,"SportsPerformance",IF(EV_Data4[[#This Row],[acceleration_0_60_mph]]&lt;=5,"HighPerformance","Standard"))</f>
        <v>Standard</v>
      </c>
      <c r="AG959" t="str">
        <f>IF(EV_Data4[[#This Row],[customer_rating]]&gt;=4.5,"Excellent",IF(EV_Data4[[#This Row],[customer_rating]]&gt;=3.5,"Good","Average"))</f>
        <v>Good</v>
      </c>
      <c r="AH95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60" spans="1:34" x14ac:dyDescent="0.3">
      <c r="A960" t="s">
        <v>46</v>
      </c>
      <c r="B960" t="s">
        <v>78</v>
      </c>
      <c r="C960">
        <v>2025</v>
      </c>
      <c r="D960" t="s">
        <v>56</v>
      </c>
      <c r="E960" s="3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34</v>
      </c>
      <c r="N960">
        <v>7</v>
      </c>
      <c r="O960" t="s">
        <v>40</v>
      </c>
      <c r="P960">
        <v>75.5</v>
      </c>
      <c r="Q960">
        <v>1771</v>
      </c>
      <c r="R960">
        <v>5</v>
      </c>
      <c r="S960">
        <v>2</v>
      </c>
      <c r="T960" t="s">
        <v>41</v>
      </c>
      <c r="U960" t="s">
        <v>30</v>
      </c>
      <c r="V960" s="3">
        <v>136623</v>
      </c>
      <c r="W960">
        <v>3.7</v>
      </c>
      <c r="X960">
        <v>6</v>
      </c>
      <c r="Y960" s="1">
        <f>EV_Data4[[#This Row],[range_miles]]/EV_Data4[[#This Row],[battery_capacity_kwh]]</f>
        <v>3.4624697336561745</v>
      </c>
      <c r="Z960" s="4">
        <f>EV_Data4[[#This Row],[price_usd]]/EV_Data4[[#This Row],[range_miles]]</f>
        <v>370.74996503496504</v>
      </c>
      <c r="AA960" s="2">
        <f>(EV_Data4[[#This Row],[customer_rating]]*EV_Data4[[#This Row],[safety_rating]]*1000)/EV_Data4[[#This Row],[price_usd]]</f>
        <v>0.17447153280031807</v>
      </c>
      <c r="AB960">
        <f>EV_Data4[[#This Row],[horsepower]]+EV_Data4[[#This Row],[torque_nm]]/EV_Data4[[#This Row],[acceleration_0_60_mph]]</f>
        <v>806.78280542986431</v>
      </c>
      <c r="AC960" t="str">
        <f>IF(EV_Data4[[#This Row],[price_usd]]&gt;=80000,"Luxury",IF(EV_Data4[[#This Row],[price_usd]]&gt;=40000,"Mid-Range","Budget"))</f>
        <v>Luxury</v>
      </c>
      <c r="AD960" t="str">
        <f>IF(EV_Data4[[#This Row],[range_miles]]&gt;=350,"Long-Range",IF(EV_Data4[[#This Row],[range_miles]]&gt;=250,"Medium-Range","Short-Range"))</f>
        <v>Medium-Range</v>
      </c>
      <c r="AE960" t="str">
        <f>IF(EV_Data4[[#This Row],[charging_speed_kw]]&gt;=250,"Ultra-Fast",IF(EV_Data4[[#This Row],[charging_speed_kw]]&gt;=150,"Fast-Charging","Standard-Charging"))</f>
        <v>Fast-Charging</v>
      </c>
      <c r="AF960" t="str">
        <f>IF(EV_Data4[[#This Row],[acceleration_0_60_mph]]&lt;=3,"SportsPerformance",IF(EV_Data4[[#This Row],[acceleration_0_60_mph]]&lt;=5,"HighPerformance","Standard"))</f>
        <v>Standard</v>
      </c>
      <c r="AG960" t="str">
        <f>IF(EV_Data4[[#This Row],[customer_rating]]&gt;=4.5,"Excellent",IF(EV_Data4[[#This Row],[customer_rating]]&gt;=3.5,"Good","Average"))</f>
        <v>Good</v>
      </c>
      <c r="AH96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61" spans="1:34" x14ac:dyDescent="0.3">
      <c r="A961" t="s">
        <v>38</v>
      </c>
      <c r="B961" t="s">
        <v>55</v>
      </c>
      <c r="C961">
        <v>2023</v>
      </c>
      <c r="D961" t="s">
        <v>26</v>
      </c>
      <c r="E961" s="3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48</v>
      </c>
      <c r="N961">
        <v>7</v>
      </c>
      <c r="O961" t="s">
        <v>40</v>
      </c>
      <c r="P961">
        <v>76.900000000000006</v>
      </c>
      <c r="Q961">
        <v>1584</v>
      </c>
      <c r="R961">
        <v>3</v>
      </c>
      <c r="S961">
        <v>1</v>
      </c>
      <c r="T961" t="s">
        <v>41</v>
      </c>
      <c r="U961" t="s">
        <v>37</v>
      </c>
      <c r="V961" s="3">
        <v>8909</v>
      </c>
      <c r="W961">
        <v>3.76</v>
      </c>
      <c r="X961">
        <v>3</v>
      </c>
      <c r="Y961" s="1">
        <f>EV_Data4[[#This Row],[range_miles]]/EV_Data4[[#This Row],[battery_capacity_kwh]]</f>
        <v>3.3771929824561404</v>
      </c>
      <c r="Z961" s="4">
        <f>EV_Data4[[#This Row],[price_usd]]/EV_Data4[[#This Row],[range_miles]]</f>
        <v>196.04025974025976</v>
      </c>
      <c r="AA961" s="2">
        <f>(EV_Data4[[#This Row],[customer_rating]]*EV_Data4[[#This Row],[safety_rating]]*1000)/EV_Data4[[#This Row],[price_usd]]</f>
        <v>0.18681558916469582</v>
      </c>
      <c r="AB961">
        <f>EV_Data4[[#This Row],[horsepower]]+EV_Data4[[#This Row],[torque_nm]]/EV_Data4[[#This Row],[acceleration_0_60_mph]]</f>
        <v>918.41353383458647</v>
      </c>
      <c r="AC961" t="str">
        <f>IF(EV_Data4[[#This Row],[price_usd]]&gt;=80000,"Luxury",IF(EV_Data4[[#This Row],[price_usd]]&gt;=40000,"Mid-Range","Budget"))</f>
        <v>Mid-Range</v>
      </c>
      <c r="AD961" t="str">
        <f>IF(EV_Data4[[#This Row],[range_miles]]&gt;=350,"Long-Range",IF(EV_Data4[[#This Row],[range_miles]]&gt;=250,"Medium-Range","Short-Range"))</f>
        <v>Medium-Range</v>
      </c>
      <c r="AE961" t="str">
        <f>IF(EV_Data4[[#This Row],[charging_speed_kw]]&gt;=250,"Ultra-Fast",IF(EV_Data4[[#This Row],[charging_speed_kw]]&gt;=150,"Fast-Charging","Standard-Charging"))</f>
        <v>Fast-Charging</v>
      </c>
      <c r="AF961" t="str">
        <f>IF(EV_Data4[[#This Row],[acceleration_0_60_mph]]&lt;=3,"SportsPerformance",IF(EV_Data4[[#This Row],[acceleration_0_60_mph]]&lt;=5,"HighPerformance","Standard"))</f>
        <v>HighPerformance</v>
      </c>
      <c r="AG961" t="str">
        <f>IF(EV_Data4[[#This Row],[customer_rating]]&gt;=4.5,"Excellent",IF(EV_Data4[[#This Row],[customer_rating]]&gt;=3.5,"Good","Average"))</f>
        <v>Good</v>
      </c>
      <c r="AH96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62" spans="1:34" x14ac:dyDescent="0.3">
      <c r="A962" t="s">
        <v>46</v>
      </c>
      <c r="B962" t="s">
        <v>49</v>
      </c>
      <c r="C962">
        <v>2024</v>
      </c>
      <c r="D962" t="s">
        <v>26</v>
      </c>
      <c r="E962" s="3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27</v>
      </c>
      <c r="N962">
        <v>5</v>
      </c>
      <c r="O962" t="s">
        <v>51</v>
      </c>
      <c r="P962">
        <v>26.6</v>
      </c>
      <c r="Q962">
        <v>1540</v>
      </c>
      <c r="R962">
        <v>4</v>
      </c>
      <c r="S962">
        <v>2</v>
      </c>
      <c r="T962" t="s">
        <v>41</v>
      </c>
      <c r="U962" t="s">
        <v>30</v>
      </c>
      <c r="V962" s="3">
        <v>490678</v>
      </c>
      <c r="W962">
        <v>4.51</v>
      </c>
      <c r="X962">
        <v>4</v>
      </c>
      <c r="Y962" s="1">
        <f>EV_Data4[[#This Row],[range_miles]]/EV_Data4[[#This Row],[battery_capacity_kwh]]</f>
        <v>3.5350043215211753</v>
      </c>
      <c r="Z962" s="4">
        <f>EV_Data4[[#This Row],[price_usd]]/EV_Data4[[#This Row],[range_miles]]</f>
        <v>345.59635696821516</v>
      </c>
      <c r="AA962" s="2">
        <f>(EV_Data4[[#This Row],[customer_rating]]*EV_Data4[[#This Row],[safety_rating]]*1000)/EV_Data4[[#This Row],[price_usd]]</f>
        <v>0.12762744332446568</v>
      </c>
      <c r="AB962">
        <f>EV_Data4[[#This Row],[horsepower]]+EV_Data4[[#This Row],[torque_nm]]/EV_Data4[[#This Row],[acceleration_0_60_mph]]</f>
        <v>1302.8938906752412</v>
      </c>
      <c r="AC962" t="str">
        <f>IF(EV_Data4[[#This Row],[price_usd]]&gt;=80000,"Luxury",IF(EV_Data4[[#This Row],[price_usd]]&gt;=40000,"Mid-Range","Budget"))</f>
        <v>Luxury</v>
      </c>
      <c r="AD962" t="str">
        <f>IF(EV_Data4[[#This Row],[range_miles]]&gt;=350,"Long-Range",IF(EV_Data4[[#This Row],[range_miles]]&gt;=250,"Medium-Range","Short-Range"))</f>
        <v>Long-Range</v>
      </c>
      <c r="AE962" t="str">
        <f>IF(EV_Data4[[#This Row],[charging_speed_kw]]&gt;=250,"Ultra-Fast",IF(EV_Data4[[#This Row],[charging_speed_kw]]&gt;=150,"Fast-Charging","Standard-Charging"))</f>
        <v>Fast-Charging</v>
      </c>
      <c r="AF962" t="str">
        <f>IF(EV_Data4[[#This Row],[acceleration_0_60_mph]]&lt;=3,"SportsPerformance",IF(EV_Data4[[#This Row],[acceleration_0_60_mph]]&lt;=5,"HighPerformance","Standard"))</f>
        <v>HighPerformance</v>
      </c>
      <c r="AG962" t="str">
        <f>IF(EV_Data4[[#This Row],[customer_rating]]&gt;=4.5,"Excellent",IF(EV_Data4[[#This Row],[customer_rating]]&gt;=3.5,"Good","Average"))</f>
        <v>Excellent</v>
      </c>
      <c r="AH96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63" spans="1:34" x14ac:dyDescent="0.3">
      <c r="A963" t="s">
        <v>42</v>
      </c>
      <c r="B963" t="s">
        <v>71</v>
      </c>
      <c r="C963">
        <v>2025</v>
      </c>
      <c r="D963" t="s">
        <v>56</v>
      </c>
      <c r="E963" s="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34</v>
      </c>
      <c r="N963">
        <v>7</v>
      </c>
      <c r="O963" t="s">
        <v>40</v>
      </c>
      <c r="P963">
        <v>76.5</v>
      </c>
      <c r="Q963">
        <v>1588</v>
      </c>
      <c r="R963">
        <v>4</v>
      </c>
      <c r="S963">
        <v>0</v>
      </c>
      <c r="T963" t="s">
        <v>45</v>
      </c>
      <c r="U963" t="s">
        <v>66</v>
      </c>
      <c r="V963" s="3">
        <v>70571</v>
      </c>
      <c r="W963">
        <v>3.47</v>
      </c>
      <c r="X963">
        <v>4</v>
      </c>
      <c r="Y963" s="1">
        <f>EV_Data4[[#This Row],[range_miles]]/EV_Data4[[#This Row],[battery_capacity_kwh]]</f>
        <v>3.6893203883495143</v>
      </c>
      <c r="Z963" s="4">
        <f>EV_Data4[[#This Row],[price_usd]]/EV_Data4[[#This Row],[range_miles]]</f>
        <v>110.20457236842105</v>
      </c>
      <c r="AA963" s="2">
        <f>(EV_Data4[[#This Row],[customer_rating]]*EV_Data4[[#This Row],[safety_rating]]*1000)/EV_Data4[[#This Row],[price_usd]]</f>
        <v>0.41430127403611522</v>
      </c>
      <c r="AB963">
        <f>EV_Data4[[#This Row],[horsepower]]+EV_Data4[[#This Row],[torque_nm]]/EV_Data4[[#This Row],[acceleration_0_60_mph]]</f>
        <v>252.9639889196676</v>
      </c>
      <c r="AC963" t="str">
        <f>IF(EV_Data4[[#This Row],[price_usd]]&gt;=80000,"Luxury",IF(EV_Data4[[#This Row],[price_usd]]&gt;=40000,"Mid-Range","Budget"))</f>
        <v>Budget</v>
      </c>
      <c r="AD963" t="str">
        <f>IF(EV_Data4[[#This Row],[range_miles]]&gt;=350,"Long-Range",IF(EV_Data4[[#This Row],[range_miles]]&gt;=250,"Medium-Range","Short-Range"))</f>
        <v>Medium-Range</v>
      </c>
      <c r="AE963" t="str">
        <f>IF(EV_Data4[[#This Row],[charging_speed_kw]]&gt;=250,"Ultra-Fast",IF(EV_Data4[[#This Row],[charging_speed_kw]]&gt;=150,"Fast-Charging","Standard-Charging"))</f>
        <v>Standard-Charging</v>
      </c>
      <c r="AF963" t="str">
        <f>IF(EV_Data4[[#This Row],[acceleration_0_60_mph]]&lt;=3,"SportsPerformance",IF(EV_Data4[[#This Row],[acceleration_0_60_mph]]&lt;=5,"HighPerformance","Standard"))</f>
        <v>Standard</v>
      </c>
      <c r="AG963" t="str">
        <f>IF(EV_Data4[[#This Row],[customer_rating]]&gt;=4.5,"Excellent",IF(EV_Data4[[#This Row],[customer_rating]]&gt;=3.5,"Good","Average"))</f>
        <v>Average</v>
      </c>
      <c r="AH96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64" spans="1:34" x14ac:dyDescent="0.3">
      <c r="A964" t="s">
        <v>63</v>
      </c>
      <c r="B964" t="s">
        <v>64</v>
      </c>
      <c r="C964">
        <v>2025</v>
      </c>
      <c r="D964" t="s">
        <v>33</v>
      </c>
      <c r="E964" s="3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27</v>
      </c>
      <c r="N964">
        <v>5</v>
      </c>
      <c r="O964" t="s">
        <v>51</v>
      </c>
      <c r="P964">
        <v>19.3</v>
      </c>
      <c r="Q964">
        <v>1606</v>
      </c>
      <c r="R964">
        <v>5</v>
      </c>
      <c r="S964">
        <v>0</v>
      </c>
      <c r="T964" t="s">
        <v>65</v>
      </c>
      <c r="U964" t="s">
        <v>33</v>
      </c>
      <c r="V964" s="3">
        <v>142672</v>
      </c>
      <c r="W964">
        <v>3.25</v>
      </c>
      <c r="X964">
        <v>3</v>
      </c>
      <c r="Y964" s="1">
        <f>EV_Data4[[#This Row],[range_miles]]/EV_Data4[[#This Row],[battery_capacity_kwh]]</f>
        <v>3.4836702954898913</v>
      </c>
      <c r="Z964" s="4">
        <f>EV_Data4[[#This Row],[price_usd]]/EV_Data4[[#This Row],[range_miles]]</f>
        <v>440.08508928571428</v>
      </c>
      <c r="AA964" s="2">
        <f>(EV_Data4[[#This Row],[customer_rating]]*EV_Data4[[#This Row],[safety_rating]]*1000)/EV_Data4[[#This Row],[price_usd]]</f>
        <v>0.16484231032432242</v>
      </c>
      <c r="AB964">
        <f>EV_Data4[[#This Row],[horsepower]]+EV_Data4[[#This Row],[torque_nm]]/EV_Data4[[#This Row],[acceleration_0_60_mph]]</f>
        <v>1132.1958456973293</v>
      </c>
      <c r="AC964" t="str">
        <f>IF(EV_Data4[[#This Row],[price_usd]]&gt;=80000,"Luxury",IF(EV_Data4[[#This Row],[price_usd]]&gt;=40000,"Mid-Range","Budget"))</f>
        <v>Luxury</v>
      </c>
      <c r="AD964" t="str">
        <f>IF(EV_Data4[[#This Row],[range_miles]]&gt;=350,"Long-Range",IF(EV_Data4[[#This Row],[range_miles]]&gt;=250,"Medium-Range","Short-Range"))</f>
        <v>Short-Range</v>
      </c>
      <c r="AE964" t="str">
        <f>IF(EV_Data4[[#This Row],[charging_speed_kw]]&gt;=250,"Ultra-Fast",IF(EV_Data4[[#This Row],[charging_speed_kw]]&gt;=150,"Fast-Charging","Standard-Charging"))</f>
        <v>Standard-Charging</v>
      </c>
      <c r="AF964" t="str">
        <f>IF(EV_Data4[[#This Row],[acceleration_0_60_mph]]&lt;=3,"SportsPerformance",IF(EV_Data4[[#This Row],[acceleration_0_60_mph]]&lt;=5,"HighPerformance","Standard"))</f>
        <v>Standard</v>
      </c>
      <c r="AG964" t="str">
        <f>IF(EV_Data4[[#This Row],[customer_rating]]&gt;=4.5,"Excellent",IF(EV_Data4[[#This Row],[customer_rating]]&gt;=3.5,"Good","Average"))</f>
        <v>Average</v>
      </c>
      <c r="AH96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65" spans="1:34" x14ac:dyDescent="0.3">
      <c r="A965" t="s">
        <v>24</v>
      </c>
      <c r="B965" t="s">
        <v>75</v>
      </c>
      <c r="C965">
        <v>2024</v>
      </c>
      <c r="D965" t="s">
        <v>56</v>
      </c>
      <c r="E965" s="3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27</v>
      </c>
      <c r="N965">
        <v>5</v>
      </c>
      <c r="O965" t="s">
        <v>35</v>
      </c>
      <c r="P965">
        <v>38.299999999999997</v>
      </c>
      <c r="Q965">
        <v>2196</v>
      </c>
      <c r="R965">
        <v>5</v>
      </c>
      <c r="S965">
        <v>1</v>
      </c>
      <c r="T965" t="s">
        <v>29</v>
      </c>
      <c r="U965" t="s">
        <v>66</v>
      </c>
      <c r="V965" s="3">
        <v>268683</v>
      </c>
      <c r="W965">
        <v>3.64</v>
      </c>
      <c r="X965">
        <v>4</v>
      </c>
      <c r="Y965" s="1">
        <f>EV_Data4[[#This Row],[range_miles]]/EV_Data4[[#This Row],[battery_capacity_kwh]]</f>
        <v>3.8095238095238098</v>
      </c>
      <c r="Z965" s="4">
        <f>EV_Data4[[#This Row],[price_usd]]/EV_Data4[[#This Row],[range_miles]]</f>
        <v>111.4151893939394</v>
      </c>
      <c r="AA965" s="2">
        <f>(EV_Data4[[#This Row],[customer_rating]]*EV_Data4[[#This Row],[safety_rating]]*1000)/EV_Data4[[#This Row],[price_usd]]</f>
        <v>0.61876117892363436</v>
      </c>
      <c r="AB965">
        <f>EV_Data4[[#This Row],[horsepower]]+EV_Data4[[#This Row],[torque_nm]]/EV_Data4[[#This Row],[acceleration_0_60_mph]]</f>
        <v>213.58620689655172</v>
      </c>
      <c r="AC965" t="str">
        <f>IF(EV_Data4[[#This Row],[price_usd]]&gt;=80000,"Luxury",IF(EV_Data4[[#This Row],[price_usd]]&gt;=40000,"Mid-Range","Budget"))</f>
        <v>Budget</v>
      </c>
      <c r="AD965" t="str">
        <f>IF(EV_Data4[[#This Row],[range_miles]]&gt;=350,"Long-Range",IF(EV_Data4[[#This Row],[range_miles]]&gt;=250,"Medium-Range","Short-Range"))</f>
        <v>Medium-Range</v>
      </c>
      <c r="AE965" t="str">
        <f>IF(EV_Data4[[#This Row],[charging_speed_kw]]&gt;=250,"Ultra-Fast",IF(EV_Data4[[#This Row],[charging_speed_kw]]&gt;=150,"Fast-Charging","Standard-Charging"))</f>
        <v>Standard-Charging</v>
      </c>
      <c r="AF965" t="str">
        <f>IF(EV_Data4[[#This Row],[acceleration_0_60_mph]]&lt;=3,"SportsPerformance",IF(EV_Data4[[#This Row],[acceleration_0_60_mph]]&lt;=5,"HighPerformance","Standard"))</f>
        <v>Standard</v>
      </c>
      <c r="AG965" t="str">
        <f>IF(EV_Data4[[#This Row],[customer_rating]]&gt;=4.5,"Excellent",IF(EV_Data4[[#This Row],[customer_rating]]&gt;=3.5,"Good","Average"))</f>
        <v>Good</v>
      </c>
      <c r="AH96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66" spans="1:34" x14ac:dyDescent="0.3">
      <c r="A966" t="s">
        <v>63</v>
      </c>
      <c r="B966" t="s">
        <v>67</v>
      </c>
      <c r="C966">
        <v>2025</v>
      </c>
      <c r="D966" t="s">
        <v>44</v>
      </c>
      <c r="E966" s="3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48</v>
      </c>
      <c r="N966">
        <v>5</v>
      </c>
      <c r="O966" t="s">
        <v>58</v>
      </c>
      <c r="P966">
        <v>39.200000000000003</v>
      </c>
      <c r="Q966">
        <v>1704</v>
      </c>
      <c r="R966">
        <v>4</v>
      </c>
      <c r="S966">
        <v>2</v>
      </c>
      <c r="T966" t="s">
        <v>65</v>
      </c>
      <c r="U966" t="s">
        <v>66</v>
      </c>
      <c r="V966" s="3">
        <v>218123</v>
      </c>
      <c r="W966">
        <v>3.53</v>
      </c>
      <c r="X966">
        <v>3</v>
      </c>
      <c r="Y966" s="1">
        <f>EV_Data4[[#This Row],[range_miles]]/EV_Data4[[#This Row],[battery_capacity_kwh]]</f>
        <v>3.3369565217391304</v>
      </c>
      <c r="Z966" s="4">
        <f>EV_Data4[[#This Row],[price_usd]]/EV_Data4[[#This Row],[range_miles]]</f>
        <v>105.97778501628665</v>
      </c>
      <c r="AA966" s="2">
        <f>(EV_Data4[[#This Row],[customer_rating]]*EV_Data4[[#This Row],[safety_rating]]*1000)/EV_Data4[[#This Row],[price_usd]]</f>
        <v>0.43399175907433124</v>
      </c>
      <c r="AB966">
        <f>EV_Data4[[#This Row],[horsepower]]+EV_Data4[[#This Row],[torque_nm]]/EV_Data4[[#This Row],[acceleration_0_60_mph]]</f>
        <v>399.52272727272725</v>
      </c>
      <c r="AC966" t="str">
        <f>IF(EV_Data4[[#This Row],[price_usd]]&gt;=80000,"Luxury",IF(EV_Data4[[#This Row],[price_usd]]&gt;=40000,"Mid-Range","Budget"))</f>
        <v>Budget</v>
      </c>
      <c r="AD966" t="str">
        <f>IF(EV_Data4[[#This Row],[range_miles]]&gt;=350,"Long-Range",IF(EV_Data4[[#This Row],[range_miles]]&gt;=250,"Medium-Range","Short-Range"))</f>
        <v>Medium-Range</v>
      </c>
      <c r="AE966" t="str">
        <f>IF(EV_Data4[[#This Row],[charging_speed_kw]]&gt;=250,"Ultra-Fast",IF(EV_Data4[[#This Row],[charging_speed_kw]]&gt;=150,"Fast-Charging","Standard-Charging"))</f>
        <v>Standard-Charging</v>
      </c>
      <c r="AF966" t="str">
        <f>IF(EV_Data4[[#This Row],[acceleration_0_60_mph]]&lt;=3,"SportsPerformance",IF(EV_Data4[[#This Row],[acceleration_0_60_mph]]&lt;=5,"HighPerformance","Standard"))</f>
        <v>Standard</v>
      </c>
      <c r="AG966" t="str">
        <f>IF(EV_Data4[[#This Row],[customer_rating]]&gt;=4.5,"Excellent",IF(EV_Data4[[#This Row],[customer_rating]]&gt;=3.5,"Good","Average"))</f>
        <v>Good</v>
      </c>
      <c r="AH96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67" spans="1:34" x14ac:dyDescent="0.3">
      <c r="A967" t="s">
        <v>24</v>
      </c>
      <c r="B967" t="s">
        <v>74</v>
      </c>
      <c r="C967">
        <v>2024</v>
      </c>
      <c r="D967" t="s">
        <v>26</v>
      </c>
      <c r="E967" s="3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48</v>
      </c>
      <c r="N967">
        <v>7</v>
      </c>
      <c r="O967" t="s">
        <v>40</v>
      </c>
      <c r="P967">
        <v>61.7</v>
      </c>
      <c r="Q967">
        <v>1614</v>
      </c>
      <c r="R967">
        <v>5</v>
      </c>
      <c r="S967">
        <v>0</v>
      </c>
      <c r="T967" t="s">
        <v>29</v>
      </c>
      <c r="U967" t="s">
        <v>30</v>
      </c>
      <c r="V967" s="3">
        <v>282713</v>
      </c>
      <c r="W967">
        <v>3.53</v>
      </c>
      <c r="X967">
        <v>3</v>
      </c>
      <c r="Y967" s="1">
        <f>EV_Data4[[#This Row],[range_miles]]/EV_Data4[[#This Row],[battery_capacity_kwh]]</f>
        <v>3.6464088397790055</v>
      </c>
      <c r="Z967" s="4">
        <f>EV_Data4[[#This Row],[price_usd]]/EV_Data4[[#This Row],[range_miles]]</f>
        <v>323.34445454545454</v>
      </c>
      <c r="AA967" s="2">
        <f>(EV_Data4[[#This Row],[customer_rating]]*EV_Data4[[#This Row],[safety_rating]]*1000)/EV_Data4[[#This Row],[price_usd]]</f>
        <v>0.16541136776270207</v>
      </c>
      <c r="AB967">
        <f>EV_Data4[[#This Row],[horsepower]]+EV_Data4[[#This Row],[torque_nm]]/EV_Data4[[#This Row],[acceleration_0_60_mph]]</f>
        <v>1201.8264840182649</v>
      </c>
      <c r="AC967" t="str">
        <f>IF(EV_Data4[[#This Row],[price_usd]]&gt;=80000,"Luxury",IF(EV_Data4[[#This Row],[price_usd]]&gt;=40000,"Mid-Range","Budget"))</f>
        <v>Luxury</v>
      </c>
      <c r="AD967" t="str">
        <f>IF(EV_Data4[[#This Row],[range_miles]]&gt;=350,"Long-Range",IF(EV_Data4[[#This Row],[range_miles]]&gt;=250,"Medium-Range","Short-Range"))</f>
        <v>Medium-Range</v>
      </c>
      <c r="AE967" t="str">
        <f>IF(EV_Data4[[#This Row],[charging_speed_kw]]&gt;=250,"Ultra-Fast",IF(EV_Data4[[#This Row],[charging_speed_kw]]&gt;=150,"Fast-Charging","Standard-Charging"))</f>
        <v>Fast-Charging</v>
      </c>
      <c r="AF967" t="str">
        <f>IF(EV_Data4[[#This Row],[acceleration_0_60_mph]]&lt;=3,"SportsPerformance",IF(EV_Data4[[#This Row],[acceleration_0_60_mph]]&lt;=5,"HighPerformance","Standard"))</f>
        <v>HighPerformance</v>
      </c>
      <c r="AG967" t="str">
        <f>IF(EV_Data4[[#This Row],[customer_rating]]&gt;=4.5,"Excellent",IF(EV_Data4[[#This Row],[customer_rating]]&gt;=3.5,"Good","Average"))</f>
        <v>Good</v>
      </c>
      <c r="AH96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68" spans="1:34" x14ac:dyDescent="0.3">
      <c r="A968" t="s">
        <v>38</v>
      </c>
      <c r="B968" t="s">
        <v>101</v>
      </c>
      <c r="C968">
        <v>2025</v>
      </c>
      <c r="D968" t="s">
        <v>33</v>
      </c>
      <c r="E968" s="3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48</v>
      </c>
      <c r="N968">
        <v>5</v>
      </c>
      <c r="O968" t="s">
        <v>50</v>
      </c>
      <c r="P968">
        <v>24.9</v>
      </c>
      <c r="Q968">
        <v>1500</v>
      </c>
      <c r="R968">
        <v>5</v>
      </c>
      <c r="S968">
        <v>0</v>
      </c>
      <c r="T968" t="s">
        <v>41</v>
      </c>
      <c r="U968" t="s">
        <v>37</v>
      </c>
      <c r="V968" s="3">
        <v>10487</v>
      </c>
      <c r="W968">
        <v>3.16</v>
      </c>
      <c r="X968">
        <v>3</v>
      </c>
      <c r="Y968" s="1">
        <f>EV_Data4[[#This Row],[range_miles]]/EV_Data4[[#This Row],[battery_capacity_kwh]]</f>
        <v>3.0397236614853198</v>
      </c>
      <c r="Z968" s="4">
        <f>EV_Data4[[#This Row],[price_usd]]/EV_Data4[[#This Row],[range_miles]]</f>
        <v>351.54448863636367</v>
      </c>
      <c r="AA968" s="2">
        <f>(EV_Data4[[#This Row],[customer_rating]]*EV_Data4[[#This Row],[safety_rating]]*1000)/EV_Data4[[#This Row],[price_usd]]</f>
        <v>0.25536661837867086</v>
      </c>
      <c r="AB968">
        <f>EV_Data4[[#This Row],[horsepower]]+EV_Data4[[#This Row],[torque_nm]]/EV_Data4[[#This Row],[acceleration_0_60_mph]]</f>
        <v>908.60869565217388</v>
      </c>
      <c r="AC968" t="str">
        <f>IF(EV_Data4[[#This Row],[price_usd]]&gt;=80000,"Luxury",IF(EV_Data4[[#This Row],[price_usd]]&gt;=40000,"Mid-Range","Budget"))</f>
        <v>Mid-Range</v>
      </c>
      <c r="AD968" t="str">
        <f>IF(EV_Data4[[#This Row],[range_miles]]&gt;=350,"Long-Range",IF(EV_Data4[[#This Row],[range_miles]]&gt;=250,"Medium-Range","Short-Range"))</f>
        <v>Short-Range</v>
      </c>
      <c r="AE968" t="str">
        <f>IF(EV_Data4[[#This Row],[charging_speed_kw]]&gt;=250,"Ultra-Fast",IF(EV_Data4[[#This Row],[charging_speed_kw]]&gt;=150,"Fast-Charging","Standard-Charging"))</f>
        <v>Standard-Charging</v>
      </c>
      <c r="AF968" t="str">
        <f>IF(EV_Data4[[#This Row],[acceleration_0_60_mph]]&lt;=3,"SportsPerformance",IF(EV_Data4[[#This Row],[acceleration_0_60_mph]]&lt;=5,"HighPerformance","Standard"))</f>
        <v>Standard</v>
      </c>
      <c r="AG968" t="str">
        <f>IF(EV_Data4[[#This Row],[customer_rating]]&gt;=4.5,"Excellent",IF(EV_Data4[[#This Row],[customer_rating]]&gt;=3.5,"Good","Average"))</f>
        <v>Average</v>
      </c>
      <c r="AH96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69" spans="1:34" x14ac:dyDescent="0.3">
      <c r="A969" t="s">
        <v>63</v>
      </c>
      <c r="B969" t="s">
        <v>73</v>
      </c>
      <c r="C969">
        <v>2024</v>
      </c>
      <c r="D969" t="s">
        <v>56</v>
      </c>
      <c r="E969" s="3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27</v>
      </c>
      <c r="N969">
        <v>5</v>
      </c>
      <c r="O969" t="s">
        <v>35</v>
      </c>
      <c r="P969">
        <v>63.5</v>
      </c>
      <c r="Q969">
        <v>1787</v>
      </c>
      <c r="R969">
        <v>4</v>
      </c>
      <c r="S969">
        <v>1</v>
      </c>
      <c r="T969" t="s">
        <v>65</v>
      </c>
      <c r="U969" t="s">
        <v>66</v>
      </c>
      <c r="V969" s="3">
        <v>226541</v>
      </c>
      <c r="W969">
        <v>3.63</v>
      </c>
      <c r="X969">
        <v>3</v>
      </c>
      <c r="Y969" s="1">
        <f>EV_Data4[[#This Row],[range_miles]]/EV_Data4[[#This Row],[battery_capacity_kwh]]</f>
        <v>3.4545454545454546</v>
      </c>
      <c r="Z969" s="4">
        <f>EV_Data4[[#This Row],[price_usd]]/EV_Data4[[#This Row],[range_miles]]</f>
        <v>111.3798947368421</v>
      </c>
      <c r="AA969" s="2">
        <f>(EV_Data4[[#This Row],[customer_rating]]*EV_Data4[[#This Row],[safety_rating]]*1000)/EV_Data4[[#This Row],[price_usd]]</f>
        <v>0.45741979323491244</v>
      </c>
      <c r="AB969">
        <f>EV_Data4[[#This Row],[horsepower]]+EV_Data4[[#This Row],[torque_nm]]/EV_Data4[[#This Row],[acceleration_0_60_mph]]</f>
        <v>342.78260869565219</v>
      </c>
      <c r="AC969" t="str">
        <f>IF(EV_Data4[[#This Row],[price_usd]]&gt;=80000,"Luxury",IF(EV_Data4[[#This Row],[price_usd]]&gt;=40000,"Mid-Range","Budget"))</f>
        <v>Budget</v>
      </c>
      <c r="AD969" t="str">
        <f>IF(EV_Data4[[#This Row],[range_miles]]&gt;=350,"Long-Range",IF(EV_Data4[[#This Row],[range_miles]]&gt;=250,"Medium-Range","Short-Range"))</f>
        <v>Medium-Range</v>
      </c>
      <c r="AE969" t="str">
        <f>IF(EV_Data4[[#This Row],[charging_speed_kw]]&gt;=250,"Ultra-Fast",IF(EV_Data4[[#This Row],[charging_speed_kw]]&gt;=150,"Fast-Charging","Standard-Charging"))</f>
        <v>Standard-Charging</v>
      </c>
      <c r="AF969" t="str">
        <f>IF(EV_Data4[[#This Row],[acceleration_0_60_mph]]&lt;=3,"SportsPerformance",IF(EV_Data4[[#This Row],[acceleration_0_60_mph]]&lt;=5,"HighPerformance","Standard"))</f>
        <v>Standard</v>
      </c>
      <c r="AG969" t="str">
        <f>IF(EV_Data4[[#This Row],[customer_rating]]&gt;=4.5,"Excellent",IF(EV_Data4[[#This Row],[customer_rating]]&gt;=3.5,"Good","Average"))</f>
        <v>Good</v>
      </c>
      <c r="AH96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70" spans="1:34" x14ac:dyDescent="0.3">
      <c r="A970" t="s">
        <v>42</v>
      </c>
      <c r="B970" t="s">
        <v>43</v>
      </c>
      <c r="C970">
        <v>2025</v>
      </c>
      <c r="D970" t="s">
        <v>26</v>
      </c>
      <c r="E970" s="3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27</v>
      </c>
      <c r="N970">
        <v>7</v>
      </c>
      <c r="O970" t="s">
        <v>35</v>
      </c>
      <c r="P970">
        <v>37.5</v>
      </c>
      <c r="Q970">
        <v>2315</v>
      </c>
      <c r="R970">
        <v>3</v>
      </c>
      <c r="S970">
        <v>0</v>
      </c>
      <c r="T970" t="s">
        <v>45</v>
      </c>
      <c r="U970" t="s">
        <v>33</v>
      </c>
      <c r="V970" s="3">
        <v>144057</v>
      </c>
      <c r="W970">
        <v>3.62</v>
      </c>
      <c r="X970">
        <v>3</v>
      </c>
      <c r="Y970" s="1">
        <f>EV_Data4[[#This Row],[range_miles]]/EV_Data4[[#This Row],[battery_capacity_kwh]]</f>
        <v>3.2946428571428572</v>
      </c>
      <c r="Z970" s="4">
        <f>EV_Data4[[#This Row],[price_usd]]/EV_Data4[[#This Row],[range_miles]]</f>
        <v>196.06392953929537</v>
      </c>
      <c r="AA970" s="2">
        <f>(EV_Data4[[#This Row],[customer_rating]]*EV_Data4[[#This Row],[safety_rating]]*1000)/EV_Data4[[#This Row],[price_usd]]</f>
        <v>0.15010866291468727</v>
      </c>
      <c r="AB970">
        <f>EV_Data4[[#This Row],[horsepower]]+EV_Data4[[#This Row],[torque_nm]]/EV_Data4[[#This Row],[acceleration_0_60_mph]]</f>
        <v>970.81339712918657</v>
      </c>
      <c r="AC970" t="str">
        <f>IF(EV_Data4[[#This Row],[price_usd]]&gt;=80000,"Luxury",IF(EV_Data4[[#This Row],[price_usd]]&gt;=40000,"Mid-Range","Budget"))</f>
        <v>Mid-Range</v>
      </c>
      <c r="AD970" t="str">
        <f>IF(EV_Data4[[#This Row],[range_miles]]&gt;=350,"Long-Range",IF(EV_Data4[[#This Row],[range_miles]]&gt;=250,"Medium-Range","Short-Range"))</f>
        <v>Long-Range</v>
      </c>
      <c r="AE970" t="str">
        <f>IF(EV_Data4[[#This Row],[charging_speed_kw]]&gt;=250,"Ultra-Fast",IF(EV_Data4[[#This Row],[charging_speed_kw]]&gt;=150,"Fast-Charging","Standard-Charging"))</f>
        <v>Fast-Charging</v>
      </c>
      <c r="AF970" t="str">
        <f>IF(EV_Data4[[#This Row],[acceleration_0_60_mph]]&lt;=3,"SportsPerformance",IF(EV_Data4[[#This Row],[acceleration_0_60_mph]]&lt;=5,"HighPerformance","Standard"))</f>
        <v>HighPerformance</v>
      </c>
      <c r="AG970" t="str">
        <f>IF(EV_Data4[[#This Row],[customer_rating]]&gt;=4.5,"Excellent",IF(EV_Data4[[#This Row],[customer_rating]]&gt;=3.5,"Good","Average"))</f>
        <v>Good</v>
      </c>
      <c r="AH97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71" spans="1:34" x14ac:dyDescent="0.3">
      <c r="A971" t="s">
        <v>68</v>
      </c>
      <c r="B971" t="s">
        <v>79</v>
      </c>
      <c r="C971">
        <v>2025</v>
      </c>
      <c r="D971" t="s">
        <v>26</v>
      </c>
      <c r="E971" s="3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34</v>
      </c>
      <c r="N971">
        <v>7</v>
      </c>
      <c r="O971" t="s">
        <v>50</v>
      </c>
      <c r="P971">
        <v>22.4</v>
      </c>
      <c r="Q971">
        <v>1581</v>
      </c>
      <c r="R971">
        <v>5</v>
      </c>
      <c r="S971">
        <v>2</v>
      </c>
      <c r="T971" t="s">
        <v>45</v>
      </c>
      <c r="U971" t="s">
        <v>37</v>
      </c>
      <c r="V971" s="3">
        <v>102665</v>
      </c>
      <c r="W971">
        <v>3.98</v>
      </c>
      <c r="X971">
        <v>3</v>
      </c>
      <c r="Y971" s="1">
        <f>EV_Data4[[#This Row],[range_miles]]/EV_Data4[[#This Row],[battery_capacity_kwh]]</f>
        <v>3.5529830810329477</v>
      </c>
      <c r="Z971" s="4">
        <f>EV_Data4[[#This Row],[price_usd]]/EV_Data4[[#This Row],[range_miles]]</f>
        <v>118.83463659147868</v>
      </c>
      <c r="AA971" s="2">
        <f>(EV_Data4[[#This Row],[customer_rating]]*EV_Data4[[#This Row],[safety_rating]]*1000)/EV_Data4[[#This Row],[price_usd]]</f>
        <v>0.41969823064505724</v>
      </c>
      <c r="AB971">
        <f>EV_Data4[[#This Row],[horsepower]]+EV_Data4[[#This Row],[torque_nm]]/EV_Data4[[#This Row],[acceleration_0_60_mph]]</f>
        <v>573.14084507042253</v>
      </c>
      <c r="AC971" t="str">
        <f>IF(EV_Data4[[#This Row],[price_usd]]&gt;=80000,"Luxury",IF(EV_Data4[[#This Row],[price_usd]]&gt;=40000,"Mid-Range","Budget"))</f>
        <v>Mid-Range</v>
      </c>
      <c r="AD971" t="str">
        <f>IF(EV_Data4[[#This Row],[range_miles]]&gt;=350,"Long-Range",IF(EV_Data4[[#This Row],[range_miles]]&gt;=250,"Medium-Range","Short-Range"))</f>
        <v>Long-Range</v>
      </c>
      <c r="AE971" t="str">
        <f>IF(EV_Data4[[#This Row],[charging_speed_kw]]&gt;=250,"Ultra-Fast",IF(EV_Data4[[#This Row],[charging_speed_kw]]&gt;=150,"Fast-Charging","Standard-Charging"))</f>
        <v>Fast-Charging</v>
      </c>
      <c r="AF971" t="str">
        <f>IF(EV_Data4[[#This Row],[acceleration_0_60_mph]]&lt;=3,"SportsPerformance",IF(EV_Data4[[#This Row],[acceleration_0_60_mph]]&lt;=5,"HighPerformance","Standard"))</f>
        <v>HighPerformance</v>
      </c>
      <c r="AG971" t="str">
        <f>IF(EV_Data4[[#This Row],[customer_rating]]&gt;=4.5,"Excellent",IF(EV_Data4[[#This Row],[customer_rating]]&gt;=3.5,"Good","Average"))</f>
        <v>Good</v>
      </c>
      <c r="AH97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72" spans="1:34" x14ac:dyDescent="0.3">
      <c r="A972" t="s">
        <v>83</v>
      </c>
      <c r="B972" t="s">
        <v>116</v>
      </c>
      <c r="C972">
        <v>2023</v>
      </c>
      <c r="D972" t="s">
        <v>61</v>
      </c>
      <c r="E972" s="3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34</v>
      </c>
      <c r="N972">
        <v>7</v>
      </c>
      <c r="O972" t="s">
        <v>58</v>
      </c>
      <c r="P972">
        <v>32.1</v>
      </c>
      <c r="Q972">
        <v>1856</v>
      </c>
      <c r="R972">
        <v>5</v>
      </c>
      <c r="S972">
        <v>2</v>
      </c>
      <c r="T972" t="s">
        <v>29</v>
      </c>
      <c r="U972" t="s">
        <v>30</v>
      </c>
      <c r="V972" s="3">
        <v>24913</v>
      </c>
      <c r="W972">
        <v>3.34</v>
      </c>
      <c r="X972">
        <v>6</v>
      </c>
      <c r="Y972" s="1">
        <f>EV_Data4[[#This Row],[range_miles]]/EV_Data4[[#This Row],[battery_capacity_kwh]]</f>
        <v>3.4077079107505073</v>
      </c>
      <c r="Z972" s="4">
        <f>EV_Data4[[#This Row],[price_usd]]/EV_Data4[[#This Row],[range_miles]]</f>
        <v>607.09636904761908</v>
      </c>
      <c r="AA972" s="2">
        <f>(EV_Data4[[#This Row],[customer_rating]]*EV_Data4[[#This Row],[safety_rating]]*1000)/EV_Data4[[#This Row],[price_usd]]</f>
        <v>0.16373802739209736</v>
      </c>
      <c r="AB972">
        <f>EV_Data4[[#This Row],[horsepower]]+EV_Data4[[#This Row],[torque_nm]]/EV_Data4[[#This Row],[acceleration_0_60_mph]]</f>
        <v>929.98566308243721</v>
      </c>
      <c r="AC972" t="str">
        <f>IF(EV_Data4[[#This Row],[price_usd]]&gt;=80000,"Luxury",IF(EV_Data4[[#This Row],[price_usd]]&gt;=40000,"Mid-Range","Budget"))</f>
        <v>Luxury</v>
      </c>
      <c r="AD972" t="str">
        <f>IF(EV_Data4[[#This Row],[range_miles]]&gt;=350,"Long-Range",IF(EV_Data4[[#This Row],[range_miles]]&gt;=250,"Medium-Range","Short-Range"))</f>
        <v>Short-Range</v>
      </c>
      <c r="AE972" t="str">
        <f>IF(EV_Data4[[#This Row],[charging_speed_kw]]&gt;=250,"Ultra-Fast",IF(EV_Data4[[#This Row],[charging_speed_kw]]&gt;=150,"Fast-Charging","Standard-Charging"))</f>
        <v>Standard-Charging</v>
      </c>
      <c r="AF972" t="str">
        <f>IF(EV_Data4[[#This Row],[acceleration_0_60_mph]]&lt;=3,"SportsPerformance",IF(EV_Data4[[#This Row],[acceleration_0_60_mph]]&lt;=5,"HighPerformance","Standard"))</f>
        <v>Standard</v>
      </c>
      <c r="AG972" t="str">
        <f>IF(EV_Data4[[#This Row],[customer_rating]]&gt;=4.5,"Excellent",IF(EV_Data4[[#This Row],[customer_rating]]&gt;=3.5,"Good","Average"))</f>
        <v>Average</v>
      </c>
      <c r="AH97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73" spans="1:34" x14ac:dyDescent="0.3">
      <c r="A973" t="s">
        <v>92</v>
      </c>
      <c r="B973" t="s">
        <v>127</v>
      </c>
      <c r="C973">
        <v>2025</v>
      </c>
      <c r="D973" t="s">
        <v>33</v>
      </c>
      <c r="E973" s="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48</v>
      </c>
      <c r="N973">
        <v>7</v>
      </c>
      <c r="O973" t="s">
        <v>40</v>
      </c>
      <c r="P973">
        <v>74.900000000000006</v>
      </c>
      <c r="Q973">
        <v>1673</v>
      </c>
      <c r="R973">
        <v>5</v>
      </c>
      <c r="S973">
        <v>0</v>
      </c>
      <c r="T973" t="s">
        <v>65</v>
      </c>
      <c r="U973" t="s">
        <v>33</v>
      </c>
      <c r="V973" s="3">
        <v>11073</v>
      </c>
      <c r="W973">
        <v>3.32</v>
      </c>
      <c r="X973">
        <v>5</v>
      </c>
      <c r="Y973" s="1">
        <f>EV_Data4[[#This Row],[range_miles]]/EV_Data4[[#This Row],[battery_capacity_kwh]]</f>
        <v>3.6737400530503974</v>
      </c>
      <c r="Z973" s="4">
        <f>EV_Data4[[#This Row],[price_usd]]/EV_Data4[[#This Row],[range_miles]]</f>
        <v>301.10429602888087</v>
      </c>
      <c r="AA973" s="2">
        <f>(EV_Data4[[#This Row],[customer_rating]]*EV_Data4[[#This Row],[safety_rating]]*1000)/EV_Data4[[#This Row],[price_usd]]</f>
        <v>0.19902671142289827</v>
      </c>
      <c r="AB973">
        <f>EV_Data4[[#This Row],[horsepower]]+EV_Data4[[#This Row],[torque_nm]]/EV_Data4[[#This Row],[acceleration_0_60_mph]]</f>
        <v>855.24568138195775</v>
      </c>
      <c r="AC973" t="str">
        <f>IF(EV_Data4[[#This Row],[price_usd]]&gt;=80000,"Luxury",IF(EV_Data4[[#This Row],[price_usd]]&gt;=40000,"Mid-Range","Budget"))</f>
        <v>Luxury</v>
      </c>
      <c r="AD973" t="str">
        <f>IF(EV_Data4[[#This Row],[range_miles]]&gt;=350,"Long-Range",IF(EV_Data4[[#This Row],[range_miles]]&gt;=250,"Medium-Range","Short-Range"))</f>
        <v>Medium-Range</v>
      </c>
      <c r="AE973" t="str">
        <f>IF(EV_Data4[[#This Row],[charging_speed_kw]]&gt;=250,"Ultra-Fast",IF(EV_Data4[[#This Row],[charging_speed_kw]]&gt;=150,"Fast-Charging","Standard-Charging"))</f>
        <v>Standard-Charging</v>
      </c>
      <c r="AF973" t="str">
        <f>IF(EV_Data4[[#This Row],[acceleration_0_60_mph]]&lt;=3,"SportsPerformance",IF(EV_Data4[[#This Row],[acceleration_0_60_mph]]&lt;=5,"HighPerformance","Standard"))</f>
        <v>Standard</v>
      </c>
      <c r="AG973" t="str">
        <f>IF(EV_Data4[[#This Row],[customer_rating]]&gt;=4.5,"Excellent",IF(EV_Data4[[#This Row],[customer_rating]]&gt;=3.5,"Good","Average"))</f>
        <v>Average</v>
      </c>
      <c r="AH97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74" spans="1:34" x14ac:dyDescent="0.3">
      <c r="A974" t="s">
        <v>38</v>
      </c>
      <c r="B974" t="s">
        <v>55</v>
      </c>
      <c r="C974">
        <v>2023</v>
      </c>
      <c r="D974" t="s">
        <v>26</v>
      </c>
      <c r="E974" s="3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27</v>
      </c>
      <c r="N974">
        <v>5</v>
      </c>
      <c r="O974" t="s">
        <v>28</v>
      </c>
      <c r="P974">
        <v>65</v>
      </c>
      <c r="Q974">
        <v>2508</v>
      </c>
      <c r="R974">
        <v>5</v>
      </c>
      <c r="S974">
        <v>1</v>
      </c>
      <c r="T974" t="s">
        <v>41</v>
      </c>
      <c r="U974" t="s">
        <v>33</v>
      </c>
      <c r="V974" s="3">
        <v>18415</v>
      </c>
      <c r="W974">
        <v>3.87</v>
      </c>
      <c r="X974">
        <v>4</v>
      </c>
      <c r="Y974" s="1">
        <f>EV_Data4[[#This Row],[range_miles]]/EV_Data4[[#This Row],[battery_capacity_kwh]]</f>
        <v>3.6809815950920246</v>
      </c>
      <c r="Z974" s="4">
        <f>EV_Data4[[#This Row],[price_usd]]/EV_Data4[[#This Row],[range_miles]]</f>
        <v>259.34070000000003</v>
      </c>
      <c r="AA974" s="2">
        <f>(EV_Data4[[#This Row],[customer_rating]]*EV_Data4[[#This Row],[safety_rating]]*1000)/EV_Data4[[#This Row],[price_usd]]</f>
        <v>0.24870758812635269</v>
      </c>
      <c r="AB974">
        <f>EV_Data4[[#This Row],[horsepower]]+EV_Data4[[#This Row],[torque_nm]]/EV_Data4[[#This Row],[acceleration_0_60_mph]]</f>
        <v>1259.1036414565826</v>
      </c>
      <c r="AC974" t="str">
        <f>IF(EV_Data4[[#This Row],[price_usd]]&gt;=80000,"Luxury",IF(EV_Data4[[#This Row],[price_usd]]&gt;=40000,"Mid-Range","Budget"))</f>
        <v>Mid-Range</v>
      </c>
      <c r="AD974" t="str">
        <f>IF(EV_Data4[[#This Row],[range_miles]]&gt;=350,"Long-Range",IF(EV_Data4[[#This Row],[range_miles]]&gt;=250,"Medium-Range","Short-Range"))</f>
        <v>Medium-Range</v>
      </c>
      <c r="AE974" t="str">
        <f>IF(EV_Data4[[#This Row],[charging_speed_kw]]&gt;=250,"Ultra-Fast",IF(EV_Data4[[#This Row],[charging_speed_kw]]&gt;=150,"Fast-Charging","Standard-Charging"))</f>
        <v>Fast-Charging</v>
      </c>
      <c r="AF974" t="str">
        <f>IF(EV_Data4[[#This Row],[acceleration_0_60_mph]]&lt;=3,"SportsPerformance",IF(EV_Data4[[#This Row],[acceleration_0_60_mph]]&lt;=5,"HighPerformance","Standard"))</f>
        <v>HighPerformance</v>
      </c>
      <c r="AG974" t="str">
        <f>IF(EV_Data4[[#This Row],[customer_rating]]&gt;=4.5,"Excellent",IF(EV_Data4[[#This Row],[customer_rating]]&gt;=3.5,"Good","Average"))</f>
        <v>Good</v>
      </c>
      <c r="AH97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75" spans="1:34" x14ac:dyDescent="0.3">
      <c r="A975" t="s">
        <v>63</v>
      </c>
      <c r="B975" t="s">
        <v>67</v>
      </c>
      <c r="C975">
        <v>2024</v>
      </c>
      <c r="D975" t="s">
        <v>26</v>
      </c>
      <c r="E975" s="3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27</v>
      </c>
      <c r="N975">
        <v>7</v>
      </c>
      <c r="O975" t="s">
        <v>40</v>
      </c>
      <c r="P975">
        <v>64.5</v>
      </c>
      <c r="Q975">
        <v>1590</v>
      </c>
      <c r="R975">
        <v>5</v>
      </c>
      <c r="S975">
        <v>0</v>
      </c>
      <c r="T975" t="s">
        <v>65</v>
      </c>
      <c r="U975" t="s">
        <v>37</v>
      </c>
      <c r="V975" s="3">
        <v>168996</v>
      </c>
      <c r="W975">
        <v>3.7</v>
      </c>
      <c r="X975">
        <v>4</v>
      </c>
      <c r="Y975" s="1">
        <f>EV_Data4[[#This Row],[range_miles]]/EV_Data4[[#This Row],[battery_capacity_kwh]]</f>
        <v>3.5925196850393704</v>
      </c>
      <c r="Z975" s="4">
        <f>EV_Data4[[#This Row],[price_usd]]/EV_Data4[[#This Row],[range_miles]]</f>
        <v>147.40038356164382</v>
      </c>
      <c r="AA975" s="2">
        <f>(EV_Data4[[#This Row],[customer_rating]]*EV_Data4[[#This Row],[safety_rating]]*1000)/EV_Data4[[#This Row],[price_usd]]</f>
        <v>0.34385888477456056</v>
      </c>
      <c r="AB975">
        <f>EV_Data4[[#This Row],[horsepower]]+EV_Data4[[#This Row],[torque_nm]]/EV_Data4[[#This Row],[acceleration_0_60_mph]]</f>
        <v>822.88844621513942</v>
      </c>
      <c r="AC975" t="str">
        <f>IF(EV_Data4[[#This Row],[price_usd]]&gt;=80000,"Luxury",IF(EV_Data4[[#This Row],[price_usd]]&gt;=40000,"Mid-Range","Budget"))</f>
        <v>Mid-Range</v>
      </c>
      <c r="AD975" t="str">
        <f>IF(EV_Data4[[#This Row],[range_miles]]&gt;=350,"Long-Range",IF(EV_Data4[[#This Row],[range_miles]]&gt;=250,"Medium-Range","Short-Range"))</f>
        <v>Long-Range</v>
      </c>
      <c r="AE975" t="str">
        <f>IF(EV_Data4[[#This Row],[charging_speed_kw]]&gt;=250,"Ultra-Fast",IF(EV_Data4[[#This Row],[charging_speed_kw]]&gt;=150,"Fast-Charging","Standard-Charging"))</f>
        <v>Fast-Charging</v>
      </c>
      <c r="AF975" t="str">
        <f>IF(EV_Data4[[#This Row],[acceleration_0_60_mph]]&lt;=3,"SportsPerformance",IF(EV_Data4[[#This Row],[acceleration_0_60_mph]]&lt;=5,"HighPerformance","Standard"))</f>
        <v>SportsPerformance</v>
      </c>
      <c r="AG975" t="str">
        <f>IF(EV_Data4[[#This Row],[customer_rating]]&gt;=4.5,"Excellent",IF(EV_Data4[[#This Row],[customer_rating]]&gt;=3.5,"Good","Average"))</f>
        <v>Good</v>
      </c>
      <c r="AH97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76" spans="1:34" x14ac:dyDescent="0.3">
      <c r="A976" t="s">
        <v>46</v>
      </c>
      <c r="B976" t="s">
        <v>47</v>
      </c>
      <c r="C976">
        <v>2025</v>
      </c>
      <c r="D976" t="s">
        <v>44</v>
      </c>
      <c r="E976" s="3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48</v>
      </c>
      <c r="N976">
        <v>7</v>
      </c>
      <c r="O976" t="s">
        <v>51</v>
      </c>
      <c r="P976">
        <v>32</v>
      </c>
      <c r="Q976">
        <v>1694</v>
      </c>
      <c r="R976">
        <v>4</v>
      </c>
      <c r="S976">
        <v>2</v>
      </c>
      <c r="T976" t="s">
        <v>41</v>
      </c>
      <c r="U976" t="s">
        <v>33</v>
      </c>
      <c r="V976" s="3">
        <v>181874</v>
      </c>
      <c r="W976">
        <v>3.94</v>
      </c>
      <c r="X976">
        <v>4</v>
      </c>
      <c r="Y976" s="1">
        <f>EV_Data4[[#This Row],[range_miles]]/EV_Data4[[#This Row],[battery_capacity_kwh]]</f>
        <v>3.5714285714285716</v>
      </c>
      <c r="Z976" s="4">
        <f>EV_Data4[[#This Row],[price_usd]]/EV_Data4[[#This Row],[range_miles]]</f>
        <v>240.54448571428574</v>
      </c>
      <c r="AA976" s="2">
        <f>(EV_Data4[[#This Row],[customer_rating]]*EV_Data4[[#This Row],[safety_rating]]*1000)/EV_Data4[[#This Row],[price_usd]]</f>
        <v>0.18719436155379396</v>
      </c>
      <c r="AB976">
        <f>EV_Data4[[#This Row],[horsepower]]+EV_Data4[[#This Row],[torque_nm]]/EV_Data4[[#This Row],[acceleration_0_60_mph]]</f>
        <v>702.59322033898309</v>
      </c>
      <c r="AC976" t="str">
        <f>IF(EV_Data4[[#This Row],[price_usd]]&gt;=80000,"Luxury",IF(EV_Data4[[#This Row],[price_usd]]&gt;=40000,"Mid-Range","Budget"))</f>
        <v>Luxury</v>
      </c>
      <c r="AD976" t="str">
        <f>IF(EV_Data4[[#This Row],[range_miles]]&gt;=350,"Long-Range",IF(EV_Data4[[#This Row],[range_miles]]&gt;=250,"Medium-Range","Short-Range"))</f>
        <v>Long-Range</v>
      </c>
      <c r="AE976" t="str">
        <f>IF(EV_Data4[[#This Row],[charging_speed_kw]]&gt;=250,"Ultra-Fast",IF(EV_Data4[[#This Row],[charging_speed_kw]]&gt;=150,"Fast-Charging","Standard-Charging"))</f>
        <v>Ultra-Fast</v>
      </c>
      <c r="AF976" t="str">
        <f>IF(EV_Data4[[#This Row],[acceleration_0_60_mph]]&lt;=3,"SportsPerformance",IF(EV_Data4[[#This Row],[acceleration_0_60_mph]]&lt;=5,"HighPerformance","Standard"))</f>
        <v>HighPerformance</v>
      </c>
      <c r="AG976" t="str">
        <f>IF(EV_Data4[[#This Row],[customer_rating]]&gt;=4.5,"Excellent",IF(EV_Data4[[#This Row],[customer_rating]]&gt;=3.5,"Good","Average"))</f>
        <v>Good</v>
      </c>
      <c r="AH97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77" spans="1:34" x14ac:dyDescent="0.3">
      <c r="A977" t="s">
        <v>63</v>
      </c>
      <c r="B977" t="s">
        <v>107</v>
      </c>
      <c r="C977">
        <v>2023</v>
      </c>
      <c r="D977" t="s">
        <v>56</v>
      </c>
      <c r="E977" s="3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34</v>
      </c>
      <c r="N977">
        <v>7</v>
      </c>
      <c r="O977" t="s">
        <v>50</v>
      </c>
      <c r="P977">
        <v>39.299999999999997</v>
      </c>
      <c r="Q977">
        <v>1500</v>
      </c>
      <c r="R977">
        <v>5</v>
      </c>
      <c r="S977">
        <v>0</v>
      </c>
      <c r="T977" t="s">
        <v>65</v>
      </c>
      <c r="U977" t="s">
        <v>37</v>
      </c>
      <c r="V977" s="3">
        <v>234883</v>
      </c>
      <c r="W977">
        <v>3.4</v>
      </c>
      <c r="X977">
        <v>3</v>
      </c>
      <c r="Y977" s="1">
        <f>EV_Data4[[#This Row],[range_miles]]/EV_Data4[[#This Row],[battery_capacity_kwh]]</f>
        <v>3.4627831715210355</v>
      </c>
      <c r="Z977" s="4">
        <f>EV_Data4[[#This Row],[price_usd]]/EV_Data4[[#This Row],[range_miles]]</f>
        <v>187.66439252336448</v>
      </c>
      <c r="AA977" s="2">
        <f>(EV_Data4[[#This Row],[customer_rating]]*EV_Data4[[#This Row],[safety_rating]]*1000)/EV_Data4[[#This Row],[price_usd]]</f>
        <v>0.42330487562555746</v>
      </c>
      <c r="AB977">
        <f>EV_Data4[[#This Row],[horsepower]]+EV_Data4[[#This Row],[torque_nm]]/EV_Data4[[#This Row],[acceleration_0_60_mph]]</f>
        <v>462.48531951640757</v>
      </c>
      <c r="AC977" t="str">
        <f>IF(EV_Data4[[#This Row],[price_usd]]&gt;=80000,"Luxury",IF(EV_Data4[[#This Row],[price_usd]]&gt;=40000,"Mid-Range","Budget"))</f>
        <v>Mid-Range</v>
      </c>
      <c r="AD977" t="str">
        <f>IF(EV_Data4[[#This Row],[range_miles]]&gt;=350,"Long-Range",IF(EV_Data4[[#This Row],[range_miles]]&gt;=250,"Medium-Range","Short-Range"))</f>
        <v>Short-Range</v>
      </c>
      <c r="AE977" t="str">
        <f>IF(EV_Data4[[#This Row],[charging_speed_kw]]&gt;=250,"Ultra-Fast",IF(EV_Data4[[#This Row],[charging_speed_kw]]&gt;=150,"Fast-Charging","Standard-Charging"))</f>
        <v>Standard-Charging</v>
      </c>
      <c r="AF977" t="str">
        <f>IF(EV_Data4[[#This Row],[acceleration_0_60_mph]]&lt;=3,"SportsPerformance",IF(EV_Data4[[#This Row],[acceleration_0_60_mph]]&lt;=5,"HighPerformance","Standard"))</f>
        <v>Standard</v>
      </c>
      <c r="AG977" t="str">
        <f>IF(EV_Data4[[#This Row],[customer_rating]]&gt;=4.5,"Excellent",IF(EV_Data4[[#This Row],[customer_rating]]&gt;=3.5,"Good","Average"))</f>
        <v>Average</v>
      </c>
      <c r="AH97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78" spans="1:34" x14ac:dyDescent="0.3">
      <c r="A978" t="s">
        <v>42</v>
      </c>
      <c r="B978" t="s">
        <v>115</v>
      </c>
      <c r="C978">
        <v>2022</v>
      </c>
      <c r="D978" t="s">
        <v>26</v>
      </c>
      <c r="E978" s="3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27</v>
      </c>
      <c r="N978">
        <v>5</v>
      </c>
      <c r="O978" t="s">
        <v>50</v>
      </c>
      <c r="P978">
        <v>27.7</v>
      </c>
      <c r="Q978">
        <v>1500</v>
      </c>
      <c r="R978">
        <v>4</v>
      </c>
      <c r="S978">
        <v>2</v>
      </c>
      <c r="T978" t="s">
        <v>45</v>
      </c>
      <c r="U978" t="s">
        <v>37</v>
      </c>
      <c r="V978" s="3">
        <v>81607</v>
      </c>
      <c r="W978">
        <v>3.7</v>
      </c>
      <c r="X978">
        <v>5</v>
      </c>
      <c r="Y978" s="1">
        <f>EV_Data4[[#This Row],[range_miles]]/EV_Data4[[#This Row],[battery_capacity_kwh]]</f>
        <v>3.4177215189873418</v>
      </c>
      <c r="Z978" s="4">
        <f>EV_Data4[[#This Row],[price_usd]]/EV_Data4[[#This Row],[range_miles]]</f>
        <v>136.83327635327637</v>
      </c>
      <c r="AA978" s="2">
        <f>(EV_Data4[[#This Row],[customer_rating]]*EV_Data4[[#This Row],[safety_rating]]*1000)/EV_Data4[[#This Row],[price_usd]]</f>
        <v>0.30815049737155953</v>
      </c>
      <c r="AB978">
        <f>EV_Data4[[#This Row],[horsepower]]+EV_Data4[[#This Row],[torque_nm]]/EV_Data4[[#This Row],[acceleration_0_60_mph]]</f>
        <v>616.96352583586622</v>
      </c>
      <c r="AC978" t="str">
        <f>IF(EV_Data4[[#This Row],[price_usd]]&gt;=80000,"Luxury",IF(EV_Data4[[#This Row],[price_usd]]&gt;=40000,"Mid-Range","Budget"))</f>
        <v>Mid-Range</v>
      </c>
      <c r="AD978" t="str">
        <f>IF(EV_Data4[[#This Row],[range_miles]]&gt;=350,"Long-Range",IF(EV_Data4[[#This Row],[range_miles]]&gt;=250,"Medium-Range","Short-Range"))</f>
        <v>Long-Range</v>
      </c>
      <c r="AE978" t="str">
        <f>IF(EV_Data4[[#This Row],[charging_speed_kw]]&gt;=250,"Ultra-Fast",IF(EV_Data4[[#This Row],[charging_speed_kw]]&gt;=150,"Fast-Charging","Standard-Charging"))</f>
        <v>Fast-Charging</v>
      </c>
      <c r="AF978" t="str">
        <f>IF(EV_Data4[[#This Row],[acceleration_0_60_mph]]&lt;=3,"SportsPerformance",IF(EV_Data4[[#This Row],[acceleration_0_60_mph]]&lt;=5,"HighPerformance","Standard"))</f>
        <v>HighPerformance</v>
      </c>
      <c r="AG978" t="str">
        <f>IF(EV_Data4[[#This Row],[customer_rating]]&gt;=4.5,"Excellent",IF(EV_Data4[[#This Row],[customer_rating]]&gt;=3.5,"Good","Average"))</f>
        <v>Good</v>
      </c>
      <c r="AH97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79" spans="1:34" x14ac:dyDescent="0.3">
      <c r="A979" t="s">
        <v>46</v>
      </c>
      <c r="B979" t="s">
        <v>57</v>
      </c>
      <c r="C979">
        <v>2026</v>
      </c>
      <c r="D979" t="s">
        <v>26</v>
      </c>
      <c r="E979" s="3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27</v>
      </c>
      <c r="N979">
        <v>7</v>
      </c>
      <c r="O979" t="s">
        <v>28</v>
      </c>
      <c r="P979">
        <v>77.7</v>
      </c>
      <c r="Q979">
        <v>2847</v>
      </c>
      <c r="R979">
        <v>4</v>
      </c>
      <c r="S979">
        <v>2</v>
      </c>
      <c r="T979" t="s">
        <v>41</v>
      </c>
      <c r="U979" t="s">
        <v>30</v>
      </c>
      <c r="V979" s="3">
        <v>177875</v>
      </c>
      <c r="W979">
        <v>3.74</v>
      </c>
      <c r="X979">
        <v>5</v>
      </c>
      <c r="Y979" s="1">
        <f>EV_Data4[[#This Row],[range_miles]]/EV_Data4[[#This Row],[battery_capacity_kwh]]</f>
        <v>3.5370611183355005</v>
      </c>
      <c r="Z979" s="4">
        <f>EV_Data4[[#This Row],[price_usd]]/EV_Data4[[#This Row],[range_miles]]</f>
        <v>444.81974264705883</v>
      </c>
      <c r="AA979" s="2">
        <f>(EV_Data4[[#This Row],[customer_rating]]*EV_Data4[[#This Row],[safety_rating]]*1000)/EV_Data4[[#This Row],[price_usd]]</f>
        <v>0.12364559107179651</v>
      </c>
      <c r="AB979">
        <f>EV_Data4[[#This Row],[horsepower]]+EV_Data4[[#This Row],[torque_nm]]/EV_Data4[[#This Row],[acceleration_0_60_mph]]</f>
        <v>1105.4128113879003</v>
      </c>
      <c r="AC979" t="str">
        <f>IF(EV_Data4[[#This Row],[price_usd]]&gt;=80000,"Luxury",IF(EV_Data4[[#This Row],[price_usd]]&gt;=40000,"Mid-Range","Budget"))</f>
        <v>Luxury</v>
      </c>
      <c r="AD979" t="str">
        <f>IF(EV_Data4[[#This Row],[range_miles]]&gt;=350,"Long-Range",IF(EV_Data4[[#This Row],[range_miles]]&gt;=250,"Medium-Range","Short-Range"))</f>
        <v>Medium-Range</v>
      </c>
      <c r="AE979" t="str">
        <f>IF(EV_Data4[[#This Row],[charging_speed_kw]]&gt;=250,"Ultra-Fast",IF(EV_Data4[[#This Row],[charging_speed_kw]]&gt;=150,"Fast-Charging","Standard-Charging"))</f>
        <v>Fast-Charging</v>
      </c>
      <c r="AF979" t="str">
        <f>IF(EV_Data4[[#This Row],[acceleration_0_60_mph]]&lt;=3,"SportsPerformance",IF(EV_Data4[[#This Row],[acceleration_0_60_mph]]&lt;=5,"HighPerformance","Standard"))</f>
        <v>SportsPerformance</v>
      </c>
      <c r="AG979" t="str">
        <f>IF(EV_Data4[[#This Row],[customer_rating]]&gt;=4.5,"Excellent",IF(EV_Data4[[#This Row],[customer_rating]]&gt;=3.5,"Good","Average"))</f>
        <v>Good</v>
      </c>
      <c r="AH97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80" spans="1:34" x14ac:dyDescent="0.3">
      <c r="A980" t="s">
        <v>68</v>
      </c>
      <c r="B980" t="s">
        <v>109</v>
      </c>
      <c r="C980">
        <v>2022</v>
      </c>
      <c r="D980" t="s">
        <v>56</v>
      </c>
      <c r="E980" s="3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27</v>
      </c>
      <c r="N980">
        <v>5</v>
      </c>
      <c r="O980" t="s">
        <v>58</v>
      </c>
      <c r="P980">
        <v>26.9</v>
      </c>
      <c r="Q980">
        <v>1576</v>
      </c>
      <c r="R980">
        <v>5</v>
      </c>
      <c r="S980">
        <v>1</v>
      </c>
      <c r="T980" t="s">
        <v>45</v>
      </c>
      <c r="U980" t="s">
        <v>37</v>
      </c>
      <c r="V980" s="3">
        <v>72150</v>
      </c>
      <c r="W980">
        <v>3.34</v>
      </c>
      <c r="X980">
        <v>5</v>
      </c>
      <c r="Y980" s="1">
        <f>EV_Data4[[#This Row],[range_miles]]/EV_Data4[[#This Row],[battery_capacity_kwh]]</f>
        <v>2.9870129870129869</v>
      </c>
      <c r="Z980" s="4">
        <f>EV_Data4[[#This Row],[price_usd]]/EV_Data4[[#This Row],[range_miles]]</f>
        <v>285.09249999999997</v>
      </c>
      <c r="AA980" s="2">
        <f>(EV_Data4[[#This Row],[customer_rating]]*EV_Data4[[#This Row],[safety_rating]]*1000)/EV_Data4[[#This Row],[price_usd]]</f>
        <v>0.31835586543040378</v>
      </c>
      <c r="AB980">
        <f>EV_Data4[[#This Row],[horsepower]]+EV_Data4[[#This Row],[torque_nm]]/EV_Data4[[#This Row],[acceleration_0_60_mph]]</f>
        <v>566.87362637362639</v>
      </c>
      <c r="AC980" t="str">
        <f>IF(EV_Data4[[#This Row],[price_usd]]&gt;=80000,"Luxury",IF(EV_Data4[[#This Row],[price_usd]]&gt;=40000,"Mid-Range","Budget"))</f>
        <v>Mid-Range</v>
      </c>
      <c r="AD980" t="str">
        <f>IF(EV_Data4[[#This Row],[range_miles]]&gt;=350,"Long-Range",IF(EV_Data4[[#This Row],[range_miles]]&gt;=250,"Medium-Range","Short-Range"))</f>
        <v>Short-Range</v>
      </c>
      <c r="AE980" t="str">
        <f>IF(EV_Data4[[#This Row],[charging_speed_kw]]&gt;=250,"Ultra-Fast",IF(EV_Data4[[#This Row],[charging_speed_kw]]&gt;=150,"Fast-Charging","Standard-Charging"))</f>
        <v>Standard-Charging</v>
      </c>
      <c r="AF980" t="str">
        <f>IF(EV_Data4[[#This Row],[acceleration_0_60_mph]]&lt;=3,"SportsPerformance",IF(EV_Data4[[#This Row],[acceleration_0_60_mph]]&lt;=5,"HighPerformance","Standard"))</f>
        <v>Standard</v>
      </c>
      <c r="AG980" t="str">
        <f>IF(EV_Data4[[#This Row],[customer_rating]]&gt;=4.5,"Excellent",IF(EV_Data4[[#This Row],[customer_rating]]&gt;=3.5,"Good","Average"))</f>
        <v>Average</v>
      </c>
      <c r="AH98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81" spans="1:34" x14ac:dyDescent="0.3">
      <c r="A981" t="s">
        <v>42</v>
      </c>
      <c r="B981" t="s">
        <v>71</v>
      </c>
      <c r="C981">
        <v>2023</v>
      </c>
      <c r="D981" t="s">
        <v>61</v>
      </c>
      <c r="E981" s="3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27</v>
      </c>
      <c r="N981">
        <v>7</v>
      </c>
      <c r="O981" t="s">
        <v>58</v>
      </c>
      <c r="P981">
        <v>23.5</v>
      </c>
      <c r="Q981">
        <v>1580</v>
      </c>
      <c r="R981">
        <v>4</v>
      </c>
      <c r="S981">
        <v>2</v>
      </c>
      <c r="T981" t="s">
        <v>45</v>
      </c>
      <c r="U981" t="s">
        <v>33</v>
      </c>
      <c r="V981" s="3">
        <v>93251</v>
      </c>
      <c r="W981">
        <v>3.17</v>
      </c>
      <c r="X981">
        <v>3</v>
      </c>
      <c r="Y981" s="1">
        <f>EV_Data4[[#This Row],[range_miles]]/EV_Data4[[#This Row],[battery_capacity_kwh]]</f>
        <v>3.7128712871287131</v>
      </c>
      <c r="Z981" s="4">
        <f>EV_Data4[[#This Row],[price_usd]]/EV_Data4[[#This Row],[range_miles]]</f>
        <v>442.64186666666666</v>
      </c>
      <c r="AA981" s="2">
        <f>(EV_Data4[[#This Row],[customer_rating]]*EV_Data4[[#This Row],[safety_rating]]*1000)/EV_Data4[[#This Row],[price_usd]]</f>
        <v>0.19097455459854076</v>
      </c>
      <c r="AB981">
        <f>EV_Data4[[#This Row],[horsepower]]+EV_Data4[[#This Row],[torque_nm]]/EV_Data4[[#This Row],[acceleration_0_60_mph]]</f>
        <v>887.62686567164178</v>
      </c>
      <c r="AC981" t="str">
        <f>IF(EV_Data4[[#This Row],[price_usd]]&gt;=80000,"Luxury",IF(EV_Data4[[#This Row],[price_usd]]&gt;=40000,"Mid-Range","Budget"))</f>
        <v>Mid-Range</v>
      </c>
      <c r="AD981" t="str">
        <f>IF(EV_Data4[[#This Row],[range_miles]]&gt;=350,"Long-Range",IF(EV_Data4[[#This Row],[range_miles]]&gt;=250,"Medium-Range","Short-Range"))</f>
        <v>Short-Range</v>
      </c>
      <c r="AE981" t="str">
        <f>IF(EV_Data4[[#This Row],[charging_speed_kw]]&gt;=250,"Ultra-Fast",IF(EV_Data4[[#This Row],[charging_speed_kw]]&gt;=150,"Fast-Charging","Standard-Charging"))</f>
        <v>Standard-Charging</v>
      </c>
      <c r="AF981" t="str">
        <f>IF(EV_Data4[[#This Row],[acceleration_0_60_mph]]&lt;=3,"SportsPerformance",IF(EV_Data4[[#This Row],[acceleration_0_60_mph]]&lt;=5,"HighPerformance","Standard"))</f>
        <v>Standard</v>
      </c>
      <c r="AG981" t="str">
        <f>IF(EV_Data4[[#This Row],[customer_rating]]&gt;=4.5,"Excellent",IF(EV_Data4[[#This Row],[customer_rating]]&gt;=3.5,"Good","Average"))</f>
        <v>Average</v>
      </c>
      <c r="AH98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82" spans="1:34" x14ac:dyDescent="0.3">
      <c r="A982" t="s">
        <v>63</v>
      </c>
      <c r="B982" t="s">
        <v>96</v>
      </c>
      <c r="C982">
        <v>2025</v>
      </c>
      <c r="D982" t="s">
        <v>56</v>
      </c>
      <c r="E982" s="3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34</v>
      </c>
      <c r="N982">
        <v>7</v>
      </c>
      <c r="O982" t="s">
        <v>50</v>
      </c>
      <c r="P982">
        <v>38.700000000000003</v>
      </c>
      <c r="Q982">
        <v>1728</v>
      </c>
      <c r="R982">
        <v>3</v>
      </c>
      <c r="S982">
        <v>0</v>
      </c>
      <c r="T982" t="s">
        <v>65</v>
      </c>
      <c r="U982" t="s">
        <v>37</v>
      </c>
      <c r="V982" s="3">
        <v>246801</v>
      </c>
      <c r="W982">
        <v>3.15</v>
      </c>
      <c r="X982">
        <v>5</v>
      </c>
      <c r="Y982" s="1">
        <f>EV_Data4[[#This Row],[range_miles]]/EV_Data4[[#This Row],[battery_capacity_kwh]]</f>
        <v>3.0991735537190084</v>
      </c>
      <c r="Z982" s="4">
        <f>EV_Data4[[#This Row],[price_usd]]/EV_Data4[[#This Row],[range_miles]]</f>
        <v>358.13146666666665</v>
      </c>
      <c r="AA982" s="2">
        <f>(EV_Data4[[#This Row],[customer_rating]]*EV_Data4[[#This Row],[safety_rating]]*1000)/EV_Data4[[#This Row],[price_usd]]</f>
        <v>0.17591305390273815</v>
      </c>
      <c r="AB982">
        <f>EV_Data4[[#This Row],[horsepower]]+EV_Data4[[#This Row],[torque_nm]]/EV_Data4[[#This Row],[acceleration_0_60_mph]]</f>
        <v>722.28859060402681</v>
      </c>
      <c r="AC982" t="str">
        <f>IF(EV_Data4[[#This Row],[price_usd]]&gt;=80000,"Luxury",IF(EV_Data4[[#This Row],[price_usd]]&gt;=40000,"Mid-Range","Budget"))</f>
        <v>Mid-Range</v>
      </c>
      <c r="AD982" t="str">
        <f>IF(EV_Data4[[#This Row],[range_miles]]&gt;=350,"Long-Range",IF(EV_Data4[[#This Row],[range_miles]]&gt;=250,"Medium-Range","Short-Range"))</f>
        <v>Short-Range</v>
      </c>
      <c r="AE982" t="str">
        <f>IF(EV_Data4[[#This Row],[charging_speed_kw]]&gt;=250,"Ultra-Fast",IF(EV_Data4[[#This Row],[charging_speed_kw]]&gt;=150,"Fast-Charging","Standard-Charging"))</f>
        <v>Standard-Charging</v>
      </c>
      <c r="AF982" t="str">
        <f>IF(EV_Data4[[#This Row],[acceleration_0_60_mph]]&lt;=3,"SportsPerformance",IF(EV_Data4[[#This Row],[acceleration_0_60_mph]]&lt;=5,"HighPerformance","Standard"))</f>
        <v>Standard</v>
      </c>
      <c r="AG982" t="str">
        <f>IF(EV_Data4[[#This Row],[customer_rating]]&gt;=4.5,"Excellent",IF(EV_Data4[[#This Row],[customer_rating]]&gt;=3.5,"Good","Average"))</f>
        <v>Average</v>
      </c>
      <c r="AH98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83" spans="1:34" x14ac:dyDescent="0.3">
      <c r="A983" t="s">
        <v>76</v>
      </c>
      <c r="B983" t="s">
        <v>77</v>
      </c>
      <c r="C983">
        <v>2026</v>
      </c>
      <c r="D983" t="s">
        <v>33</v>
      </c>
      <c r="E983" s="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27</v>
      </c>
      <c r="N983">
        <v>5</v>
      </c>
      <c r="O983" t="s">
        <v>35</v>
      </c>
      <c r="P983">
        <v>51.2</v>
      </c>
      <c r="Q983">
        <v>2102</v>
      </c>
      <c r="R983">
        <v>4</v>
      </c>
      <c r="S983">
        <v>0</v>
      </c>
      <c r="T983" t="s">
        <v>41</v>
      </c>
      <c r="U983" t="s">
        <v>37</v>
      </c>
      <c r="V983" s="3">
        <v>31784</v>
      </c>
      <c r="W983">
        <v>3.24</v>
      </c>
      <c r="X983">
        <v>4</v>
      </c>
      <c r="Y983" s="1">
        <f>EV_Data4[[#This Row],[range_miles]]/EV_Data4[[#This Row],[battery_capacity_kwh]]</f>
        <v>3.0803571428571428</v>
      </c>
      <c r="Z983" s="4">
        <f>EV_Data4[[#This Row],[price_usd]]/EV_Data4[[#This Row],[range_miles]]</f>
        <v>274.35806763285024</v>
      </c>
      <c r="AA983" s="2">
        <f>(EV_Data4[[#This Row],[customer_rating]]*EV_Data4[[#This Row],[safety_rating]]*1000)/EV_Data4[[#This Row],[price_usd]]</f>
        <v>0.22820067291025584</v>
      </c>
      <c r="AB983">
        <f>EV_Data4[[#This Row],[horsepower]]+EV_Data4[[#This Row],[torque_nm]]/EV_Data4[[#This Row],[acceleration_0_60_mph]]</f>
        <v>617.98701298701303</v>
      </c>
      <c r="AC983" t="str">
        <f>IF(EV_Data4[[#This Row],[price_usd]]&gt;=80000,"Luxury",IF(EV_Data4[[#This Row],[price_usd]]&gt;=40000,"Mid-Range","Budget"))</f>
        <v>Mid-Range</v>
      </c>
      <c r="AD983" t="str">
        <f>IF(EV_Data4[[#This Row],[range_miles]]&gt;=350,"Long-Range",IF(EV_Data4[[#This Row],[range_miles]]&gt;=250,"Medium-Range","Short-Range"))</f>
        <v>Short-Range</v>
      </c>
      <c r="AE983" t="str">
        <f>IF(EV_Data4[[#This Row],[charging_speed_kw]]&gt;=250,"Ultra-Fast",IF(EV_Data4[[#This Row],[charging_speed_kw]]&gt;=150,"Fast-Charging","Standard-Charging"))</f>
        <v>Standard-Charging</v>
      </c>
      <c r="AF983" t="str">
        <f>IF(EV_Data4[[#This Row],[acceleration_0_60_mph]]&lt;=3,"SportsPerformance",IF(EV_Data4[[#This Row],[acceleration_0_60_mph]]&lt;=5,"HighPerformance","Standard"))</f>
        <v>Standard</v>
      </c>
      <c r="AG983" t="str">
        <f>IF(EV_Data4[[#This Row],[customer_rating]]&gt;=4.5,"Excellent",IF(EV_Data4[[#This Row],[customer_rating]]&gt;=3.5,"Good","Average"))</f>
        <v>Average</v>
      </c>
      <c r="AH98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84" spans="1:34" x14ac:dyDescent="0.3">
      <c r="A984" t="s">
        <v>46</v>
      </c>
      <c r="B984" t="s">
        <v>57</v>
      </c>
      <c r="C984">
        <v>2024</v>
      </c>
      <c r="D984" t="s">
        <v>61</v>
      </c>
      <c r="E984" s="3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27</v>
      </c>
      <c r="N984">
        <v>7</v>
      </c>
      <c r="O984" t="s">
        <v>40</v>
      </c>
      <c r="P984">
        <v>78</v>
      </c>
      <c r="Q984">
        <v>1500</v>
      </c>
      <c r="R984">
        <v>4</v>
      </c>
      <c r="S984">
        <v>3</v>
      </c>
      <c r="T984" t="s">
        <v>41</v>
      </c>
      <c r="U984" t="s">
        <v>30</v>
      </c>
      <c r="V984" s="3">
        <v>162784</v>
      </c>
      <c r="W984">
        <v>3.67</v>
      </c>
      <c r="X984">
        <v>6</v>
      </c>
      <c r="Y984" s="1">
        <f>EV_Data4[[#This Row],[range_miles]]/EV_Data4[[#This Row],[battery_capacity_kwh]]</f>
        <v>3.9803921568627452</v>
      </c>
      <c r="Z984" s="4">
        <f>EV_Data4[[#This Row],[price_usd]]/EV_Data4[[#This Row],[range_miles]]</f>
        <v>604.96359605911334</v>
      </c>
      <c r="AA984" s="2">
        <f>(EV_Data4[[#This Row],[customer_rating]]*EV_Data4[[#This Row],[safety_rating]]*1000)/EV_Data4[[#This Row],[price_usd]]</f>
        <v>0.1195365661785943</v>
      </c>
      <c r="AB984">
        <f>EV_Data4[[#This Row],[horsepower]]+EV_Data4[[#This Row],[torque_nm]]/EV_Data4[[#This Row],[acceleration_0_60_mph]]</f>
        <v>1044.7504456327986</v>
      </c>
      <c r="AC984" t="str">
        <f>IF(EV_Data4[[#This Row],[price_usd]]&gt;=80000,"Luxury",IF(EV_Data4[[#This Row],[price_usd]]&gt;=40000,"Mid-Range","Budget"))</f>
        <v>Luxury</v>
      </c>
      <c r="AD984" t="str">
        <f>IF(EV_Data4[[#This Row],[range_miles]]&gt;=350,"Long-Range",IF(EV_Data4[[#This Row],[range_miles]]&gt;=250,"Medium-Range","Short-Range"))</f>
        <v>Short-Range</v>
      </c>
      <c r="AE984" t="str">
        <f>IF(EV_Data4[[#This Row],[charging_speed_kw]]&gt;=250,"Ultra-Fast",IF(EV_Data4[[#This Row],[charging_speed_kw]]&gt;=150,"Fast-Charging","Standard-Charging"))</f>
        <v>Ultra-Fast</v>
      </c>
      <c r="AF984" t="str">
        <f>IF(EV_Data4[[#This Row],[acceleration_0_60_mph]]&lt;=3,"SportsPerformance",IF(EV_Data4[[#This Row],[acceleration_0_60_mph]]&lt;=5,"HighPerformance","Standard"))</f>
        <v>Standard</v>
      </c>
      <c r="AG984" t="str">
        <f>IF(EV_Data4[[#This Row],[customer_rating]]&gt;=4.5,"Excellent",IF(EV_Data4[[#This Row],[customer_rating]]&gt;=3.5,"Good","Average"))</f>
        <v>Good</v>
      </c>
      <c r="AH98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985" spans="1:34" x14ac:dyDescent="0.3">
      <c r="A985" t="s">
        <v>46</v>
      </c>
      <c r="B985" t="s">
        <v>78</v>
      </c>
      <c r="C985">
        <v>2025</v>
      </c>
      <c r="D985" t="s">
        <v>44</v>
      </c>
      <c r="E985" s="3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48</v>
      </c>
      <c r="N985">
        <v>5</v>
      </c>
      <c r="O985" t="s">
        <v>40</v>
      </c>
      <c r="P985">
        <v>73.2</v>
      </c>
      <c r="Q985">
        <v>1572</v>
      </c>
      <c r="R985">
        <v>5</v>
      </c>
      <c r="S985">
        <v>2</v>
      </c>
      <c r="T985" t="s">
        <v>41</v>
      </c>
      <c r="U985" t="s">
        <v>30</v>
      </c>
      <c r="V985" s="3">
        <v>210826</v>
      </c>
      <c r="W985">
        <v>3.64</v>
      </c>
      <c r="X985">
        <v>5</v>
      </c>
      <c r="Y985" s="1">
        <f>EV_Data4[[#This Row],[range_miles]]/EV_Data4[[#This Row],[battery_capacity_kwh]]</f>
        <v>3.3586956521739131</v>
      </c>
      <c r="Z985" s="4">
        <f>EV_Data4[[#This Row],[price_usd]]/EV_Data4[[#This Row],[range_miles]]</f>
        <v>498.10822006472495</v>
      </c>
      <c r="AA985" s="2">
        <f>(EV_Data4[[#This Row],[customer_rating]]*EV_Data4[[#This Row],[safety_rating]]*1000)/EV_Data4[[#This Row],[price_usd]]</f>
        <v>0.11824674639529341</v>
      </c>
      <c r="AB985">
        <f>EV_Data4[[#This Row],[horsepower]]+EV_Data4[[#This Row],[torque_nm]]/EV_Data4[[#This Row],[acceleration_0_60_mph]]</f>
        <v>1209.4298245614036</v>
      </c>
      <c r="AC985" t="str">
        <f>IF(EV_Data4[[#This Row],[price_usd]]&gt;=80000,"Luxury",IF(EV_Data4[[#This Row],[price_usd]]&gt;=40000,"Mid-Range","Budget"))</f>
        <v>Luxury</v>
      </c>
      <c r="AD985" t="str">
        <f>IF(EV_Data4[[#This Row],[range_miles]]&gt;=350,"Long-Range",IF(EV_Data4[[#This Row],[range_miles]]&gt;=250,"Medium-Range","Short-Range"))</f>
        <v>Medium-Range</v>
      </c>
      <c r="AE985" t="str">
        <f>IF(EV_Data4[[#This Row],[charging_speed_kw]]&gt;=250,"Ultra-Fast",IF(EV_Data4[[#This Row],[charging_speed_kw]]&gt;=150,"Fast-Charging","Standard-Charging"))</f>
        <v>Fast-Charging</v>
      </c>
      <c r="AF985" t="str">
        <f>IF(EV_Data4[[#This Row],[acceleration_0_60_mph]]&lt;=3,"SportsPerformance",IF(EV_Data4[[#This Row],[acceleration_0_60_mph]]&lt;=5,"HighPerformance","Standard"))</f>
        <v>HighPerformance</v>
      </c>
      <c r="AG985" t="str">
        <f>IF(EV_Data4[[#This Row],[customer_rating]]&gt;=4.5,"Excellent",IF(EV_Data4[[#This Row],[customer_rating]]&gt;=3.5,"Good","Average"))</f>
        <v>Good</v>
      </c>
      <c r="AH98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86" spans="1:34" x14ac:dyDescent="0.3">
      <c r="A986" t="s">
        <v>38</v>
      </c>
      <c r="B986" t="s">
        <v>102</v>
      </c>
      <c r="C986">
        <v>2025</v>
      </c>
      <c r="D986" t="s">
        <v>61</v>
      </c>
      <c r="E986" s="3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48</v>
      </c>
      <c r="N986">
        <v>7</v>
      </c>
      <c r="O986" t="s">
        <v>35</v>
      </c>
      <c r="P986">
        <v>38.700000000000003</v>
      </c>
      <c r="Q986">
        <v>2241</v>
      </c>
      <c r="R986">
        <v>4</v>
      </c>
      <c r="S986">
        <v>0</v>
      </c>
      <c r="T986" t="s">
        <v>41</v>
      </c>
      <c r="U986" t="s">
        <v>66</v>
      </c>
      <c r="V986" s="3">
        <v>24599</v>
      </c>
      <c r="W986">
        <v>3.71</v>
      </c>
      <c r="X986">
        <v>4</v>
      </c>
      <c r="Y986" s="1">
        <f>EV_Data4[[#This Row],[range_miles]]/EV_Data4[[#This Row],[battery_capacity_kwh]]</f>
        <v>4.0750000000000002</v>
      </c>
      <c r="Z986" s="4">
        <f>EV_Data4[[#This Row],[price_usd]]/EV_Data4[[#This Row],[range_miles]]</f>
        <v>88.521165644171788</v>
      </c>
      <c r="AA986" s="2">
        <f>(EV_Data4[[#This Row],[customer_rating]]*EV_Data4[[#This Row],[safety_rating]]*1000)/EV_Data4[[#This Row],[price_usd]]</f>
        <v>0.51424393320373274</v>
      </c>
      <c r="AB986">
        <f>EV_Data4[[#This Row],[horsepower]]+EV_Data4[[#This Row],[torque_nm]]/EV_Data4[[#This Row],[acceleration_0_60_mph]]</f>
        <v>230.1659125188537</v>
      </c>
      <c r="AC986" t="str">
        <f>IF(EV_Data4[[#This Row],[price_usd]]&gt;=80000,"Luxury",IF(EV_Data4[[#This Row],[price_usd]]&gt;=40000,"Mid-Range","Budget"))</f>
        <v>Budget</v>
      </c>
      <c r="AD986" t="str">
        <f>IF(EV_Data4[[#This Row],[range_miles]]&gt;=350,"Long-Range",IF(EV_Data4[[#This Row],[range_miles]]&gt;=250,"Medium-Range","Short-Range"))</f>
        <v>Medium-Range</v>
      </c>
      <c r="AE986" t="str">
        <f>IF(EV_Data4[[#This Row],[charging_speed_kw]]&gt;=250,"Ultra-Fast",IF(EV_Data4[[#This Row],[charging_speed_kw]]&gt;=150,"Fast-Charging","Standard-Charging"))</f>
        <v>Standard-Charging</v>
      </c>
      <c r="AF986" t="str">
        <f>IF(EV_Data4[[#This Row],[acceleration_0_60_mph]]&lt;=3,"SportsPerformance",IF(EV_Data4[[#This Row],[acceleration_0_60_mph]]&lt;=5,"HighPerformance","Standard"))</f>
        <v>Standard</v>
      </c>
      <c r="AG986" t="str">
        <f>IF(EV_Data4[[#This Row],[customer_rating]]&gt;=4.5,"Excellent",IF(EV_Data4[[#This Row],[customer_rating]]&gt;=3.5,"Good","Average"))</f>
        <v>Good</v>
      </c>
      <c r="AH98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87" spans="1:34" x14ac:dyDescent="0.3">
      <c r="A987" t="s">
        <v>68</v>
      </c>
      <c r="B987" t="s">
        <v>69</v>
      </c>
      <c r="C987">
        <v>2024</v>
      </c>
      <c r="D987" t="s">
        <v>61</v>
      </c>
      <c r="E987" s="3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27</v>
      </c>
      <c r="N987">
        <v>5</v>
      </c>
      <c r="O987" t="s">
        <v>51</v>
      </c>
      <c r="P987">
        <v>22.9</v>
      </c>
      <c r="Q987">
        <v>1500</v>
      </c>
      <c r="R987">
        <v>5</v>
      </c>
      <c r="S987">
        <v>0</v>
      </c>
      <c r="T987" t="s">
        <v>45</v>
      </c>
      <c r="U987" t="s">
        <v>37</v>
      </c>
      <c r="V987" s="3">
        <v>78661</v>
      </c>
      <c r="W987">
        <v>3.39</v>
      </c>
      <c r="X987">
        <v>3</v>
      </c>
      <c r="Y987" s="1">
        <f>EV_Data4[[#This Row],[range_miles]]/EV_Data4[[#This Row],[battery_capacity_kwh]]</f>
        <v>2.7854671280276819</v>
      </c>
      <c r="Z987" s="4">
        <f>EV_Data4[[#This Row],[price_usd]]/EV_Data4[[#This Row],[range_miles]]</f>
        <v>333.02167701863351</v>
      </c>
      <c r="AA987" s="2">
        <f>(EV_Data4[[#This Row],[customer_rating]]*EV_Data4[[#This Row],[safety_rating]]*1000)/EV_Data4[[#This Row],[price_usd]]</f>
        <v>0.31613408486829331</v>
      </c>
      <c r="AB987">
        <f>EV_Data4[[#This Row],[horsepower]]+EV_Data4[[#This Row],[torque_nm]]/EV_Data4[[#This Row],[acceleration_0_60_mph]]</f>
        <v>686.9192200557103</v>
      </c>
      <c r="AC987" t="str">
        <f>IF(EV_Data4[[#This Row],[price_usd]]&gt;=80000,"Luxury",IF(EV_Data4[[#This Row],[price_usd]]&gt;=40000,"Mid-Range","Budget"))</f>
        <v>Mid-Range</v>
      </c>
      <c r="AD987" t="str">
        <f>IF(EV_Data4[[#This Row],[range_miles]]&gt;=350,"Long-Range",IF(EV_Data4[[#This Row],[range_miles]]&gt;=250,"Medium-Range","Short-Range"))</f>
        <v>Short-Range</v>
      </c>
      <c r="AE987" t="str">
        <f>IF(EV_Data4[[#This Row],[charging_speed_kw]]&gt;=250,"Ultra-Fast",IF(EV_Data4[[#This Row],[charging_speed_kw]]&gt;=150,"Fast-Charging","Standard-Charging"))</f>
        <v>Standard-Charging</v>
      </c>
      <c r="AF987" t="str">
        <f>IF(EV_Data4[[#This Row],[acceleration_0_60_mph]]&lt;=3,"SportsPerformance",IF(EV_Data4[[#This Row],[acceleration_0_60_mph]]&lt;=5,"HighPerformance","Standard"))</f>
        <v>Standard</v>
      </c>
      <c r="AG987" t="str">
        <f>IF(EV_Data4[[#This Row],[customer_rating]]&gt;=4.5,"Excellent",IF(EV_Data4[[#This Row],[customer_rating]]&gt;=3.5,"Good","Average"))</f>
        <v>Average</v>
      </c>
      <c r="AH98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88" spans="1:34" x14ac:dyDescent="0.3">
      <c r="A988" t="s">
        <v>83</v>
      </c>
      <c r="B988" t="s">
        <v>114</v>
      </c>
      <c r="C988">
        <v>2020</v>
      </c>
      <c r="D988" t="s">
        <v>56</v>
      </c>
      <c r="E988" s="3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48</v>
      </c>
      <c r="N988">
        <v>5</v>
      </c>
      <c r="O988" t="s">
        <v>28</v>
      </c>
      <c r="P988">
        <v>54.7</v>
      </c>
      <c r="Q988">
        <v>2335</v>
      </c>
      <c r="R988">
        <v>5</v>
      </c>
      <c r="S988">
        <v>1</v>
      </c>
      <c r="T988" t="s">
        <v>29</v>
      </c>
      <c r="U988" t="s">
        <v>33</v>
      </c>
      <c r="V988" s="3">
        <v>25170</v>
      </c>
      <c r="W988">
        <v>3.43</v>
      </c>
      <c r="X988">
        <v>8</v>
      </c>
      <c r="Y988" s="1">
        <f>EV_Data4[[#This Row],[range_miles]]/EV_Data4[[#This Row],[battery_capacity_kwh]]</f>
        <v>3.1911966987620355</v>
      </c>
      <c r="Z988" s="4">
        <f>EV_Data4[[#This Row],[price_usd]]/EV_Data4[[#This Row],[range_miles]]</f>
        <v>402.31620689655171</v>
      </c>
      <c r="AA988" s="2">
        <f>(EV_Data4[[#This Row],[customer_rating]]*EV_Data4[[#This Row],[safety_rating]]*1000)/EV_Data4[[#This Row],[price_usd]]</f>
        <v>0.18374207284200028</v>
      </c>
      <c r="AB988">
        <f>EV_Data4[[#This Row],[horsepower]]+EV_Data4[[#This Row],[torque_nm]]/EV_Data4[[#This Row],[acceleration_0_60_mph]]</f>
        <v>848.45849802371549</v>
      </c>
      <c r="AC988" t="str">
        <f>IF(EV_Data4[[#This Row],[price_usd]]&gt;=80000,"Luxury",IF(EV_Data4[[#This Row],[price_usd]]&gt;=40000,"Mid-Range","Budget"))</f>
        <v>Luxury</v>
      </c>
      <c r="AD988" t="str">
        <f>IF(EV_Data4[[#This Row],[range_miles]]&gt;=350,"Long-Range",IF(EV_Data4[[#This Row],[range_miles]]&gt;=250,"Medium-Range","Short-Range"))</f>
        <v>Short-Range</v>
      </c>
      <c r="AE988" t="str">
        <f>IF(EV_Data4[[#This Row],[charging_speed_kw]]&gt;=250,"Ultra-Fast",IF(EV_Data4[[#This Row],[charging_speed_kw]]&gt;=150,"Fast-Charging","Standard-Charging"))</f>
        <v>Standard-Charging</v>
      </c>
      <c r="AF988" t="str">
        <f>IF(EV_Data4[[#This Row],[acceleration_0_60_mph]]&lt;=3,"SportsPerformance",IF(EV_Data4[[#This Row],[acceleration_0_60_mph]]&lt;=5,"HighPerformance","Standard"))</f>
        <v>Standard</v>
      </c>
      <c r="AG988" t="str">
        <f>IF(EV_Data4[[#This Row],[customer_rating]]&gt;=4.5,"Excellent",IF(EV_Data4[[#This Row],[customer_rating]]&gt;=3.5,"Good","Average"))</f>
        <v>Average</v>
      </c>
      <c r="AH98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89" spans="1:34" x14ac:dyDescent="0.3">
      <c r="A989" t="s">
        <v>24</v>
      </c>
      <c r="B989" t="s">
        <v>75</v>
      </c>
      <c r="C989">
        <v>2026</v>
      </c>
      <c r="D989" t="s">
        <v>61</v>
      </c>
      <c r="E989" s="3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48</v>
      </c>
      <c r="N989">
        <v>7</v>
      </c>
      <c r="O989" t="s">
        <v>50</v>
      </c>
      <c r="P989">
        <v>25</v>
      </c>
      <c r="Q989">
        <v>1560</v>
      </c>
      <c r="R989">
        <v>4</v>
      </c>
      <c r="S989">
        <v>0</v>
      </c>
      <c r="T989" t="s">
        <v>29</v>
      </c>
      <c r="U989" t="s">
        <v>33</v>
      </c>
      <c r="V989" s="3">
        <v>251078</v>
      </c>
      <c r="W989">
        <v>3</v>
      </c>
      <c r="X989">
        <v>4</v>
      </c>
      <c r="Y989" s="1">
        <f>EV_Data4[[#This Row],[range_miles]]/EV_Data4[[#This Row],[battery_capacity_kwh]]</f>
        <v>3.3333333333333335</v>
      </c>
      <c r="Z989" s="4">
        <f>EV_Data4[[#This Row],[price_usd]]/EV_Data4[[#This Row],[range_miles]]</f>
        <v>465.12706666666668</v>
      </c>
      <c r="AA989" s="2">
        <f>(EV_Data4[[#This Row],[customer_rating]]*EV_Data4[[#This Row],[safety_rating]]*1000)/EV_Data4[[#This Row],[price_usd]]</f>
        <v>0.17199601083918861</v>
      </c>
      <c r="AB989">
        <f>EV_Data4[[#This Row],[horsepower]]+EV_Data4[[#This Row],[torque_nm]]/EV_Data4[[#This Row],[acceleration_0_60_mph]]</f>
        <v>808.95575221238937</v>
      </c>
      <c r="AC989" t="str">
        <f>IF(EV_Data4[[#This Row],[price_usd]]&gt;=80000,"Luxury",IF(EV_Data4[[#This Row],[price_usd]]&gt;=40000,"Mid-Range","Budget"))</f>
        <v>Mid-Range</v>
      </c>
      <c r="AD989" t="str">
        <f>IF(EV_Data4[[#This Row],[range_miles]]&gt;=350,"Long-Range",IF(EV_Data4[[#This Row],[range_miles]]&gt;=250,"Medium-Range","Short-Range"))</f>
        <v>Short-Range</v>
      </c>
      <c r="AE989" t="str">
        <f>IF(EV_Data4[[#This Row],[charging_speed_kw]]&gt;=250,"Ultra-Fast",IF(EV_Data4[[#This Row],[charging_speed_kw]]&gt;=150,"Fast-Charging","Standard-Charging"))</f>
        <v>Standard-Charging</v>
      </c>
      <c r="AF989" t="str">
        <f>IF(EV_Data4[[#This Row],[acceleration_0_60_mph]]&lt;=3,"SportsPerformance",IF(EV_Data4[[#This Row],[acceleration_0_60_mph]]&lt;=5,"HighPerformance","Standard"))</f>
        <v>Standard</v>
      </c>
      <c r="AG989" t="str">
        <f>IF(EV_Data4[[#This Row],[customer_rating]]&gt;=4.5,"Excellent",IF(EV_Data4[[#This Row],[customer_rating]]&gt;=3.5,"Good","Average"))</f>
        <v>Average</v>
      </c>
      <c r="AH98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90" spans="1:34" x14ac:dyDescent="0.3">
      <c r="A990" t="s">
        <v>63</v>
      </c>
      <c r="B990" t="s">
        <v>73</v>
      </c>
      <c r="C990">
        <v>2026</v>
      </c>
      <c r="D990" t="s">
        <v>61</v>
      </c>
      <c r="E990" s="3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48</v>
      </c>
      <c r="N990">
        <v>5</v>
      </c>
      <c r="O990" t="s">
        <v>28</v>
      </c>
      <c r="P990">
        <v>60</v>
      </c>
      <c r="Q990">
        <v>2708</v>
      </c>
      <c r="R990">
        <v>5</v>
      </c>
      <c r="S990">
        <v>0</v>
      </c>
      <c r="T990" t="s">
        <v>65</v>
      </c>
      <c r="U990" t="s">
        <v>37</v>
      </c>
      <c r="V990" s="3">
        <v>210674</v>
      </c>
      <c r="W990">
        <v>3.59</v>
      </c>
      <c r="X990">
        <v>3</v>
      </c>
      <c r="Y990" s="1">
        <f>EV_Data4[[#This Row],[range_miles]]/EV_Data4[[#This Row],[battery_capacity_kwh]]</f>
        <v>3.36676217765043</v>
      </c>
      <c r="Z990" s="4">
        <f>EV_Data4[[#This Row],[price_usd]]/EV_Data4[[#This Row],[range_miles]]</f>
        <v>151.50689361702129</v>
      </c>
      <c r="AA990" s="2">
        <f>(EV_Data4[[#This Row],[customer_rating]]*EV_Data4[[#This Row],[safety_rating]]*1000)/EV_Data4[[#This Row],[price_usd]]</f>
        <v>0.50415513710211057</v>
      </c>
      <c r="AB990">
        <f>EV_Data4[[#This Row],[horsepower]]+EV_Data4[[#This Row],[torque_nm]]/EV_Data4[[#This Row],[acceleration_0_60_mph]]</f>
        <v>441.58088235294116</v>
      </c>
      <c r="AC990" t="str">
        <f>IF(EV_Data4[[#This Row],[price_usd]]&gt;=80000,"Luxury",IF(EV_Data4[[#This Row],[price_usd]]&gt;=40000,"Mid-Range","Budget"))</f>
        <v>Budget</v>
      </c>
      <c r="AD990" t="str">
        <f>IF(EV_Data4[[#This Row],[range_miles]]&gt;=350,"Long-Range",IF(EV_Data4[[#This Row],[range_miles]]&gt;=250,"Medium-Range","Short-Range"))</f>
        <v>Short-Range</v>
      </c>
      <c r="AE990" t="str">
        <f>IF(EV_Data4[[#This Row],[charging_speed_kw]]&gt;=250,"Ultra-Fast",IF(EV_Data4[[#This Row],[charging_speed_kw]]&gt;=150,"Fast-Charging","Standard-Charging"))</f>
        <v>Standard-Charging</v>
      </c>
      <c r="AF990" t="str">
        <f>IF(EV_Data4[[#This Row],[acceleration_0_60_mph]]&lt;=3,"SportsPerformance",IF(EV_Data4[[#This Row],[acceleration_0_60_mph]]&lt;=5,"HighPerformance","Standard"))</f>
        <v>Standard</v>
      </c>
      <c r="AG990" t="str">
        <f>IF(EV_Data4[[#This Row],[customer_rating]]&gt;=4.5,"Excellent",IF(EV_Data4[[#This Row],[customer_rating]]&gt;=3.5,"Good","Average"))</f>
        <v>Good</v>
      </c>
      <c r="AH99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91" spans="1:34" x14ac:dyDescent="0.3">
      <c r="A991" t="s">
        <v>76</v>
      </c>
      <c r="B991" t="s">
        <v>91</v>
      </c>
      <c r="C991">
        <v>2025</v>
      </c>
      <c r="D991" t="s">
        <v>44</v>
      </c>
      <c r="E991" s="3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34</v>
      </c>
      <c r="N991">
        <v>4</v>
      </c>
      <c r="O991" t="s">
        <v>28</v>
      </c>
      <c r="P991">
        <v>59.8</v>
      </c>
      <c r="Q991">
        <v>2537</v>
      </c>
      <c r="R991">
        <v>5</v>
      </c>
      <c r="S991">
        <v>1</v>
      </c>
      <c r="T991" t="s">
        <v>41</v>
      </c>
      <c r="U991" t="s">
        <v>33</v>
      </c>
      <c r="V991" s="3">
        <v>78477</v>
      </c>
      <c r="W991">
        <v>3.54</v>
      </c>
      <c r="X991">
        <v>5</v>
      </c>
      <c r="Y991" s="1">
        <f>EV_Data4[[#This Row],[range_miles]]/EV_Data4[[#This Row],[battery_capacity_kwh]]</f>
        <v>3.709483793517407</v>
      </c>
      <c r="Z991" s="4">
        <f>EV_Data4[[#This Row],[price_usd]]/EV_Data4[[#This Row],[range_miles]]</f>
        <v>294.73851132686082</v>
      </c>
      <c r="AA991" s="2">
        <f>(EV_Data4[[#This Row],[customer_rating]]*EV_Data4[[#This Row],[safety_rating]]*1000)/EV_Data4[[#This Row],[price_usd]]</f>
        <v>0.1943470269296903</v>
      </c>
      <c r="AB991">
        <f>EV_Data4[[#This Row],[horsepower]]+EV_Data4[[#This Row],[torque_nm]]/EV_Data4[[#This Row],[acceleration_0_60_mph]]</f>
        <v>1164.4736842105262</v>
      </c>
      <c r="AC991" t="str">
        <f>IF(EV_Data4[[#This Row],[price_usd]]&gt;=80000,"Luxury",IF(EV_Data4[[#This Row],[price_usd]]&gt;=40000,"Mid-Range","Budget"))</f>
        <v>Luxury</v>
      </c>
      <c r="AD991" t="str">
        <f>IF(EV_Data4[[#This Row],[range_miles]]&gt;=350,"Long-Range",IF(EV_Data4[[#This Row],[range_miles]]&gt;=250,"Medium-Range","Short-Range"))</f>
        <v>Medium-Range</v>
      </c>
      <c r="AE991" t="str">
        <f>IF(EV_Data4[[#This Row],[charging_speed_kw]]&gt;=250,"Ultra-Fast",IF(EV_Data4[[#This Row],[charging_speed_kw]]&gt;=150,"Fast-Charging","Standard-Charging"))</f>
        <v>Standard-Charging</v>
      </c>
      <c r="AF991" t="str">
        <f>IF(EV_Data4[[#This Row],[acceleration_0_60_mph]]&lt;=3,"SportsPerformance",IF(EV_Data4[[#This Row],[acceleration_0_60_mph]]&lt;=5,"HighPerformance","Standard"))</f>
        <v>Standard</v>
      </c>
      <c r="AG991" t="str">
        <f>IF(EV_Data4[[#This Row],[customer_rating]]&gt;=4.5,"Excellent",IF(EV_Data4[[#This Row],[customer_rating]]&gt;=3.5,"Good","Average"))</f>
        <v>Good</v>
      </c>
      <c r="AH99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92" spans="1:34" x14ac:dyDescent="0.3">
      <c r="A992" t="s">
        <v>76</v>
      </c>
      <c r="B992" t="s">
        <v>81</v>
      </c>
      <c r="C992">
        <v>2022</v>
      </c>
      <c r="D992" t="s">
        <v>33</v>
      </c>
      <c r="E992" s="3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48</v>
      </c>
      <c r="N992">
        <v>7</v>
      </c>
      <c r="O992" t="s">
        <v>51</v>
      </c>
      <c r="P992">
        <v>34.299999999999997</v>
      </c>
      <c r="Q992">
        <v>1507</v>
      </c>
      <c r="R992">
        <v>3</v>
      </c>
      <c r="S992">
        <v>0</v>
      </c>
      <c r="T992" t="s">
        <v>41</v>
      </c>
      <c r="U992" t="s">
        <v>33</v>
      </c>
      <c r="V992" s="3">
        <v>32038</v>
      </c>
      <c r="W992">
        <v>3.44</v>
      </c>
      <c r="X992">
        <v>3</v>
      </c>
      <c r="Y992" s="1">
        <f>EV_Data4[[#This Row],[range_miles]]/EV_Data4[[#This Row],[battery_capacity_kwh]]</f>
        <v>3.3790737564322471</v>
      </c>
      <c r="Z992" s="4">
        <f>EV_Data4[[#This Row],[price_usd]]/EV_Data4[[#This Row],[range_miles]]</f>
        <v>368.9664974619289</v>
      </c>
      <c r="AA992" s="2">
        <f>(EV_Data4[[#This Row],[customer_rating]]*EV_Data4[[#This Row],[safety_rating]]*1000)/EV_Data4[[#This Row],[price_usd]]</f>
        <v>0.14197979264346564</v>
      </c>
      <c r="AB992">
        <f>EV_Data4[[#This Row],[horsepower]]+EV_Data4[[#This Row],[torque_nm]]/EV_Data4[[#This Row],[acceleration_0_60_mph]]</f>
        <v>903.06632653061229</v>
      </c>
      <c r="AC992" t="str">
        <f>IF(EV_Data4[[#This Row],[price_usd]]&gt;=80000,"Luxury",IF(EV_Data4[[#This Row],[price_usd]]&gt;=40000,"Mid-Range","Budget"))</f>
        <v>Mid-Range</v>
      </c>
      <c r="AD992" t="str">
        <f>IF(EV_Data4[[#This Row],[range_miles]]&gt;=350,"Long-Range",IF(EV_Data4[[#This Row],[range_miles]]&gt;=250,"Medium-Range","Short-Range"))</f>
        <v>Short-Range</v>
      </c>
      <c r="AE992" t="str">
        <f>IF(EV_Data4[[#This Row],[charging_speed_kw]]&gt;=250,"Ultra-Fast",IF(EV_Data4[[#This Row],[charging_speed_kw]]&gt;=150,"Fast-Charging","Standard-Charging"))</f>
        <v>Standard-Charging</v>
      </c>
      <c r="AF992" t="str">
        <f>IF(EV_Data4[[#This Row],[acceleration_0_60_mph]]&lt;=3,"SportsPerformance",IF(EV_Data4[[#This Row],[acceleration_0_60_mph]]&lt;=5,"HighPerformance","Standard"))</f>
        <v>Standard</v>
      </c>
      <c r="AG992" t="str">
        <f>IF(EV_Data4[[#This Row],[customer_rating]]&gt;=4.5,"Excellent",IF(EV_Data4[[#This Row],[customer_rating]]&gt;=3.5,"Good","Average"))</f>
        <v>Average</v>
      </c>
      <c r="AH99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93" spans="1:34" x14ac:dyDescent="0.3">
      <c r="A993" t="s">
        <v>38</v>
      </c>
      <c r="B993" t="s">
        <v>39</v>
      </c>
      <c r="C993">
        <v>2024</v>
      </c>
      <c r="D993" t="s">
        <v>26</v>
      </c>
      <c r="E993" s="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34</v>
      </c>
      <c r="N993">
        <v>7</v>
      </c>
      <c r="O993" t="s">
        <v>35</v>
      </c>
      <c r="P993">
        <v>55.5</v>
      </c>
      <c r="Q993">
        <v>2127</v>
      </c>
      <c r="R993">
        <v>4</v>
      </c>
      <c r="S993">
        <v>0</v>
      </c>
      <c r="T993" t="s">
        <v>41</v>
      </c>
      <c r="U993" t="s">
        <v>37</v>
      </c>
      <c r="V993" s="3">
        <v>13494</v>
      </c>
      <c r="W993">
        <v>3.81</v>
      </c>
      <c r="X993">
        <v>4</v>
      </c>
      <c r="Y993" s="1">
        <f>EV_Data4[[#This Row],[range_miles]]/EV_Data4[[#This Row],[battery_capacity_kwh]]</f>
        <v>3.251101321585903</v>
      </c>
      <c r="Z993" s="4">
        <f>EV_Data4[[#This Row],[price_usd]]/EV_Data4[[#This Row],[range_miles]]</f>
        <v>118.62441734417345</v>
      </c>
      <c r="AA993" s="2">
        <f>(EV_Data4[[#This Row],[customer_rating]]*EV_Data4[[#This Row],[safety_rating]]*1000)/EV_Data4[[#This Row],[price_usd]]</f>
        <v>0.3481645173295233</v>
      </c>
      <c r="AB993">
        <f>EV_Data4[[#This Row],[horsepower]]+EV_Data4[[#This Row],[torque_nm]]/EV_Data4[[#This Row],[acceleration_0_60_mph]]</f>
        <v>582.83439490445858</v>
      </c>
      <c r="AC993" t="str">
        <f>IF(EV_Data4[[#This Row],[price_usd]]&gt;=80000,"Luxury",IF(EV_Data4[[#This Row],[price_usd]]&gt;=40000,"Mid-Range","Budget"))</f>
        <v>Mid-Range</v>
      </c>
      <c r="AD993" t="str">
        <f>IF(EV_Data4[[#This Row],[range_miles]]&gt;=350,"Long-Range",IF(EV_Data4[[#This Row],[range_miles]]&gt;=250,"Medium-Range","Short-Range"))</f>
        <v>Long-Range</v>
      </c>
      <c r="AE993" t="str">
        <f>IF(EV_Data4[[#This Row],[charging_speed_kw]]&gt;=250,"Ultra-Fast",IF(EV_Data4[[#This Row],[charging_speed_kw]]&gt;=150,"Fast-Charging","Standard-Charging"))</f>
        <v>Fast-Charging</v>
      </c>
      <c r="AF993" t="str">
        <f>IF(EV_Data4[[#This Row],[acceleration_0_60_mph]]&lt;=3,"SportsPerformance",IF(EV_Data4[[#This Row],[acceleration_0_60_mph]]&lt;=5,"HighPerformance","Standard"))</f>
        <v>HighPerformance</v>
      </c>
      <c r="AG993" t="str">
        <f>IF(EV_Data4[[#This Row],[customer_rating]]&gt;=4.5,"Excellent",IF(EV_Data4[[#This Row],[customer_rating]]&gt;=3.5,"Good","Average"))</f>
        <v>Good</v>
      </c>
      <c r="AH99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94" spans="1:34" x14ac:dyDescent="0.3">
      <c r="A994" t="s">
        <v>63</v>
      </c>
      <c r="B994" t="s">
        <v>88</v>
      </c>
      <c r="C994">
        <v>2025</v>
      </c>
      <c r="D994" t="s">
        <v>33</v>
      </c>
      <c r="E994" s="3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27</v>
      </c>
      <c r="N994">
        <v>7</v>
      </c>
      <c r="O994" t="s">
        <v>50</v>
      </c>
      <c r="P994">
        <v>33.299999999999997</v>
      </c>
      <c r="Q994">
        <v>1686</v>
      </c>
      <c r="R994">
        <v>4</v>
      </c>
      <c r="S994">
        <v>0</v>
      </c>
      <c r="T994" t="s">
        <v>65</v>
      </c>
      <c r="U994" t="s">
        <v>30</v>
      </c>
      <c r="V994" s="3">
        <v>155370</v>
      </c>
      <c r="W994">
        <v>3.84</v>
      </c>
      <c r="X994">
        <v>4</v>
      </c>
      <c r="Y994" s="1">
        <f>EV_Data4[[#This Row],[range_miles]]/EV_Data4[[#This Row],[battery_capacity_kwh]]</f>
        <v>3.5582822085889569</v>
      </c>
      <c r="Z994" s="4">
        <f>EV_Data4[[#This Row],[price_usd]]/EV_Data4[[#This Row],[range_miles]]</f>
        <v>345.8494827586207</v>
      </c>
      <c r="AA994" s="2">
        <f>(EV_Data4[[#This Row],[customer_rating]]*EV_Data4[[#This Row],[safety_rating]]*1000)/EV_Data4[[#This Row],[price_usd]]</f>
        <v>0.15314615138038423</v>
      </c>
      <c r="AB994">
        <f>EV_Data4[[#This Row],[horsepower]]+EV_Data4[[#This Row],[torque_nm]]/EV_Data4[[#This Row],[acceleration_0_60_mph]]</f>
        <v>1126.6106442577031</v>
      </c>
      <c r="AC994" t="str">
        <f>IF(EV_Data4[[#This Row],[price_usd]]&gt;=80000,"Luxury",IF(EV_Data4[[#This Row],[price_usd]]&gt;=40000,"Mid-Range","Budget"))</f>
        <v>Luxury</v>
      </c>
      <c r="AD994" t="str">
        <f>IF(EV_Data4[[#This Row],[range_miles]]&gt;=350,"Long-Range",IF(EV_Data4[[#This Row],[range_miles]]&gt;=250,"Medium-Range","Short-Range"))</f>
        <v>Medium-Range</v>
      </c>
      <c r="AE994" t="str">
        <f>IF(EV_Data4[[#This Row],[charging_speed_kw]]&gt;=250,"Ultra-Fast",IF(EV_Data4[[#This Row],[charging_speed_kw]]&gt;=150,"Fast-Charging","Standard-Charging"))</f>
        <v>Standard-Charging</v>
      </c>
      <c r="AF994" t="str">
        <f>IF(EV_Data4[[#This Row],[acceleration_0_60_mph]]&lt;=3,"SportsPerformance",IF(EV_Data4[[#This Row],[acceleration_0_60_mph]]&lt;=5,"HighPerformance","Standard"))</f>
        <v>Standard</v>
      </c>
      <c r="AG994" t="str">
        <f>IF(EV_Data4[[#This Row],[customer_rating]]&gt;=4.5,"Excellent",IF(EV_Data4[[#This Row],[customer_rating]]&gt;=3.5,"Good","Average"))</f>
        <v>Good</v>
      </c>
      <c r="AH99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95" spans="1:34" x14ac:dyDescent="0.3">
      <c r="A995" t="s">
        <v>42</v>
      </c>
      <c r="B995" t="s">
        <v>71</v>
      </c>
      <c r="C995">
        <v>2026</v>
      </c>
      <c r="D995" t="s">
        <v>44</v>
      </c>
      <c r="E995" s="3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34</v>
      </c>
      <c r="N995">
        <v>5</v>
      </c>
      <c r="O995" t="s">
        <v>58</v>
      </c>
      <c r="P995">
        <v>38.200000000000003</v>
      </c>
      <c r="Q995">
        <v>1535</v>
      </c>
      <c r="R995">
        <v>5</v>
      </c>
      <c r="S995">
        <v>0</v>
      </c>
      <c r="T995" t="s">
        <v>45</v>
      </c>
      <c r="U995" t="s">
        <v>33</v>
      </c>
      <c r="V995" s="3">
        <v>82992</v>
      </c>
      <c r="W995">
        <v>3.83</v>
      </c>
      <c r="X995">
        <v>4</v>
      </c>
      <c r="Y995" s="1">
        <f>EV_Data4[[#This Row],[range_miles]]/EV_Data4[[#This Row],[battery_capacity_kwh]]</f>
        <v>3.581151832460733</v>
      </c>
      <c r="Z995" s="4">
        <f>EV_Data4[[#This Row],[price_usd]]/EV_Data4[[#This Row],[range_miles]]</f>
        <v>205.01669590643277</v>
      </c>
      <c r="AA995" s="2">
        <f>(EV_Data4[[#This Row],[customer_rating]]*EV_Data4[[#This Row],[safety_rating]]*1000)/EV_Data4[[#This Row],[price_usd]]</f>
        <v>0.27311996127544025</v>
      </c>
      <c r="AB995">
        <f>EV_Data4[[#This Row],[horsepower]]+EV_Data4[[#This Row],[torque_nm]]/EV_Data4[[#This Row],[acceleration_0_60_mph]]</f>
        <v>1027.7474747474748</v>
      </c>
      <c r="AC995" t="str">
        <f>IF(EV_Data4[[#This Row],[price_usd]]&gt;=80000,"Luxury",IF(EV_Data4[[#This Row],[price_usd]]&gt;=40000,"Mid-Range","Budget"))</f>
        <v>Mid-Range</v>
      </c>
      <c r="AD995" t="str">
        <f>IF(EV_Data4[[#This Row],[range_miles]]&gt;=350,"Long-Range",IF(EV_Data4[[#This Row],[range_miles]]&gt;=250,"Medium-Range","Short-Range"))</f>
        <v>Medium-Range</v>
      </c>
      <c r="AE995" t="str">
        <f>IF(EV_Data4[[#This Row],[charging_speed_kw]]&gt;=250,"Ultra-Fast",IF(EV_Data4[[#This Row],[charging_speed_kw]]&gt;=150,"Fast-Charging","Standard-Charging"))</f>
        <v>Standard-Charging</v>
      </c>
      <c r="AF995" t="str">
        <f>IF(EV_Data4[[#This Row],[acceleration_0_60_mph]]&lt;=3,"SportsPerformance",IF(EV_Data4[[#This Row],[acceleration_0_60_mph]]&lt;=5,"HighPerformance","Standard"))</f>
        <v>HighPerformance</v>
      </c>
      <c r="AG995" t="str">
        <f>IF(EV_Data4[[#This Row],[customer_rating]]&gt;=4.5,"Excellent",IF(EV_Data4[[#This Row],[customer_rating]]&gt;=3.5,"Good","Average"))</f>
        <v>Good</v>
      </c>
      <c r="AH99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96" spans="1:34" x14ac:dyDescent="0.3">
      <c r="A996" t="s">
        <v>24</v>
      </c>
      <c r="B996" t="s">
        <v>25</v>
      </c>
      <c r="C996">
        <v>2026</v>
      </c>
      <c r="D996" t="s">
        <v>56</v>
      </c>
      <c r="E996" s="3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34</v>
      </c>
      <c r="N996">
        <v>5</v>
      </c>
      <c r="O996" t="s">
        <v>28</v>
      </c>
      <c r="P996">
        <v>63.5</v>
      </c>
      <c r="Q996">
        <v>2406</v>
      </c>
      <c r="R996">
        <v>4</v>
      </c>
      <c r="S996">
        <v>0</v>
      </c>
      <c r="T996" t="s">
        <v>29</v>
      </c>
      <c r="U996" t="s">
        <v>33</v>
      </c>
      <c r="V996" s="3">
        <v>220918</v>
      </c>
      <c r="W996">
        <v>3.38</v>
      </c>
      <c r="X996">
        <v>4</v>
      </c>
      <c r="Y996" s="1">
        <f>EV_Data4[[#This Row],[range_miles]]/EV_Data4[[#This Row],[battery_capacity_kwh]]</f>
        <v>3.4836065573770494</v>
      </c>
      <c r="Z996" s="4">
        <f>EV_Data4[[#This Row],[price_usd]]/EV_Data4[[#This Row],[range_miles]]</f>
        <v>412.82558823529416</v>
      </c>
      <c r="AA996" s="2">
        <f>(EV_Data4[[#This Row],[customer_rating]]*EV_Data4[[#This Row],[safety_rating]]*1000)/EV_Data4[[#This Row],[price_usd]]</f>
        <v>0.19264651715188083</v>
      </c>
      <c r="AB996">
        <f>EV_Data4[[#This Row],[horsepower]]+EV_Data4[[#This Row],[torque_nm]]/EV_Data4[[#This Row],[acceleration_0_60_mph]]</f>
        <v>815.4959349593496</v>
      </c>
      <c r="AC996" t="str">
        <f>IF(EV_Data4[[#This Row],[price_usd]]&gt;=80000,"Luxury",IF(EV_Data4[[#This Row],[price_usd]]&gt;=40000,"Mid-Range","Budget"))</f>
        <v>Mid-Range</v>
      </c>
      <c r="AD996" t="str">
        <f>IF(EV_Data4[[#This Row],[range_miles]]&gt;=350,"Long-Range",IF(EV_Data4[[#This Row],[range_miles]]&gt;=250,"Medium-Range","Short-Range"))</f>
        <v>Short-Range</v>
      </c>
      <c r="AE996" t="str">
        <f>IF(EV_Data4[[#This Row],[charging_speed_kw]]&gt;=250,"Ultra-Fast",IF(EV_Data4[[#This Row],[charging_speed_kw]]&gt;=150,"Fast-Charging","Standard-Charging"))</f>
        <v>Standard-Charging</v>
      </c>
      <c r="AF996" t="str">
        <f>IF(EV_Data4[[#This Row],[acceleration_0_60_mph]]&lt;=3,"SportsPerformance",IF(EV_Data4[[#This Row],[acceleration_0_60_mph]]&lt;=5,"HighPerformance","Standard"))</f>
        <v>Standard</v>
      </c>
      <c r="AG996" t="str">
        <f>IF(EV_Data4[[#This Row],[customer_rating]]&gt;=4.5,"Excellent",IF(EV_Data4[[#This Row],[customer_rating]]&gt;=3.5,"Good","Average"))</f>
        <v>Average</v>
      </c>
      <c r="AH99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997" spans="1:34" x14ac:dyDescent="0.3">
      <c r="A997" t="s">
        <v>46</v>
      </c>
      <c r="B997" t="s">
        <v>47</v>
      </c>
      <c r="C997">
        <v>2023</v>
      </c>
      <c r="D997" t="s">
        <v>56</v>
      </c>
      <c r="E997" s="3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34</v>
      </c>
      <c r="N997">
        <v>5</v>
      </c>
      <c r="O997" t="s">
        <v>28</v>
      </c>
      <c r="P997">
        <v>58.9</v>
      </c>
      <c r="Q997">
        <v>2602</v>
      </c>
      <c r="R997">
        <v>5</v>
      </c>
      <c r="S997">
        <v>2</v>
      </c>
      <c r="T997" t="s">
        <v>41</v>
      </c>
      <c r="U997" t="s">
        <v>37</v>
      </c>
      <c r="V997" s="3">
        <v>240645</v>
      </c>
      <c r="W997">
        <v>3.26</v>
      </c>
      <c r="X997">
        <v>6</v>
      </c>
      <c r="Y997" s="1">
        <f>EV_Data4[[#This Row],[range_miles]]/EV_Data4[[#This Row],[battery_capacity_kwh]]</f>
        <v>3.3333333333333335</v>
      </c>
      <c r="Z997" s="4">
        <f>EV_Data4[[#This Row],[price_usd]]/EV_Data4[[#This Row],[range_miles]]</f>
        <v>337.7448</v>
      </c>
      <c r="AA997" s="2">
        <f>(EV_Data4[[#This Row],[customer_rating]]*EV_Data4[[#This Row],[safety_rating]]*1000)/EV_Data4[[#This Row],[price_usd]]</f>
        <v>0.3217419384892577</v>
      </c>
      <c r="AB997">
        <f>EV_Data4[[#This Row],[horsepower]]+EV_Data4[[#This Row],[torque_nm]]/EV_Data4[[#This Row],[acceleration_0_60_mph]]</f>
        <v>403.7837837837838</v>
      </c>
      <c r="AC997" t="str">
        <f>IF(EV_Data4[[#This Row],[price_usd]]&gt;=80000,"Luxury",IF(EV_Data4[[#This Row],[price_usd]]&gt;=40000,"Mid-Range","Budget"))</f>
        <v>Mid-Range</v>
      </c>
      <c r="AD997" t="str">
        <f>IF(EV_Data4[[#This Row],[range_miles]]&gt;=350,"Long-Range",IF(EV_Data4[[#This Row],[range_miles]]&gt;=250,"Medium-Range","Short-Range"))</f>
        <v>Short-Range</v>
      </c>
      <c r="AE997" t="str">
        <f>IF(EV_Data4[[#This Row],[charging_speed_kw]]&gt;=250,"Ultra-Fast",IF(EV_Data4[[#This Row],[charging_speed_kw]]&gt;=150,"Fast-Charging","Standard-Charging"))</f>
        <v>Ultra-Fast</v>
      </c>
      <c r="AF997" t="str">
        <f>IF(EV_Data4[[#This Row],[acceleration_0_60_mph]]&lt;=3,"SportsPerformance",IF(EV_Data4[[#This Row],[acceleration_0_60_mph]]&lt;=5,"HighPerformance","Standard"))</f>
        <v>Standard</v>
      </c>
      <c r="AG997" t="str">
        <f>IF(EV_Data4[[#This Row],[customer_rating]]&gt;=4.5,"Excellent",IF(EV_Data4[[#This Row],[customer_rating]]&gt;=3.5,"Good","Average"))</f>
        <v>Average</v>
      </c>
      <c r="AH99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998" spans="1:34" x14ac:dyDescent="0.3">
      <c r="A998" t="s">
        <v>94</v>
      </c>
      <c r="B998" t="s">
        <v>128</v>
      </c>
      <c r="C998">
        <v>2023</v>
      </c>
      <c r="D998" t="s">
        <v>56</v>
      </c>
      <c r="E998" s="3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48</v>
      </c>
      <c r="N998">
        <v>5</v>
      </c>
      <c r="O998" t="s">
        <v>51</v>
      </c>
      <c r="P998">
        <v>25.4</v>
      </c>
      <c r="Q998">
        <v>1532</v>
      </c>
      <c r="R998">
        <v>4</v>
      </c>
      <c r="S998">
        <v>1</v>
      </c>
      <c r="T998" t="s">
        <v>41</v>
      </c>
      <c r="U998" t="s">
        <v>33</v>
      </c>
      <c r="V998" s="3">
        <v>16601</v>
      </c>
      <c r="W998">
        <v>3.25</v>
      </c>
      <c r="X998">
        <v>4</v>
      </c>
      <c r="Y998" s="1">
        <f>EV_Data4[[#This Row],[range_miles]]/EV_Data4[[#This Row],[battery_capacity_kwh]]</f>
        <v>3.4123222748815167</v>
      </c>
      <c r="Z998" s="4">
        <f>EV_Data4[[#This Row],[price_usd]]/EV_Data4[[#This Row],[range_miles]]</f>
        <v>332.24180555555552</v>
      </c>
      <c r="AA998" s="2">
        <f>(EV_Data4[[#This Row],[customer_rating]]*EV_Data4[[#This Row],[safety_rating]]*1000)/EV_Data4[[#This Row],[price_usd]]</f>
        <v>0.18114874220764302</v>
      </c>
      <c r="AB998">
        <f>EV_Data4[[#This Row],[horsepower]]+EV_Data4[[#This Row],[torque_nm]]/EV_Data4[[#This Row],[acceleration_0_60_mph]]</f>
        <v>312.62737642585552</v>
      </c>
      <c r="AC998" t="str">
        <f>IF(EV_Data4[[#This Row],[price_usd]]&gt;=80000,"Luxury",IF(EV_Data4[[#This Row],[price_usd]]&gt;=40000,"Mid-Range","Budget"))</f>
        <v>Mid-Range</v>
      </c>
      <c r="AD998" t="str">
        <f>IF(EV_Data4[[#This Row],[range_miles]]&gt;=350,"Long-Range",IF(EV_Data4[[#This Row],[range_miles]]&gt;=250,"Medium-Range","Short-Range"))</f>
        <v>Short-Range</v>
      </c>
      <c r="AE998" t="str">
        <f>IF(EV_Data4[[#This Row],[charging_speed_kw]]&gt;=250,"Ultra-Fast",IF(EV_Data4[[#This Row],[charging_speed_kw]]&gt;=150,"Fast-Charging","Standard-Charging"))</f>
        <v>Standard-Charging</v>
      </c>
      <c r="AF998" t="str">
        <f>IF(EV_Data4[[#This Row],[acceleration_0_60_mph]]&lt;=3,"SportsPerformance",IF(EV_Data4[[#This Row],[acceleration_0_60_mph]]&lt;=5,"HighPerformance","Standard"))</f>
        <v>Standard</v>
      </c>
      <c r="AG998" t="str">
        <f>IF(EV_Data4[[#This Row],[customer_rating]]&gt;=4.5,"Excellent",IF(EV_Data4[[#This Row],[customer_rating]]&gt;=3.5,"Good","Average"))</f>
        <v>Average</v>
      </c>
      <c r="AH99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999" spans="1:34" x14ac:dyDescent="0.3">
      <c r="A999" t="s">
        <v>46</v>
      </c>
      <c r="B999" t="s">
        <v>49</v>
      </c>
      <c r="C999">
        <v>2024</v>
      </c>
      <c r="D999" t="s">
        <v>61</v>
      </c>
      <c r="E999" s="3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27</v>
      </c>
      <c r="N999">
        <v>5</v>
      </c>
      <c r="O999" t="s">
        <v>28</v>
      </c>
      <c r="P999">
        <v>51</v>
      </c>
      <c r="Q999">
        <v>2443</v>
      </c>
      <c r="R999">
        <v>5</v>
      </c>
      <c r="S999">
        <v>2</v>
      </c>
      <c r="T999" t="s">
        <v>41</v>
      </c>
      <c r="U999" t="s">
        <v>30</v>
      </c>
      <c r="V999" s="3">
        <v>419454</v>
      </c>
      <c r="W999">
        <v>3.57</v>
      </c>
      <c r="X999">
        <v>4</v>
      </c>
      <c r="Y999" s="1">
        <f>EV_Data4[[#This Row],[range_miles]]/EV_Data4[[#This Row],[battery_capacity_kwh]]</f>
        <v>3.5151515151515151</v>
      </c>
      <c r="Z999" s="4">
        <f>EV_Data4[[#This Row],[price_usd]]/EV_Data4[[#This Row],[range_miles]]</f>
        <v>407.90199999999999</v>
      </c>
      <c r="AA999" s="2">
        <f>(EV_Data4[[#This Row],[customer_rating]]*EV_Data4[[#This Row],[safety_rating]]*1000)/EV_Data4[[#This Row],[price_usd]]</f>
        <v>0.15089831414881766</v>
      </c>
      <c r="AB999">
        <f>EV_Data4[[#This Row],[horsepower]]+EV_Data4[[#This Row],[torque_nm]]/EV_Data4[[#This Row],[acceleration_0_60_mph]]</f>
        <v>953.12155591572127</v>
      </c>
      <c r="AC999" t="str">
        <f>IF(EV_Data4[[#This Row],[price_usd]]&gt;=80000,"Luxury",IF(EV_Data4[[#This Row],[price_usd]]&gt;=40000,"Mid-Range","Budget"))</f>
        <v>Luxury</v>
      </c>
      <c r="AD999" t="str">
        <f>IF(EV_Data4[[#This Row],[range_miles]]&gt;=350,"Long-Range",IF(EV_Data4[[#This Row],[range_miles]]&gt;=250,"Medium-Range","Short-Range"))</f>
        <v>Medium-Range</v>
      </c>
      <c r="AE999" t="str">
        <f>IF(EV_Data4[[#This Row],[charging_speed_kw]]&gt;=250,"Ultra-Fast",IF(EV_Data4[[#This Row],[charging_speed_kw]]&gt;=150,"Fast-Charging","Standard-Charging"))</f>
        <v>Ultra-Fast</v>
      </c>
      <c r="AF999" t="str">
        <f>IF(EV_Data4[[#This Row],[acceleration_0_60_mph]]&lt;=3,"SportsPerformance",IF(EV_Data4[[#This Row],[acceleration_0_60_mph]]&lt;=5,"HighPerformance","Standard"))</f>
        <v>Standard</v>
      </c>
      <c r="AG999" t="str">
        <f>IF(EV_Data4[[#This Row],[customer_rating]]&gt;=4.5,"Excellent",IF(EV_Data4[[#This Row],[customer_rating]]&gt;=3.5,"Good","Average"))</f>
        <v>Good</v>
      </c>
      <c r="AH99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00" spans="1:34" x14ac:dyDescent="0.3">
      <c r="A1000" t="s">
        <v>31</v>
      </c>
      <c r="B1000" t="s">
        <v>32</v>
      </c>
      <c r="C1000">
        <v>2025</v>
      </c>
      <c r="D1000" t="s">
        <v>56</v>
      </c>
      <c r="E1000" s="3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34</v>
      </c>
      <c r="N1000">
        <v>5</v>
      </c>
      <c r="O1000" t="s">
        <v>35</v>
      </c>
      <c r="P1000">
        <v>56.9</v>
      </c>
      <c r="Q1000">
        <v>1949</v>
      </c>
      <c r="R1000">
        <v>4</v>
      </c>
      <c r="S1000">
        <v>1</v>
      </c>
      <c r="T1000" t="s">
        <v>36</v>
      </c>
      <c r="U1000" t="s">
        <v>33</v>
      </c>
      <c r="V1000" s="3">
        <v>24977</v>
      </c>
      <c r="W1000">
        <v>3.36</v>
      </c>
      <c r="X1000">
        <v>5</v>
      </c>
      <c r="Y1000" s="1">
        <f>EV_Data4[[#This Row],[range_miles]]/EV_Data4[[#This Row],[battery_capacity_kwh]]</f>
        <v>3.4608985024958403</v>
      </c>
      <c r="Z1000" s="4">
        <f>EV_Data4[[#This Row],[price_usd]]/EV_Data4[[#This Row],[range_miles]]</f>
        <v>315.42596153846159</v>
      </c>
      <c r="AA1000" s="2">
        <f>(EV_Data4[[#This Row],[customer_rating]]*EV_Data4[[#This Row],[safety_rating]]*1000)/EV_Data4[[#This Row],[price_usd]]</f>
        <v>0.2048511932886847</v>
      </c>
      <c r="AB1000">
        <f>EV_Data4[[#This Row],[horsepower]]+EV_Data4[[#This Row],[torque_nm]]/EV_Data4[[#This Row],[acceleration_0_60_mph]]</f>
        <v>931.63909774436092</v>
      </c>
      <c r="AC1000" t="str">
        <f>IF(EV_Data4[[#This Row],[price_usd]]&gt;=80000,"Luxury",IF(EV_Data4[[#This Row],[price_usd]]&gt;=40000,"Mid-Range","Budget"))</f>
        <v>Mid-Range</v>
      </c>
      <c r="AD1000" t="str">
        <f>IF(EV_Data4[[#This Row],[range_miles]]&gt;=350,"Long-Range",IF(EV_Data4[[#This Row],[range_miles]]&gt;=250,"Medium-Range","Short-Range"))</f>
        <v>Short-Range</v>
      </c>
      <c r="AE1000" t="str">
        <f>IF(EV_Data4[[#This Row],[charging_speed_kw]]&gt;=250,"Ultra-Fast",IF(EV_Data4[[#This Row],[charging_speed_kw]]&gt;=150,"Fast-Charging","Standard-Charging"))</f>
        <v>Standard-Charging</v>
      </c>
      <c r="AF1000" t="str">
        <f>IF(EV_Data4[[#This Row],[acceleration_0_60_mph]]&lt;=3,"SportsPerformance",IF(EV_Data4[[#This Row],[acceleration_0_60_mph]]&lt;=5,"HighPerformance","Standard"))</f>
        <v>Standard</v>
      </c>
      <c r="AG1000" t="str">
        <f>IF(EV_Data4[[#This Row],[customer_rating]]&gt;=4.5,"Excellent",IF(EV_Data4[[#This Row],[customer_rating]]&gt;=3.5,"Good","Average"))</f>
        <v>Average</v>
      </c>
      <c r="AH100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01" spans="1:34" x14ac:dyDescent="0.3">
      <c r="A1001" t="s">
        <v>24</v>
      </c>
      <c r="B1001" t="s">
        <v>25</v>
      </c>
      <c r="C1001">
        <v>2023</v>
      </c>
      <c r="D1001" t="s">
        <v>33</v>
      </c>
      <c r="E1001" s="3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27</v>
      </c>
      <c r="N1001">
        <v>7</v>
      </c>
      <c r="O1001" t="s">
        <v>28</v>
      </c>
      <c r="P1001">
        <v>63.8</v>
      </c>
      <c r="Q1001">
        <v>2583</v>
      </c>
      <c r="R1001">
        <v>5</v>
      </c>
      <c r="S1001">
        <v>0</v>
      </c>
      <c r="T1001" t="s">
        <v>29</v>
      </c>
      <c r="U1001" t="s">
        <v>33</v>
      </c>
      <c r="V1001" s="3">
        <v>237739</v>
      </c>
      <c r="W1001">
        <v>3.79</v>
      </c>
      <c r="X1001">
        <v>4</v>
      </c>
      <c r="Y1001" s="1">
        <f>EV_Data4[[#This Row],[range_miles]]/EV_Data4[[#This Row],[battery_capacity_kwh]]</f>
        <v>3.4135338345864663</v>
      </c>
      <c r="Z1001" s="4">
        <f>EV_Data4[[#This Row],[price_usd]]/EV_Data4[[#This Row],[range_miles]]</f>
        <v>439.92788546255508</v>
      </c>
      <c r="AA1001" s="2">
        <f>(EV_Data4[[#This Row],[customer_rating]]*EV_Data4[[#This Row],[safety_rating]]*1000)/EV_Data4[[#This Row],[price_usd]]</f>
        <v>0.18975877404015856</v>
      </c>
      <c r="AB1001">
        <f>EV_Data4[[#This Row],[horsepower]]+EV_Data4[[#This Row],[torque_nm]]/EV_Data4[[#This Row],[acceleration_0_60_mph]]</f>
        <v>1111.8320610687024</v>
      </c>
      <c r="AC1001" t="str">
        <f>IF(EV_Data4[[#This Row],[price_usd]]&gt;=80000,"Luxury",IF(EV_Data4[[#This Row],[price_usd]]&gt;=40000,"Mid-Range","Budget"))</f>
        <v>Luxury</v>
      </c>
      <c r="AD1001" t="str">
        <f>IF(EV_Data4[[#This Row],[range_miles]]&gt;=350,"Long-Range",IF(EV_Data4[[#This Row],[range_miles]]&gt;=250,"Medium-Range","Short-Range"))</f>
        <v>Short-Range</v>
      </c>
      <c r="AE1001" t="str">
        <f>IF(EV_Data4[[#This Row],[charging_speed_kw]]&gt;=250,"Ultra-Fast",IF(EV_Data4[[#This Row],[charging_speed_kw]]&gt;=150,"Fast-Charging","Standard-Charging"))</f>
        <v>Standard-Charging</v>
      </c>
      <c r="AF1001" t="str">
        <f>IF(EV_Data4[[#This Row],[acceleration_0_60_mph]]&lt;=3,"SportsPerformance",IF(EV_Data4[[#This Row],[acceleration_0_60_mph]]&lt;=5,"HighPerformance","Standard"))</f>
        <v>Standard</v>
      </c>
      <c r="AG1001" t="str">
        <f>IF(EV_Data4[[#This Row],[customer_rating]]&gt;=4.5,"Excellent",IF(EV_Data4[[#This Row],[customer_rating]]&gt;=3.5,"Good","Average"))</f>
        <v>Good</v>
      </c>
      <c r="AH100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02" spans="1:34" x14ac:dyDescent="0.3">
      <c r="A1002" t="s">
        <v>46</v>
      </c>
      <c r="B1002" t="s">
        <v>47</v>
      </c>
      <c r="C1002">
        <v>2022</v>
      </c>
      <c r="D1002" t="s">
        <v>44</v>
      </c>
      <c r="E1002" s="3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48</v>
      </c>
      <c r="N1002">
        <v>5</v>
      </c>
      <c r="O1002" t="s">
        <v>35</v>
      </c>
      <c r="P1002">
        <v>59.3</v>
      </c>
      <c r="Q1002">
        <v>2001</v>
      </c>
      <c r="R1002">
        <v>4</v>
      </c>
      <c r="S1002">
        <v>2</v>
      </c>
      <c r="T1002" t="s">
        <v>41</v>
      </c>
      <c r="U1002" t="s">
        <v>33</v>
      </c>
      <c r="V1002" s="3">
        <v>171529</v>
      </c>
      <c r="W1002">
        <v>4.12</v>
      </c>
      <c r="X1002">
        <v>6</v>
      </c>
      <c r="Y1002" s="1">
        <f>EV_Data4[[#This Row],[range_miles]]/EV_Data4[[#This Row],[battery_capacity_kwh]]</f>
        <v>3.4048507462686568</v>
      </c>
      <c r="Z1002" s="4">
        <f>EV_Data4[[#This Row],[price_usd]]/EV_Data4[[#This Row],[range_miles]]</f>
        <v>231.80797260273974</v>
      </c>
      <c r="AA1002" s="2">
        <f>(EV_Data4[[#This Row],[customer_rating]]*EV_Data4[[#This Row],[safety_rating]]*1000)/EV_Data4[[#This Row],[price_usd]]</f>
        <v>0.19477623838625996</v>
      </c>
      <c r="AB1002">
        <f>EV_Data4[[#This Row],[horsepower]]+EV_Data4[[#This Row],[torque_nm]]/EV_Data4[[#This Row],[acceleration_0_60_mph]]</f>
        <v>691.62542955326455</v>
      </c>
      <c r="AC1002" t="str">
        <f>IF(EV_Data4[[#This Row],[price_usd]]&gt;=80000,"Luxury",IF(EV_Data4[[#This Row],[price_usd]]&gt;=40000,"Mid-Range","Budget"))</f>
        <v>Luxury</v>
      </c>
      <c r="AD1002" t="str">
        <f>IF(EV_Data4[[#This Row],[range_miles]]&gt;=350,"Long-Range",IF(EV_Data4[[#This Row],[range_miles]]&gt;=250,"Medium-Range","Short-Range"))</f>
        <v>Long-Range</v>
      </c>
      <c r="AE1002" t="str">
        <f>IF(EV_Data4[[#This Row],[charging_speed_kw]]&gt;=250,"Ultra-Fast",IF(EV_Data4[[#This Row],[charging_speed_kw]]&gt;=150,"Fast-Charging","Standard-Charging"))</f>
        <v>Ultra-Fast</v>
      </c>
      <c r="AF1002" t="str">
        <f>IF(EV_Data4[[#This Row],[acceleration_0_60_mph]]&lt;=3,"SportsPerformance",IF(EV_Data4[[#This Row],[acceleration_0_60_mph]]&lt;=5,"HighPerformance","Standard"))</f>
        <v>Standard</v>
      </c>
      <c r="AG1002" t="str">
        <f>IF(EV_Data4[[#This Row],[customer_rating]]&gt;=4.5,"Excellent",IF(EV_Data4[[#This Row],[customer_rating]]&gt;=3.5,"Good","Average"))</f>
        <v>Good</v>
      </c>
      <c r="AH100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03" spans="1:34" x14ac:dyDescent="0.3">
      <c r="A1003" t="s">
        <v>42</v>
      </c>
      <c r="B1003" t="s">
        <v>43</v>
      </c>
      <c r="C1003">
        <v>2025</v>
      </c>
      <c r="D1003" t="s">
        <v>33</v>
      </c>
      <c r="E1003" s="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27</v>
      </c>
      <c r="N1003">
        <v>5</v>
      </c>
      <c r="O1003" t="s">
        <v>35</v>
      </c>
      <c r="P1003">
        <v>54.1</v>
      </c>
      <c r="Q1003">
        <v>2277</v>
      </c>
      <c r="R1003">
        <v>5</v>
      </c>
      <c r="S1003">
        <v>2</v>
      </c>
      <c r="T1003" t="s">
        <v>45</v>
      </c>
      <c r="U1003" t="s">
        <v>33</v>
      </c>
      <c r="V1003" s="3">
        <v>70466</v>
      </c>
      <c r="W1003">
        <v>3.28</v>
      </c>
      <c r="X1003">
        <v>5</v>
      </c>
      <c r="Y1003" s="1">
        <f>EV_Data4[[#This Row],[range_miles]]/EV_Data4[[#This Row],[battery_capacity_kwh]]</f>
        <v>3.2969034608378873</v>
      </c>
      <c r="Z1003" s="4">
        <f>EV_Data4[[#This Row],[price_usd]]/EV_Data4[[#This Row],[range_miles]]</f>
        <v>448.86314917127072</v>
      </c>
      <c r="AA1003" s="2">
        <f>(EV_Data4[[#This Row],[customer_rating]]*EV_Data4[[#This Row],[safety_rating]]*1000)/EV_Data4[[#This Row],[price_usd]]</f>
        <v>0.20186048904642215</v>
      </c>
      <c r="AB1003">
        <f>EV_Data4[[#This Row],[horsepower]]+EV_Data4[[#This Row],[torque_nm]]/EV_Data4[[#This Row],[acceleration_0_60_mph]]</f>
        <v>1107.1477449455676</v>
      </c>
      <c r="AC1003" t="str">
        <f>IF(EV_Data4[[#This Row],[price_usd]]&gt;=80000,"Luxury",IF(EV_Data4[[#This Row],[price_usd]]&gt;=40000,"Mid-Range","Budget"))</f>
        <v>Luxury</v>
      </c>
      <c r="AD1003" t="str">
        <f>IF(EV_Data4[[#This Row],[range_miles]]&gt;=350,"Long-Range",IF(EV_Data4[[#This Row],[range_miles]]&gt;=250,"Medium-Range","Short-Range"))</f>
        <v>Short-Range</v>
      </c>
      <c r="AE1003" t="str">
        <f>IF(EV_Data4[[#This Row],[charging_speed_kw]]&gt;=250,"Ultra-Fast",IF(EV_Data4[[#This Row],[charging_speed_kw]]&gt;=150,"Fast-Charging","Standard-Charging"))</f>
        <v>Standard-Charging</v>
      </c>
      <c r="AF1003" t="str">
        <f>IF(EV_Data4[[#This Row],[acceleration_0_60_mph]]&lt;=3,"SportsPerformance",IF(EV_Data4[[#This Row],[acceleration_0_60_mph]]&lt;=5,"HighPerformance","Standard"))</f>
        <v>Standard</v>
      </c>
      <c r="AG1003" t="str">
        <f>IF(EV_Data4[[#This Row],[customer_rating]]&gt;=4.5,"Excellent",IF(EV_Data4[[#This Row],[customer_rating]]&gt;=3.5,"Good","Average"))</f>
        <v>Average</v>
      </c>
      <c r="AH100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04" spans="1:34" x14ac:dyDescent="0.3">
      <c r="A1004" t="s">
        <v>52</v>
      </c>
      <c r="B1004" t="s">
        <v>97</v>
      </c>
      <c r="C1004">
        <v>2024</v>
      </c>
      <c r="D1004" t="s">
        <v>33</v>
      </c>
      <c r="E1004" s="3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48</v>
      </c>
      <c r="N1004">
        <v>7</v>
      </c>
      <c r="O1004" t="s">
        <v>50</v>
      </c>
      <c r="P1004">
        <v>39.799999999999997</v>
      </c>
      <c r="Q1004">
        <v>1500</v>
      </c>
      <c r="R1004">
        <v>4</v>
      </c>
      <c r="S1004">
        <v>1</v>
      </c>
      <c r="T1004" t="s">
        <v>29</v>
      </c>
      <c r="U1004" t="s">
        <v>30</v>
      </c>
      <c r="V1004" s="3">
        <v>50533</v>
      </c>
      <c r="W1004">
        <v>3.71</v>
      </c>
      <c r="X1004">
        <v>5</v>
      </c>
      <c r="Y1004" s="1">
        <f>EV_Data4[[#This Row],[range_miles]]/EV_Data4[[#This Row],[battery_capacity_kwh]]</f>
        <v>3.4763948497854074</v>
      </c>
      <c r="Z1004" s="4">
        <f>EV_Data4[[#This Row],[price_usd]]/EV_Data4[[#This Row],[range_miles]]</f>
        <v>689.13954732510285</v>
      </c>
      <c r="AA1004" s="2">
        <f>(EV_Data4[[#This Row],[customer_rating]]*EV_Data4[[#This Row],[safety_rating]]*1000)/EV_Data4[[#This Row],[price_usd]]</f>
        <v>8.8617695914825739E-2</v>
      </c>
      <c r="AB1004">
        <f>EV_Data4[[#This Row],[horsepower]]+EV_Data4[[#This Row],[torque_nm]]/EV_Data4[[#This Row],[acceleration_0_60_mph]]</f>
        <v>1182.0463320463321</v>
      </c>
      <c r="AC1004" t="str">
        <f>IF(EV_Data4[[#This Row],[price_usd]]&gt;=80000,"Luxury",IF(EV_Data4[[#This Row],[price_usd]]&gt;=40000,"Mid-Range","Budget"))</f>
        <v>Luxury</v>
      </c>
      <c r="AD1004" t="str">
        <f>IF(EV_Data4[[#This Row],[range_miles]]&gt;=350,"Long-Range",IF(EV_Data4[[#This Row],[range_miles]]&gt;=250,"Medium-Range","Short-Range"))</f>
        <v>Short-Range</v>
      </c>
      <c r="AE1004" t="str">
        <f>IF(EV_Data4[[#This Row],[charging_speed_kw]]&gt;=250,"Ultra-Fast",IF(EV_Data4[[#This Row],[charging_speed_kw]]&gt;=150,"Fast-Charging","Standard-Charging"))</f>
        <v>Standard-Charging</v>
      </c>
      <c r="AF1004" t="str">
        <f>IF(EV_Data4[[#This Row],[acceleration_0_60_mph]]&lt;=3,"SportsPerformance",IF(EV_Data4[[#This Row],[acceleration_0_60_mph]]&lt;=5,"HighPerformance","Standard"))</f>
        <v>Standard</v>
      </c>
      <c r="AG1004" t="str">
        <f>IF(EV_Data4[[#This Row],[customer_rating]]&gt;=4.5,"Excellent",IF(EV_Data4[[#This Row],[customer_rating]]&gt;=3.5,"Good","Average"))</f>
        <v>Good</v>
      </c>
      <c r="AH100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05" spans="1:34" x14ac:dyDescent="0.3">
      <c r="A1005" t="s">
        <v>38</v>
      </c>
      <c r="B1005" t="s">
        <v>102</v>
      </c>
      <c r="C1005">
        <v>2023</v>
      </c>
      <c r="D1005" t="s">
        <v>44</v>
      </c>
      <c r="E1005" s="3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34</v>
      </c>
      <c r="N1005">
        <v>5</v>
      </c>
      <c r="O1005" t="s">
        <v>35</v>
      </c>
      <c r="P1005">
        <v>39.5</v>
      </c>
      <c r="Q1005">
        <v>2025</v>
      </c>
      <c r="R1005">
        <v>4</v>
      </c>
      <c r="S1005">
        <v>0</v>
      </c>
      <c r="T1005" t="s">
        <v>41</v>
      </c>
      <c r="U1005" t="s">
        <v>66</v>
      </c>
      <c r="V1005" s="3">
        <v>19880</v>
      </c>
      <c r="W1005">
        <v>3.66</v>
      </c>
      <c r="X1005">
        <v>5</v>
      </c>
      <c r="Y1005" s="1">
        <f>EV_Data4[[#This Row],[range_miles]]/EV_Data4[[#This Row],[battery_capacity_kwh]]</f>
        <v>3.4668192219679632</v>
      </c>
      <c r="Z1005" s="4">
        <f>EV_Data4[[#This Row],[price_usd]]/EV_Data4[[#This Row],[range_miles]]</f>
        <v>109.33056105610562</v>
      </c>
      <c r="AA1005" s="2">
        <f>(EV_Data4[[#This Row],[customer_rating]]*EV_Data4[[#This Row],[safety_rating]]*1000)/EV_Data4[[#This Row],[price_usd]]</f>
        <v>0.44193344675486818</v>
      </c>
      <c r="AB1005">
        <f>EV_Data4[[#This Row],[horsepower]]+EV_Data4[[#This Row],[torque_nm]]/EV_Data4[[#This Row],[acceleration_0_60_mph]]</f>
        <v>276.75886524822693</v>
      </c>
      <c r="AC1005" t="str">
        <f>IF(EV_Data4[[#This Row],[price_usd]]&gt;=80000,"Luxury",IF(EV_Data4[[#This Row],[price_usd]]&gt;=40000,"Mid-Range","Budget"))</f>
        <v>Budget</v>
      </c>
      <c r="AD1005" t="str">
        <f>IF(EV_Data4[[#This Row],[range_miles]]&gt;=350,"Long-Range",IF(EV_Data4[[#This Row],[range_miles]]&gt;=250,"Medium-Range","Short-Range"))</f>
        <v>Medium-Range</v>
      </c>
      <c r="AE1005" t="str">
        <f>IF(EV_Data4[[#This Row],[charging_speed_kw]]&gt;=250,"Ultra-Fast",IF(EV_Data4[[#This Row],[charging_speed_kw]]&gt;=150,"Fast-Charging","Standard-Charging"))</f>
        <v>Standard-Charging</v>
      </c>
      <c r="AF1005" t="str">
        <f>IF(EV_Data4[[#This Row],[acceleration_0_60_mph]]&lt;=3,"SportsPerformance",IF(EV_Data4[[#This Row],[acceleration_0_60_mph]]&lt;=5,"HighPerformance","Standard"))</f>
        <v>Standard</v>
      </c>
      <c r="AG1005" t="str">
        <f>IF(EV_Data4[[#This Row],[customer_rating]]&gt;=4.5,"Excellent",IF(EV_Data4[[#This Row],[customer_rating]]&gt;=3.5,"Good","Average"))</f>
        <v>Good</v>
      </c>
      <c r="AH100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06" spans="1:34" x14ac:dyDescent="0.3">
      <c r="A1006" t="s">
        <v>76</v>
      </c>
      <c r="B1006" t="s">
        <v>98</v>
      </c>
      <c r="C1006">
        <v>2023</v>
      </c>
      <c r="D1006" t="s">
        <v>26</v>
      </c>
      <c r="E1006" s="3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34</v>
      </c>
      <c r="N1006">
        <v>5</v>
      </c>
      <c r="O1006" t="s">
        <v>28</v>
      </c>
      <c r="P1006">
        <v>51.8</v>
      </c>
      <c r="Q1006">
        <v>2343</v>
      </c>
      <c r="R1006">
        <v>5</v>
      </c>
      <c r="S1006">
        <v>0</v>
      </c>
      <c r="T1006" t="s">
        <v>41</v>
      </c>
      <c r="U1006" t="s">
        <v>33</v>
      </c>
      <c r="V1006" s="3">
        <v>34351</v>
      </c>
      <c r="W1006">
        <v>3.53</v>
      </c>
      <c r="X1006">
        <v>4</v>
      </c>
      <c r="Y1006" s="1">
        <f>EV_Data4[[#This Row],[range_miles]]/EV_Data4[[#This Row],[battery_capacity_kwh]]</f>
        <v>3.3367875647668392</v>
      </c>
      <c r="Z1006" s="4">
        <f>EV_Data4[[#This Row],[price_usd]]/EV_Data4[[#This Row],[range_miles]]</f>
        <v>205.37785714285712</v>
      </c>
      <c r="AA1006" s="2">
        <f>(EV_Data4[[#This Row],[customer_rating]]*EV_Data4[[#This Row],[safety_rating]]*1000)/EV_Data4[[#This Row],[price_usd]]</f>
        <v>0.26689179329661566</v>
      </c>
      <c r="AB1006">
        <f>EV_Data4[[#This Row],[horsepower]]+EV_Data4[[#This Row],[torque_nm]]/EV_Data4[[#This Row],[acceleration_0_60_mph]]</f>
        <v>996.66917293233087</v>
      </c>
      <c r="AC1006" t="str">
        <f>IF(EV_Data4[[#This Row],[price_usd]]&gt;=80000,"Luxury",IF(EV_Data4[[#This Row],[price_usd]]&gt;=40000,"Mid-Range","Budget"))</f>
        <v>Mid-Range</v>
      </c>
      <c r="AD1006" t="str">
        <f>IF(EV_Data4[[#This Row],[range_miles]]&gt;=350,"Long-Range",IF(EV_Data4[[#This Row],[range_miles]]&gt;=250,"Medium-Range","Short-Range"))</f>
        <v>Medium-Range</v>
      </c>
      <c r="AE1006" t="str">
        <f>IF(EV_Data4[[#This Row],[charging_speed_kw]]&gt;=250,"Ultra-Fast",IF(EV_Data4[[#This Row],[charging_speed_kw]]&gt;=150,"Fast-Charging","Standard-Charging"))</f>
        <v>Fast-Charging</v>
      </c>
      <c r="AF1006" t="str">
        <f>IF(EV_Data4[[#This Row],[acceleration_0_60_mph]]&lt;=3,"SportsPerformance",IF(EV_Data4[[#This Row],[acceleration_0_60_mph]]&lt;=5,"HighPerformance","Standard"))</f>
        <v>SportsPerformance</v>
      </c>
      <c r="AG1006" t="str">
        <f>IF(EV_Data4[[#This Row],[customer_rating]]&gt;=4.5,"Excellent",IF(EV_Data4[[#This Row],[customer_rating]]&gt;=3.5,"Good","Average"))</f>
        <v>Good</v>
      </c>
      <c r="AH100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07" spans="1:34" x14ac:dyDescent="0.3">
      <c r="A1007" t="s">
        <v>83</v>
      </c>
      <c r="B1007" t="s">
        <v>84</v>
      </c>
      <c r="C1007">
        <v>2024</v>
      </c>
      <c r="D1007" t="s">
        <v>56</v>
      </c>
      <c r="E1007" s="3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27</v>
      </c>
      <c r="N1007">
        <v>5</v>
      </c>
      <c r="O1007" t="s">
        <v>51</v>
      </c>
      <c r="P1007">
        <v>21</v>
      </c>
      <c r="Q1007">
        <v>1677</v>
      </c>
      <c r="R1007">
        <v>4</v>
      </c>
      <c r="S1007">
        <v>2</v>
      </c>
      <c r="T1007" t="s">
        <v>29</v>
      </c>
      <c r="U1007" t="s">
        <v>37</v>
      </c>
      <c r="V1007" s="3">
        <v>59887</v>
      </c>
      <c r="W1007">
        <v>3.39</v>
      </c>
      <c r="X1007">
        <v>6</v>
      </c>
      <c r="Y1007" s="1">
        <f>EV_Data4[[#This Row],[range_miles]]/EV_Data4[[#This Row],[battery_capacity_kwh]]</f>
        <v>3.54</v>
      </c>
      <c r="Z1007" s="4">
        <f>EV_Data4[[#This Row],[price_usd]]/EV_Data4[[#This Row],[range_miles]]</f>
        <v>331.61016949152543</v>
      </c>
      <c r="AA1007" s="2">
        <f>(EV_Data4[[#This Row],[customer_rating]]*EV_Data4[[#This Row],[safety_rating]]*1000)/EV_Data4[[#This Row],[price_usd]]</f>
        <v>0.23102478916432403</v>
      </c>
      <c r="AB1007">
        <f>EV_Data4[[#This Row],[horsepower]]+EV_Data4[[#This Row],[torque_nm]]/EV_Data4[[#This Row],[acceleration_0_60_mph]]</f>
        <v>361.68</v>
      </c>
      <c r="AC1007" t="str">
        <f>IF(EV_Data4[[#This Row],[price_usd]]&gt;=80000,"Luxury",IF(EV_Data4[[#This Row],[price_usd]]&gt;=40000,"Mid-Range","Budget"))</f>
        <v>Mid-Range</v>
      </c>
      <c r="AD1007" t="str">
        <f>IF(EV_Data4[[#This Row],[range_miles]]&gt;=350,"Long-Range",IF(EV_Data4[[#This Row],[range_miles]]&gt;=250,"Medium-Range","Short-Range"))</f>
        <v>Short-Range</v>
      </c>
      <c r="AE1007" t="str">
        <f>IF(EV_Data4[[#This Row],[charging_speed_kw]]&gt;=250,"Ultra-Fast",IF(EV_Data4[[#This Row],[charging_speed_kw]]&gt;=150,"Fast-Charging","Standard-Charging"))</f>
        <v>Standard-Charging</v>
      </c>
      <c r="AF1007" t="str">
        <f>IF(EV_Data4[[#This Row],[acceleration_0_60_mph]]&lt;=3,"SportsPerformance",IF(EV_Data4[[#This Row],[acceleration_0_60_mph]]&lt;=5,"HighPerformance","Standard"))</f>
        <v>Standard</v>
      </c>
      <c r="AG1007" t="str">
        <f>IF(EV_Data4[[#This Row],[customer_rating]]&gt;=4.5,"Excellent",IF(EV_Data4[[#This Row],[customer_rating]]&gt;=3.5,"Good","Average"))</f>
        <v>Average</v>
      </c>
      <c r="AH100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08" spans="1:34" x14ac:dyDescent="0.3">
      <c r="A1008" t="s">
        <v>38</v>
      </c>
      <c r="B1008" t="s">
        <v>118</v>
      </c>
      <c r="C1008">
        <v>2025</v>
      </c>
      <c r="D1008" t="s">
        <v>33</v>
      </c>
      <c r="E1008" s="3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48</v>
      </c>
      <c r="N1008">
        <v>7</v>
      </c>
      <c r="O1008" t="s">
        <v>58</v>
      </c>
      <c r="P1008">
        <v>37.1</v>
      </c>
      <c r="Q1008">
        <v>1579</v>
      </c>
      <c r="R1008">
        <v>5</v>
      </c>
      <c r="S1008">
        <v>0</v>
      </c>
      <c r="T1008" t="s">
        <v>41</v>
      </c>
      <c r="U1008" t="s">
        <v>37</v>
      </c>
      <c r="V1008" s="3">
        <v>24354</v>
      </c>
      <c r="W1008">
        <v>3.3</v>
      </c>
      <c r="X1008">
        <v>3</v>
      </c>
      <c r="Y1008" s="1">
        <f>EV_Data4[[#This Row],[range_miles]]/EV_Data4[[#This Row],[battery_capacity_kwh]]</f>
        <v>3.9123102866779091</v>
      </c>
      <c r="Z1008" s="4">
        <f>EV_Data4[[#This Row],[price_usd]]/EV_Data4[[#This Row],[range_miles]]</f>
        <v>202.01452586206898</v>
      </c>
      <c r="AA1008" s="2">
        <f>(EV_Data4[[#This Row],[customer_rating]]*EV_Data4[[#This Row],[safety_rating]]*1000)/EV_Data4[[#This Row],[price_usd]]</f>
        <v>0.35205730554114728</v>
      </c>
      <c r="AB1008">
        <f>EV_Data4[[#This Row],[horsepower]]+EV_Data4[[#This Row],[torque_nm]]/EV_Data4[[#This Row],[acceleration_0_60_mph]]</f>
        <v>553.74431057563584</v>
      </c>
      <c r="AC1008" t="str">
        <f>IF(EV_Data4[[#This Row],[price_usd]]&gt;=80000,"Luxury",IF(EV_Data4[[#This Row],[price_usd]]&gt;=40000,"Mid-Range","Budget"))</f>
        <v>Mid-Range</v>
      </c>
      <c r="AD1008" t="str">
        <f>IF(EV_Data4[[#This Row],[range_miles]]&gt;=350,"Long-Range",IF(EV_Data4[[#This Row],[range_miles]]&gt;=250,"Medium-Range","Short-Range"))</f>
        <v>Short-Range</v>
      </c>
      <c r="AE1008" t="str">
        <f>IF(EV_Data4[[#This Row],[charging_speed_kw]]&gt;=250,"Ultra-Fast",IF(EV_Data4[[#This Row],[charging_speed_kw]]&gt;=150,"Fast-Charging","Standard-Charging"))</f>
        <v>Standard-Charging</v>
      </c>
      <c r="AF1008" t="str">
        <f>IF(EV_Data4[[#This Row],[acceleration_0_60_mph]]&lt;=3,"SportsPerformance",IF(EV_Data4[[#This Row],[acceleration_0_60_mph]]&lt;=5,"HighPerformance","Standard"))</f>
        <v>Standard</v>
      </c>
      <c r="AG1008" t="str">
        <f>IF(EV_Data4[[#This Row],[customer_rating]]&gt;=4.5,"Excellent",IF(EV_Data4[[#This Row],[customer_rating]]&gt;=3.5,"Good","Average"))</f>
        <v>Average</v>
      </c>
      <c r="AH100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09" spans="1:34" x14ac:dyDescent="0.3">
      <c r="A1009" t="s">
        <v>52</v>
      </c>
      <c r="B1009" t="s">
        <v>53</v>
      </c>
      <c r="C1009">
        <v>2024</v>
      </c>
      <c r="D1009" t="s">
        <v>26</v>
      </c>
      <c r="E1009" s="3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27</v>
      </c>
      <c r="N1009">
        <v>5</v>
      </c>
      <c r="O1009" t="s">
        <v>51</v>
      </c>
      <c r="P1009">
        <v>15.9</v>
      </c>
      <c r="Q1009">
        <v>1676</v>
      </c>
      <c r="R1009">
        <v>5</v>
      </c>
      <c r="S1009">
        <v>2</v>
      </c>
      <c r="T1009" t="s">
        <v>29</v>
      </c>
      <c r="U1009" t="s">
        <v>30</v>
      </c>
      <c r="V1009" s="3">
        <v>78765</v>
      </c>
      <c r="W1009">
        <v>4.0599999999999996</v>
      </c>
      <c r="X1009">
        <v>6</v>
      </c>
      <c r="Y1009" s="1">
        <f>EV_Data4[[#This Row],[range_miles]]/EV_Data4[[#This Row],[battery_capacity_kwh]]</f>
        <v>3.7701149425287355</v>
      </c>
      <c r="Z1009" s="4">
        <f>EV_Data4[[#This Row],[price_usd]]/EV_Data4[[#This Row],[range_miles]]</f>
        <v>560.82289634146343</v>
      </c>
      <c r="AA1009" s="2">
        <f>(EV_Data4[[#This Row],[customer_rating]]*EV_Data4[[#This Row],[safety_rating]]*1000)/EV_Data4[[#This Row],[price_usd]]</f>
        <v>0.11035612901359938</v>
      </c>
      <c r="AB1009">
        <f>EV_Data4[[#This Row],[horsepower]]+EV_Data4[[#This Row],[torque_nm]]/EV_Data4[[#This Row],[acceleration_0_60_mph]]</f>
        <v>1303.5483870967741</v>
      </c>
      <c r="AC1009" t="str">
        <f>IF(EV_Data4[[#This Row],[price_usd]]&gt;=80000,"Luxury",IF(EV_Data4[[#This Row],[price_usd]]&gt;=40000,"Mid-Range","Budget"))</f>
        <v>Luxury</v>
      </c>
      <c r="AD1009" t="str">
        <f>IF(EV_Data4[[#This Row],[range_miles]]&gt;=350,"Long-Range",IF(EV_Data4[[#This Row],[range_miles]]&gt;=250,"Medium-Range","Short-Range"))</f>
        <v>Medium-Range</v>
      </c>
      <c r="AE1009" t="str">
        <f>IF(EV_Data4[[#This Row],[charging_speed_kw]]&gt;=250,"Ultra-Fast",IF(EV_Data4[[#This Row],[charging_speed_kw]]&gt;=150,"Fast-Charging","Standard-Charging"))</f>
        <v>Fast-Charging</v>
      </c>
      <c r="AF1009" t="str">
        <f>IF(EV_Data4[[#This Row],[acceleration_0_60_mph]]&lt;=3,"SportsPerformance",IF(EV_Data4[[#This Row],[acceleration_0_60_mph]]&lt;=5,"HighPerformance","Standard"))</f>
        <v>HighPerformance</v>
      </c>
      <c r="AG1009" t="str">
        <f>IF(EV_Data4[[#This Row],[customer_rating]]&gt;=4.5,"Excellent",IF(EV_Data4[[#This Row],[customer_rating]]&gt;=3.5,"Good","Average"))</f>
        <v>Good</v>
      </c>
      <c r="AH100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10" spans="1:34" x14ac:dyDescent="0.3">
      <c r="A1010" t="s">
        <v>63</v>
      </c>
      <c r="B1010" t="s">
        <v>88</v>
      </c>
      <c r="C1010">
        <v>2025</v>
      </c>
      <c r="D1010" t="s">
        <v>44</v>
      </c>
      <c r="E1010" s="3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27</v>
      </c>
      <c r="N1010">
        <v>7</v>
      </c>
      <c r="O1010" t="s">
        <v>28</v>
      </c>
      <c r="P1010">
        <v>51.9</v>
      </c>
      <c r="Q1010">
        <v>2625</v>
      </c>
      <c r="R1010">
        <v>4</v>
      </c>
      <c r="S1010">
        <v>1</v>
      </c>
      <c r="T1010" t="s">
        <v>65</v>
      </c>
      <c r="U1010" t="s">
        <v>66</v>
      </c>
      <c r="V1010" s="3">
        <v>188547</v>
      </c>
      <c r="W1010">
        <v>3.41</v>
      </c>
      <c r="X1010">
        <v>3</v>
      </c>
      <c r="Y1010" s="1">
        <f>EV_Data4[[#This Row],[range_miles]]/EV_Data4[[#This Row],[battery_capacity_kwh]]</f>
        <v>3.2004689331770222</v>
      </c>
      <c r="Z1010" s="4">
        <f>EV_Data4[[#This Row],[price_usd]]/EV_Data4[[#This Row],[range_miles]]</f>
        <v>97.822271062271057</v>
      </c>
      <c r="AA1010" s="2">
        <f>(EV_Data4[[#This Row],[customer_rating]]*EV_Data4[[#This Row],[safety_rating]]*1000)/EV_Data4[[#This Row],[price_usd]]</f>
        <v>0.51075659377775651</v>
      </c>
      <c r="AB1010">
        <f>EV_Data4[[#This Row],[horsepower]]+EV_Data4[[#This Row],[torque_nm]]/EV_Data4[[#This Row],[acceleration_0_60_mph]]</f>
        <v>323.79432624113474</v>
      </c>
      <c r="AC1010" t="str">
        <f>IF(EV_Data4[[#This Row],[price_usd]]&gt;=80000,"Luxury",IF(EV_Data4[[#This Row],[price_usd]]&gt;=40000,"Mid-Range","Budget"))</f>
        <v>Budget</v>
      </c>
      <c r="AD1010" t="str">
        <f>IF(EV_Data4[[#This Row],[range_miles]]&gt;=350,"Long-Range",IF(EV_Data4[[#This Row],[range_miles]]&gt;=250,"Medium-Range","Short-Range"))</f>
        <v>Medium-Range</v>
      </c>
      <c r="AE1010" t="str">
        <f>IF(EV_Data4[[#This Row],[charging_speed_kw]]&gt;=250,"Ultra-Fast",IF(EV_Data4[[#This Row],[charging_speed_kw]]&gt;=150,"Fast-Charging","Standard-Charging"))</f>
        <v>Standard-Charging</v>
      </c>
      <c r="AF1010" t="str">
        <f>IF(EV_Data4[[#This Row],[acceleration_0_60_mph]]&lt;=3,"SportsPerformance",IF(EV_Data4[[#This Row],[acceleration_0_60_mph]]&lt;=5,"HighPerformance","Standard"))</f>
        <v>Standard</v>
      </c>
      <c r="AG1010" t="str">
        <f>IF(EV_Data4[[#This Row],[customer_rating]]&gt;=4.5,"Excellent",IF(EV_Data4[[#This Row],[customer_rating]]&gt;=3.5,"Good","Average"))</f>
        <v>Average</v>
      </c>
      <c r="AH101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11" spans="1:34" x14ac:dyDescent="0.3">
      <c r="A1011" t="s">
        <v>68</v>
      </c>
      <c r="B1011" t="s">
        <v>106</v>
      </c>
      <c r="C1011">
        <v>2024</v>
      </c>
      <c r="D1011" t="s">
        <v>61</v>
      </c>
      <c r="E1011" s="3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48</v>
      </c>
      <c r="N1011">
        <v>5</v>
      </c>
      <c r="O1011" t="s">
        <v>40</v>
      </c>
      <c r="P1011">
        <v>75.8</v>
      </c>
      <c r="Q1011">
        <v>1500</v>
      </c>
      <c r="R1011">
        <v>4</v>
      </c>
      <c r="S1011">
        <v>0</v>
      </c>
      <c r="T1011" t="s">
        <v>45</v>
      </c>
      <c r="U1011" t="s">
        <v>37</v>
      </c>
      <c r="V1011" s="3">
        <v>76324</v>
      </c>
      <c r="W1011">
        <v>3.31</v>
      </c>
      <c r="X1011">
        <v>4</v>
      </c>
      <c r="Y1011" s="1">
        <f>EV_Data4[[#This Row],[range_miles]]/EV_Data4[[#This Row],[battery_capacity_kwh]]</f>
        <v>3.3700787401574801</v>
      </c>
      <c r="Z1011" s="4">
        <f>EV_Data4[[#This Row],[price_usd]]/EV_Data4[[#This Row],[range_miles]]</f>
        <v>175.81154205607476</v>
      </c>
      <c r="AA1011" s="2">
        <f>(EV_Data4[[#This Row],[customer_rating]]*EV_Data4[[#This Row],[safety_rating]]*1000)/EV_Data4[[#This Row],[price_usd]]</f>
        <v>0.35190612718004388</v>
      </c>
      <c r="AB1011">
        <f>EV_Data4[[#This Row],[horsepower]]+EV_Data4[[#This Row],[torque_nm]]/EV_Data4[[#This Row],[acceleration_0_60_mph]]</f>
        <v>400.96864111498257</v>
      </c>
      <c r="AC1011" t="str">
        <f>IF(EV_Data4[[#This Row],[price_usd]]&gt;=80000,"Luxury",IF(EV_Data4[[#This Row],[price_usd]]&gt;=40000,"Mid-Range","Budget"))</f>
        <v>Budget</v>
      </c>
      <c r="AD1011" t="str">
        <f>IF(EV_Data4[[#This Row],[range_miles]]&gt;=350,"Long-Range",IF(EV_Data4[[#This Row],[range_miles]]&gt;=250,"Medium-Range","Short-Range"))</f>
        <v>Short-Range</v>
      </c>
      <c r="AE1011" t="str">
        <f>IF(EV_Data4[[#This Row],[charging_speed_kw]]&gt;=250,"Ultra-Fast",IF(EV_Data4[[#This Row],[charging_speed_kw]]&gt;=150,"Fast-Charging","Standard-Charging"))</f>
        <v>Standard-Charging</v>
      </c>
      <c r="AF1011" t="str">
        <f>IF(EV_Data4[[#This Row],[acceleration_0_60_mph]]&lt;=3,"SportsPerformance",IF(EV_Data4[[#This Row],[acceleration_0_60_mph]]&lt;=5,"HighPerformance","Standard"))</f>
        <v>Standard</v>
      </c>
      <c r="AG1011" t="str">
        <f>IF(EV_Data4[[#This Row],[customer_rating]]&gt;=4.5,"Excellent",IF(EV_Data4[[#This Row],[customer_rating]]&gt;=3.5,"Good","Average"))</f>
        <v>Average</v>
      </c>
      <c r="AH101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12" spans="1:34" x14ac:dyDescent="0.3">
      <c r="A1012" t="s">
        <v>63</v>
      </c>
      <c r="B1012" t="s">
        <v>96</v>
      </c>
      <c r="C1012">
        <v>2025</v>
      </c>
      <c r="D1012" t="s">
        <v>26</v>
      </c>
      <c r="E1012" s="3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27</v>
      </c>
      <c r="N1012">
        <v>7</v>
      </c>
      <c r="O1012" t="s">
        <v>50</v>
      </c>
      <c r="P1012">
        <v>21.5</v>
      </c>
      <c r="Q1012">
        <v>1500</v>
      </c>
      <c r="R1012">
        <v>4</v>
      </c>
      <c r="S1012">
        <v>1</v>
      </c>
      <c r="T1012" t="s">
        <v>65</v>
      </c>
      <c r="U1012" t="s">
        <v>33</v>
      </c>
      <c r="V1012" s="3">
        <v>172137</v>
      </c>
      <c r="W1012">
        <v>3.93</v>
      </c>
      <c r="X1012">
        <v>4</v>
      </c>
      <c r="Y1012" s="1">
        <f>EV_Data4[[#This Row],[range_miles]]/EV_Data4[[#This Row],[battery_capacity_kwh]]</f>
        <v>3.6890243902439024</v>
      </c>
      <c r="Z1012" s="4">
        <f>EV_Data4[[#This Row],[price_usd]]/EV_Data4[[#This Row],[range_miles]]</f>
        <v>272.23581267217634</v>
      </c>
      <c r="AA1012" s="2">
        <f>(EV_Data4[[#This Row],[customer_rating]]*EV_Data4[[#This Row],[safety_rating]]*1000)/EV_Data4[[#This Row],[price_usd]]</f>
        <v>0.15907453431233656</v>
      </c>
      <c r="AB1012">
        <f>EV_Data4[[#This Row],[horsepower]]+EV_Data4[[#This Row],[torque_nm]]/EV_Data4[[#This Row],[acceleration_0_60_mph]]</f>
        <v>1248.6631016042782</v>
      </c>
      <c r="AC1012" t="str">
        <f>IF(EV_Data4[[#This Row],[price_usd]]&gt;=80000,"Luxury",IF(EV_Data4[[#This Row],[price_usd]]&gt;=40000,"Mid-Range","Budget"))</f>
        <v>Luxury</v>
      </c>
      <c r="AD1012" t="str">
        <f>IF(EV_Data4[[#This Row],[range_miles]]&gt;=350,"Long-Range",IF(EV_Data4[[#This Row],[range_miles]]&gt;=250,"Medium-Range","Short-Range"))</f>
        <v>Long-Range</v>
      </c>
      <c r="AE1012" t="str">
        <f>IF(EV_Data4[[#This Row],[charging_speed_kw]]&gt;=250,"Ultra-Fast",IF(EV_Data4[[#This Row],[charging_speed_kw]]&gt;=150,"Fast-Charging","Standard-Charging"))</f>
        <v>Fast-Charging</v>
      </c>
      <c r="AF1012" t="str">
        <f>IF(EV_Data4[[#This Row],[acceleration_0_60_mph]]&lt;=3,"SportsPerformance",IF(EV_Data4[[#This Row],[acceleration_0_60_mph]]&lt;=5,"HighPerformance","Standard"))</f>
        <v>HighPerformance</v>
      </c>
      <c r="AG1012" t="str">
        <f>IF(EV_Data4[[#This Row],[customer_rating]]&gt;=4.5,"Excellent",IF(EV_Data4[[#This Row],[customer_rating]]&gt;=3.5,"Good","Average"))</f>
        <v>Good</v>
      </c>
      <c r="AH101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13" spans="1:34" x14ac:dyDescent="0.3">
      <c r="A1013" t="s">
        <v>99</v>
      </c>
      <c r="B1013" t="s">
        <v>100</v>
      </c>
      <c r="C1013">
        <v>2025</v>
      </c>
      <c r="D1013" t="s">
        <v>61</v>
      </c>
      <c r="E1013" s="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27</v>
      </c>
      <c r="N1013">
        <v>5</v>
      </c>
      <c r="O1013" t="s">
        <v>50</v>
      </c>
      <c r="P1013">
        <v>18.399999999999999</v>
      </c>
      <c r="Q1013">
        <v>1894</v>
      </c>
      <c r="R1013">
        <v>5</v>
      </c>
      <c r="S1013">
        <v>1</v>
      </c>
      <c r="T1013" t="s">
        <v>29</v>
      </c>
      <c r="U1013" t="s">
        <v>30</v>
      </c>
      <c r="V1013" s="3">
        <v>29154</v>
      </c>
      <c r="W1013">
        <v>4.28</v>
      </c>
      <c r="X1013">
        <v>8</v>
      </c>
      <c r="Y1013" s="1">
        <f>EV_Data4[[#This Row],[range_miles]]/EV_Data4[[#This Row],[battery_capacity_kwh]]</f>
        <v>3.6149068322981366</v>
      </c>
      <c r="Z1013" s="4">
        <f>EV_Data4[[#This Row],[price_usd]]/EV_Data4[[#This Row],[range_miles]]</f>
        <v>642.5082130584193</v>
      </c>
      <c r="AA1013" s="2">
        <f>(EV_Data4[[#This Row],[customer_rating]]*EV_Data4[[#This Row],[safety_rating]]*1000)/EV_Data4[[#This Row],[price_usd]]</f>
        <v>0.11445693207606851</v>
      </c>
      <c r="AB1013">
        <f>EV_Data4[[#This Row],[horsepower]]+EV_Data4[[#This Row],[torque_nm]]/EV_Data4[[#This Row],[acceleration_0_60_mph]]</f>
        <v>1120.1540436456996</v>
      </c>
      <c r="AC1013" t="str">
        <f>IF(EV_Data4[[#This Row],[price_usd]]&gt;=80000,"Luxury",IF(EV_Data4[[#This Row],[price_usd]]&gt;=40000,"Mid-Range","Budget"))</f>
        <v>Luxury</v>
      </c>
      <c r="AD1013" t="str">
        <f>IF(EV_Data4[[#This Row],[range_miles]]&gt;=350,"Long-Range",IF(EV_Data4[[#This Row],[range_miles]]&gt;=250,"Medium-Range","Short-Range"))</f>
        <v>Medium-Range</v>
      </c>
      <c r="AE1013" t="str">
        <f>IF(EV_Data4[[#This Row],[charging_speed_kw]]&gt;=250,"Ultra-Fast",IF(EV_Data4[[#This Row],[charging_speed_kw]]&gt;=150,"Fast-Charging","Standard-Charging"))</f>
        <v>Ultra-Fast</v>
      </c>
      <c r="AF1013" t="str">
        <f>IF(EV_Data4[[#This Row],[acceleration_0_60_mph]]&lt;=3,"SportsPerformance",IF(EV_Data4[[#This Row],[acceleration_0_60_mph]]&lt;=5,"HighPerformance","Standard"))</f>
        <v>Standard</v>
      </c>
      <c r="AG1013" t="str">
        <f>IF(EV_Data4[[#This Row],[customer_rating]]&gt;=4.5,"Excellent",IF(EV_Data4[[#This Row],[customer_rating]]&gt;=3.5,"Good","Average"))</f>
        <v>Good</v>
      </c>
      <c r="AH101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14" spans="1:34" x14ac:dyDescent="0.3">
      <c r="A1014" t="s">
        <v>92</v>
      </c>
      <c r="B1014" t="s">
        <v>110</v>
      </c>
      <c r="C1014">
        <v>2024</v>
      </c>
      <c r="D1014" t="s">
        <v>33</v>
      </c>
      <c r="E1014" s="3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48</v>
      </c>
      <c r="N1014">
        <v>5</v>
      </c>
      <c r="O1014" t="s">
        <v>51</v>
      </c>
      <c r="P1014">
        <v>32.5</v>
      </c>
      <c r="Q1014">
        <v>1745</v>
      </c>
      <c r="R1014">
        <v>5</v>
      </c>
      <c r="S1014">
        <v>0</v>
      </c>
      <c r="T1014" t="s">
        <v>65</v>
      </c>
      <c r="U1014" t="s">
        <v>33</v>
      </c>
      <c r="V1014" s="3">
        <v>2458</v>
      </c>
      <c r="W1014">
        <v>3.46</v>
      </c>
      <c r="X1014">
        <v>4</v>
      </c>
      <c r="Y1014" s="1">
        <f>EV_Data4[[#This Row],[range_miles]]/EV_Data4[[#This Row],[battery_capacity_kwh]]</f>
        <v>3.1472868217054262</v>
      </c>
      <c r="Z1014" s="4">
        <f>EV_Data4[[#This Row],[price_usd]]/EV_Data4[[#This Row],[range_miles]]</f>
        <v>336.56261083743846</v>
      </c>
      <c r="AA1014" s="2">
        <f>(EV_Data4[[#This Row],[customer_rating]]*EV_Data4[[#This Row],[safety_rating]]*1000)/EV_Data4[[#This Row],[price_usd]]</f>
        <v>0.25321194967200267</v>
      </c>
      <c r="AB1014">
        <f>EV_Data4[[#This Row],[horsepower]]+EV_Data4[[#This Row],[torque_nm]]/EV_Data4[[#This Row],[acceleration_0_60_mph]]</f>
        <v>590.58333333333337</v>
      </c>
      <c r="AC1014" t="str">
        <f>IF(EV_Data4[[#This Row],[price_usd]]&gt;=80000,"Luxury",IF(EV_Data4[[#This Row],[price_usd]]&gt;=40000,"Mid-Range","Budget"))</f>
        <v>Mid-Range</v>
      </c>
      <c r="AD1014" t="str">
        <f>IF(EV_Data4[[#This Row],[range_miles]]&gt;=350,"Long-Range",IF(EV_Data4[[#This Row],[range_miles]]&gt;=250,"Medium-Range","Short-Range"))</f>
        <v>Short-Range</v>
      </c>
      <c r="AE1014" t="str">
        <f>IF(EV_Data4[[#This Row],[charging_speed_kw]]&gt;=250,"Ultra-Fast",IF(EV_Data4[[#This Row],[charging_speed_kw]]&gt;=150,"Fast-Charging","Standard-Charging"))</f>
        <v>Standard-Charging</v>
      </c>
      <c r="AF1014" t="str">
        <f>IF(EV_Data4[[#This Row],[acceleration_0_60_mph]]&lt;=3,"SportsPerformance",IF(EV_Data4[[#This Row],[acceleration_0_60_mph]]&lt;=5,"HighPerformance","Standard"))</f>
        <v>Standard</v>
      </c>
      <c r="AG1014" t="str">
        <f>IF(EV_Data4[[#This Row],[customer_rating]]&gt;=4.5,"Excellent",IF(EV_Data4[[#This Row],[customer_rating]]&gt;=3.5,"Good","Average"))</f>
        <v>Average</v>
      </c>
      <c r="AH101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15" spans="1:34" x14ac:dyDescent="0.3">
      <c r="A1015" t="s">
        <v>46</v>
      </c>
      <c r="B1015" t="s">
        <v>49</v>
      </c>
      <c r="C1015">
        <v>2024</v>
      </c>
      <c r="D1015" t="s">
        <v>33</v>
      </c>
      <c r="E1015" s="3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48</v>
      </c>
      <c r="N1015">
        <v>7</v>
      </c>
      <c r="O1015" t="s">
        <v>50</v>
      </c>
      <c r="P1015">
        <v>23.6</v>
      </c>
      <c r="Q1015">
        <v>1500</v>
      </c>
      <c r="R1015">
        <v>4</v>
      </c>
      <c r="S1015">
        <v>2</v>
      </c>
      <c r="T1015" t="s">
        <v>41</v>
      </c>
      <c r="U1015" t="s">
        <v>33</v>
      </c>
      <c r="V1015" s="3">
        <v>462587</v>
      </c>
      <c r="W1015">
        <v>3.48</v>
      </c>
      <c r="X1015">
        <v>5</v>
      </c>
      <c r="Y1015" s="1">
        <f>EV_Data4[[#This Row],[range_miles]]/EV_Data4[[#This Row],[battery_capacity_kwh]]</f>
        <v>3.7381404174573052</v>
      </c>
      <c r="Z1015" s="4">
        <f>EV_Data4[[#This Row],[price_usd]]/EV_Data4[[#This Row],[range_miles]]</f>
        <v>466.01685279187819</v>
      </c>
      <c r="AA1015" s="2">
        <f>(EV_Data4[[#This Row],[customer_rating]]*EV_Data4[[#This Row],[safety_rating]]*1000)/EV_Data4[[#This Row],[price_usd]]</f>
        <v>0.15162519993394716</v>
      </c>
      <c r="AB1015">
        <f>EV_Data4[[#This Row],[horsepower]]+EV_Data4[[#This Row],[torque_nm]]/EV_Data4[[#This Row],[acceleration_0_60_mph]]</f>
        <v>775.4503311258278</v>
      </c>
      <c r="AC1015" t="str">
        <f>IF(EV_Data4[[#This Row],[price_usd]]&gt;=80000,"Luxury",IF(EV_Data4[[#This Row],[price_usd]]&gt;=40000,"Mid-Range","Budget"))</f>
        <v>Luxury</v>
      </c>
      <c r="AD1015" t="str">
        <f>IF(EV_Data4[[#This Row],[range_miles]]&gt;=350,"Long-Range",IF(EV_Data4[[#This Row],[range_miles]]&gt;=250,"Medium-Range","Short-Range"))</f>
        <v>Short-Range</v>
      </c>
      <c r="AE1015" t="str">
        <f>IF(EV_Data4[[#This Row],[charging_speed_kw]]&gt;=250,"Ultra-Fast",IF(EV_Data4[[#This Row],[charging_speed_kw]]&gt;=150,"Fast-Charging","Standard-Charging"))</f>
        <v>Ultra-Fast</v>
      </c>
      <c r="AF1015" t="str">
        <f>IF(EV_Data4[[#This Row],[acceleration_0_60_mph]]&lt;=3,"SportsPerformance",IF(EV_Data4[[#This Row],[acceleration_0_60_mph]]&lt;=5,"HighPerformance","Standard"))</f>
        <v>Standard</v>
      </c>
      <c r="AG1015" t="str">
        <f>IF(EV_Data4[[#This Row],[customer_rating]]&gt;=4.5,"Excellent",IF(EV_Data4[[#This Row],[customer_rating]]&gt;=3.5,"Good","Average"))</f>
        <v>Average</v>
      </c>
      <c r="AH101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16" spans="1:34" x14ac:dyDescent="0.3">
      <c r="A1016" t="s">
        <v>38</v>
      </c>
      <c r="B1016" t="s">
        <v>39</v>
      </c>
      <c r="C1016">
        <v>2024</v>
      </c>
      <c r="D1016" t="s">
        <v>56</v>
      </c>
      <c r="E1016" s="3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27</v>
      </c>
      <c r="N1016">
        <v>7</v>
      </c>
      <c r="O1016" t="s">
        <v>35</v>
      </c>
      <c r="P1016">
        <v>45.1</v>
      </c>
      <c r="Q1016">
        <v>1772</v>
      </c>
      <c r="R1016">
        <v>5</v>
      </c>
      <c r="S1016">
        <v>0</v>
      </c>
      <c r="T1016" t="s">
        <v>41</v>
      </c>
      <c r="U1016" t="s">
        <v>66</v>
      </c>
      <c r="V1016" s="3">
        <v>29653</v>
      </c>
      <c r="W1016">
        <v>3.5</v>
      </c>
      <c r="X1016">
        <v>4</v>
      </c>
      <c r="Y1016" s="1">
        <f>EV_Data4[[#This Row],[range_miles]]/EV_Data4[[#This Row],[battery_capacity_kwh]]</f>
        <v>3.596638655462185</v>
      </c>
      <c r="Z1016" s="4">
        <f>EV_Data4[[#This Row],[price_usd]]/EV_Data4[[#This Row],[range_miles]]</f>
        <v>160.01943925233647</v>
      </c>
      <c r="AA1016" s="2">
        <f>(EV_Data4[[#This Row],[customer_rating]]*EV_Data4[[#This Row],[safety_rating]]*1000)/EV_Data4[[#This Row],[price_usd]]</f>
        <v>0.51103604234999478</v>
      </c>
      <c r="AB1016">
        <f>EV_Data4[[#This Row],[horsepower]]+EV_Data4[[#This Row],[torque_nm]]/EV_Data4[[#This Row],[acceleration_0_60_mph]]</f>
        <v>332.26807760141094</v>
      </c>
      <c r="AC1016" t="str">
        <f>IF(EV_Data4[[#This Row],[price_usd]]&gt;=80000,"Luxury",IF(EV_Data4[[#This Row],[price_usd]]&gt;=40000,"Mid-Range","Budget"))</f>
        <v>Budget</v>
      </c>
      <c r="AD1016" t="str">
        <f>IF(EV_Data4[[#This Row],[range_miles]]&gt;=350,"Long-Range",IF(EV_Data4[[#This Row],[range_miles]]&gt;=250,"Medium-Range","Short-Range"))</f>
        <v>Short-Range</v>
      </c>
      <c r="AE1016" t="str">
        <f>IF(EV_Data4[[#This Row],[charging_speed_kw]]&gt;=250,"Ultra-Fast",IF(EV_Data4[[#This Row],[charging_speed_kw]]&gt;=150,"Fast-Charging","Standard-Charging"))</f>
        <v>Standard-Charging</v>
      </c>
      <c r="AF1016" t="str">
        <f>IF(EV_Data4[[#This Row],[acceleration_0_60_mph]]&lt;=3,"SportsPerformance",IF(EV_Data4[[#This Row],[acceleration_0_60_mph]]&lt;=5,"HighPerformance","Standard"))</f>
        <v>Standard</v>
      </c>
      <c r="AG1016" t="str">
        <f>IF(EV_Data4[[#This Row],[customer_rating]]&gt;=4.5,"Excellent",IF(EV_Data4[[#This Row],[customer_rating]]&gt;=3.5,"Good","Average"))</f>
        <v>Good</v>
      </c>
      <c r="AH101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17" spans="1:34" x14ac:dyDescent="0.3">
      <c r="A1017" t="s">
        <v>94</v>
      </c>
      <c r="B1017" t="s">
        <v>95</v>
      </c>
      <c r="C1017">
        <v>2026</v>
      </c>
      <c r="D1017" t="s">
        <v>26</v>
      </c>
      <c r="E1017" s="3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27</v>
      </c>
      <c r="N1017">
        <v>5</v>
      </c>
      <c r="O1017" t="s">
        <v>51</v>
      </c>
      <c r="P1017">
        <v>36.5</v>
      </c>
      <c r="Q1017">
        <v>1500</v>
      </c>
      <c r="R1017">
        <v>4</v>
      </c>
      <c r="S1017">
        <v>1</v>
      </c>
      <c r="T1017" t="s">
        <v>41</v>
      </c>
      <c r="U1017" t="s">
        <v>30</v>
      </c>
      <c r="V1017" s="3">
        <v>22439</v>
      </c>
      <c r="W1017">
        <v>3.75</v>
      </c>
      <c r="X1017">
        <v>6</v>
      </c>
      <c r="Y1017" s="1">
        <f>EV_Data4[[#This Row],[range_miles]]/EV_Data4[[#This Row],[battery_capacity_kwh]]</f>
        <v>3.3489242282507012</v>
      </c>
      <c r="Z1017" s="4">
        <f>EV_Data4[[#This Row],[price_usd]]/EV_Data4[[#This Row],[range_miles]]</f>
        <v>317.70790502793295</v>
      </c>
      <c r="AA1017" s="2">
        <f>(EV_Data4[[#This Row],[customer_rating]]*EV_Data4[[#This Row],[safety_rating]]*1000)/EV_Data4[[#This Row],[price_usd]]</f>
        <v>0.13188038659944051</v>
      </c>
      <c r="AB1017">
        <f>EV_Data4[[#This Row],[horsepower]]+EV_Data4[[#This Row],[torque_nm]]/EV_Data4[[#This Row],[acceleration_0_60_mph]]</f>
        <v>1308.5808580858086</v>
      </c>
      <c r="AC1017" t="str">
        <f>IF(EV_Data4[[#This Row],[price_usd]]&gt;=80000,"Luxury",IF(EV_Data4[[#This Row],[price_usd]]&gt;=40000,"Mid-Range","Budget"))</f>
        <v>Luxury</v>
      </c>
      <c r="AD1017" t="str">
        <f>IF(EV_Data4[[#This Row],[range_miles]]&gt;=350,"Long-Range",IF(EV_Data4[[#This Row],[range_miles]]&gt;=250,"Medium-Range","Short-Range"))</f>
        <v>Long-Range</v>
      </c>
      <c r="AE1017" t="str">
        <f>IF(EV_Data4[[#This Row],[charging_speed_kw]]&gt;=250,"Ultra-Fast",IF(EV_Data4[[#This Row],[charging_speed_kw]]&gt;=150,"Fast-Charging","Standard-Charging"))</f>
        <v>Fast-Charging</v>
      </c>
      <c r="AF1017" t="str">
        <f>IF(EV_Data4[[#This Row],[acceleration_0_60_mph]]&lt;=3,"SportsPerformance",IF(EV_Data4[[#This Row],[acceleration_0_60_mph]]&lt;=5,"HighPerformance","Standard"))</f>
        <v>HighPerformance</v>
      </c>
      <c r="AG1017" t="str">
        <f>IF(EV_Data4[[#This Row],[customer_rating]]&gt;=4.5,"Excellent",IF(EV_Data4[[#This Row],[customer_rating]]&gt;=3.5,"Good","Average"))</f>
        <v>Good</v>
      </c>
      <c r="AH101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18" spans="1:34" x14ac:dyDescent="0.3">
      <c r="A1018" t="s">
        <v>46</v>
      </c>
      <c r="B1018" t="s">
        <v>72</v>
      </c>
      <c r="C1018">
        <v>2025</v>
      </c>
      <c r="D1018" t="s">
        <v>61</v>
      </c>
      <c r="E1018" s="3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34</v>
      </c>
      <c r="N1018">
        <v>7</v>
      </c>
      <c r="O1018" t="s">
        <v>28</v>
      </c>
      <c r="P1018">
        <v>67.599999999999994</v>
      </c>
      <c r="Q1018">
        <v>2276</v>
      </c>
      <c r="R1018">
        <v>4</v>
      </c>
      <c r="S1018">
        <v>3</v>
      </c>
      <c r="T1018" t="s">
        <v>41</v>
      </c>
      <c r="U1018" t="s">
        <v>33</v>
      </c>
      <c r="V1018" s="3">
        <v>113383</v>
      </c>
      <c r="W1018">
        <v>3.75</v>
      </c>
      <c r="X1018">
        <v>4</v>
      </c>
      <c r="Y1018" s="1">
        <f>EV_Data4[[#This Row],[range_miles]]/EV_Data4[[#This Row],[battery_capacity_kwh]]</f>
        <v>3.504950495049505</v>
      </c>
      <c r="Z1018" s="4">
        <f>EV_Data4[[#This Row],[price_usd]]/EV_Data4[[#This Row],[range_miles]]</f>
        <v>553.70807909604525</v>
      </c>
      <c r="AA1018" s="2">
        <f>(EV_Data4[[#This Row],[customer_rating]]*EV_Data4[[#This Row],[safety_rating]]*1000)/EV_Data4[[#This Row],[price_usd]]</f>
        <v>0.15305133862271958</v>
      </c>
      <c r="AB1018">
        <f>EV_Data4[[#This Row],[horsepower]]+EV_Data4[[#This Row],[torque_nm]]/EV_Data4[[#This Row],[acceleration_0_60_mph]]</f>
        <v>796.44063324538263</v>
      </c>
      <c r="AC1018" t="str">
        <f>IF(EV_Data4[[#This Row],[price_usd]]&gt;=80000,"Luxury",IF(EV_Data4[[#This Row],[price_usd]]&gt;=40000,"Mid-Range","Budget"))</f>
        <v>Luxury</v>
      </c>
      <c r="AD1018" t="str">
        <f>IF(EV_Data4[[#This Row],[range_miles]]&gt;=350,"Long-Range",IF(EV_Data4[[#This Row],[range_miles]]&gt;=250,"Medium-Range","Short-Range"))</f>
        <v>Short-Range</v>
      </c>
      <c r="AE1018" t="str">
        <f>IF(EV_Data4[[#This Row],[charging_speed_kw]]&gt;=250,"Ultra-Fast",IF(EV_Data4[[#This Row],[charging_speed_kw]]&gt;=150,"Fast-Charging","Standard-Charging"))</f>
        <v>Ultra-Fast</v>
      </c>
      <c r="AF1018" t="str">
        <f>IF(EV_Data4[[#This Row],[acceleration_0_60_mph]]&lt;=3,"SportsPerformance",IF(EV_Data4[[#This Row],[acceleration_0_60_mph]]&lt;=5,"HighPerformance","Standard"))</f>
        <v>Standard</v>
      </c>
      <c r="AG1018" t="str">
        <f>IF(EV_Data4[[#This Row],[customer_rating]]&gt;=4.5,"Excellent",IF(EV_Data4[[#This Row],[customer_rating]]&gt;=3.5,"Good","Average"))</f>
        <v>Good</v>
      </c>
      <c r="AH101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019" spans="1:34" x14ac:dyDescent="0.3">
      <c r="A1019" t="s">
        <v>42</v>
      </c>
      <c r="B1019" t="s">
        <v>80</v>
      </c>
      <c r="C1019">
        <v>2024</v>
      </c>
      <c r="D1019" t="s">
        <v>61</v>
      </c>
      <c r="E1019" s="3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27</v>
      </c>
      <c r="N1019">
        <v>5</v>
      </c>
      <c r="O1019" t="s">
        <v>35</v>
      </c>
      <c r="P1019">
        <v>61.2</v>
      </c>
      <c r="Q1019">
        <v>1821</v>
      </c>
      <c r="R1019">
        <v>4</v>
      </c>
      <c r="S1019">
        <v>2</v>
      </c>
      <c r="T1019" t="s">
        <v>45</v>
      </c>
      <c r="U1019" t="s">
        <v>33</v>
      </c>
      <c r="V1019" s="3">
        <v>69022</v>
      </c>
      <c r="W1019">
        <v>3.56</v>
      </c>
      <c r="X1019">
        <v>5</v>
      </c>
      <c r="Y1019" s="1">
        <f>EV_Data4[[#This Row],[range_miles]]/EV_Data4[[#This Row],[battery_capacity_kwh]]</f>
        <v>3.3566433566433567</v>
      </c>
      <c r="Z1019" s="4">
        <f>EV_Data4[[#This Row],[price_usd]]/EV_Data4[[#This Row],[range_miles]]</f>
        <v>279.86012499999998</v>
      </c>
      <c r="AA1019" s="2">
        <f>(EV_Data4[[#This Row],[customer_rating]]*EV_Data4[[#This Row],[safety_rating]]*1000)/EV_Data4[[#This Row],[price_usd]]</f>
        <v>0.21201067259343695</v>
      </c>
      <c r="AB1019">
        <f>EV_Data4[[#This Row],[horsepower]]+EV_Data4[[#This Row],[torque_nm]]/EV_Data4[[#This Row],[acceleration_0_60_mph]]</f>
        <v>814.583452211127</v>
      </c>
      <c r="AC1019" t="str">
        <f>IF(EV_Data4[[#This Row],[price_usd]]&gt;=80000,"Luxury",IF(EV_Data4[[#This Row],[price_usd]]&gt;=40000,"Mid-Range","Budget"))</f>
        <v>Mid-Range</v>
      </c>
      <c r="AD1019" t="str">
        <f>IF(EV_Data4[[#This Row],[range_miles]]&gt;=350,"Long-Range",IF(EV_Data4[[#This Row],[range_miles]]&gt;=250,"Medium-Range","Short-Range"))</f>
        <v>Short-Range</v>
      </c>
      <c r="AE1019" t="str">
        <f>IF(EV_Data4[[#This Row],[charging_speed_kw]]&gt;=250,"Ultra-Fast",IF(EV_Data4[[#This Row],[charging_speed_kw]]&gt;=150,"Fast-Charging","Standard-Charging"))</f>
        <v>Standard-Charging</v>
      </c>
      <c r="AF1019" t="str">
        <f>IF(EV_Data4[[#This Row],[acceleration_0_60_mph]]&lt;=3,"SportsPerformance",IF(EV_Data4[[#This Row],[acceleration_0_60_mph]]&lt;=5,"HighPerformance","Standard"))</f>
        <v>Standard</v>
      </c>
      <c r="AG1019" t="str">
        <f>IF(EV_Data4[[#This Row],[customer_rating]]&gt;=4.5,"Excellent",IF(EV_Data4[[#This Row],[customer_rating]]&gt;=3.5,"Good","Average"))</f>
        <v>Good</v>
      </c>
      <c r="AH101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20" spans="1:34" x14ac:dyDescent="0.3">
      <c r="A1020" t="s">
        <v>94</v>
      </c>
      <c r="B1020" t="s">
        <v>128</v>
      </c>
      <c r="C1020">
        <v>2024</v>
      </c>
      <c r="D1020" t="s">
        <v>56</v>
      </c>
      <c r="E1020" s="3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27</v>
      </c>
      <c r="N1020">
        <v>7</v>
      </c>
      <c r="O1020" t="s">
        <v>28</v>
      </c>
      <c r="P1020">
        <v>70.8</v>
      </c>
      <c r="Q1020">
        <v>2508</v>
      </c>
      <c r="R1020">
        <v>5</v>
      </c>
      <c r="S1020">
        <v>1</v>
      </c>
      <c r="T1020" t="s">
        <v>41</v>
      </c>
      <c r="U1020" t="s">
        <v>33</v>
      </c>
      <c r="V1020" s="3">
        <v>22100</v>
      </c>
      <c r="W1020">
        <v>3.49</v>
      </c>
      <c r="X1020">
        <v>4</v>
      </c>
      <c r="Y1020" s="1">
        <f>EV_Data4[[#This Row],[range_miles]]/EV_Data4[[#This Row],[battery_capacity_kwh]]</f>
        <v>3.9020771513353112</v>
      </c>
      <c r="Z1020" s="4">
        <f>EV_Data4[[#This Row],[price_usd]]/EV_Data4[[#This Row],[range_miles]]</f>
        <v>280.51053231939164</v>
      </c>
      <c r="AA1020" s="2">
        <f>(EV_Data4[[#This Row],[customer_rating]]*EV_Data4[[#This Row],[safety_rating]]*1000)/EV_Data4[[#This Row],[price_usd]]</f>
        <v>0.23653233030974083</v>
      </c>
      <c r="AB1020">
        <f>EV_Data4[[#This Row],[horsepower]]+EV_Data4[[#This Row],[torque_nm]]/EV_Data4[[#This Row],[acceleration_0_60_mph]]</f>
        <v>366.59021406727828</v>
      </c>
      <c r="AC1020" t="str">
        <f>IF(EV_Data4[[#This Row],[price_usd]]&gt;=80000,"Luxury",IF(EV_Data4[[#This Row],[price_usd]]&gt;=40000,"Mid-Range","Budget"))</f>
        <v>Mid-Range</v>
      </c>
      <c r="AD1020" t="str">
        <f>IF(EV_Data4[[#This Row],[range_miles]]&gt;=350,"Long-Range",IF(EV_Data4[[#This Row],[range_miles]]&gt;=250,"Medium-Range","Short-Range"))</f>
        <v>Medium-Range</v>
      </c>
      <c r="AE1020" t="str">
        <f>IF(EV_Data4[[#This Row],[charging_speed_kw]]&gt;=250,"Ultra-Fast",IF(EV_Data4[[#This Row],[charging_speed_kw]]&gt;=150,"Fast-Charging","Standard-Charging"))</f>
        <v>Standard-Charging</v>
      </c>
      <c r="AF1020" t="str">
        <f>IF(EV_Data4[[#This Row],[acceleration_0_60_mph]]&lt;=3,"SportsPerformance",IF(EV_Data4[[#This Row],[acceleration_0_60_mph]]&lt;=5,"HighPerformance","Standard"))</f>
        <v>Standard</v>
      </c>
      <c r="AG1020" t="str">
        <f>IF(EV_Data4[[#This Row],[customer_rating]]&gt;=4.5,"Excellent",IF(EV_Data4[[#This Row],[customer_rating]]&gt;=3.5,"Good","Average"))</f>
        <v>Average</v>
      </c>
      <c r="AH102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21" spans="1:34" x14ac:dyDescent="0.3">
      <c r="A1021" t="s">
        <v>46</v>
      </c>
      <c r="B1021" t="s">
        <v>49</v>
      </c>
      <c r="C1021">
        <v>2024</v>
      </c>
      <c r="D1021" t="s">
        <v>44</v>
      </c>
      <c r="E1021" s="3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48</v>
      </c>
      <c r="N1021">
        <v>5</v>
      </c>
      <c r="O1021" t="s">
        <v>50</v>
      </c>
      <c r="P1021">
        <v>30.6</v>
      </c>
      <c r="Q1021">
        <v>1628</v>
      </c>
      <c r="R1021">
        <v>5</v>
      </c>
      <c r="S1021">
        <v>3</v>
      </c>
      <c r="T1021" t="s">
        <v>41</v>
      </c>
      <c r="U1021" t="s">
        <v>33</v>
      </c>
      <c r="V1021" s="3">
        <v>459091</v>
      </c>
      <c r="W1021">
        <v>3.73</v>
      </c>
      <c r="X1021">
        <v>6</v>
      </c>
      <c r="Y1021" s="1">
        <f>EV_Data4[[#This Row],[range_miles]]/EV_Data4[[#This Row],[battery_capacity_kwh]]</f>
        <v>3.545816733067729</v>
      </c>
      <c r="Z1021" s="4">
        <f>EV_Data4[[#This Row],[price_usd]]/EV_Data4[[#This Row],[range_miles]]</f>
        <v>368.61621722846439</v>
      </c>
      <c r="AA1021" s="2">
        <f>(EV_Data4[[#This Row],[customer_rating]]*EV_Data4[[#This Row],[safety_rating]]*1000)/EV_Data4[[#This Row],[price_usd]]</f>
        <v>0.18949298484777516</v>
      </c>
      <c r="AB1021">
        <f>EV_Data4[[#This Row],[horsepower]]+EV_Data4[[#This Row],[torque_nm]]/EV_Data4[[#This Row],[acceleration_0_60_mph]]</f>
        <v>868.26391382405745</v>
      </c>
      <c r="AC1021" t="str">
        <f>IF(EV_Data4[[#This Row],[price_usd]]&gt;=80000,"Luxury",IF(EV_Data4[[#This Row],[price_usd]]&gt;=40000,"Mid-Range","Budget"))</f>
        <v>Luxury</v>
      </c>
      <c r="AD1021" t="str">
        <f>IF(EV_Data4[[#This Row],[range_miles]]&gt;=350,"Long-Range",IF(EV_Data4[[#This Row],[range_miles]]&gt;=250,"Medium-Range","Short-Range"))</f>
        <v>Medium-Range</v>
      </c>
      <c r="AE1021" t="str">
        <f>IF(EV_Data4[[#This Row],[charging_speed_kw]]&gt;=250,"Ultra-Fast",IF(EV_Data4[[#This Row],[charging_speed_kw]]&gt;=150,"Fast-Charging","Standard-Charging"))</f>
        <v>Ultra-Fast</v>
      </c>
      <c r="AF1021" t="str">
        <f>IF(EV_Data4[[#This Row],[acceleration_0_60_mph]]&lt;=3,"SportsPerformance",IF(EV_Data4[[#This Row],[acceleration_0_60_mph]]&lt;=5,"HighPerformance","Standard"))</f>
        <v>Standard</v>
      </c>
      <c r="AG1021" t="str">
        <f>IF(EV_Data4[[#This Row],[customer_rating]]&gt;=4.5,"Excellent",IF(EV_Data4[[#This Row],[customer_rating]]&gt;=3.5,"Good","Average"))</f>
        <v>Good</v>
      </c>
      <c r="AH1021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022" spans="1:34" x14ac:dyDescent="0.3">
      <c r="A1022" t="s">
        <v>38</v>
      </c>
      <c r="B1022" t="s">
        <v>118</v>
      </c>
      <c r="C1022">
        <v>2024</v>
      </c>
      <c r="D1022" t="s">
        <v>61</v>
      </c>
      <c r="E1022" s="3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34</v>
      </c>
      <c r="N1022">
        <v>7</v>
      </c>
      <c r="O1022" t="s">
        <v>58</v>
      </c>
      <c r="P1022">
        <v>21</v>
      </c>
      <c r="Q1022">
        <v>1830</v>
      </c>
      <c r="R1022">
        <v>3</v>
      </c>
      <c r="S1022">
        <v>1</v>
      </c>
      <c r="T1022" t="s">
        <v>41</v>
      </c>
      <c r="U1022" t="s">
        <v>37</v>
      </c>
      <c r="V1022" s="3">
        <v>11545</v>
      </c>
      <c r="W1022">
        <v>3.42</v>
      </c>
      <c r="X1022">
        <v>4</v>
      </c>
      <c r="Y1022" s="1">
        <f>EV_Data4[[#This Row],[range_miles]]/EV_Data4[[#This Row],[battery_capacity_kwh]]</f>
        <v>3.75</v>
      </c>
      <c r="Z1022" s="4">
        <f>EV_Data4[[#This Row],[price_usd]]/EV_Data4[[#This Row],[range_miles]]</f>
        <v>283.63593333333336</v>
      </c>
      <c r="AA1022" s="2">
        <f>(EV_Data4[[#This Row],[customer_rating]]*EV_Data4[[#This Row],[safety_rating]]*1000)/EV_Data4[[#This Row],[price_usd]]</f>
        <v>0.2411542120074584</v>
      </c>
      <c r="AB1022">
        <f>EV_Data4[[#This Row],[horsepower]]+EV_Data4[[#This Row],[torque_nm]]/EV_Data4[[#This Row],[acceleration_0_60_mph]]</f>
        <v>535.69573283858995</v>
      </c>
      <c r="AC1022" t="str">
        <f>IF(EV_Data4[[#This Row],[price_usd]]&gt;=80000,"Luxury",IF(EV_Data4[[#This Row],[price_usd]]&gt;=40000,"Mid-Range","Budget"))</f>
        <v>Mid-Range</v>
      </c>
      <c r="AD1022" t="str">
        <f>IF(EV_Data4[[#This Row],[range_miles]]&gt;=350,"Long-Range",IF(EV_Data4[[#This Row],[range_miles]]&gt;=250,"Medium-Range","Short-Range"))</f>
        <v>Short-Range</v>
      </c>
      <c r="AE1022" t="str">
        <f>IF(EV_Data4[[#This Row],[charging_speed_kw]]&gt;=250,"Ultra-Fast",IF(EV_Data4[[#This Row],[charging_speed_kw]]&gt;=150,"Fast-Charging","Standard-Charging"))</f>
        <v>Standard-Charging</v>
      </c>
      <c r="AF1022" t="str">
        <f>IF(EV_Data4[[#This Row],[acceleration_0_60_mph]]&lt;=3,"SportsPerformance",IF(EV_Data4[[#This Row],[acceleration_0_60_mph]]&lt;=5,"HighPerformance","Standard"))</f>
        <v>Standard</v>
      </c>
      <c r="AG1022" t="str">
        <f>IF(EV_Data4[[#This Row],[customer_rating]]&gt;=4.5,"Excellent",IF(EV_Data4[[#This Row],[customer_rating]]&gt;=3.5,"Good","Average"))</f>
        <v>Average</v>
      </c>
      <c r="AH102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23" spans="1:34" x14ac:dyDescent="0.3">
      <c r="A1023" t="s">
        <v>63</v>
      </c>
      <c r="B1023" t="s">
        <v>82</v>
      </c>
      <c r="C1023">
        <v>2023</v>
      </c>
      <c r="D1023" t="s">
        <v>26</v>
      </c>
      <c r="E1023" s="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27</v>
      </c>
      <c r="N1023">
        <v>5</v>
      </c>
      <c r="O1023" t="s">
        <v>28</v>
      </c>
      <c r="P1023">
        <v>74.599999999999994</v>
      </c>
      <c r="Q1023">
        <v>2544</v>
      </c>
      <c r="R1023">
        <v>5</v>
      </c>
      <c r="S1023">
        <v>0</v>
      </c>
      <c r="T1023" t="s">
        <v>65</v>
      </c>
      <c r="U1023" t="s">
        <v>66</v>
      </c>
      <c r="V1023" s="3">
        <v>110847</v>
      </c>
      <c r="W1023">
        <v>3.94</v>
      </c>
      <c r="X1023">
        <v>4</v>
      </c>
      <c r="Y1023" s="1">
        <f>EV_Data4[[#This Row],[range_miles]]/EV_Data4[[#This Row],[battery_capacity_kwh]]</f>
        <v>3.3791748526522594</v>
      </c>
      <c r="Z1023" s="4">
        <f>EV_Data4[[#This Row],[price_usd]]/EV_Data4[[#This Row],[range_miles]]</f>
        <v>75.353110465116288</v>
      </c>
      <c r="AA1023" s="2">
        <f>(EV_Data4[[#This Row],[customer_rating]]*EV_Data4[[#This Row],[safety_rating]]*1000)/EV_Data4[[#This Row],[price_usd]]</f>
        <v>0.7599877630396733</v>
      </c>
      <c r="AB1023">
        <f>EV_Data4[[#This Row],[horsepower]]+EV_Data4[[#This Row],[torque_nm]]/EV_Data4[[#This Row],[acceleration_0_60_mph]]</f>
        <v>260.1467268623025</v>
      </c>
      <c r="AC1023" t="str">
        <f>IF(EV_Data4[[#This Row],[price_usd]]&gt;=80000,"Luxury",IF(EV_Data4[[#This Row],[price_usd]]&gt;=40000,"Mid-Range","Budget"))</f>
        <v>Budget</v>
      </c>
      <c r="AD1023" t="str">
        <f>IF(EV_Data4[[#This Row],[range_miles]]&gt;=350,"Long-Range",IF(EV_Data4[[#This Row],[range_miles]]&gt;=250,"Medium-Range","Short-Range"))</f>
        <v>Medium-Range</v>
      </c>
      <c r="AE1023" t="str">
        <f>IF(EV_Data4[[#This Row],[charging_speed_kw]]&gt;=250,"Ultra-Fast",IF(EV_Data4[[#This Row],[charging_speed_kw]]&gt;=150,"Fast-Charging","Standard-Charging"))</f>
        <v>Fast-Charging</v>
      </c>
      <c r="AF1023" t="str">
        <f>IF(EV_Data4[[#This Row],[acceleration_0_60_mph]]&lt;=3,"SportsPerformance",IF(EV_Data4[[#This Row],[acceleration_0_60_mph]]&lt;=5,"HighPerformance","Standard"))</f>
        <v>HighPerformance</v>
      </c>
      <c r="AG1023" t="str">
        <f>IF(EV_Data4[[#This Row],[customer_rating]]&gt;=4.5,"Excellent",IF(EV_Data4[[#This Row],[customer_rating]]&gt;=3.5,"Good","Average"))</f>
        <v>Good</v>
      </c>
      <c r="AH102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24" spans="1:34" x14ac:dyDescent="0.3">
      <c r="A1024" t="s">
        <v>94</v>
      </c>
      <c r="B1024" t="s">
        <v>128</v>
      </c>
      <c r="C1024">
        <v>2024</v>
      </c>
      <c r="D1024" t="s">
        <v>61</v>
      </c>
      <c r="E1024" s="3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27</v>
      </c>
      <c r="N1024">
        <v>7</v>
      </c>
      <c r="O1024" t="s">
        <v>40</v>
      </c>
      <c r="P1024">
        <v>69</v>
      </c>
      <c r="Q1024">
        <v>1514</v>
      </c>
      <c r="R1024">
        <v>4</v>
      </c>
      <c r="S1024">
        <v>1</v>
      </c>
      <c r="T1024" t="s">
        <v>41</v>
      </c>
      <c r="U1024" t="s">
        <v>33</v>
      </c>
      <c r="V1024" s="3">
        <v>1755</v>
      </c>
      <c r="W1024">
        <v>3.19</v>
      </c>
      <c r="X1024">
        <v>4</v>
      </c>
      <c r="Y1024" s="1">
        <f>EV_Data4[[#This Row],[range_miles]]/EV_Data4[[#This Row],[battery_capacity_kwh]]</f>
        <v>3.282442748091603</v>
      </c>
      <c r="Z1024" s="4">
        <f>EV_Data4[[#This Row],[price_usd]]/EV_Data4[[#This Row],[range_miles]]</f>
        <v>500.69732558139538</v>
      </c>
      <c r="AA1024" s="2">
        <f>(EV_Data4[[#This Row],[customer_rating]]*EV_Data4[[#This Row],[safety_rating]]*1000)/EV_Data4[[#This Row],[price_usd]]</f>
        <v>0.1481654539006878</v>
      </c>
      <c r="AB1024">
        <f>EV_Data4[[#This Row],[horsepower]]+EV_Data4[[#This Row],[torque_nm]]/EV_Data4[[#This Row],[acceleration_0_60_mph]]</f>
        <v>1172.6765799256505</v>
      </c>
      <c r="AC1024" t="str">
        <f>IF(EV_Data4[[#This Row],[price_usd]]&gt;=80000,"Luxury",IF(EV_Data4[[#This Row],[price_usd]]&gt;=40000,"Mid-Range","Budget"))</f>
        <v>Luxury</v>
      </c>
      <c r="AD1024" t="str">
        <f>IF(EV_Data4[[#This Row],[range_miles]]&gt;=350,"Long-Range",IF(EV_Data4[[#This Row],[range_miles]]&gt;=250,"Medium-Range","Short-Range"))</f>
        <v>Short-Range</v>
      </c>
      <c r="AE1024" t="str">
        <f>IF(EV_Data4[[#This Row],[charging_speed_kw]]&gt;=250,"Ultra-Fast",IF(EV_Data4[[#This Row],[charging_speed_kw]]&gt;=150,"Fast-Charging","Standard-Charging"))</f>
        <v>Standard-Charging</v>
      </c>
      <c r="AF1024" t="str">
        <f>IF(EV_Data4[[#This Row],[acceleration_0_60_mph]]&lt;=3,"SportsPerformance",IF(EV_Data4[[#This Row],[acceleration_0_60_mph]]&lt;=5,"HighPerformance","Standard"))</f>
        <v>Standard</v>
      </c>
      <c r="AG1024" t="str">
        <f>IF(EV_Data4[[#This Row],[customer_rating]]&gt;=4.5,"Excellent",IF(EV_Data4[[#This Row],[customer_rating]]&gt;=3.5,"Good","Average"))</f>
        <v>Average</v>
      </c>
      <c r="AH102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25" spans="1:34" x14ac:dyDescent="0.3">
      <c r="A1025" t="s">
        <v>59</v>
      </c>
      <c r="B1025" t="s">
        <v>60</v>
      </c>
      <c r="C1025">
        <v>2024</v>
      </c>
      <c r="D1025" t="s">
        <v>26</v>
      </c>
      <c r="E1025" s="3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27</v>
      </c>
      <c r="N1025">
        <v>7</v>
      </c>
      <c r="O1025" t="s">
        <v>58</v>
      </c>
      <c r="P1025">
        <v>34.4</v>
      </c>
      <c r="Q1025">
        <v>1691</v>
      </c>
      <c r="R1025">
        <v>4</v>
      </c>
      <c r="S1025">
        <v>1</v>
      </c>
      <c r="T1025" t="s">
        <v>41</v>
      </c>
      <c r="U1025" t="s">
        <v>33</v>
      </c>
      <c r="V1025" s="3">
        <v>24352</v>
      </c>
      <c r="W1025">
        <v>3.46</v>
      </c>
      <c r="X1025">
        <v>5</v>
      </c>
      <c r="Y1025" s="1">
        <f>EV_Data4[[#This Row],[range_miles]]/EV_Data4[[#This Row],[battery_capacity_kwh]]</f>
        <v>3.7803320561941254</v>
      </c>
      <c r="Z1025" s="4">
        <f>EV_Data4[[#This Row],[price_usd]]/EV_Data4[[#This Row],[range_miles]]</f>
        <v>262.11908783783781</v>
      </c>
      <c r="AA1025" s="2">
        <f>(EV_Data4[[#This Row],[customer_rating]]*EV_Data4[[#This Row],[safety_rating]]*1000)/EV_Data4[[#This Row],[price_usd]]</f>
        <v>0.17837982400458838</v>
      </c>
      <c r="AB1025">
        <f>EV_Data4[[#This Row],[horsepower]]+EV_Data4[[#This Row],[torque_nm]]/EV_Data4[[#This Row],[acceleration_0_60_mph]]</f>
        <v>750.62841530054641</v>
      </c>
      <c r="AC1025" t="str">
        <f>IF(EV_Data4[[#This Row],[price_usd]]&gt;=80000,"Luxury",IF(EV_Data4[[#This Row],[price_usd]]&gt;=40000,"Mid-Range","Budget"))</f>
        <v>Mid-Range</v>
      </c>
      <c r="AD1025" t="str">
        <f>IF(EV_Data4[[#This Row],[range_miles]]&gt;=350,"Long-Range",IF(EV_Data4[[#This Row],[range_miles]]&gt;=250,"Medium-Range","Short-Range"))</f>
        <v>Medium-Range</v>
      </c>
      <c r="AE1025" t="str">
        <f>IF(EV_Data4[[#This Row],[charging_speed_kw]]&gt;=250,"Ultra-Fast",IF(EV_Data4[[#This Row],[charging_speed_kw]]&gt;=150,"Fast-Charging","Standard-Charging"))</f>
        <v>Fast-Charging</v>
      </c>
      <c r="AF1025" t="str">
        <f>IF(EV_Data4[[#This Row],[acceleration_0_60_mph]]&lt;=3,"SportsPerformance",IF(EV_Data4[[#This Row],[acceleration_0_60_mph]]&lt;=5,"HighPerformance","Standard"))</f>
        <v>HighPerformance</v>
      </c>
      <c r="AG1025" t="str">
        <f>IF(EV_Data4[[#This Row],[customer_rating]]&gt;=4.5,"Excellent",IF(EV_Data4[[#This Row],[customer_rating]]&gt;=3.5,"Good","Average"))</f>
        <v>Average</v>
      </c>
      <c r="AH102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26" spans="1:34" x14ac:dyDescent="0.3">
      <c r="A1026" t="s">
        <v>31</v>
      </c>
      <c r="B1026" t="s">
        <v>112</v>
      </c>
      <c r="C1026">
        <v>2026</v>
      </c>
      <c r="D1026" t="s">
        <v>44</v>
      </c>
      <c r="E1026" s="3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48</v>
      </c>
      <c r="N1026">
        <v>5</v>
      </c>
      <c r="O1026" t="s">
        <v>50</v>
      </c>
      <c r="P1026">
        <v>36</v>
      </c>
      <c r="Q1026">
        <v>1734</v>
      </c>
      <c r="R1026">
        <v>5</v>
      </c>
      <c r="S1026">
        <v>0</v>
      </c>
      <c r="T1026" t="s">
        <v>36</v>
      </c>
      <c r="U1026" t="s">
        <v>33</v>
      </c>
      <c r="V1026" s="3">
        <v>3195</v>
      </c>
      <c r="W1026">
        <v>3.98</v>
      </c>
      <c r="X1026">
        <v>5</v>
      </c>
      <c r="Y1026" s="1">
        <f>EV_Data4[[#This Row],[range_miles]]/EV_Data4[[#This Row],[battery_capacity_kwh]]</f>
        <v>3.1939163498098857</v>
      </c>
      <c r="Z1026" s="4">
        <f>EV_Data4[[#This Row],[price_usd]]/EV_Data4[[#This Row],[range_miles]]</f>
        <v>265.59110119047619</v>
      </c>
      <c r="AA1026" s="2">
        <f>(EV_Data4[[#This Row],[customer_rating]]*EV_Data4[[#This Row],[safety_rating]]*1000)/EV_Data4[[#This Row],[price_usd]]</f>
        <v>0.22299764642232772</v>
      </c>
      <c r="AB1026">
        <f>EV_Data4[[#This Row],[horsepower]]+EV_Data4[[#This Row],[torque_nm]]/EV_Data4[[#This Row],[acceleration_0_60_mph]]</f>
        <v>1179.7546012269938</v>
      </c>
      <c r="AC1026" t="str">
        <f>IF(EV_Data4[[#This Row],[price_usd]]&gt;=80000,"Luxury",IF(EV_Data4[[#This Row],[price_usd]]&gt;=40000,"Mid-Range","Budget"))</f>
        <v>Luxury</v>
      </c>
      <c r="AD1026" t="str">
        <f>IF(EV_Data4[[#This Row],[range_miles]]&gt;=350,"Long-Range",IF(EV_Data4[[#This Row],[range_miles]]&gt;=250,"Medium-Range","Short-Range"))</f>
        <v>Medium-Range</v>
      </c>
      <c r="AE1026" t="str">
        <f>IF(EV_Data4[[#This Row],[charging_speed_kw]]&gt;=250,"Ultra-Fast",IF(EV_Data4[[#This Row],[charging_speed_kw]]&gt;=150,"Fast-Charging","Standard-Charging"))</f>
        <v>Standard-Charging</v>
      </c>
      <c r="AF1026" t="str">
        <f>IF(EV_Data4[[#This Row],[acceleration_0_60_mph]]&lt;=3,"SportsPerformance",IF(EV_Data4[[#This Row],[acceleration_0_60_mph]]&lt;=5,"HighPerformance","Standard"))</f>
        <v>HighPerformance</v>
      </c>
      <c r="AG1026" t="str">
        <f>IF(EV_Data4[[#This Row],[customer_rating]]&gt;=4.5,"Excellent",IF(EV_Data4[[#This Row],[customer_rating]]&gt;=3.5,"Good","Average"))</f>
        <v>Good</v>
      </c>
      <c r="AH102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27" spans="1:34" x14ac:dyDescent="0.3">
      <c r="A1027" t="s">
        <v>68</v>
      </c>
      <c r="B1027" t="s">
        <v>79</v>
      </c>
      <c r="C1027">
        <v>2023</v>
      </c>
      <c r="D1027" t="s">
        <v>61</v>
      </c>
      <c r="E1027" s="3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34</v>
      </c>
      <c r="N1027">
        <v>5</v>
      </c>
      <c r="O1027" t="s">
        <v>58</v>
      </c>
      <c r="P1027">
        <v>15.5</v>
      </c>
      <c r="Q1027">
        <v>1500</v>
      </c>
      <c r="R1027">
        <v>4</v>
      </c>
      <c r="S1027">
        <v>0</v>
      </c>
      <c r="T1027" t="s">
        <v>45</v>
      </c>
      <c r="U1027" t="s">
        <v>37</v>
      </c>
      <c r="V1027" s="3">
        <v>142003</v>
      </c>
      <c r="W1027">
        <v>3.16</v>
      </c>
      <c r="X1027">
        <v>4</v>
      </c>
      <c r="Y1027" s="1">
        <f>EV_Data4[[#This Row],[range_miles]]/EV_Data4[[#This Row],[battery_capacity_kwh]]</f>
        <v>3.5294117647058822</v>
      </c>
      <c r="Z1027" s="4">
        <f>EV_Data4[[#This Row],[price_usd]]/EV_Data4[[#This Row],[range_miles]]</f>
        <v>355.61593333333332</v>
      </c>
      <c r="AA1027" s="2">
        <f>(EV_Data4[[#This Row],[customer_rating]]*EV_Data4[[#This Row],[safety_rating]]*1000)/EV_Data4[[#This Row],[price_usd]]</f>
        <v>0.23695976127053925</v>
      </c>
      <c r="AB1027">
        <f>EV_Data4[[#This Row],[horsepower]]+EV_Data4[[#This Row],[torque_nm]]/EV_Data4[[#This Row],[acceleration_0_60_mph]]</f>
        <v>653.11278195488717</v>
      </c>
      <c r="AC1027" t="str">
        <f>IF(EV_Data4[[#This Row],[price_usd]]&gt;=80000,"Luxury",IF(EV_Data4[[#This Row],[price_usd]]&gt;=40000,"Mid-Range","Budget"))</f>
        <v>Mid-Range</v>
      </c>
      <c r="AD1027" t="str">
        <f>IF(EV_Data4[[#This Row],[range_miles]]&gt;=350,"Long-Range",IF(EV_Data4[[#This Row],[range_miles]]&gt;=250,"Medium-Range","Short-Range"))</f>
        <v>Short-Range</v>
      </c>
      <c r="AE1027" t="str">
        <f>IF(EV_Data4[[#This Row],[charging_speed_kw]]&gt;=250,"Ultra-Fast",IF(EV_Data4[[#This Row],[charging_speed_kw]]&gt;=150,"Fast-Charging","Standard-Charging"))</f>
        <v>Standard-Charging</v>
      </c>
      <c r="AF1027" t="str">
        <f>IF(EV_Data4[[#This Row],[acceleration_0_60_mph]]&lt;=3,"SportsPerformance",IF(EV_Data4[[#This Row],[acceleration_0_60_mph]]&lt;=5,"HighPerformance","Standard"))</f>
        <v>Standard</v>
      </c>
      <c r="AG1027" t="str">
        <f>IF(EV_Data4[[#This Row],[customer_rating]]&gt;=4.5,"Excellent",IF(EV_Data4[[#This Row],[customer_rating]]&gt;=3.5,"Good","Average"))</f>
        <v>Average</v>
      </c>
      <c r="AH102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28" spans="1:34" x14ac:dyDescent="0.3">
      <c r="A1028" t="s">
        <v>52</v>
      </c>
      <c r="B1028" t="s">
        <v>53</v>
      </c>
      <c r="C1028">
        <v>2026</v>
      </c>
      <c r="D1028" t="s">
        <v>33</v>
      </c>
      <c r="E1028" s="3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27</v>
      </c>
      <c r="N1028">
        <v>5</v>
      </c>
      <c r="O1028" t="s">
        <v>35</v>
      </c>
      <c r="P1028">
        <v>49</v>
      </c>
      <c r="Q1028">
        <v>1922</v>
      </c>
      <c r="R1028">
        <v>4</v>
      </c>
      <c r="S1028">
        <v>2</v>
      </c>
      <c r="T1028" t="s">
        <v>29</v>
      </c>
      <c r="U1028" t="s">
        <v>30</v>
      </c>
      <c r="V1028" s="3">
        <v>65854</v>
      </c>
      <c r="W1028">
        <v>3.7</v>
      </c>
      <c r="X1028">
        <v>6</v>
      </c>
      <c r="Y1028" s="1">
        <f>EV_Data4[[#This Row],[range_miles]]/EV_Data4[[#This Row],[battery_capacity_kwh]]</f>
        <v>3.2808398950131235</v>
      </c>
      <c r="Z1028" s="4">
        <f>EV_Data4[[#This Row],[price_usd]]/EV_Data4[[#This Row],[range_miles]]</f>
        <v>435.01128000000006</v>
      </c>
      <c r="AA1028" s="2">
        <f>(EV_Data4[[#This Row],[customer_rating]]*EV_Data4[[#This Row],[safety_rating]]*1000)/EV_Data4[[#This Row],[price_usd]]</f>
        <v>0.13608842510934427</v>
      </c>
      <c r="AB1028">
        <f>EV_Data4[[#This Row],[horsepower]]+EV_Data4[[#This Row],[torque_nm]]/EV_Data4[[#This Row],[acceleration_0_60_mph]]</f>
        <v>658.88622754491018</v>
      </c>
      <c r="AC1028" t="str">
        <f>IF(EV_Data4[[#This Row],[price_usd]]&gt;=80000,"Luxury",IF(EV_Data4[[#This Row],[price_usd]]&gt;=40000,"Mid-Range","Budget"))</f>
        <v>Luxury</v>
      </c>
      <c r="AD1028" t="str">
        <f>IF(EV_Data4[[#This Row],[range_miles]]&gt;=350,"Long-Range",IF(EV_Data4[[#This Row],[range_miles]]&gt;=250,"Medium-Range","Short-Range"))</f>
        <v>Medium-Range</v>
      </c>
      <c r="AE1028" t="str">
        <f>IF(EV_Data4[[#This Row],[charging_speed_kw]]&gt;=250,"Ultra-Fast",IF(EV_Data4[[#This Row],[charging_speed_kw]]&gt;=150,"Fast-Charging","Standard-Charging"))</f>
        <v>Standard-Charging</v>
      </c>
      <c r="AF1028" t="str">
        <f>IF(EV_Data4[[#This Row],[acceleration_0_60_mph]]&lt;=3,"SportsPerformance",IF(EV_Data4[[#This Row],[acceleration_0_60_mph]]&lt;=5,"HighPerformance","Standard"))</f>
        <v>Standard</v>
      </c>
      <c r="AG1028" t="str">
        <f>IF(EV_Data4[[#This Row],[customer_rating]]&gt;=4.5,"Excellent",IF(EV_Data4[[#This Row],[customer_rating]]&gt;=3.5,"Good","Average"))</f>
        <v>Good</v>
      </c>
      <c r="AH102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29" spans="1:34" x14ac:dyDescent="0.3">
      <c r="A1029" t="s">
        <v>52</v>
      </c>
      <c r="B1029" t="s">
        <v>103</v>
      </c>
      <c r="C1029">
        <v>2022</v>
      </c>
      <c r="D1029" t="s">
        <v>56</v>
      </c>
      <c r="E1029" s="3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27</v>
      </c>
      <c r="N1029">
        <v>7</v>
      </c>
      <c r="O1029" t="s">
        <v>28</v>
      </c>
      <c r="P1029">
        <v>78.900000000000006</v>
      </c>
      <c r="Q1029">
        <v>2664</v>
      </c>
      <c r="R1029">
        <v>5</v>
      </c>
      <c r="S1029">
        <v>2</v>
      </c>
      <c r="T1029" t="s">
        <v>29</v>
      </c>
      <c r="U1029" t="s">
        <v>33</v>
      </c>
      <c r="V1029" s="3">
        <v>59270</v>
      </c>
      <c r="W1029">
        <v>3.75</v>
      </c>
      <c r="X1029">
        <v>5</v>
      </c>
      <c r="Y1029" s="1">
        <f>EV_Data4[[#This Row],[range_miles]]/EV_Data4[[#This Row],[battery_capacity_kwh]]</f>
        <v>3.5350756533700136</v>
      </c>
      <c r="Z1029" s="4">
        <f>EV_Data4[[#This Row],[price_usd]]/EV_Data4[[#This Row],[range_miles]]</f>
        <v>367.98007782101172</v>
      </c>
      <c r="AA1029" s="2">
        <f>(EV_Data4[[#This Row],[customer_rating]]*EV_Data4[[#This Row],[safety_rating]]*1000)/EV_Data4[[#This Row],[price_usd]]</f>
        <v>0.19826398993009264</v>
      </c>
      <c r="AB1029">
        <f>EV_Data4[[#This Row],[horsepower]]+EV_Data4[[#This Row],[torque_nm]]/EV_Data4[[#This Row],[acceleration_0_60_mph]]</f>
        <v>478.84982935153585</v>
      </c>
      <c r="AC1029" t="str">
        <f>IF(EV_Data4[[#This Row],[price_usd]]&gt;=80000,"Luxury",IF(EV_Data4[[#This Row],[price_usd]]&gt;=40000,"Mid-Range","Budget"))</f>
        <v>Luxury</v>
      </c>
      <c r="AD1029" t="str">
        <f>IF(EV_Data4[[#This Row],[range_miles]]&gt;=350,"Long-Range",IF(EV_Data4[[#This Row],[range_miles]]&gt;=250,"Medium-Range","Short-Range"))</f>
        <v>Medium-Range</v>
      </c>
      <c r="AE1029" t="str">
        <f>IF(EV_Data4[[#This Row],[charging_speed_kw]]&gt;=250,"Ultra-Fast",IF(EV_Data4[[#This Row],[charging_speed_kw]]&gt;=150,"Fast-Charging","Standard-Charging"))</f>
        <v>Standard-Charging</v>
      </c>
      <c r="AF1029" t="str">
        <f>IF(EV_Data4[[#This Row],[acceleration_0_60_mph]]&lt;=3,"SportsPerformance",IF(EV_Data4[[#This Row],[acceleration_0_60_mph]]&lt;=5,"HighPerformance","Standard"))</f>
        <v>Standard</v>
      </c>
      <c r="AG1029" t="str">
        <f>IF(EV_Data4[[#This Row],[customer_rating]]&gt;=4.5,"Excellent",IF(EV_Data4[[#This Row],[customer_rating]]&gt;=3.5,"Good","Average"))</f>
        <v>Good</v>
      </c>
      <c r="AH102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30" spans="1:34" x14ac:dyDescent="0.3">
      <c r="A1030" t="s">
        <v>63</v>
      </c>
      <c r="B1030" t="s">
        <v>96</v>
      </c>
      <c r="C1030">
        <v>2025</v>
      </c>
      <c r="D1030" t="s">
        <v>56</v>
      </c>
      <c r="E1030" s="3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27</v>
      </c>
      <c r="N1030">
        <v>5</v>
      </c>
      <c r="O1030" t="s">
        <v>51</v>
      </c>
      <c r="P1030">
        <v>19.8</v>
      </c>
      <c r="Q1030">
        <v>1539</v>
      </c>
      <c r="R1030">
        <v>4</v>
      </c>
      <c r="S1030">
        <v>2</v>
      </c>
      <c r="T1030" t="s">
        <v>65</v>
      </c>
      <c r="U1030" t="s">
        <v>37</v>
      </c>
      <c r="V1030" s="3">
        <v>186712</v>
      </c>
      <c r="W1030">
        <v>3.38</v>
      </c>
      <c r="X1030">
        <v>5</v>
      </c>
      <c r="Y1030" s="1">
        <f>EV_Data4[[#This Row],[range_miles]]/EV_Data4[[#This Row],[battery_capacity_kwh]]</f>
        <v>4.0255009107468123</v>
      </c>
      <c r="Z1030" s="4">
        <f>EV_Data4[[#This Row],[price_usd]]/EV_Data4[[#This Row],[range_miles]]</f>
        <v>235.80882352941177</v>
      </c>
      <c r="AA1030" s="2">
        <f>(EV_Data4[[#This Row],[customer_rating]]*EV_Data4[[#This Row],[safety_rating]]*1000)/EV_Data4[[#This Row],[price_usd]]</f>
        <v>0.25943249142500779</v>
      </c>
      <c r="AB1030">
        <f>EV_Data4[[#This Row],[horsepower]]+EV_Data4[[#This Row],[torque_nm]]/EV_Data4[[#This Row],[acceleration_0_60_mph]]</f>
        <v>637.59183673469386</v>
      </c>
      <c r="AC1030" t="str">
        <f>IF(EV_Data4[[#This Row],[price_usd]]&gt;=80000,"Luxury",IF(EV_Data4[[#This Row],[price_usd]]&gt;=40000,"Mid-Range","Budget"))</f>
        <v>Mid-Range</v>
      </c>
      <c r="AD1030" t="str">
        <f>IF(EV_Data4[[#This Row],[range_miles]]&gt;=350,"Long-Range",IF(EV_Data4[[#This Row],[range_miles]]&gt;=250,"Medium-Range","Short-Range"))</f>
        <v>Short-Range</v>
      </c>
      <c r="AE1030" t="str">
        <f>IF(EV_Data4[[#This Row],[charging_speed_kw]]&gt;=250,"Ultra-Fast",IF(EV_Data4[[#This Row],[charging_speed_kw]]&gt;=150,"Fast-Charging","Standard-Charging"))</f>
        <v>Standard-Charging</v>
      </c>
      <c r="AF1030" t="str">
        <f>IF(EV_Data4[[#This Row],[acceleration_0_60_mph]]&lt;=3,"SportsPerformance",IF(EV_Data4[[#This Row],[acceleration_0_60_mph]]&lt;=5,"HighPerformance","Standard"))</f>
        <v>Standard</v>
      </c>
      <c r="AG1030" t="str">
        <f>IF(EV_Data4[[#This Row],[customer_rating]]&gt;=4.5,"Excellent",IF(EV_Data4[[#This Row],[customer_rating]]&gt;=3.5,"Good","Average"))</f>
        <v>Average</v>
      </c>
      <c r="AH103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31" spans="1:34" x14ac:dyDescent="0.3">
      <c r="A1031" t="s">
        <v>52</v>
      </c>
      <c r="B1031" t="s">
        <v>97</v>
      </c>
      <c r="C1031">
        <v>2025</v>
      </c>
      <c r="D1031" t="s">
        <v>33</v>
      </c>
      <c r="E1031" s="3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27</v>
      </c>
      <c r="N1031">
        <v>5</v>
      </c>
      <c r="O1031" t="s">
        <v>40</v>
      </c>
      <c r="P1031">
        <v>71.3</v>
      </c>
      <c r="Q1031">
        <v>1793</v>
      </c>
      <c r="R1031">
        <v>5</v>
      </c>
      <c r="S1031">
        <v>1</v>
      </c>
      <c r="T1031" t="s">
        <v>29</v>
      </c>
      <c r="U1031" t="s">
        <v>33</v>
      </c>
      <c r="V1031" s="3">
        <v>58124</v>
      </c>
      <c r="W1031">
        <v>3.6</v>
      </c>
      <c r="X1031">
        <v>6</v>
      </c>
      <c r="Y1031" s="1">
        <f>EV_Data4[[#This Row],[range_miles]]/EV_Data4[[#This Row],[battery_capacity_kwh]]</f>
        <v>3.3634992458521871</v>
      </c>
      <c r="Z1031" s="4">
        <f>EV_Data4[[#This Row],[price_usd]]/EV_Data4[[#This Row],[range_miles]]</f>
        <v>408.55695067264571</v>
      </c>
      <c r="AA1031" s="2">
        <f>(EV_Data4[[#This Row],[customer_rating]]*EV_Data4[[#This Row],[safety_rating]]*1000)/EV_Data4[[#This Row],[price_usd]]</f>
        <v>0.19756728812554744</v>
      </c>
      <c r="AB1031">
        <f>EV_Data4[[#This Row],[horsepower]]+EV_Data4[[#This Row],[torque_nm]]/EV_Data4[[#This Row],[acceleration_0_60_mph]]</f>
        <v>502.12820512820514</v>
      </c>
      <c r="AC1031" t="str">
        <f>IF(EV_Data4[[#This Row],[price_usd]]&gt;=80000,"Luxury",IF(EV_Data4[[#This Row],[price_usd]]&gt;=40000,"Mid-Range","Budget"))</f>
        <v>Luxury</v>
      </c>
      <c r="AD1031" t="str">
        <f>IF(EV_Data4[[#This Row],[range_miles]]&gt;=350,"Long-Range",IF(EV_Data4[[#This Row],[range_miles]]&gt;=250,"Medium-Range","Short-Range"))</f>
        <v>Short-Range</v>
      </c>
      <c r="AE1031" t="str">
        <f>IF(EV_Data4[[#This Row],[charging_speed_kw]]&gt;=250,"Ultra-Fast",IF(EV_Data4[[#This Row],[charging_speed_kw]]&gt;=150,"Fast-Charging","Standard-Charging"))</f>
        <v>Standard-Charging</v>
      </c>
      <c r="AF1031" t="str">
        <f>IF(EV_Data4[[#This Row],[acceleration_0_60_mph]]&lt;=3,"SportsPerformance",IF(EV_Data4[[#This Row],[acceleration_0_60_mph]]&lt;=5,"HighPerformance","Standard"))</f>
        <v>Standard</v>
      </c>
      <c r="AG1031" t="str">
        <f>IF(EV_Data4[[#This Row],[customer_rating]]&gt;=4.5,"Excellent",IF(EV_Data4[[#This Row],[customer_rating]]&gt;=3.5,"Good","Average"))</f>
        <v>Good</v>
      </c>
      <c r="AH103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32" spans="1:34" x14ac:dyDescent="0.3">
      <c r="A1032" t="s">
        <v>46</v>
      </c>
      <c r="B1032" t="s">
        <v>72</v>
      </c>
      <c r="C1032">
        <v>2024</v>
      </c>
      <c r="D1032" t="s">
        <v>33</v>
      </c>
      <c r="E1032" s="3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48</v>
      </c>
      <c r="N1032">
        <v>7</v>
      </c>
      <c r="O1032" t="s">
        <v>28</v>
      </c>
      <c r="P1032">
        <v>57.9</v>
      </c>
      <c r="Q1032">
        <v>2606</v>
      </c>
      <c r="R1032">
        <v>5</v>
      </c>
      <c r="S1032">
        <v>3</v>
      </c>
      <c r="T1032" t="s">
        <v>41</v>
      </c>
      <c r="U1032" t="s">
        <v>37</v>
      </c>
      <c r="V1032" s="3">
        <v>179970</v>
      </c>
      <c r="W1032">
        <v>3.63</v>
      </c>
      <c r="X1032">
        <v>5</v>
      </c>
      <c r="Y1032" s="1">
        <f>EV_Data4[[#This Row],[range_miles]]/EV_Data4[[#This Row],[battery_capacity_kwh]]</f>
        <v>3.1914893617021276</v>
      </c>
      <c r="Z1032" s="4">
        <f>EV_Data4[[#This Row],[price_usd]]/EV_Data4[[#This Row],[range_miles]]</f>
        <v>331.589</v>
      </c>
      <c r="AA1032" s="2">
        <f>(EV_Data4[[#This Row],[customer_rating]]*EV_Data4[[#This Row],[safety_rating]]*1000)/EV_Data4[[#This Row],[price_usd]]</f>
        <v>0.36490957178917277</v>
      </c>
      <c r="AB1032">
        <f>EV_Data4[[#This Row],[horsepower]]+EV_Data4[[#This Row],[torque_nm]]/EV_Data4[[#This Row],[acceleration_0_60_mph]]</f>
        <v>427.91452991452991</v>
      </c>
      <c r="AC1032" t="str">
        <f>IF(EV_Data4[[#This Row],[price_usd]]&gt;=80000,"Luxury",IF(EV_Data4[[#This Row],[price_usd]]&gt;=40000,"Mid-Range","Budget"))</f>
        <v>Mid-Range</v>
      </c>
      <c r="AD1032" t="str">
        <f>IF(EV_Data4[[#This Row],[range_miles]]&gt;=350,"Long-Range",IF(EV_Data4[[#This Row],[range_miles]]&gt;=250,"Medium-Range","Short-Range"))</f>
        <v>Short-Range</v>
      </c>
      <c r="AE1032" t="str">
        <f>IF(EV_Data4[[#This Row],[charging_speed_kw]]&gt;=250,"Ultra-Fast",IF(EV_Data4[[#This Row],[charging_speed_kw]]&gt;=150,"Fast-Charging","Standard-Charging"))</f>
        <v>Ultra-Fast</v>
      </c>
      <c r="AF1032" t="str">
        <f>IF(EV_Data4[[#This Row],[acceleration_0_60_mph]]&lt;=3,"SportsPerformance",IF(EV_Data4[[#This Row],[acceleration_0_60_mph]]&lt;=5,"HighPerformance","Standard"))</f>
        <v>Standard</v>
      </c>
      <c r="AG1032" t="str">
        <f>IF(EV_Data4[[#This Row],[customer_rating]]&gt;=4.5,"Excellent",IF(EV_Data4[[#This Row],[customer_rating]]&gt;=3.5,"Good","Average"))</f>
        <v>Good</v>
      </c>
      <c r="AH1032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033" spans="1:34" x14ac:dyDescent="0.3">
      <c r="A1033" t="s">
        <v>42</v>
      </c>
      <c r="B1033" t="s">
        <v>80</v>
      </c>
      <c r="C1033">
        <v>2023</v>
      </c>
      <c r="D1033" t="s">
        <v>61</v>
      </c>
      <c r="E1033" s="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27</v>
      </c>
      <c r="N1033">
        <v>7</v>
      </c>
      <c r="O1033" t="s">
        <v>35</v>
      </c>
      <c r="P1033">
        <v>37.1</v>
      </c>
      <c r="Q1033">
        <v>2106</v>
      </c>
      <c r="R1033">
        <v>4</v>
      </c>
      <c r="S1033">
        <v>2</v>
      </c>
      <c r="T1033" t="s">
        <v>45</v>
      </c>
      <c r="U1033" t="s">
        <v>66</v>
      </c>
      <c r="V1033" s="3">
        <v>137108</v>
      </c>
      <c r="W1033">
        <v>3.43</v>
      </c>
      <c r="X1033">
        <v>4</v>
      </c>
      <c r="Y1033" s="1">
        <f>EV_Data4[[#This Row],[range_miles]]/EV_Data4[[#This Row],[battery_capacity_kwh]]</f>
        <v>3.7905236907730671</v>
      </c>
      <c r="Z1033" s="4">
        <f>EV_Data4[[#This Row],[price_usd]]/EV_Data4[[#This Row],[range_miles]]</f>
        <v>220.4670394736842</v>
      </c>
      <c r="AA1033" s="2">
        <f>(EV_Data4[[#This Row],[customer_rating]]*EV_Data4[[#This Row],[safety_rating]]*1000)/EV_Data4[[#This Row],[price_usd]]</f>
        <v>0.40941792528361592</v>
      </c>
      <c r="AB1033">
        <f>EV_Data4[[#This Row],[horsepower]]+EV_Data4[[#This Row],[torque_nm]]/EV_Data4[[#This Row],[acceleration_0_60_mph]]</f>
        <v>271.14084507042253</v>
      </c>
      <c r="AC1033" t="str">
        <f>IF(EV_Data4[[#This Row],[price_usd]]&gt;=80000,"Luxury",IF(EV_Data4[[#This Row],[price_usd]]&gt;=40000,"Mid-Range","Budget"))</f>
        <v>Budget</v>
      </c>
      <c r="AD1033" t="str">
        <f>IF(EV_Data4[[#This Row],[range_miles]]&gt;=350,"Long-Range",IF(EV_Data4[[#This Row],[range_miles]]&gt;=250,"Medium-Range","Short-Range"))</f>
        <v>Short-Range</v>
      </c>
      <c r="AE1033" t="str">
        <f>IF(EV_Data4[[#This Row],[charging_speed_kw]]&gt;=250,"Ultra-Fast",IF(EV_Data4[[#This Row],[charging_speed_kw]]&gt;=150,"Fast-Charging","Standard-Charging"))</f>
        <v>Standard-Charging</v>
      </c>
      <c r="AF1033" t="str">
        <f>IF(EV_Data4[[#This Row],[acceleration_0_60_mph]]&lt;=3,"SportsPerformance",IF(EV_Data4[[#This Row],[acceleration_0_60_mph]]&lt;=5,"HighPerformance","Standard"))</f>
        <v>Standard</v>
      </c>
      <c r="AG1033" t="str">
        <f>IF(EV_Data4[[#This Row],[customer_rating]]&gt;=4.5,"Excellent",IF(EV_Data4[[#This Row],[customer_rating]]&gt;=3.5,"Good","Average"))</f>
        <v>Average</v>
      </c>
      <c r="AH103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34" spans="1:34" x14ac:dyDescent="0.3">
      <c r="A1034" t="s">
        <v>63</v>
      </c>
      <c r="B1034" t="s">
        <v>64</v>
      </c>
      <c r="C1034">
        <v>2023</v>
      </c>
      <c r="D1034" t="s">
        <v>61</v>
      </c>
      <c r="E1034" s="3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27</v>
      </c>
      <c r="N1034">
        <v>7</v>
      </c>
      <c r="O1034" t="s">
        <v>28</v>
      </c>
      <c r="P1034">
        <v>67.7</v>
      </c>
      <c r="Q1034">
        <v>2278</v>
      </c>
      <c r="R1034">
        <v>5</v>
      </c>
      <c r="S1034">
        <v>0</v>
      </c>
      <c r="T1034" t="s">
        <v>65</v>
      </c>
      <c r="U1034" t="s">
        <v>33</v>
      </c>
      <c r="V1034" s="3">
        <v>236926</v>
      </c>
      <c r="W1034">
        <v>3.41</v>
      </c>
      <c r="X1034">
        <v>3</v>
      </c>
      <c r="Y1034" s="1">
        <f>EV_Data4[[#This Row],[range_miles]]/EV_Data4[[#This Row],[battery_capacity_kwh]]</f>
        <v>3.6099585062240664</v>
      </c>
      <c r="Z1034" s="4">
        <f>EV_Data4[[#This Row],[price_usd]]/EV_Data4[[#This Row],[range_miles]]</f>
        <v>322.37540229885053</v>
      </c>
      <c r="AA1034" s="2">
        <f>(EV_Data4[[#This Row],[customer_rating]]*EV_Data4[[#This Row],[safety_rating]]*1000)/EV_Data4[[#This Row],[price_usd]]</f>
        <v>0.20263850787699261</v>
      </c>
      <c r="AB1034">
        <f>EV_Data4[[#This Row],[horsepower]]+EV_Data4[[#This Row],[torque_nm]]/EV_Data4[[#This Row],[acceleration_0_60_mph]]</f>
        <v>1080.1314741035856</v>
      </c>
      <c r="AC1034" t="str">
        <f>IF(EV_Data4[[#This Row],[price_usd]]&gt;=80000,"Luxury",IF(EV_Data4[[#This Row],[price_usd]]&gt;=40000,"Mid-Range","Budget"))</f>
        <v>Luxury</v>
      </c>
      <c r="AD1034" t="str">
        <f>IF(EV_Data4[[#This Row],[range_miles]]&gt;=350,"Long-Range",IF(EV_Data4[[#This Row],[range_miles]]&gt;=250,"Medium-Range","Short-Range"))</f>
        <v>Medium-Range</v>
      </c>
      <c r="AE1034" t="str">
        <f>IF(EV_Data4[[#This Row],[charging_speed_kw]]&gt;=250,"Ultra-Fast",IF(EV_Data4[[#This Row],[charging_speed_kw]]&gt;=150,"Fast-Charging","Standard-Charging"))</f>
        <v>Standard-Charging</v>
      </c>
      <c r="AF1034" t="str">
        <f>IF(EV_Data4[[#This Row],[acceleration_0_60_mph]]&lt;=3,"SportsPerformance",IF(EV_Data4[[#This Row],[acceleration_0_60_mph]]&lt;=5,"HighPerformance","Standard"))</f>
        <v>Standard</v>
      </c>
      <c r="AG1034" t="str">
        <f>IF(EV_Data4[[#This Row],[customer_rating]]&gt;=4.5,"Excellent",IF(EV_Data4[[#This Row],[customer_rating]]&gt;=3.5,"Good","Average"))</f>
        <v>Average</v>
      </c>
      <c r="AH103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35" spans="1:34" x14ac:dyDescent="0.3">
      <c r="A1035" t="s">
        <v>46</v>
      </c>
      <c r="B1035" t="s">
        <v>47</v>
      </c>
      <c r="C1035">
        <v>2025</v>
      </c>
      <c r="D1035" t="s">
        <v>33</v>
      </c>
      <c r="E1035" s="3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48</v>
      </c>
      <c r="N1035">
        <v>7</v>
      </c>
      <c r="O1035" t="s">
        <v>35</v>
      </c>
      <c r="P1035">
        <v>40.200000000000003</v>
      </c>
      <c r="Q1035">
        <v>2111</v>
      </c>
      <c r="R1035">
        <v>5</v>
      </c>
      <c r="S1035">
        <v>2</v>
      </c>
      <c r="T1035" t="s">
        <v>41</v>
      </c>
      <c r="U1035" t="s">
        <v>30</v>
      </c>
      <c r="V1035" s="3">
        <v>132643</v>
      </c>
      <c r="W1035">
        <v>3.73</v>
      </c>
      <c r="X1035">
        <v>5</v>
      </c>
      <c r="Y1035" s="1">
        <f>EV_Data4[[#This Row],[range_miles]]/EV_Data4[[#This Row],[battery_capacity_kwh]]</f>
        <v>3.2727272727272729</v>
      </c>
      <c r="Z1035" s="4">
        <f>EV_Data4[[#This Row],[price_usd]]/EV_Data4[[#This Row],[range_miles]]</f>
        <v>638.50287037037037</v>
      </c>
      <c r="AA1035" s="2">
        <f>(EV_Data4[[#This Row],[customer_rating]]*EV_Data4[[#This Row],[safety_rating]]*1000)/EV_Data4[[#This Row],[price_usd]]</f>
        <v>0.13522663185916245</v>
      </c>
      <c r="AB1035">
        <f>EV_Data4[[#This Row],[horsepower]]+EV_Data4[[#This Row],[torque_nm]]/EV_Data4[[#This Row],[acceleration_0_60_mph]]</f>
        <v>1141.5625</v>
      </c>
      <c r="AC1035" t="str">
        <f>IF(EV_Data4[[#This Row],[price_usd]]&gt;=80000,"Luxury",IF(EV_Data4[[#This Row],[price_usd]]&gt;=40000,"Mid-Range","Budget"))</f>
        <v>Luxury</v>
      </c>
      <c r="AD1035" t="str">
        <f>IF(EV_Data4[[#This Row],[range_miles]]&gt;=350,"Long-Range",IF(EV_Data4[[#This Row],[range_miles]]&gt;=250,"Medium-Range","Short-Range"))</f>
        <v>Short-Range</v>
      </c>
      <c r="AE1035" t="str">
        <f>IF(EV_Data4[[#This Row],[charging_speed_kw]]&gt;=250,"Ultra-Fast",IF(EV_Data4[[#This Row],[charging_speed_kw]]&gt;=150,"Fast-Charging","Standard-Charging"))</f>
        <v>Ultra-Fast</v>
      </c>
      <c r="AF1035" t="str">
        <f>IF(EV_Data4[[#This Row],[acceleration_0_60_mph]]&lt;=3,"SportsPerformance",IF(EV_Data4[[#This Row],[acceleration_0_60_mph]]&lt;=5,"HighPerformance","Standard"))</f>
        <v>Standard</v>
      </c>
      <c r="AG1035" t="str">
        <f>IF(EV_Data4[[#This Row],[customer_rating]]&gt;=4.5,"Excellent",IF(EV_Data4[[#This Row],[customer_rating]]&gt;=3.5,"Good","Average"))</f>
        <v>Good</v>
      </c>
      <c r="AH103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36" spans="1:34" x14ac:dyDescent="0.3">
      <c r="A1036" t="s">
        <v>46</v>
      </c>
      <c r="B1036" t="s">
        <v>47</v>
      </c>
      <c r="C1036">
        <v>2024</v>
      </c>
      <c r="D1036" t="s">
        <v>44</v>
      </c>
      <c r="E1036" s="3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27</v>
      </c>
      <c r="N1036">
        <v>7</v>
      </c>
      <c r="O1036" t="s">
        <v>40</v>
      </c>
      <c r="P1036">
        <v>74.3</v>
      </c>
      <c r="Q1036">
        <v>1690</v>
      </c>
      <c r="R1036">
        <v>3</v>
      </c>
      <c r="S1036">
        <v>2</v>
      </c>
      <c r="T1036" t="s">
        <v>41</v>
      </c>
      <c r="U1036" t="s">
        <v>30</v>
      </c>
      <c r="V1036" s="3">
        <v>108335</v>
      </c>
      <c r="W1036">
        <v>3.96</v>
      </c>
      <c r="X1036">
        <v>4</v>
      </c>
      <c r="Y1036" s="1">
        <f>EV_Data4[[#This Row],[range_miles]]/EV_Data4[[#This Row],[battery_capacity_kwh]]</f>
        <v>3.4883720930232558</v>
      </c>
      <c r="Z1036" s="4">
        <f>EV_Data4[[#This Row],[price_usd]]/EV_Data4[[#This Row],[range_miles]]</f>
        <v>412.87758333333329</v>
      </c>
      <c r="AA1036" s="2">
        <f>(EV_Data4[[#This Row],[customer_rating]]*EV_Data4[[#This Row],[safety_rating]]*1000)/EV_Data4[[#This Row],[price_usd]]</f>
        <v>7.9926838685639462E-2</v>
      </c>
      <c r="AB1036">
        <f>EV_Data4[[#This Row],[horsepower]]+EV_Data4[[#This Row],[torque_nm]]/EV_Data4[[#This Row],[acceleration_0_60_mph]]</f>
        <v>1162.210338680927</v>
      </c>
      <c r="AC1036" t="str">
        <f>IF(EV_Data4[[#This Row],[price_usd]]&gt;=80000,"Luxury",IF(EV_Data4[[#This Row],[price_usd]]&gt;=40000,"Mid-Range","Budget"))</f>
        <v>Luxury</v>
      </c>
      <c r="AD1036" t="str">
        <f>IF(EV_Data4[[#This Row],[range_miles]]&gt;=350,"Long-Range",IF(EV_Data4[[#This Row],[range_miles]]&gt;=250,"Medium-Range","Short-Range"))</f>
        <v>Long-Range</v>
      </c>
      <c r="AE1036" t="str">
        <f>IF(EV_Data4[[#This Row],[charging_speed_kw]]&gt;=250,"Ultra-Fast",IF(EV_Data4[[#This Row],[charging_speed_kw]]&gt;=150,"Fast-Charging","Standard-Charging"))</f>
        <v>Ultra-Fast</v>
      </c>
      <c r="AF1036" t="str">
        <f>IF(EV_Data4[[#This Row],[acceleration_0_60_mph]]&lt;=3,"SportsPerformance",IF(EV_Data4[[#This Row],[acceleration_0_60_mph]]&lt;=5,"HighPerformance","Standard"))</f>
        <v>Standard</v>
      </c>
      <c r="AG1036" t="str">
        <f>IF(EV_Data4[[#This Row],[customer_rating]]&gt;=4.5,"Excellent",IF(EV_Data4[[#This Row],[customer_rating]]&gt;=3.5,"Good","Average"))</f>
        <v>Good</v>
      </c>
      <c r="AH103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37" spans="1:34" x14ac:dyDescent="0.3">
      <c r="A1037" t="s">
        <v>38</v>
      </c>
      <c r="B1037" t="s">
        <v>101</v>
      </c>
      <c r="C1037">
        <v>2025</v>
      </c>
      <c r="D1037" t="s">
        <v>26</v>
      </c>
      <c r="E1037" s="3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27</v>
      </c>
      <c r="N1037">
        <v>7</v>
      </c>
      <c r="O1037" t="s">
        <v>28</v>
      </c>
      <c r="P1037">
        <v>75.2</v>
      </c>
      <c r="Q1037">
        <v>2393</v>
      </c>
      <c r="R1037">
        <v>4</v>
      </c>
      <c r="S1037">
        <v>1</v>
      </c>
      <c r="T1037" t="s">
        <v>41</v>
      </c>
      <c r="U1037" t="s">
        <v>37</v>
      </c>
      <c r="V1037" s="3">
        <v>27154</v>
      </c>
      <c r="W1037">
        <v>3.92</v>
      </c>
      <c r="X1037">
        <v>5</v>
      </c>
      <c r="Y1037" s="1">
        <f>EV_Data4[[#This Row],[range_miles]]/EV_Data4[[#This Row],[battery_capacity_kwh]]</f>
        <v>3.4814814814814814</v>
      </c>
      <c r="Z1037" s="4">
        <f>EV_Data4[[#This Row],[price_usd]]/EV_Data4[[#This Row],[range_miles]]</f>
        <v>165.77375000000001</v>
      </c>
      <c r="AA1037" s="2">
        <f>(EV_Data4[[#This Row],[customer_rating]]*EV_Data4[[#This Row],[safety_rating]]*1000)/EV_Data4[[#This Row],[price_usd]]</f>
        <v>0.25156050134339403</v>
      </c>
      <c r="AB1037">
        <f>EV_Data4[[#This Row],[horsepower]]+EV_Data4[[#This Row],[torque_nm]]/EV_Data4[[#This Row],[acceleration_0_60_mph]]</f>
        <v>1044.3194444444443</v>
      </c>
      <c r="AC1037" t="str">
        <f>IF(EV_Data4[[#This Row],[price_usd]]&gt;=80000,"Luxury",IF(EV_Data4[[#This Row],[price_usd]]&gt;=40000,"Mid-Range","Budget"))</f>
        <v>Mid-Range</v>
      </c>
      <c r="AD1037" t="str">
        <f>IF(EV_Data4[[#This Row],[range_miles]]&gt;=350,"Long-Range",IF(EV_Data4[[#This Row],[range_miles]]&gt;=250,"Medium-Range","Short-Range"))</f>
        <v>Long-Range</v>
      </c>
      <c r="AE1037" t="str">
        <f>IF(EV_Data4[[#This Row],[charging_speed_kw]]&gt;=250,"Ultra-Fast",IF(EV_Data4[[#This Row],[charging_speed_kw]]&gt;=150,"Fast-Charging","Standard-Charging"))</f>
        <v>Fast-Charging</v>
      </c>
      <c r="AF1037" t="str">
        <f>IF(EV_Data4[[#This Row],[acceleration_0_60_mph]]&lt;=3,"SportsPerformance",IF(EV_Data4[[#This Row],[acceleration_0_60_mph]]&lt;=5,"HighPerformance","Standard"))</f>
        <v>SportsPerformance</v>
      </c>
      <c r="AG1037" t="str">
        <f>IF(EV_Data4[[#This Row],[customer_rating]]&gt;=4.5,"Excellent",IF(EV_Data4[[#This Row],[customer_rating]]&gt;=3.5,"Good","Average"))</f>
        <v>Good</v>
      </c>
      <c r="AH103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38" spans="1:34" x14ac:dyDescent="0.3">
      <c r="A1038" t="s">
        <v>63</v>
      </c>
      <c r="B1038" t="s">
        <v>107</v>
      </c>
      <c r="C1038">
        <v>2025</v>
      </c>
      <c r="D1038" t="s">
        <v>61</v>
      </c>
      <c r="E1038" s="3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27</v>
      </c>
      <c r="N1038">
        <v>7</v>
      </c>
      <c r="O1038" t="s">
        <v>50</v>
      </c>
      <c r="P1038">
        <v>15.2</v>
      </c>
      <c r="Q1038">
        <v>1780</v>
      </c>
      <c r="R1038">
        <v>5</v>
      </c>
      <c r="S1038">
        <v>0</v>
      </c>
      <c r="T1038" t="s">
        <v>65</v>
      </c>
      <c r="U1038" t="s">
        <v>66</v>
      </c>
      <c r="V1038" s="3">
        <v>179440</v>
      </c>
      <c r="W1038">
        <v>3.4</v>
      </c>
      <c r="X1038">
        <v>4</v>
      </c>
      <c r="Y1038" s="1">
        <f>EV_Data4[[#This Row],[range_miles]]/EV_Data4[[#This Row],[battery_capacity_kwh]]</f>
        <v>3.8202247191011236</v>
      </c>
      <c r="Z1038" s="4">
        <f>EV_Data4[[#This Row],[price_usd]]/EV_Data4[[#This Row],[range_miles]]</f>
        <v>171.22488235294117</v>
      </c>
      <c r="AA1038" s="2">
        <f>(EV_Data4[[#This Row],[customer_rating]]*EV_Data4[[#This Row],[safety_rating]]*1000)/EV_Data4[[#This Row],[price_usd]]</f>
        <v>0.58402726651534631</v>
      </c>
      <c r="AB1038">
        <f>EV_Data4[[#This Row],[horsepower]]+EV_Data4[[#This Row],[torque_nm]]/EV_Data4[[#This Row],[acceleration_0_60_mph]]</f>
        <v>359.87591240875912</v>
      </c>
      <c r="AC1038" t="str">
        <f>IF(EV_Data4[[#This Row],[price_usd]]&gt;=80000,"Luxury",IF(EV_Data4[[#This Row],[price_usd]]&gt;=40000,"Mid-Range","Budget"))</f>
        <v>Budget</v>
      </c>
      <c r="AD1038" t="str">
        <f>IF(EV_Data4[[#This Row],[range_miles]]&gt;=350,"Long-Range",IF(EV_Data4[[#This Row],[range_miles]]&gt;=250,"Medium-Range","Short-Range"))</f>
        <v>Short-Range</v>
      </c>
      <c r="AE1038" t="str">
        <f>IF(EV_Data4[[#This Row],[charging_speed_kw]]&gt;=250,"Ultra-Fast",IF(EV_Data4[[#This Row],[charging_speed_kw]]&gt;=150,"Fast-Charging","Standard-Charging"))</f>
        <v>Standard-Charging</v>
      </c>
      <c r="AF1038" t="str">
        <f>IF(EV_Data4[[#This Row],[acceleration_0_60_mph]]&lt;=3,"SportsPerformance",IF(EV_Data4[[#This Row],[acceleration_0_60_mph]]&lt;=5,"HighPerformance","Standard"))</f>
        <v>Standard</v>
      </c>
      <c r="AG1038" t="str">
        <f>IF(EV_Data4[[#This Row],[customer_rating]]&gt;=4.5,"Excellent",IF(EV_Data4[[#This Row],[customer_rating]]&gt;=3.5,"Good","Average"))</f>
        <v>Average</v>
      </c>
      <c r="AH103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39" spans="1:34" x14ac:dyDescent="0.3">
      <c r="A1039" t="s">
        <v>38</v>
      </c>
      <c r="B1039" t="s">
        <v>101</v>
      </c>
      <c r="C1039">
        <v>2025</v>
      </c>
      <c r="D1039" t="s">
        <v>26</v>
      </c>
      <c r="E1039" s="3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48</v>
      </c>
      <c r="N1039">
        <v>7</v>
      </c>
      <c r="O1039" t="s">
        <v>28</v>
      </c>
      <c r="P1039">
        <v>66.2</v>
      </c>
      <c r="Q1039">
        <v>2789</v>
      </c>
      <c r="R1039">
        <v>4</v>
      </c>
      <c r="S1039">
        <v>2</v>
      </c>
      <c r="T1039" t="s">
        <v>41</v>
      </c>
      <c r="U1039" t="s">
        <v>33</v>
      </c>
      <c r="V1039" s="3">
        <v>28393</v>
      </c>
      <c r="W1039">
        <v>3.84</v>
      </c>
      <c r="X1039">
        <v>3</v>
      </c>
      <c r="Y1039" s="1">
        <f>EV_Data4[[#This Row],[range_miles]]/EV_Data4[[#This Row],[battery_capacity_kwh]]</f>
        <v>3.6302681992337162</v>
      </c>
      <c r="Z1039" s="4">
        <f>EV_Data4[[#This Row],[price_usd]]/EV_Data4[[#This Row],[range_miles]]</f>
        <v>214.14179419525067</v>
      </c>
      <c r="AA1039" s="2">
        <f>(EV_Data4[[#This Row],[customer_rating]]*EV_Data4[[#This Row],[safety_rating]]*1000)/EV_Data4[[#This Row],[price_usd]]</f>
        <v>0.18925639732212055</v>
      </c>
      <c r="AB1039">
        <f>EV_Data4[[#This Row],[horsepower]]+EV_Data4[[#This Row],[torque_nm]]/EV_Data4[[#This Row],[acceleration_0_60_mph]]</f>
        <v>1325.2631578947369</v>
      </c>
      <c r="AC1039" t="str">
        <f>IF(EV_Data4[[#This Row],[price_usd]]&gt;=80000,"Luxury",IF(EV_Data4[[#This Row],[price_usd]]&gt;=40000,"Mid-Range","Budget"))</f>
        <v>Luxury</v>
      </c>
      <c r="AD1039" t="str">
        <f>IF(EV_Data4[[#This Row],[range_miles]]&gt;=350,"Long-Range",IF(EV_Data4[[#This Row],[range_miles]]&gt;=250,"Medium-Range","Short-Range"))</f>
        <v>Long-Range</v>
      </c>
      <c r="AE1039" t="str">
        <f>IF(EV_Data4[[#This Row],[charging_speed_kw]]&gt;=250,"Ultra-Fast",IF(EV_Data4[[#This Row],[charging_speed_kw]]&gt;=150,"Fast-Charging","Standard-Charging"))</f>
        <v>Fast-Charging</v>
      </c>
      <c r="AF1039" t="str">
        <f>IF(EV_Data4[[#This Row],[acceleration_0_60_mph]]&lt;=3,"SportsPerformance",IF(EV_Data4[[#This Row],[acceleration_0_60_mph]]&lt;=5,"HighPerformance","Standard"))</f>
        <v>SportsPerformance</v>
      </c>
      <c r="AG1039" t="str">
        <f>IF(EV_Data4[[#This Row],[customer_rating]]&gt;=4.5,"Excellent",IF(EV_Data4[[#This Row],[customer_rating]]&gt;=3.5,"Good","Average"))</f>
        <v>Good</v>
      </c>
      <c r="AH103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40" spans="1:34" x14ac:dyDescent="0.3">
      <c r="A1040" t="s">
        <v>46</v>
      </c>
      <c r="B1040" t="s">
        <v>47</v>
      </c>
      <c r="C1040">
        <v>2025</v>
      </c>
      <c r="D1040" t="s">
        <v>56</v>
      </c>
      <c r="E1040" s="3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48</v>
      </c>
      <c r="N1040">
        <v>5</v>
      </c>
      <c r="O1040" t="s">
        <v>40</v>
      </c>
      <c r="P1040">
        <v>73.900000000000006</v>
      </c>
      <c r="Q1040">
        <v>1645</v>
      </c>
      <c r="R1040">
        <v>5</v>
      </c>
      <c r="S1040">
        <v>3</v>
      </c>
      <c r="T1040" t="s">
        <v>41</v>
      </c>
      <c r="U1040" t="s">
        <v>33</v>
      </c>
      <c r="V1040" s="3">
        <v>243472</v>
      </c>
      <c r="W1040">
        <v>3.8</v>
      </c>
      <c r="X1040">
        <v>4</v>
      </c>
      <c r="Y1040" s="1">
        <f>EV_Data4[[#This Row],[range_miles]]/EV_Data4[[#This Row],[battery_capacity_kwh]]</f>
        <v>3.5173299101412066</v>
      </c>
      <c r="Z1040" s="4">
        <f>EV_Data4[[#This Row],[price_usd]]/EV_Data4[[#This Row],[range_miles]]</f>
        <v>294.11032846715329</v>
      </c>
      <c r="AA1040" s="2">
        <f>(EV_Data4[[#This Row],[customer_rating]]*EV_Data4[[#This Row],[safety_rating]]*1000)/EV_Data4[[#This Row],[price_usd]]</f>
        <v>0.23577229012946754</v>
      </c>
      <c r="AB1040">
        <f>EV_Data4[[#This Row],[horsepower]]+EV_Data4[[#This Row],[torque_nm]]/EV_Data4[[#This Row],[acceleration_0_60_mph]]</f>
        <v>652.54335260115613</v>
      </c>
      <c r="AC1040" t="str">
        <f>IF(EV_Data4[[#This Row],[price_usd]]&gt;=80000,"Luxury",IF(EV_Data4[[#This Row],[price_usd]]&gt;=40000,"Mid-Range","Budget"))</f>
        <v>Luxury</v>
      </c>
      <c r="AD1040" t="str">
        <f>IF(EV_Data4[[#This Row],[range_miles]]&gt;=350,"Long-Range",IF(EV_Data4[[#This Row],[range_miles]]&gt;=250,"Medium-Range","Short-Range"))</f>
        <v>Medium-Range</v>
      </c>
      <c r="AE1040" t="str">
        <f>IF(EV_Data4[[#This Row],[charging_speed_kw]]&gt;=250,"Ultra-Fast",IF(EV_Data4[[#This Row],[charging_speed_kw]]&gt;=150,"Fast-Charging","Standard-Charging"))</f>
        <v>Fast-Charging</v>
      </c>
      <c r="AF1040" t="str">
        <f>IF(EV_Data4[[#This Row],[acceleration_0_60_mph]]&lt;=3,"SportsPerformance",IF(EV_Data4[[#This Row],[acceleration_0_60_mph]]&lt;=5,"HighPerformance","Standard"))</f>
        <v>Standard</v>
      </c>
      <c r="AG1040" t="str">
        <f>IF(EV_Data4[[#This Row],[customer_rating]]&gt;=4.5,"Excellent",IF(EV_Data4[[#This Row],[customer_rating]]&gt;=3.5,"Good","Average"))</f>
        <v>Good</v>
      </c>
      <c r="AH1040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041" spans="1:34" x14ac:dyDescent="0.3">
      <c r="A1041" t="s">
        <v>63</v>
      </c>
      <c r="B1041" t="s">
        <v>107</v>
      </c>
      <c r="C1041">
        <v>2025</v>
      </c>
      <c r="D1041" t="s">
        <v>61</v>
      </c>
      <c r="E1041" s="3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34</v>
      </c>
      <c r="N1041">
        <v>7</v>
      </c>
      <c r="O1041" t="s">
        <v>50</v>
      </c>
      <c r="P1041">
        <v>30.7</v>
      </c>
      <c r="Q1041">
        <v>1610</v>
      </c>
      <c r="R1041">
        <v>5</v>
      </c>
      <c r="S1041">
        <v>0</v>
      </c>
      <c r="T1041" t="s">
        <v>65</v>
      </c>
      <c r="U1041" t="s">
        <v>33</v>
      </c>
      <c r="V1041" s="3">
        <v>216726</v>
      </c>
      <c r="W1041">
        <v>3.44</v>
      </c>
      <c r="X1041">
        <v>3</v>
      </c>
      <c r="Y1041" s="1">
        <f>EV_Data4[[#This Row],[range_miles]]/EV_Data4[[#This Row],[battery_capacity_kwh]]</f>
        <v>3.8159879336349927</v>
      </c>
      <c r="Z1041" s="4">
        <f>EV_Data4[[#This Row],[price_usd]]/EV_Data4[[#This Row],[range_miles]]</f>
        <v>314.03881422924906</v>
      </c>
      <c r="AA1041" s="2">
        <f>(EV_Data4[[#This Row],[customer_rating]]*EV_Data4[[#This Row],[safety_rating]]*1000)/EV_Data4[[#This Row],[price_usd]]</f>
        <v>0.21648339836645653</v>
      </c>
      <c r="AB1041">
        <f>EV_Data4[[#This Row],[horsepower]]+EV_Data4[[#This Row],[torque_nm]]/EV_Data4[[#This Row],[acceleration_0_60_mph]]</f>
        <v>970.64335664335658</v>
      </c>
      <c r="AC1041" t="str">
        <f>IF(EV_Data4[[#This Row],[price_usd]]&gt;=80000,"Luxury",IF(EV_Data4[[#This Row],[price_usd]]&gt;=40000,"Mid-Range","Budget"))</f>
        <v>Mid-Range</v>
      </c>
      <c r="AD1041" t="str">
        <f>IF(EV_Data4[[#This Row],[range_miles]]&gt;=350,"Long-Range",IF(EV_Data4[[#This Row],[range_miles]]&gt;=250,"Medium-Range","Short-Range"))</f>
        <v>Medium-Range</v>
      </c>
      <c r="AE1041" t="str">
        <f>IF(EV_Data4[[#This Row],[charging_speed_kw]]&gt;=250,"Ultra-Fast",IF(EV_Data4[[#This Row],[charging_speed_kw]]&gt;=150,"Fast-Charging","Standard-Charging"))</f>
        <v>Standard-Charging</v>
      </c>
      <c r="AF1041" t="str">
        <f>IF(EV_Data4[[#This Row],[acceleration_0_60_mph]]&lt;=3,"SportsPerformance",IF(EV_Data4[[#This Row],[acceleration_0_60_mph]]&lt;=5,"HighPerformance","Standard"))</f>
        <v>Standard</v>
      </c>
      <c r="AG1041" t="str">
        <f>IF(EV_Data4[[#This Row],[customer_rating]]&gt;=4.5,"Excellent",IF(EV_Data4[[#This Row],[customer_rating]]&gt;=3.5,"Good","Average"))</f>
        <v>Average</v>
      </c>
      <c r="AH104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42" spans="1:34" x14ac:dyDescent="0.3">
      <c r="A1042" t="s">
        <v>42</v>
      </c>
      <c r="B1042" t="s">
        <v>54</v>
      </c>
      <c r="C1042">
        <v>2021</v>
      </c>
      <c r="D1042" t="s">
        <v>26</v>
      </c>
      <c r="E1042" s="3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34</v>
      </c>
      <c r="N1042">
        <v>5</v>
      </c>
      <c r="O1042" t="s">
        <v>35</v>
      </c>
      <c r="P1042">
        <v>51.6</v>
      </c>
      <c r="Q1042">
        <v>2137</v>
      </c>
      <c r="R1042">
        <v>5</v>
      </c>
      <c r="S1042">
        <v>1</v>
      </c>
      <c r="T1042" t="s">
        <v>45</v>
      </c>
      <c r="U1042" t="s">
        <v>37</v>
      </c>
      <c r="V1042" s="3">
        <v>94100</v>
      </c>
      <c r="W1042">
        <v>3.93</v>
      </c>
      <c r="X1042">
        <v>4</v>
      </c>
      <c r="Y1042" s="1">
        <f>EV_Data4[[#This Row],[range_miles]]/EV_Data4[[#This Row],[battery_capacity_kwh]]</f>
        <v>3.4534534534534531</v>
      </c>
      <c r="Z1042" s="4">
        <f>EV_Data4[[#This Row],[price_usd]]/EV_Data4[[#This Row],[range_miles]]</f>
        <v>150.09843478260871</v>
      </c>
      <c r="AA1042" s="2">
        <f>(EV_Data4[[#This Row],[customer_rating]]*EV_Data4[[#This Row],[safety_rating]]*1000)/EV_Data4[[#This Row],[price_usd]]</f>
        <v>0.3794611304349842</v>
      </c>
      <c r="AB1042">
        <f>EV_Data4[[#This Row],[horsepower]]+EV_Data4[[#This Row],[torque_nm]]/EV_Data4[[#This Row],[acceleration_0_60_mph]]</f>
        <v>646.2987012987013</v>
      </c>
      <c r="AC1042" t="str">
        <f>IF(EV_Data4[[#This Row],[price_usd]]&gt;=80000,"Luxury",IF(EV_Data4[[#This Row],[price_usd]]&gt;=40000,"Mid-Range","Budget"))</f>
        <v>Mid-Range</v>
      </c>
      <c r="AD1042" t="str">
        <f>IF(EV_Data4[[#This Row],[range_miles]]&gt;=350,"Long-Range",IF(EV_Data4[[#This Row],[range_miles]]&gt;=250,"Medium-Range","Short-Range"))</f>
        <v>Medium-Range</v>
      </c>
      <c r="AE1042" t="str">
        <f>IF(EV_Data4[[#This Row],[charging_speed_kw]]&gt;=250,"Ultra-Fast",IF(EV_Data4[[#This Row],[charging_speed_kw]]&gt;=150,"Fast-Charging","Standard-Charging"))</f>
        <v>Fast-Charging</v>
      </c>
      <c r="AF1042" t="str">
        <f>IF(EV_Data4[[#This Row],[acceleration_0_60_mph]]&lt;=3,"SportsPerformance",IF(EV_Data4[[#This Row],[acceleration_0_60_mph]]&lt;=5,"HighPerformance","Standard"))</f>
        <v>HighPerformance</v>
      </c>
      <c r="AG1042" t="str">
        <f>IF(EV_Data4[[#This Row],[customer_rating]]&gt;=4.5,"Excellent",IF(EV_Data4[[#This Row],[customer_rating]]&gt;=3.5,"Good","Average"))</f>
        <v>Good</v>
      </c>
      <c r="AH104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43" spans="1:34" x14ac:dyDescent="0.3">
      <c r="A1043" t="s">
        <v>76</v>
      </c>
      <c r="B1043" t="s">
        <v>81</v>
      </c>
      <c r="C1043">
        <v>2025</v>
      </c>
      <c r="D1043" t="s">
        <v>56</v>
      </c>
      <c r="E1043" s="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48</v>
      </c>
      <c r="N1043">
        <v>7</v>
      </c>
      <c r="O1043" t="s">
        <v>40</v>
      </c>
      <c r="P1043">
        <v>69.599999999999994</v>
      </c>
      <c r="Q1043">
        <v>1750</v>
      </c>
      <c r="R1043">
        <v>4</v>
      </c>
      <c r="S1043">
        <v>1</v>
      </c>
      <c r="T1043" t="s">
        <v>41</v>
      </c>
      <c r="U1043" t="s">
        <v>37</v>
      </c>
      <c r="V1043" s="3">
        <v>71700</v>
      </c>
      <c r="W1043">
        <v>3.47</v>
      </c>
      <c r="X1043">
        <v>3</v>
      </c>
      <c r="Y1043" s="1">
        <f>EV_Data4[[#This Row],[range_miles]]/EV_Data4[[#This Row],[battery_capacity_kwh]]</f>
        <v>3.347457627118644</v>
      </c>
      <c r="Z1043" s="4">
        <f>EV_Data4[[#This Row],[price_usd]]/EV_Data4[[#This Row],[range_miles]]</f>
        <v>200.18016877637129</v>
      </c>
      <c r="AA1043" s="2">
        <f>(EV_Data4[[#This Row],[customer_rating]]*EV_Data4[[#This Row],[safety_rating]]*1000)/EV_Data4[[#This Row],[price_usd]]</f>
        <v>0.29256345022521907</v>
      </c>
      <c r="AB1043">
        <f>EV_Data4[[#This Row],[horsepower]]+EV_Data4[[#This Row],[torque_nm]]/EV_Data4[[#This Row],[acceleration_0_60_mph]]</f>
        <v>505.38034865293184</v>
      </c>
      <c r="AC1043" t="str">
        <f>IF(EV_Data4[[#This Row],[price_usd]]&gt;=80000,"Luxury",IF(EV_Data4[[#This Row],[price_usd]]&gt;=40000,"Mid-Range","Budget"))</f>
        <v>Mid-Range</v>
      </c>
      <c r="AD1043" t="str">
        <f>IF(EV_Data4[[#This Row],[range_miles]]&gt;=350,"Long-Range",IF(EV_Data4[[#This Row],[range_miles]]&gt;=250,"Medium-Range","Short-Range"))</f>
        <v>Short-Range</v>
      </c>
      <c r="AE1043" t="str">
        <f>IF(EV_Data4[[#This Row],[charging_speed_kw]]&gt;=250,"Ultra-Fast",IF(EV_Data4[[#This Row],[charging_speed_kw]]&gt;=150,"Fast-Charging","Standard-Charging"))</f>
        <v>Standard-Charging</v>
      </c>
      <c r="AF1043" t="str">
        <f>IF(EV_Data4[[#This Row],[acceleration_0_60_mph]]&lt;=3,"SportsPerformance",IF(EV_Data4[[#This Row],[acceleration_0_60_mph]]&lt;=5,"HighPerformance","Standard"))</f>
        <v>Standard</v>
      </c>
      <c r="AG1043" t="str">
        <f>IF(EV_Data4[[#This Row],[customer_rating]]&gt;=4.5,"Excellent",IF(EV_Data4[[#This Row],[customer_rating]]&gt;=3.5,"Good","Average"))</f>
        <v>Average</v>
      </c>
      <c r="AH104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44" spans="1:34" x14ac:dyDescent="0.3">
      <c r="A1044" t="s">
        <v>63</v>
      </c>
      <c r="B1044" t="s">
        <v>88</v>
      </c>
      <c r="C1044">
        <v>2024</v>
      </c>
      <c r="D1044" t="s">
        <v>33</v>
      </c>
      <c r="E1044" s="3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27</v>
      </c>
      <c r="N1044">
        <v>7</v>
      </c>
      <c r="O1044" t="s">
        <v>51</v>
      </c>
      <c r="P1044">
        <v>24.6</v>
      </c>
      <c r="Q1044">
        <v>1576</v>
      </c>
      <c r="R1044">
        <v>4</v>
      </c>
      <c r="S1044">
        <v>0</v>
      </c>
      <c r="T1044" t="s">
        <v>65</v>
      </c>
      <c r="U1044" t="s">
        <v>30</v>
      </c>
      <c r="V1044" s="3">
        <v>184045</v>
      </c>
      <c r="W1044">
        <v>3.17</v>
      </c>
      <c r="X1044">
        <v>5</v>
      </c>
      <c r="Y1044" s="1">
        <f>EV_Data4[[#This Row],[range_miles]]/EV_Data4[[#This Row],[battery_capacity_kwh]]</f>
        <v>3.46</v>
      </c>
      <c r="Z1044" s="4">
        <f>EV_Data4[[#This Row],[price_usd]]/EV_Data4[[#This Row],[range_miles]]</f>
        <v>654.52092485549133</v>
      </c>
      <c r="AA1044" s="2">
        <f>(EV_Data4[[#This Row],[customer_rating]]*EV_Data4[[#This Row],[safety_rating]]*1000)/EV_Data4[[#This Row],[price_usd]]</f>
        <v>0.11198235977565377</v>
      </c>
      <c r="AB1044">
        <f>EV_Data4[[#This Row],[horsepower]]+EV_Data4[[#This Row],[torque_nm]]/EV_Data4[[#This Row],[acceleration_0_60_mph]]</f>
        <v>1143.5126582278481</v>
      </c>
      <c r="AC1044" t="str">
        <f>IF(EV_Data4[[#This Row],[price_usd]]&gt;=80000,"Luxury",IF(EV_Data4[[#This Row],[price_usd]]&gt;=40000,"Mid-Range","Budget"))</f>
        <v>Luxury</v>
      </c>
      <c r="AD1044" t="str">
        <f>IF(EV_Data4[[#This Row],[range_miles]]&gt;=350,"Long-Range",IF(EV_Data4[[#This Row],[range_miles]]&gt;=250,"Medium-Range","Short-Range"))</f>
        <v>Short-Range</v>
      </c>
      <c r="AE1044" t="str">
        <f>IF(EV_Data4[[#This Row],[charging_speed_kw]]&gt;=250,"Ultra-Fast",IF(EV_Data4[[#This Row],[charging_speed_kw]]&gt;=150,"Fast-Charging","Standard-Charging"))</f>
        <v>Standard-Charging</v>
      </c>
      <c r="AF1044" t="str">
        <f>IF(EV_Data4[[#This Row],[acceleration_0_60_mph]]&lt;=3,"SportsPerformance",IF(EV_Data4[[#This Row],[acceleration_0_60_mph]]&lt;=5,"HighPerformance","Standard"))</f>
        <v>Standard</v>
      </c>
      <c r="AG1044" t="str">
        <f>IF(EV_Data4[[#This Row],[customer_rating]]&gt;=4.5,"Excellent",IF(EV_Data4[[#This Row],[customer_rating]]&gt;=3.5,"Good","Average"))</f>
        <v>Average</v>
      </c>
      <c r="AH104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45" spans="1:34" x14ac:dyDescent="0.3">
      <c r="A1045" t="s">
        <v>83</v>
      </c>
      <c r="B1045" t="s">
        <v>89</v>
      </c>
      <c r="C1045">
        <v>2021</v>
      </c>
      <c r="D1045" t="s">
        <v>44</v>
      </c>
      <c r="E1045" s="3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27</v>
      </c>
      <c r="N1045">
        <v>5</v>
      </c>
      <c r="O1045" t="s">
        <v>51</v>
      </c>
      <c r="P1045">
        <v>23.3</v>
      </c>
      <c r="Q1045">
        <v>1503</v>
      </c>
      <c r="R1045">
        <v>4</v>
      </c>
      <c r="S1045">
        <v>1</v>
      </c>
      <c r="T1045" t="s">
        <v>29</v>
      </c>
      <c r="U1045" t="s">
        <v>30</v>
      </c>
      <c r="V1045" s="3">
        <v>29444</v>
      </c>
      <c r="W1045">
        <v>3.44</v>
      </c>
      <c r="X1045">
        <v>5</v>
      </c>
      <c r="Y1045" s="1">
        <f>EV_Data4[[#This Row],[range_miles]]/EV_Data4[[#This Row],[battery_capacity_kwh]]</f>
        <v>3.4178403755868545</v>
      </c>
      <c r="Z1045" s="4">
        <f>EV_Data4[[#This Row],[price_usd]]/EV_Data4[[#This Row],[range_miles]]</f>
        <v>280.48115384615386</v>
      </c>
      <c r="AA1045" s="2">
        <f>(EV_Data4[[#This Row],[customer_rating]]*EV_Data4[[#This Row],[safety_rating]]*1000)/EV_Data4[[#This Row],[price_usd]]</f>
        <v>0.13477624889882123</v>
      </c>
      <c r="AB1045">
        <f>EV_Data4[[#This Row],[horsepower]]+EV_Data4[[#This Row],[torque_nm]]/EV_Data4[[#This Row],[acceleration_0_60_mph]]</f>
        <v>1005</v>
      </c>
      <c r="AC1045" t="str">
        <f>IF(EV_Data4[[#This Row],[price_usd]]&gt;=80000,"Luxury",IF(EV_Data4[[#This Row],[price_usd]]&gt;=40000,"Mid-Range","Budget"))</f>
        <v>Luxury</v>
      </c>
      <c r="AD1045" t="str">
        <f>IF(EV_Data4[[#This Row],[range_miles]]&gt;=350,"Long-Range",IF(EV_Data4[[#This Row],[range_miles]]&gt;=250,"Medium-Range","Short-Range"))</f>
        <v>Long-Range</v>
      </c>
      <c r="AE1045" t="str">
        <f>IF(EV_Data4[[#This Row],[charging_speed_kw]]&gt;=250,"Ultra-Fast",IF(EV_Data4[[#This Row],[charging_speed_kw]]&gt;=150,"Fast-Charging","Standard-Charging"))</f>
        <v>Standard-Charging</v>
      </c>
      <c r="AF1045" t="str">
        <f>IF(EV_Data4[[#This Row],[acceleration_0_60_mph]]&lt;=3,"SportsPerformance",IF(EV_Data4[[#This Row],[acceleration_0_60_mph]]&lt;=5,"HighPerformance","Standard"))</f>
        <v>HighPerformance</v>
      </c>
      <c r="AG1045" t="str">
        <f>IF(EV_Data4[[#This Row],[customer_rating]]&gt;=4.5,"Excellent",IF(EV_Data4[[#This Row],[customer_rating]]&gt;=3.5,"Good","Average"))</f>
        <v>Average</v>
      </c>
      <c r="AH104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46" spans="1:34" x14ac:dyDescent="0.3">
      <c r="A1046" t="s">
        <v>86</v>
      </c>
      <c r="B1046" t="s">
        <v>108</v>
      </c>
      <c r="C1046">
        <v>2026</v>
      </c>
      <c r="D1046" t="s">
        <v>26</v>
      </c>
      <c r="E1046" s="3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27</v>
      </c>
      <c r="N1046">
        <v>5</v>
      </c>
      <c r="O1046" t="s">
        <v>58</v>
      </c>
      <c r="P1046">
        <v>23.6</v>
      </c>
      <c r="Q1046">
        <v>1596</v>
      </c>
      <c r="R1046">
        <v>4</v>
      </c>
      <c r="S1046">
        <v>2</v>
      </c>
      <c r="T1046" t="s">
        <v>29</v>
      </c>
      <c r="U1046" t="s">
        <v>30</v>
      </c>
      <c r="V1046" s="3">
        <v>20618</v>
      </c>
      <c r="W1046">
        <v>3.66</v>
      </c>
      <c r="X1046">
        <v>6</v>
      </c>
      <c r="Y1046" s="1">
        <f>EV_Data4[[#This Row],[range_miles]]/EV_Data4[[#This Row],[battery_capacity_kwh]]</f>
        <v>3.7267080745341619</v>
      </c>
      <c r="Z1046" s="4">
        <f>EV_Data4[[#This Row],[price_usd]]/EV_Data4[[#This Row],[range_miles]]</f>
        <v>291.57236111111109</v>
      </c>
      <c r="AA1046" s="2">
        <f>(EV_Data4[[#This Row],[customer_rating]]*EV_Data4[[#This Row],[safety_rating]]*1000)/EV_Data4[[#This Row],[price_usd]]</f>
        <v>0.13947366791453045</v>
      </c>
      <c r="AB1046">
        <f>EV_Data4[[#This Row],[horsepower]]+EV_Data4[[#This Row],[torque_nm]]/EV_Data4[[#This Row],[acceleration_0_60_mph]]</f>
        <v>1017.958041958042</v>
      </c>
      <c r="AC1046" t="str">
        <f>IF(EV_Data4[[#This Row],[price_usd]]&gt;=80000,"Luxury",IF(EV_Data4[[#This Row],[price_usd]]&gt;=40000,"Mid-Range","Budget"))</f>
        <v>Luxury</v>
      </c>
      <c r="AD1046" t="str">
        <f>IF(EV_Data4[[#This Row],[range_miles]]&gt;=350,"Long-Range",IF(EV_Data4[[#This Row],[range_miles]]&gt;=250,"Medium-Range","Short-Range"))</f>
        <v>Long-Range</v>
      </c>
      <c r="AE1046" t="str">
        <f>IF(EV_Data4[[#This Row],[charging_speed_kw]]&gt;=250,"Ultra-Fast",IF(EV_Data4[[#This Row],[charging_speed_kw]]&gt;=150,"Fast-Charging","Standard-Charging"))</f>
        <v>Fast-Charging</v>
      </c>
      <c r="AF1046" t="str">
        <f>IF(EV_Data4[[#This Row],[acceleration_0_60_mph]]&lt;=3,"SportsPerformance",IF(EV_Data4[[#This Row],[acceleration_0_60_mph]]&lt;=5,"HighPerformance","Standard"))</f>
        <v>SportsPerformance</v>
      </c>
      <c r="AG1046" t="str">
        <f>IF(EV_Data4[[#This Row],[customer_rating]]&gt;=4.5,"Excellent",IF(EV_Data4[[#This Row],[customer_rating]]&gt;=3.5,"Good","Average"))</f>
        <v>Good</v>
      </c>
      <c r="AH104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47" spans="1:34" x14ac:dyDescent="0.3">
      <c r="A1047" t="s">
        <v>42</v>
      </c>
      <c r="B1047" t="s">
        <v>54</v>
      </c>
      <c r="C1047">
        <v>2024</v>
      </c>
      <c r="D1047" t="s">
        <v>44</v>
      </c>
      <c r="E1047" s="3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34</v>
      </c>
      <c r="N1047">
        <v>5</v>
      </c>
      <c r="O1047" t="s">
        <v>51</v>
      </c>
      <c r="P1047">
        <v>33.5</v>
      </c>
      <c r="Q1047">
        <v>1580</v>
      </c>
      <c r="R1047">
        <v>5</v>
      </c>
      <c r="S1047">
        <v>1</v>
      </c>
      <c r="T1047" t="s">
        <v>45</v>
      </c>
      <c r="U1047" t="s">
        <v>37</v>
      </c>
      <c r="V1047" s="3">
        <v>63756</v>
      </c>
      <c r="W1047">
        <v>3.57</v>
      </c>
      <c r="X1047">
        <v>4</v>
      </c>
      <c r="Y1047" s="1">
        <f>EV_Data4[[#This Row],[range_miles]]/EV_Data4[[#This Row],[battery_capacity_kwh]]</f>
        <v>3.2593457943925235</v>
      </c>
      <c r="Z1047" s="4">
        <f>EV_Data4[[#This Row],[price_usd]]/EV_Data4[[#This Row],[range_miles]]</f>
        <v>146.19845878136201</v>
      </c>
      <c r="AA1047" s="2">
        <f>(EV_Data4[[#This Row],[customer_rating]]*EV_Data4[[#This Row],[safety_rating]]*1000)/EV_Data4[[#This Row],[price_usd]]</f>
        <v>0.43761401561240088</v>
      </c>
      <c r="AB1047">
        <f>EV_Data4[[#This Row],[horsepower]]+EV_Data4[[#This Row],[torque_nm]]/EV_Data4[[#This Row],[acceleration_0_60_mph]]</f>
        <v>380.67724867724866</v>
      </c>
      <c r="AC1047" t="str">
        <f>IF(EV_Data4[[#This Row],[price_usd]]&gt;=80000,"Luxury",IF(EV_Data4[[#This Row],[price_usd]]&gt;=40000,"Mid-Range","Budget"))</f>
        <v>Mid-Range</v>
      </c>
      <c r="AD1047" t="str">
        <f>IF(EV_Data4[[#This Row],[range_miles]]&gt;=350,"Long-Range",IF(EV_Data4[[#This Row],[range_miles]]&gt;=250,"Medium-Range","Short-Range"))</f>
        <v>Medium-Range</v>
      </c>
      <c r="AE1047" t="str">
        <f>IF(EV_Data4[[#This Row],[charging_speed_kw]]&gt;=250,"Ultra-Fast",IF(EV_Data4[[#This Row],[charging_speed_kw]]&gt;=150,"Fast-Charging","Standard-Charging"))</f>
        <v>Standard-Charging</v>
      </c>
      <c r="AF1047" t="str">
        <f>IF(EV_Data4[[#This Row],[acceleration_0_60_mph]]&lt;=3,"SportsPerformance",IF(EV_Data4[[#This Row],[acceleration_0_60_mph]]&lt;=5,"HighPerformance","Standard"))</f>
        <v>Standard</v>
      </c>
      <c r="AG1047" t="str">
        <f>IF(EV_Data4[[#This Row],[customer_rating]]&gt;=4.5,"Excellent",IF(EV_Data4[[#This Row],[customer_rating]]&gt;=3.5,"Good","Average"))</f>
        <v>Good</v>
      </c>
      <c r="AH104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48" spans="1:34" x14ac:dyDescent="0.3">
      <c r="A1048" t="s">
        <v>63</v>
      </c>
      <c r="B1048" t="s">
        <v>82</v>
      </c>
      <c r="C1048">
        <v>2025</v>
      </c>
      <c r="D1048" t="s">
        <v>61</v>
      </c>
      <c r="E1048" s="3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34</v>
      </c>
      <c r="N1048">
        <v>7</v>
      </c>
      <c r="O1048" t="s">
        <v>51</v>
      </c>
      <c r="P1048">
        <v>25.9</v>
      </c>
      <c r="Q1048">
        <v>1889</v>
      </c>
      <c r="R1048">
        <v>4</v>
      </c>
      <c r="S1048">
        <v>2</v>
      </c>
      <c r="T1048" t="s">
        <v>65</v>
      </c>
      <c r="U1048" t="s">
        <v>66</v>
      </c>
      <c r="V1048" s="3">
        <v>104392</v>
      </c>
      <c r="W1048">
        <v>3.51</v>
      </c>
      <c r="X1048">
        <v>4</v>
      </c>
      <c r="Y1048" s="1">
        <f>EV_Data4[[#This Row],[range_miles]]/EV_Data4[[#This Row],[battery_capacity_kwh]]</f>
        <v>3.6762688614540462</v>
      </c>
      <c r="Z1048" s="4">
        <f>EV_Data4[[#This Row],[price_usd]]/EV_Data4[[#This Row],[range_miles]]</f>
        <v>121.08735074626865</v>
      </c>
      <c r="AA1048" s="2">
        <f>(EV_Data4[[#This Row],[customer_rating]]*EV_Data4[[#This Row],[safety_rating]]*1000)/EV_Data4[[#This Row],[price_usd]]</f>
        <v>0.4326468403067848</v>
      </c>
      <c r="AB1048">
        <f>EV_Data4[[#This Row],[horsepower]]+EV_Data4[[#This Row],[torque_nm]]/EV_Data4[[#This Row],[acceleration_0_60_mph]]</f>
        <v>397.16286149162863</v>
      </c>
      <c r="AC1048" t="str">
        <f>IF(EV_Data4[[#This Row],[price_usd]]&gt;=80000,"Luxury",IF(EV_Data4[[#This Row],[price_usd]]&gt;=40000,"Mid-Range","Budget"))</f>
        <v>Budget</v>
      </c>
      <c r="AD1048" t="str">
        <f>IF(EV_Data4[[#This Row],[range_miles]]&gt;=350,"Long-Range",IF(EV_Data4[[#This Row],[range_miles]]&gt;=250,"Medium-Range","Short-Range"))</f>
        <v>Medium-Range</v>
      </c>
      <c r="AE1048" t="str">
        <f>IF(EV_Data4[[#This Row],[charging_speed_kw]]&gt;=250,"Ultra-Fast",IF(EV_Data4[[#This Row],[charging_speed_kw]]&gt;=150,"Fast-Charging","Standard-Charging"))</f>
        <v>Standard-Charging</v>
      </c>
      <c r="AF1048" t="str">
        <f>IF(EV_Data4[[#This Row],[acceleration_0_60_mph]]&lt;=3,"SportsPerformance",IF(EV_Data4[[#This Row],[acceleration_0_60_mph]]&lt;=5,"HighPerformance","Standard"))</f>
        <v>Standard</v>
      </c>
      <c r="AG1048" t="str">
        <f>IF(EV_Data4[[#This Row],[customer_rating]]&gt;=4.5,"Excellent",IF(EV_Data4[[#This Row],[customer_rating]]&gt;=3.5,"Good","Average"))</f>
        <v>Good</v>
      </c>
      <c r="AH104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49" spans="1:34" x14ac:dyDescent="0.3">
      <c r="A1049" t="s">
        <v>46</v>
      </c>
      <c r="B1049" t="s">
        <v>47</v>
      </c>
      <c r="C1049">
        <v>2022</v>
      </c>
      <c r="D1049" t="s">
        <v>61</v>
      </c>
      <c r="E1049" s="3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48</v>
      </c>
      <c r="N1049">
        <v>5</v>
      </c>
      <c r="O1049" t="s">
        <v>58</v>
      </c>
      <c r="P1049">
        <v>22.9</v>
      </c>
      <c r="Q1049">
        <v>1775</v>
      </c>
      <c r="R1049">
        <v>5</v>
      </c>
      <c r="S1049">
        <v>3</v>
      </c>
      <c r="T1049" t="s">
        <v>41</v>
      </c>
      <c r="U1049" t="s">
        <v>30</v>
      </c>
      <c r="V1049" s="3">
        <v>140793</v>
      </c>
      <c r="W1049">
        <v>3.65</v>
      </c>
      <c r="X1049">
        <v>5</v>
      </c>
      <c r="Y1049" s="1">
        <f>EV_Data4[[#This Row],[range_miles]]/EV_Data4[[#This Row],[battery_capacity_kwh]]</f>
        <v>3.5130718954248366</v>
      </c>
      <c r="Z1049" s="4">
        <f>EV_Data4[[#This Row],[price_usd]]/EV_Data4[[#This Row],[range_miles]]</f>
        <v>521.33283720930228</v>
      </c>
      <c r="AA1049" s="2">
        <f>(EV_Data4[[#This Row],[customer_rating]]*EV_Data4[[#This Row],[safety_rating]]*1000)/EV_Data4[[#This Row],[price_usd]]</f>
        <v>0.16282059151427256</v>
      </c>
      <c r="AB1049">
        <f>EV_Data4[[#This Row],[horsepower]]+EV_Data4[[#This Row],[torque_nm]]/EV_Data4[[#This Row],[acceleration_0_60_mph]]</f>
        <v>909.63636363636363</v>
      </c>
      <c r="AC1049" t="str">
        <f>IF(EV_Data4[[#This Row],[price_usd]]&gt;=80000,"Luxury",IF(EV_Data4[[#This Row],[price_usd]]&gt;=40000,"Mid-Range","Budget"))</f>
        <v>Luxury</v>
      </c>
      <c r="AD1049" t="str">
        <f>IF(EV_Data4[[#This Row],[range_miles]]&gt;=350,"Long-Range",IF(EV_Data4[[#This Row],[range_miles]]&gt;=250,"Medium-Range","Short-Range"))</f>
        <v>Short-Range</v>
      </c>
      <c r="AE1049" t="str">
        <f>IF(EV_Data4[[#This Row],[charging_speed_kw]]&gt;=250,"Ultra-Fast",IF(EV_Data4[[#This Row],[charging_speed_kw]]&gt;=150,"Fast-Charging","Standard-Charging"))</f>
        <v>Ultra-Fast</v>
      </c>
      <c r="AF1049" t="str">
        <f>IF(EV_Data4[[#This Row],[acceleration_0_60_mph]]&lt;=3,"SportsPerformance",IF(EV_Data4[[#This Row],[acceleration_0_60_mph]]&lt;=5,"HighPerformance","Standard"))</f>
        <v>Standard</v>
      </c>
      <c r="AG1049" t="str">
        <f>IF(EV_Data4[[#This Row],[customer_rating]]&gt;=4.5,"Excellent",IF(EV_Data4[[#This Row],[customer_rating]]&gt;=3.5,"Good","Average"))</f>
        <v>Good</v>
      </c>
      <c r="AH1049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050" spans="1:34" x14ac:dyDescent="0.3">
      <c r="A1050" t="s">
        <v>52</v>
      </c>
      <c r="B1050" t="s">
        <v>62</v>
      </c>
      <c r="C1050">
        <v>2022</v>
      </c>
      <c r="D1050" t="s">
        <v>56</v>
      </c>
      <c r="E1050" s="3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34</v>
      </c>
      <c r="N1050">
        <v>7</v>
      </c>
      <c r="O1050" t="s">
        <v>35</v>
      </c>
      <c r="P1050">
        <v>54</v>
      </c>
      <c r="Q1050">
        <v>2149</v>
      </c>
      <c r="R1050">
        <v>5</v>
      </c>
      <c r="S1050">
        <v>1</v>
      </c>
      <c r="T1050" t="s">
        <v>29</v>
      </c>
      <c r="U1050" t="s">
        <v>37</v>
      </c>
      <c r="V1050" s="3">
        <v>31870</v>
      </c>
      <c r="W1050">
        <v>3.9</v>
      </c>
      <c r="X1050">
        <v>6</v>
      </c>
      <c r="Y1050" s="1">
        <f>EV_Data4[[#This Row],[range_miles]]/EV_Data4[[#This Row],[battery_capacity_kwh]]</f>
        <v>3.7428571428571429</v>
      </c>
      <c r="Z1050" s="4">
        <f>EV_Data4[[#This Row],[price_usd]]/EV_Data4[[#This Row],[range_miles]]</f>
        <v>245.8659923664122</v>
      </c>
      <c r="AA1050" s="2">
        <f>(EV_Data4[[#This Row],[customer_rating]]*EV_Data4[[#This Row],[safety_rating]]*1000)/EV_Data4[[#This Row],[price_usd]]</f>
        <v>0.30271563870904045</v>
      </c>
      <c r="AB1050">
        <f>EV_Data4[[#This Row],[horsepower]]+EV_Data4[[#This Row],[torque_nm]]/EV_Data4[[#This Row],[acceleration_0_60_mph]]</f>
        <v>243.8843537414966</v>
      </c>
      <c r="AC1050" t="str">
        <f>IF(EV_Data4[[#This Row],[price_usd]]&gt;=80000,"Luxury",IF(EV_Data4[[#This Row],[price_usd]]&gt;=40000,"Mid-Range","Budget"))</f>
        <v>Mid-Range</v>
      </c>
      <c r="AD1050" t="str">
        <f>IF(EV_Data4[[#This Row],[range_miles]]&gt;=350,"Long-Range",IF(EV_Data4[[#This Row],[range_miles]]&gt;=250,"Medium-Range","Short-Range"))</f>
        <v>Medium-Range</v>
      </c>
      <c r="AE1050" t="str">
        <f>IF(EV_Data4[[#This Row],[charging_speed_kw]]&gt;=250,"Ultra-Fast",IF(EV_Data4[[#This Row],[charging_speed_kw]]&gt;=150,"Fast-Charging","Standard-Charging"))</f>
        <v>Standard-Charging</v>
      </c>
      <c r="AF1050" t="str">
        <f>IF(EV_Data4[[#This Row],[acceleration_0_60_mph]]&lt;=3,"SportsPerformance",IF(EV_Data4[[#This Row],[acceleration_0_60_mph]]&lt;=5,"HighPerformance","Standard"))</f>
        <v>Standard</v>
      </c>
      <c r="AG1050" t="str">
        <f>IF(EV_Data4[[#This Row],[customer_rating]]&gt;=4.5,"Excellent",IF(EV_Data4[[#This Row],[customer_rating]]&gt;=3.5,"Good","Average"))</f>
        <v>Good</v>
      </c>
      <c r="AH105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51" spans="1:34" x14ac:dyDescent="0.3">
      <c r="A1051" t="s">
        <v>46</v>
      </c>
      <c r="B1051" t="s">
        <v>47</v>
      </c>
      <c r="C1051">
        <v>2025</v>
      </c>
      <c r="D1051" t="s">
        <v>56</v>
      </c>
      <c r="E1051" s="3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34</v>
      </c>
      <c r="N1051">
        <v>7</v>
      </c>
      <c r="O1051" t="s">
        <v>28</v>
      </c>
      <c r="P1051">
        <v>78.8</v>
      </c>
      <c r="Q1051">
        <v>2525</v>
      </c>
      <c r="R1051">
        <v>3</v>
      </c>
      <c r="S1051">
        <v>2</v>
      </c>
      <c r="T1051" t="s">
        <v>41</v>
      </c>
      <c r="U1051" t="s">
        <v>30</v>
      </c>
      <c r="V1051" s="3">
        <v>118818</v>
      </c>
      <c r="W1051">
        <v>3.3</v>
      </c>
      <c r="X1051">
        <v>6</v>
      </c>
      <c r="Y1051" s="1">
        <f>EV_Data4[[#This Row],[range_miles]]/EV_Data4[[#This Row],[battery_capacity_kwh]]</f>
        <v>3.6496350364963503</v>
      </c>
      <c r="Z1051" s="4">
        <f>EV_Data4[[#This Row],[price_usd]]/EV_Data4[[#This Row],[range_miles]]</f>
        <v>724.84753333333333</v>
      </c>
      <c r="AA1051" s="2">
        <f>(EV_Data4[[#This Row],[customer_rating]]*EV_Data4[[#This Row],[safety_rating]]*1000)/EV_Data4[[#This Row],[price_usd]]</f>
        <v>9.1053631232609539E-2</v>
      </c>
      <c r="AB1051">
        <f>EV_Data4[[#This Row],[horsepower]]+EV_Data4[[#This Row],[torque_nm]]/EV_Data4[[#This Row],[acceleration_0_60_mph]]</f>
        <v>833.27777777777783</v>
      </c>
      <c r="AC1051" t="str">
        <f>IF(EV_Data4[[#This Row],[price_usd]]&gt;=80000,"Luxury",IF(EV_Data4[[#This Row],[price_usd]]&gt;=40000,"Mid-Range","Budget"))</f>
        <v>Luxury</v>
      </c>
      <c r="AD1051" t="str">
        <f>IF(EV_Data4[[#This Row],[range_miles]]&gt;=350,"Long-Range",IF(EV_Data4[[#This Row],[range_miles]]&gt;=250,"Medium-Range","Short-Range"))</f>
        <v>Short-Range</v>
      </c>
      <c r="AE1051" t="str">
        <f>IF(EV_Data4[[#This Row],[charging_speed_kw]]&gt;=250,"Ultra-Fast",IF(EV_Data4[[#This Row],[charging_speed_kw]]&gt;=150,"Fast-Charging","Standard-Charging"))</f>
        <v>Ultra-Fast</v>
      </c>
      <c r="AF1051" t="str">
        <f>IF(EV_Data4[[#This Row],[acceleration_0_60_mph]]&lt;=3,"SportsPerformance",IF(EV_Data4[[#This Row],[acceleration_0_60_mph]]&lt;=5,"HighPerformance","Standard"))</f>
        <v>Standard</v>
      </c>
      <c r="AG1051" t="str">
        <f>IF(EV_Data4[[#This Row],[customer_rating]]&gt;=4.5,"Excellent",IF(EV_Data4[[#This Row],[customer_rating]]&gt;=3.5,"Good","Average"))</f>
        <v>Average</v>
      </c>
      <c r="AH105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52" spans="1:34" x14ac:dyDescent="0.3">
      <c r="A1052" t="s">
        <v>86</v>
      </c>
      <c r="B1052" t="s">
        <v>108</v>
      </c>
      <c r="C1052">
        <v>2021</v>
      </c>
      <c r="D1052" t="s">
        <v>26</v>
      </c>
      <c r="E1052" s="3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48</v>
      </c>
      <c r="N1052">
        <v>5</v>
      </c>
      <c r="O1052" t="s">
        <v>51</v>
      </c>
      <c r="P1052">
        <v>22.5</v>
      </c>
      <c r="Q1052">
        <v>1617</v>
      </c>
      <c r="R1052">
        <v>5</v>
      </c>
      <c r="S1052">
        <v>1</v>
      </c>
      <c r="T1052" t="s">
        <v>29</v>
      </c>
      <c r="U1052" t="s">
        <v>30</v>
      </c>
      <c r="V1052" s="3">
        <v>62009</v>
      </c>
      <c r="W1052">
        <v>3.84</v>
      </c>
      <c r="X1052">
        <v>8</v>
      </c>
      <c r="Y1052" s="1">
        <f>EV_Data4[[#This Row],[range_miles]]/EV_Data4[[#This Row],[battery_capacity_kwh]]</f>
        <v>3.3389544688026982</v>
      </c>
      <c r="Z1052" s="4">
        <f>EV_Data4[[#This Row],[price_usd]]/EV_Data4[[#This Row],[range_miles]]</f>
        <v>300.70315656565657</v>
      </c>
      <c r="AA1052" s="2">
        <f>(EV_Data4[[#This Row],[customer_rating]]*EV_Data4[[#This Row],[safety_rating]]*1000)/EV_Data4[[#This Row],[price_usd]]</f>
        <v>0.1612382425199522</v>
      </c>
      <c r="AB1052">
        <f>EV_Data4[[#This Row],[horsepower]]+EV_Data4[[#This Row],[torque_nm]]/EV_Data4[[#This Row],[acceleration_0_60_mph]]</f>
        <v>1288.7246376811595</v>
      </c>
      <c r="AC1052" t="str">
        <f>IF(EV_Data4[[#This Row],[price_usd]]&gt;=80000,"Luxury",IF(EV_Data4[[#This Row],[price_usd]]&gt;=40000,"Mid-Range","Budget"))</f>
        <v>Luxury</v>
      </c>
      <c r="AD1052" t="str">
        <f>IF(EV_Data4[[#This Row],[range_miles]]&gt;=350,"Long-Range",IF(EV_Data4[[#This Row],[range_miles]]&gt;=250,"Medium-Range","Short-Range"))</f>
        <v>Long-Range</v>
      </c>
      <c r="AE1052" t="str">
        <f>IF(EV_Data4[[#This Row],[charging_speed_kw]]&gt;=250,"Ultra-Fast",IF(EV_Data4[[#This Row],[charging_speed_kw]]&gt;=150,"Fast-Charging","Standard-Charging"))</f>
        <v>Fast-Charging</v>
      </c>
      <c r="AF1052" t="str">
        <f>IF(EV_Data4[[#This Row],[acceleration_0_60_mph]]&lt;=3,"SportsPerformance",IF(EV_Data4[[#This Row],[acceleration_0_60_mph]]&lt;=5,"HighPerformance","Standard"))</f>
        <v>SportsPerformance</v>
      </c>
      <c r="AG1052" t="str">
        <f>IF(EV_Data4[[#This Row],[customer_rating]]&gt;=4.5,"Excellent",IF(EV_Data4[[#This Row],[customer_rating]]&gt;=3.5,"Good","Average"))</f>
        <v>Good</v>
      </c>
      <c r="AH105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53" spans="1:34" x14ac:dyDescent="0.3">
      <c r="A1053" t="s">
        <v>68</v>
      </c>
      <c r="B1053" t="s">
        <v>106</v>
      </c>
      <c r="C1053">
        <v>2025</v>
      </c>
      <c r="D1053" t="s">
        <v>56</v>
      </c>
      <c r="E1053" s="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34</v>
      </c>
      <c r="N1053">
        <v>7</v>
      </c>
      <c r="O1053" t="s">
        <v>50</v>
      </c>
      <c r="P1053">
        <v>32.200000000000003</v>
      </c>
      <c r="Q1053">
        <v>1500</v>
      </c>
      <c r="R1053">
        <v>3</v>
      </c>
      <c r="S1053">
        <v>1</v>
      </c>
      <c r="T1053" t="s">
        <v>45</v>
      </c>
      <c r="U1053" t="s">
        <v>66</v>
      </c>
      <c r="V1053" s="3">
        <v>123225</v>
      </c>
      <c r="W1053">
        <v>3.52</v>
      </c>
      <c r="X1053">
        <v>4</v>
      </c>
      <c r="Y1053" s="1">
        <f>EV_Data4[[#This Row],[range_miles]]/EV_Data4[[#This Row],[battery_capacity_kwh]]</f>
        <v>3.4007585335018966</v>
      </c>
      <c r="Z1053" s="4">
        <f>EV_Data4[[#This Row],[price_usd]]/EV_Data4[[#This Row],[range_miles]]</f>
        <v>130.09078066914498</v>
      </c>
      <c r="AA1053" s="2">
        <f>(EV_Data4[[#This Row],[customer_rating]]*EV_Data4[[#This Row],[safety_rating]]*1000)/EV_Data4[[#This Row],[price_usd]]</f>
        <v>0.30176239526187321</v>
      </c>
      <c r="AB1053">
        <f>EV_Data4[[#This Row],[horsepower]]+EV_Data4[[#This Row],[torque_nm]]/EV_Data4[[#This Row],[acceleration_0_60_mph]]</f>
        <v>297.35860058309038</v>
      </c>
      <c r="AC1053" t="str">
        <f>IF(EV_Data4[[#This Row],[price_usd]]&gt;=80000,"Luxury",IF(EV_Data4[[#This Row],[price_usd]]&gt;=40000,"Mid-Range","Budget"))</f>
        <v>Budget</v>
      </c>
      <c r="AD1053" t="str">
        <f>IF(EV_Data4[[#This Row],[range_miles]]&gt;=350,"Long-Range",IF(EV_Data4[[#This Row],[range_miles]]&gt;=250,"Medium-Range","Short-Range"))</f>
        <v>Medium-Range</v>
      </c>
      <c r="AE1053" t="str">
        <f>IF(EV_Data4[[#This Row],[charging_speed_kw]]&gt;=250,"Ultra-Fast",IF(EV_Data4[[#This Row],[charging_speed_kw]]&gt;=150,"Fast-Charging","Standard-Charging"))</f>
        <v>Standard-Charging</v>
      </c>
      <c r="AF1053" t="str">
        <f>IF(EV_Data4[[#This Row],[acceleration_0_60_mph]]&lt;=3,"SportsPerformance",IF(EV_Data4[[#This Row],[acceleration_0_60_mph]]&lt;=5,"HighPerformance","Standard"))</f>
        <v>Standard</v>
      </c>
      <c r="AG1053" t="str">
        <f>IF(EV_Data4[[#This Row],[customer_rating]]&gt;=4.5,"Excellent",IF(EV_Data4[[#This Row],[customer_rating]]&gt;=3.5,"Good","Average"))</f>
        <v>Good</v>
      </c>
      <c r="AH105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54" spans="1:34" x14ac:dyDescent="0.3">
      <c r="A1054" t="s">
        <v>92</v>
      </c>
      <c r="B1054" t="s">
        <v>136</v>
      </c>
      <c r="C1054">
        <v>2023</v>
      </c>
      <c r="D1054" t="s">
        <v>33</v>
      </c>
      <c r="E1054" s="3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27</v>
      </c>
      <c r="N1054">
        <v>7</v>
      </c>
      <c r="O1054" t="s">
        <v>28</v>
      </c>
      <c r="P1054">
        <v>56.4</v>
      </c>
      <c r="Q1054">
        <v>2456</v>
      </c>
      <c r="R1054">
        <v>5</v>
      </c>
      <c r="S1054">
        <v>0</v>
      </c>
      <c r="T1054" t="s">
        <v>65</v>
      </c>
      <c r="U1054" t="s">
        <v>30</v>
      </c>
      <c r="V1054" s="3">
        <v>26747</v>
      </c>
      <c r="W1054">
        <v>3.64</v>
      </c>
      <c r="X1054">
        <v>5</v>
      </c>
      <c r="Y1054" s="1">
        <f>EV_Data4[[#This Row],[range_miles]]/EV_Data4[[#This Row],[battery_capacity_kwh]]</f>
        <v>3.3231707317073176</v>
      </c>
      <c r="Z1054" s="4">
        <f>EV_Data4[[#This Row],[price_usd]]/EV_Data4[[#This Row],[range_miles]]</f>
        <v>524.03903669724764</v>
      </c>
      <c r="AA1054" s="2">
        <f>(EV_Data4[[#This Row],[customer_rating]]*EV_Data4[[#This Row],[safety_rating]]*1000)/EV_Data4[[#This Row],[price_usd]]</f>
        <v>0.15931301427138236</v>
      </c>
      <c r="AB1054">
        <f>EV_Data4[[#This Row],[horsepower]]+EV_Data4[[#This Row],[torque_nm]]/EV_Data4[[#This Row],[acceleration_0_60_mph]]</f>
        <v>1156.7612687813021</v>
      </c>
      <c r="AC1054" t="str">
        <f>IF(EV_Data4[[#This Row],[price_usd]]&gt;=80000,"Luxury",IF(EV_Data4[[#This Row],[price_usd]]&gt;=40000,"Mid-Range","Budget"))</f>
        <v>Luxury</v>
      </c>
      <c r="AD1054" t="str">
        <f>IF(EV_Data4[[#This Row],[range_miles]]&gt;=350,"Long-Range",IF(EV_Data4[[#This Row],[range_miles]]&gt;=250,"Medium-Range","Short-Range"))</f>
        <v>Short-Range</v>
      </c>
      <c r="AE1054" t="str">
        <f>IF(EV_Data4[[#This Row],[charging_speed_kw]]&gt;=250,"Ultra-Fast",IF(EV_Data4[[#This Row],[charging_speed_kw]]&gt;=150,"Fast-Charging","Standard-Charging"))</f>
        <v>Standard-Charging</v>
      </c>
      <c r="AF1054" t="str">
        <f>IF(EV_Data4[[#This Row],[acceleration_0_60_mph]]&lt;=3,"SportsPerformance",IF(EV_Data4[[#This Row],[acceleration_0_60_mph]]&lt;=5,"HighPerformance","Standard"))</f>
        <v>Standard</v>
      </c>
      <c r="AG1054" t="str">
        <f>IF(EV_Data4[[#This Row],[customer_rating]]&gt;=4.5,"Excellent",IF(EV_Data4[[#This Row],[customer_rating]]&gt;=3.5,"Good","Average"))</f>
        <v>Good</v>
      </c>
      <c r="AH105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55" spans="1:34" x14ac:dyDescent="0.3">
      <c r="A1055" t="s">
        <v>76</v>
      </c>
      <c r="B1055" t="s">
        <v>77</v>
      </c>
      <c r="C1055">
        <v>2025</v>
      </c>
      <c r="D1055" t="s">
        <v>44</v>
      </c>
      <c r="E1055" s="3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27</v>
      </c>
      <c r="N1055">
        <v>5</v>
      </c>
      <c r="O1055" t="s">
        <v>28</v>
      </c>
      <c r="P1055">
        <v>76.599999999999994</v>
      </c>
      <c r="Q1055">
        <v>2211</v>
      </c>
      <c r="R1055">
        <v>3</v>
      </c>
      <c r="S1055">
        <v>1</v>
      </c>
      <c r="T1055" t="s">
        <v>41</v>
      </c>
      <c r="U1055" t="s">
        <v>33</v>
      </c>
      <c r="V1055" s="3">
        <v>52702</v>
      </c>
      <c r="W1055">
        <v>3.92</v>
      </c>
      <c r="X1055">
        <v>4</v>
      </c>
      <c r="Y1055" s="1">
        <f>EV_Data4[[#This Row],[range_miles]]/EV_Data4[[#This Row],[battery_capacity_kwh]]</f>
        <v>3.6768802228412256</v>
      </c>
      <c r="Z1055" s="4">
        <f>EV_Data4[[#This Row],[price_usd]]/EV_Data4[[#This Row],[range_miles]]</f>
        <v>176.96156565656565</v>
      </c>
      <c r="AA1055" s="2">
        <f>(EV_Data4[[#This Row],[customer_rating]]*EV_Data4[[#This Row],[safety_rating]]*1000)/EV_Data4[[#This Row],[price_usd]]</f>
        <v>0.1678159298986055</v>
      </c>
      <c r="AB1055">
        <f>EV_Data4[[#This Row],[horsepower]]+EV_Data4[[#This Row],[torque_nm]]/EV_Data4[[#This Row],[acceleration_0_60_mph]]</f>
        <v>975.39823008849555</v>
      </c>
      <c r="AC1055" t="str">
        <f>IF(EV_Data4[[#This Row],[price_usd]]&gt;=80000,"Luxury",IF(EV_Data4[[#This Row],[price_usd]]&gt;=40000,"Mid-Range","Budget"))</f>
        <v>Mid-Range</v>
      </c>
      <c r="AD1055" t="str">
        <f>IF(EV_Data4[[#This Row],[range_miles]]&gt;=350,"Long-Range",IF(EV_Data4[[#This Row],[range_miles]]&gt;=250,"Medium-Range","Short-Range"))</f>
        <v>Long-Range</v>
      </c>
      <c r="AE1055" t="str">
        <f>IF(EV_Data4[[#This Row],[charging_speed_kw]]&gt;=250,"Ultra-Fast",IF(EV_Data4[[#This Row],[charging_speed_kw]]&gt;=150,"Fast-Charging","Standard-Charging"))</f>
        <v>Standard-Charging</v>
      </c>
      <c r="AF1055" t="str">
        <f>IF(EV_Data4[[#This Row],[acceleration_0_60_mph]]&lt;=3,"SportsPerformance",IF(EV_Data4[[#This Row],[acceleration_0_60_mph]]&lt;=5,"HighPerformance","Standard"))</f>
        <v>HighPerformance</v>
      </c>
      <c r="AG1055" t="str">
        <f>IF(EV_Data4[[#This Row],[customer_rating]]&gt;=4.5,"Excellent",IF(EV_Data4[[#This Row],[customer_rating]]&gt;=3.5,"Good","Average"))</f>
        <v>Good</v>
      </c>
      <c r="AH105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56" spans="1:34" x14ac:dyDescent="0.3">
      <c r="A1056" t="s">
        <v>131</v>
      </c>
      <c r="B1056" t="s">
        <v>132</v>
      </c>
      <c r="C1056">
        <v>2024</v>
      </c>
      <c r="D1056" t="s">
        <v>44</v>
      </c>
      <c r="E1056" s="3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34</v>
      </c>
      <c r="N1056">
        <v>5</v>
      </c>
      <c r="O1056" t="s">
        <v>35</v>
      </c>
      <c r="P1056">
        <v>39.9</v>
      </c>
      <c r="Q1056">
        <v>2215</v>
      </c>
      <c r="R1056">
        <v>5</v>
      </c>
      <c r="S1056">
        <v>2</v>
      </c>
      <c r="T1056" t="s">
        <v>65</v>
      </c>
      <c r="U1056" t="s">
        <v>33</v>
      </c>
      <c r="V1056" s="3">
        <v>8671</v>
      </c>
      <c r="W1056">
        <v>3.55</v>
      </c>
      <c r="X1056">
        <v>3</v>
      </c>
      <c r="Y1056" s="1">
        <f>EV_Data4[[#This Row],[range_miles]]/EV_Data4[[#This Row],[battery_capacity_kwh]]</f>
        <v>3.1806282722513086</v>
      </c>
      <c r="Z1056" s="4">
        <f>EV_Data4[[#This Row],[price_usd]]/EV_Data4[[#This Row],[range_miles]]</f>
        <v>392.57008230452675</v>
      </c>
      <c r="AA1056" s="2">
        <f>(EV_Data4[[#This Row],[customer_rating]]*EV_Data4[[#This Row],[safety_rating]]*1000)/EV_Data4[[#This Row],[price_usd]]</f>
        <v>0.18606936896696277</v>
      </c>
      <c r="AB1056">
        <f>EV_Data4[[#This Row],[horsepower]]+EV_Data4[[#This Row],[torque_nm]]/EV_Data4[[#This Row],[acceleration_0_60_mph]]</f>
        <v>1198.0851063829787</v>
      </c>
      <c r="AC1056" t="str">
        <f>IF(EV_Data4[[#This Row],[price_usd]]&gt;=80000,"Luxury",IF(EV_Data4[[#This Row],[price_usd]]&gt;=40000,"Mid-Range","Budget"))</f>
        <v>Luxury</v>
      </c>
      <c r="AD1056" t="str">
        <f>IF(EV_Data4[[#This Row],[range_miles]]&gt;=350,"Long-Range",IF(EV_Data4[[#This Row],[range_miles]]&gt;=250,"Medium-Range","Short-Range"))</f>
        <v>Short-Range</v>
      </c>
      <c r="AE1056" t="str">
        <f>IF(EV_Data4[[#This Row],[charging_speed_kw]]&gt;=250,"Ultra-Fast",IF(EV_Data4[[#This Row],[charging_speed_kw]]&gt;=150,"Fast-Charging","Standard-Charging"))</f>
        <v>Standard-Charging</v>
      </c>
      <c r="AF1056" t="str">
        <f>IF(EV_Data4[[#This Row],[acceleration_0_60_mph]]&lt;=3,"SportsPerformance",IF(EV_Data4[[#This Row],[acceleration_0_60_mph]]&lt;=5,"HighPerformance","Standard"))</f>
        <v>HighPerformance</v>
      </c>
      <c r="AG1056" t="str">
        <f>IF(EV_Data4[[#This Row],[customer_rating]]&gt;=4.5,"Excellent",IF(EV_Data4[[#This Row],[customer_rating]]&gt;=3.5,"Good","Average"))</f>
        <v>Good</v>
      </c>
      <c r="AH105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57" spans="1:34" x14ac:dyDescent="0.3">
      <c r="A1057" t="s">
        <v>63</v>
      </c>
      <c r="B1057" t="s">
        <v>64</v>
      </c>
      <c r="C1057">
        <v>2024</v>
      </c>
      <c r="D1057" t="s">
        <v>56</v>
      </c>
      <c r="E1057" s="3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27</v>
      </c>
      <c r="N1057">
        <v>5</v>
      </c>
      <c r="O1057" t="s">
        <v>58</v>
      </c>
      <c r="P1057">
        <v>18.399999999999999</v>
      </c>
      <c r="Q1057">
        <v>1578</v>
      </c>
      <c r="R1057">
        <v>3</v>
      </c>
      <c r="S1057">
        <v>2</v>
      </c>
      <c r="T1057" t="s">
        <v>65</v>
      </c>
      <c r="U1057" t="s">
        <v>66</v>
      </c>
      <c r="V1057" s="3">
        <v>205452</v>
      </c>
      <c r="W1057">
        <v>3.37</v>
      </c>
      <c r="X1057">
        <v>5</v>
      </c>
      <c r="Y1057" s="1">
        <f>EV_Data4[[#This Row],[range_miles]]/EV_Data4[[#This Row],[battery_capacity_kwh]]</f>
        <v>4.2397137745974955</v>
      </c>
      <c r="Z1057" s="4">
        <f>EV_Data4[[#This Row],[price_usd]]/EV_Data4[[#This Row],[range_miles]]</f>
        <v>70.097088607594927</v>
      </c>
      <c r="AA1057" s="2">
        <f>(EV_Data4[[#This Row],[customer_rating]]*EV_Data4[[#This Row],[safety_rating]]*1000)/EV_Data4[[#This Row],[price_usd]]</f>
        <v>0.6085591954739088</v>
      </c>
      <c r="AB1057">
        <f>EV_Data4[[#This Row],[horsepower]]+EV_Data4[[#This Row],[torque_nm]]/EV_Data4[[#This Row],[acceleration_0_60_mph]]</f>
        <v>236.90401396160559</v>
      </c>
      <c r="AC1057" t="str">
        <f>IF(EV_Data4[[#This Row],[price_usd]]&gt;=80000,"Luxury",IF(EV_Data4[[#This Row],[price_usd]]&gt;=40000,"Mid-Range","Budget"))</f>
        <v>Budget</v>
      </c>
      <c r="AD1057" t="str">
        <f>IF(EV_Data4[[#This Row],[range_miles]]&gt;=350,"Long-Range",IF(EV_Data4[[#This Row],[range_miles]]&gt;=250,"Medium-Range","Short-Range"))</f>
        <v>Short-Range</v>
      </c>
      <c r="AE1057" t="str">
        <f>IF(EV_Data4[[#This Row],[charging_speed_kw]]&gt;=250,"Ultra-Fast",IF(EV_Data4[[#This Row],[charging_speed_kw]]&gt;=150,"Fast-Charging","Standard-Charging"))</f>
        <v>Standard-Charging</v>
      </c>
      <c r="AF1057" t="str">
        <f>IF(EV_Data4[[#This Row],[acceleration_0_60_mph]]&lt;=3,"SportsPerformance",IF(EV_Data4[[#This Row],[acceleration_0_60_mph]]&lt;=5,"HighPerformance","Standard"))</f>
        <v>Standard</v>
      </c>
      <c r="AG1057" t="str">
        <f>IF(EV_Data4[[#This Row],[customer_rating]]&gt;=4.5,"Excellent",IF(EV_Data4[[#This Row],[customer_rating]]&gt;=3.5,"Good","Average"))</f>
        <v>Average</v>
      </c>
      <c r="AH105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58" spans="1:34" x14ac:dyDescent="0.3">
      <c r="A1058" t="s">
        <v>76</v>
      </c>
      <c r="B1058" t="s">
        <v>91</v>
      </c>
      <c r="C1058">
        <v>2022</v>
      </c>
      <c r="D1058" t="s">
        <v>33</v>
      </c>
      <c r="E1058" s="3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27</v>
      </c>
      <c r="N1058">
        <v>4</v>
      </c>
      <c r="O1058" t="s">
        <v>28</v>
      </c>
      <c r="P1058">
        <v>60.1</v>
      </c>
      <c r="Q1058">
        <v>2430</v>
      </c>
      <c r="R1058">
        <v>4</v>
      </c>
      <c r="S1058">
        <v>0</v>
      </c>
      <c r="T1058" t="s">
        <v>41</v>
      </c>
      <c r="U1058" t="s">
        <v>37</v>
      </c>
      <c r="V1058" s="3">
        <v>78104</v>
      </c>
      <c r="W1058">
        <v>3.41</v>
      </c>
      <c r="X1058">
        <v>4</v>
      </c>
      <c r="Y1058" s="1">
        <f>EV_Data4[[#This Row],[range_miles]]/EV_Data4[[#This Row],[battery_capacity_kwh]]</f>
        <v>4.0952380952380949</v>
      </c>
      <c r="Z1058" s="4">
        <f>EV_Data4[[#This Row],[price_usd]]/EV_Data4[[#This Row],[range_miles]]</f>
        <v>182.08274418604651</v>
      </c>
      <c r="AA1058" s="2">
        <f>(EV_Data4[[#This Row],[customer_rating]]*EV_Data4[[#This Row],[safety_rating]]*1000)/EV_Data4[[#This Row],[price_usd]]</f>
        <v>0.34842324432618033</v>
      </c>
      <c r="AB1058">
        <f>EV_Data4[[#This Row],[horsepower]]+EV_Data4[[#This Row],[torque_nm]]/EV_Data4[[#This Row],[acceleration_0_60_mph]]</f>
        <v>320.03690036900366</v>
      </c>
      <c r="AC1058" t="str">
        <f>IF(EV_Data4[[#This Row],[price_usd]]&gt;=80000,"Luxury",IF(EV_Data4[[#This Row],[price_usd]]&gt;=40000,"Mid-Range","Budget"))</f>
        <v>Budget</v>
      </c>
      <c r="AD1058" t="str">
        <f>IF(EV_Data4[[#This Row],[range_miles]]&gt;=350,"Long-Range",IF(EV_Data4[[#This Row],[range_miles]]&gt;=250,"Medium-Range","Short-Range"))</f>
        <v>Short-Range</v>
      </c>
      <c r="AE1058" t="str">
        <f>IF(EV_Data4[[#This Row],[charging_speed_kw]]&gt;=250,"Ultra-Fast",IF(EV_Data4[[#This Row],[charging_speed_kw]]&gt;=150,"Fast-Charging","Standard-Charging"))</f>
        <v>Standard-Charging</v>
      </c>
      <c r="AF1058" t="str">
        <f>IF(EV_Data4[[#This Row],[acceleration_0_60_mph]]&lt;=3,"SportsPerformance",IF(EV_Data4[[#This Row],[acceleration_0_60_mph]]&lt;=5,"HighPerformance","Standard"))</f>
        <v>Standard</v>
      </c>
      <c r="AG1058" t="str">
        <f>IF(EV_Data4[[#This Row],[customer_rating]]&gt;=4.5,"Excellent",IF(EV_Data4[[#This Row],[customer_rating]]&gt;=3.5,"Good","Average"))</f>
        <v>Average</v>
      </c>
      <c r="AH105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59" spans="1:34" x14ac:dyDescent="0.3">
      <c r="A1059" t="s">
        <v>24</v>
      </c>
      <c r="B1059" t="s">
        <v>85</v>
      </c>
      <c r="C1059">
        <v>2025</v>
      </c>
      <c r="D1059" t="s">
        <v>26</v>
      </c>
      <c r="E1059" s="3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27</v>
      </c>
      <c r="N1059">
        <v>5</v>
      </c>
      <c r="O1059" t="s">
        <v>35</v>
      </c>
      <c r="P1059">
        <v>39.5</v>
      </c>
      <c r="Q1059">
        <v>2045</v>
      </c>
      <c r="R1059">
        <v>5</v>
      </c>
      <c r="S1059">
        <v>0</v>
      </c>
      <c r="T1059" t="s">
        <v>29</v>
      </c>
      <c r="U1059" t="s">
        <v>37</v>
      </c>
      <c r="V1059" s="3">
        <v>248780</v>
      </c>
      <c r="W1059">
        <v>3.88</v>
      </c>
      <c r="X1059">
        <v>3</v>
      </c>
      <c r="Y1059" s="1">
        <f>EV_Data4[[#This Row],[range_miles]]/EV_Data4[[#This Row],[battery_capacity_kwh]]</f>
        <v>3.3188908145580589</v>
      </c>
      <c r="Z1059" s="4">
        <f>EV_Data4[[#This Row],[price_usd]]/EV_Data4[[#This Row],[range_miles]]</f>
        <v>136.62211488250651</v>
      </c>
      <c r="AA1059" s="2">
        <f>(EV_Data4[[#This Row],[customer_rating]]*EV_Data4[[#This Row],[safety_rating]]*1000)/EV_Data4[[#This Row],[price_usd]]</f>
        <v>0.37075067647665316</v>
      </c>
      <c r="AB1059">
        <f>EV_Data4[[#This Row],[horsepower]]+EV_Data4[[#This Row],[torque_nm]]/EV_Data4[[#This Row],[acceleration_0_60_mph]]</f>
        <v>654.82866043613706</v>
      </c>
      <c r="AC1059" t="str">
        <f>IF(EV_Data4[[#This Row],[price_usd]]&gt;=80000,"Luxury",IF(EV_Data4[[#This Row],[price_usd]]&gt;=40000,"Mid-Range","Budget"))</f>
        <v>Mid-Range</v>
      </c>
      <c r="AD1059" t="str">
        <f>IF(EV_Data4[[#This Row],[range_miles]]&gt;=350,"Long-Range",IF(EV_Data4[[#This Row],[range_miles]]&gt;=250,"Medium-Range","Short-Range"))</f>
        <v>Long-Range</v>
      </c>
      <c r="AE1059" t="str">
        <f>IF(EV_Data4[[#This Row],[charging_speed_kw]]&gt;=250,"Ultra-Fast",IF(EV_Data4[[#This Row],[charging_speed_kw]]&gt;=150,"Fast-Charging","Standard-Charging"))</f>
        <v>Fast-Charging</v>
      </c>
      <c r="AF1059" t="str">
        <f>IF(EV_Data4[[#This Row],[acceleration_0_60_mph]]&lt;=3,"SportsPerformance",IF(EV_Data4[[#This Row],[acceleration_0_60_mph]]&lt;=5,"HighPerformance","Standard"))</f>
        <v>HighPerformance</v>
      </c>
      <c r="AG1059" t="str">
        <f>IF(EV_Data4[[#This Row],[customer_rating]]&gt;=4.5,"Excellent",IF(EV_Data4[[#This Row],[customer_rating]]&gt;=3.5,"Good","Average"))</f>
        <v>Good</v>
      </c>
      <c r="AH105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60" spans="1:34" x14ac:dyDescent="0.3">
      <c r="A1060" t="s">
        <v>68</v>
      </c>
      <c r="B1060" t="s">
        <v>79</v>
      </c>
      <c r="C1060">
        <v>2026</v>
      </c>
      <c r="D1060" t="s">
        <v>33</v>
      </c>
      <c r="E1060" s="3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27</v>
      </c>
      <c r="N1060">
        <v>5</v>
      </c>
      <c r="O1060" t="s">
        <v>35</v>
      </c>
      <c r="P1060">
        <v>65.3</v>
      </c>
      <c r="Q1060">
        <v>1932</v>
      </c>
      <c r="R1060">
        <v>4</v>
      </c>
      <c r="S1060">
        <v>1</v>
      </c>
      <c r="T1060" t="s">
        <v>45</v>
      </c>
      <c r="U1060" t="s">
        <v>37</v>
      </c>
      <c r="V1060" s="3">
        <v>60140</v>
      </c>
      <c r="W1060">
        <v>3.56</v>
      </c>
      <c r="X1060">
        <v>4</v>
      </c>
      <c r="Y1060" s="1">
        <f>EV_Data4[[#This Row],[range_miles]]/EV_Data4[[#This Row],[battery_capacity_kwh]]</f>
        <v>4.0028089887640448</v>
      </c>
      <c r="Z1060" s="4">
        <f>EV_Data4[[#This Row],[price_usd]]/EV_Data4[[#This Row],[range_miles]]</f>
        <v>154.14112280701755</v>
      </c>
      <c r="AA1060" s="2">
        <f>(EV_Data4[[#This Row],[customer_rating]]*EV_Data4[[#This Row],[safety_rating]]*1000)/EV_Data4[[#This Row],[price_usd]]</f>
        <v>0.32415043676084482</v>
      </c>
      <c r="AB1060">
        <f>EV_Data4[[#This Row],[horsepower]]+EV_Data4[[#This Row],[torque_nm]]/EV_Data4[[#This Row],[acceleration_0_60_mph]]</f>
        <v>484.60110803324102</v>
      </c>
      <c r="AC1060" t="str">
        <f>IF(EV_Data4[[#This Row],[price_usd]]&gt;=80000,"Luxury",IF(EV_Data4[[#This Row],[price_usd]]&gt;=40000,"Mid-Range","Budget"))</f>
        <v>Mid-Range</v>
      </c>
      <c r="AD1060" t="str">
        <f>IF(EV_Data4[[#This Row],[range_miles]]&gt;=350,"Long-Range",IF(EV_Data4[[#This Row],[range_miles]]&gt;=250,"Medium-Range","Short-Range"))</f>
        <v>Medium-Range</v>
      </c>
      <c r="AE1060" t="str">
        <f>IF(EV_Data4[[#This Row],[charging_speed_kw]]&gt;=250,"Ultra-Fast",IF(EV_Data4[[#This Row],[charging_speed_kw]]&gt;=150,"Fast-Charging","Standard-Charging"))</f>
        <v>Standard-Charging</v>
      </c>
      <c r="AF1060" t="str">
        <f>IF(EV_Data4[[#This Row],[acceleration_0_60_mph]]&lt;=3,"SportsPerformance",IF(EV_Data4[[#This Row],[acceleration_0_60_mph]]&lt;=5,"HighPerformance","Standard"))</f>
        <v>Standard</v>
      </c>
      <c r="AG1060" t="str">
        <f>IF(EV_Data4[[#This Row],[customer_rating]]&gt;=4.5,"Excellent",IF(EV_Data4[[#This Row],[customer_rating]]&gt;=3.5,"Good","Average"))</f>
        <v>Good</v>
      </c>
      <c r="AH106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61" spans="1:34" x14ac:dyDescent="0.3">
      <c r="A1061" t="s">
        <v>83</v>
      </c>
      <c r="B1061" t="s">
        <v>114</v>
      </c>
      <c r="C1061">
        <v>2025</v>
      </c>
      <c r="D1061" t="s">
        <v>56</v>
      </c>
      <c r="E1061" s="3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48</v>
      </c>
      <c r="N1061">
        <v>5</v>
      </c>
      <c r="O1061" t="s">
        <v>35</v>
      </c>
      <c r="P1061">
        <v>36.299999999999997</v>
      </c>
      <c r="Q1061">
        <v>1984</v>
      </c>
      <c r="R1061">
        <v>4</v>
      </c>
      <c r="S1061">
        <v>2</v>
      </c>
      <c r="T1061" t="s">
        <v>29</v>
      </c>
      <c r="U1061" t="s">
        <v>33</v>
      </c>
      <c r="V1061" s="3">
        <v>78488</v>
      </c>
      <c r="W1061">
        <v>3.02</v>
      </c>
      <c r="X1061">
        <v>7</v>
      </c>
      <c r="Y1061" s="1">
        <f>EV_Data4[[#This Row],[range_miles]]/EV_Data4[[#This Row],[battery_capacity_kwh]]</f>
        <v>3.6660268714011517</v>
      </c>
      <c r="Z1061" s="4">
        <f>EV_Data4[[#This Row],[price_usd]]/EV_Data4[[#This Row],[range_miles]]</f>
        <v>357.38329842931938</v>
      </c>
      <c r="AA1061" s="2">
        <f>(EV_Data4[[#This Row],[customer_rating]]*EV_Data4[[#This Row],[safety_rating]]*1000)/EV_Data4[[#This Row],[price_usd]]</f>
        <v>0.17696986282345159</v>
      </c>
      <c r="AB1061">
        <f>EV_Data4[[#This Row],[horsepower]]+EV_Data4[[#This Row],[torque_nm]]/EV_Data4[[#This Row],[acceleration_0_60_mph]]</f>
        <v>455.07622504537204</v>
      </c>
      <c r="AC1061" t="str">
        <f>IF(EV_Data4[[#This Row],[price_usd]]&gt;=80000,"Luxury",IF(EV_Data4[[#This Row],[price_usd]]&gt;=40000,"Mid-Range","Budget"))</f>
        <v>Mid-Range</v>
      </c>
      <c r="AD1061" t="str">
        <f>IF(EV_Data4[[#This Row],[range_miles]]&gt;=350,"Long-Range",IF(EV_Data4[[#This Row],[range_miles]]&gt;=250,"Medium-Range","Short-Range"))</f>
        <v>Short-Range</v>
      </c>
      <c r="AE1061" t="str">
        <f>IF(EV_Data4[[#This Row],[charging_speed_kw]]&gt;=250,"Ultra-Fast",IF(EV_Data4[[#This Row],[charging_speed_kw]]&gt;=150,"Fast-Charging","Standard-Charging"))</f>
        <v>Standard-Charging</v>
      </c>
      <c r="AF1061" t="str">
        <f>IF(EV_Data4[[#This Row],[acceleration_0_60_mph]]&lt;=3,"SportsPerformance",IF(EV_Data4[[#This Row],[acceleration_0_60_mph]]&lt;=5,"HighPerformance","Standard"))</f>
        <v>Standard</v>
      </c>
      <c r="AG1061" t="str">
        <f>IF(EV_Data4[[#This Row],[customer_rating]]&gt;=4.5,"Excellent",IF(EV_Data4[[#This Row],[customer_rating]]&gt;=3.5,"Good","Average"))</f>
        <v>Average</v>
      </c>
      <c r="AH106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62" spans="1:34" x14ac:dyDescent="0.3">
      <c r="A1062" t="s">
        <v>86</v>
      </c>
      <c r="B1062" t="s">
        <v>87</v>
      </c>
      <c r="C1062">
        <v>2024</v>
      </c>
      <c r="D1062" t="s">
        <v>56</v>
      </c>
      <c r="E1062" s="3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34</v>
      </c>
      <c r="N1062">
        <v>5</v>
      </c>
      <c r="O1062" t="s">
        <v>58</v>
      </c>
      <c r="P1062">
        <v>36.5</v>
      </c>
      <c r="Q1062">
        <v>1500</v>
      </c>
      <c r="R1062">
        <v>4</v>
      </c>
      <c r="S1062">
        <v>1</v>
      </c>
      <c r="T1062" t="s">
        <v>29</v>
      </c>
      <c r="U1062" t="s">
        <v>33</v>
      </c>
      <c r="V1062" s="3">
        <v>24433</v>
      </c>
      <c r="W1062">
        <v>3.51</v>
      </c>
      <c r="X1062">
        <v>6</v>
      </c>
      <c r="Y1062" s="1">
        <f>EV_Data4[[#This Row],[range_miles]]/EV_Data4[[#This Row],[battery_capacity_kwh]]</f>
        <v>3.4437086092715234</v>
      </c>
      <c r="Z1062" s="4">
        <f>EV_Data4[[#This Row],[price_usd]]/EV_Data4[[#This Row],[range_miles]]</f>
        <v>414.63091346153846</v>
      </c>
      <c r="AA1062" s="2">
        <f>(EV_Data4[[#This Row],[customer_rating]]*EV_Data4[[#This Row],[safety_rating]]*1000)/EV_Data4[[#This Row],[price_usd]]</f>
        <v>0.16279538695385135</v>
      </c>
      <c r="AB1062">
        <f>EV_Data4[[#This Row],[horsepower]]+EV_Data4[[#This Row],[torque_nm]]/EV_Data4[[#This Row],[acceleration_0_60_mph]]</f>
        <v>621.69718309859149</v>
      </c>
      <c r="AC1062" t="str">
        <f>IF(EV_Data4[[#This Row],[price_usd]]&gt;=80000,"Luxury",IF(EV_Data4[[#This Row],[price_usd]]&gt;=40000,"Mid-Range","Budget"))</f>
        <v>Luxury</v>
      </c>
      <c r="AD1062" t="str">
        <f>IF(EV_Data4[[#This Row],[range_miles]]&gt;=350,"Long-Range",IF(EV_Data4[[#This Row],[range_miles]]&gt;=250,"Medium-Range","Short-Range"))</f>
        <v>Short-Range</v>
      </c>
      <c r="AE1062" t="str">
        <f>IF(EV_Data4[[#This Row],[charging_speed_kw]]&gt;=250,"Ultra-Fast",IF(EV_Data4[[#This Row],[charging_speed_kw]]&gt;=150,"Fast-Charging","Standard-Charging"))</f>
        <v>Standard-Charging</v>
      </c>
      <c r="AF1062" t="str">
        <f>IF(EV_Data4[[#This Row],[acceleration_0_60_mph]]&lt;=3,"SportsPerformance",IF(EV_Data4[[#This Row],[acceleration_0_60_mph]]&lt;=5,"HighPerformance","Standard"))</f>
        <v>Standard</v>
      </c>
      <c r="AG1062" t="str">
        <f>IF(EV_Data4[[#This Row],[customer_rating]]&gt;=4.5,"Excellent",IF(EV_Data4[[#This Row],[customer_rating]]&gt;=3.5,"Good","Average"))</f>
        <v>Good</v>
      </c>
      <c r="AH106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63" spans="1:34" x14ac:dyDescent="0.3">
      <c r="A1063" t="s">
        <v>134</v>
      </c>
      <c r="B1063">
        <v>2</v>
      </c>
      <c r="C1063">
        <v>2025</v>
      </c>
      <c r="D1063" t="s">
        <v>56</v>
      </c>
      <c r="E1063" s="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48</v>
      </c>
      <c r="N1063">
        <v>5</v>
      </c>
      <c r="O1063" t="s">
        <v>50</v>
      </c>
      <c r="P1063">
        <v>33.200000000000003</v>
      </c>
      <c r="Q1063">
        <v>1632</v>
      </c>
      <c r="R1063">
        <v>5</v>
      </c>
      <c r="S1063">
        <v>0</v>
      </c>
      <c r="T1063" t="s">
        <v>123</v>
      </c>
      <c r="U1063" t="s">
        <v>33</v>
      </c>
      <c r="V1063" s="3">
        <v>2292</v>
      </c>
      <c r="W1063">
        <v>3.52</v>
      </c>
      <c r="X1063">
        <v>4</v>
      </c>
      <c r="Y1063" s="1">
        <f>EV_Data4[[#This Row],[range_miles]]/EV_Data4[[#This Row],[battery_capacity_kwh]]</f>
        <v>3.7380191693290734</v>
      </c>
      <c r="Z1063" s="4">
        <f>EV_Data4[[#This Row],[price_usd]]/EV_Data4[[#This Row],[range_miles]]</f>
        <v>391.94760683760688</v>
      </c>
      <c r="AA1063" s="2">
        <f>(EV_Data4[[#This Row],[customer_rating]]*EV_Data4[[#This Row],[safety_rating]]*1000)/EV_Data4[[#This Row],[price_usd]]</f>
        <v>0.19189726866947809</v>
      </c>
      <c r="AB1063">
        <f>EV_Data4[[#This Row],[horsepower]]+EV_Data4[[#This Row],[torque_nm]]/EV_Data4[[#This Row],[acceleration_0_60_mph]]</f>
        <v>640.20064724919098</v>
      </c>
      <c r="AC1063" t="str">
        <f>IF(EV_Data4[[#This Row],[price_usd]]&gt;=80000,"Luxury",IF(EV_Data4[[#This Row],[price_usd]]&gt;=40000,"Mid-Range","Budget"))</f>
        <v>Luxury</v>
      </c>
      <c r="AD1063" t="str">
        <f>IF(EV_Data4[[#This Row],[range_miles]]&gt;=350,"Long-Range",IF(EV_Data4[[#This Row],[range_miles]]&gt;=250,"Medium-Range","Short-Range"))</f>
        <v>Short-Range</v>
      </c>
      <c r="AE1063" t="str">
        <f>IF(EV_Data4[[#This Row],[charging_speed_kw]]&gt;=250,"Ultra-Fast",IF(EV_Data4[[#This Row],[charging_speed_kw]]&gt;=150,"Fast-Charging","Standard-Charging"))</f>
        <v>Standard-Charging</v>
      </c>
      <c r="AF1063" t="str">
        <f>IF(EV_Data4[[#This Row],[acceleration_0_60_mph]]&lt;=3,"SportsPerformance",IF(EV_Data4[[#This Row],[acceleration_0_60_mph]]&lt;=5,"HighPerformance","Standard"))</f>
        <v>Standard</v>
      </c>
      <c r="AG1063" t="str">
        <f>IF(EV_Data4[[#This Row],[customer_rating]]&gt;=4.5,"Excellent",IF(EV_Data4[[#This Row],[customer_rating]]&gt;=3.5,"Good","Average"))</f>
        <v>Good</v>
      </c>
      <c r="AH106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64" spans="1:34" x14ac:dyDescent="0.3">
      <c r="A1064" t="s">
        <v>76</v>
      </c>
      <c r="B1064" t="s">
        <v>98</v>
      </c>
      <c r="C1064">
        <v>2025</v>
      </c>
      <c r="D1064" t="s">
        <v>56</v>
      </c>
      <c r="E1064" s="3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34</v>
      </c>
      <c r="N1064">
        <v>5</v>
      </c>
      <c r="O1064" t="s">
        <v>35</v>
      </c>
      <c r="P1064">
        <v>66.099999999999994</v>
      </c>
      <c r="Q1064">
        <v>2189</v>
      </c>
      <c r="R1064">
        <v>5</v>
      </c>
      <c r="S1064">
        <v>0</v>
      </c>
      <c r="T1064" t="s">
        <v>41</v>
      </c>
      <c r="U1064" t="s">
        <v>37</v>
      </c>
      <c r="V1064" s="3">
        <v>32117</v>
      </c>
      <c r="W1064">
        <v>3.32</v>
      </c>
      <c r="X1064">
        <v>4</v>
      </c>
      <c r="Y1064" s="1">
        <f>EV_Data4[[#This Row],[range_miles]]/EV_Data4[[#This Row],[battery_capacity_kwh]]</f>
        <v>3.2705479452054793</v>
      </c>
      <c r="Z1064" s="4">
        <f>EV_Data4[[#This Row],[price_usd]]/EV_Data4[[#This Row],[range_miles]]</f>
        <v>289.55141361256545</v>
      </c>
      <c r="AA1064" s="2">
        <f>(EV_Data4[[#This Row],[customer_rating]]*EV_Data4[[#This Row],[safety_rating]]*1000)/EV_Data4[[#This Row],[price_usd]]</f>
        <v>0.30015738372698547</v>
      </c>
      <c r="AB1064">
        <f>EV_Data4[[#This Row],[horsepower]]+EV_Data4[[#This Row],[torque_nm]]/EV_Data4[[#This Row],[acceleration_0_60_mph]]</f>
        <v>667.59203980099505</v>
      </c>
      <c r="AC1064" t="str">
        <f>IF(EV_Data4[[#This Row],[price_usd]]&gt;=80000,"Luxury",IF(EV_Data4[[#This Row],[price_usd]]&gt;=40000,"Mid-Range","Budget"))</f>
        <v>Mid-Range</v>
      </c>
      <c r="AD1064" t="str">
        <f>IF(EV_Data4[[#This Row],[range_miles]]&gt;=350,"Long-Range",IF(EV_Data4[[#This Row],[range_miles]]&gt;=250,"Medium-Range","Short-Range"))</f>
        <v>Short-Range</v>
      </c>
      <c r="AE1064" t="str">
        <f>IF(EV_Data4[[#This Row],[charging_speed_kw]]&gt;=250,"Ultra-Fast",IF(EV_Data4[[#This Row],[charging_speed_kw]]&gt;=150,"Fast-Charging","Standard-Charging"))</f>
        <v>Standard-Charging</v>
      </c>
      <c r="AF1064" t="str">
        <f>IF(EV_Data4[[#This Row],[acceleration_0_60_mph]]&lt;=3,"SportsPerformance",IF(EV_Data4[[#This Row],[acceleration_0_60_mph]]&lt;=5,"HighPerformance","Standard"))</f>
        <v>Standard</v>
      </c>
      <c r="AG1064" t="str">
        <f>IF(EV_Data4[[#This Row],[customer_rating]]&gt;=4.5,"Excellent",IF(EV_Data4[[#This Row],[customer_rating]]&gt;=3.5,"Good","Average"))</f>
        <v>Average</v>
      </c>
      <c r="AH106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65" spans="1:34" x14ac:dyDescent="0.3">
      <c r="A1065" t="s">
        <v>24</v>
      </c>
      <c r="B1065" t="s">
        <v>70</v>
      </c>
      <c r="C1065">
        <v>2024</v>
      </c>
      <c r="D1065" t="s">
        <v>44</v>
      </c>
      <c r="E1065" s="3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48</v>
      </c>
      <c r="N1065">
        <v>5</v>
      </c>
      <c r="O1065" t="s">
        <v>35</v>
      </c>
      <c r="P1065">
        <v>39.1</v>
      </c>
      <c r="Q1065">
        <v>1988</v>
      </c>
      <c r="R1065">
        <v>4</v>
      </c>
      <c r="S1065">
        <v>1</v>
      </c>
      <c r="T1065" t="s">
        <v>29</v>
      </c>
      <c r="U1065" t="s">
        <v>33</v>
      </c>
      <c r="V1065" s="3">
        <v>268234</v>
      </c>
      <c r="W1065">
        <v>3.88</v>
      </c>
      <c r="X1065">
        <v>4</v>
      </c>
      <c r="Y1065" s="1">
        <f>EV_Data4[[#This Row],[range_miles]]/EV_Data4[[#This Row],[battery_capacity_kwh]]</f>
        <v>3.451824134705332</v>
      </c>
      <c r="Z1065" s="4">
        <f>EV_Data4[[#This Row],[price_usd]]/EV_Data4[[#This Row],[range_miles]]</f>
        <v>183.39184281842819</v>
      </c>
      <c r="AA1065" s="2">
        <f>(EV_Data4[[#This Row],[customer_rating]]*EV_Data4[[#This Row],[safety_rating]]*1000)/EV_Data4[[#This Row],[price_usd]]</f>
        <v>0.22934291923686145</v>
      </c>
      <c r="AB1065">
        <f>EV_Data4[[#This Row],[horsepower]]+EV_Data4[[#This Row],[torque_nm]]/EV_Data4[[#This Row],[acceleration_0_60_mph]]</f>
        <v>834</v>
      </c>
      <c r="AC1065" t="str">
        <f>IF(EV_Data4[[#This Row],[price_usd]]&gt;=80000,"Luxury",IF(EV_Data4[[#This Row],[price_usd]]&gt;=40000,"Mid-Range","Budget"))</f>
        <v>Mid-Range</v>
      </c>
      <c r="AD1065" t="str">
        <f>IF(EV_Data4[[#This Row],[range_miles]]&gt;=350,"Long-Range",IF(EV_Data4[[#This Row],[range_miles]]&gt;=250,"Medium-Range","Short-Range"))</f>
        <v>Long-Range</v>
      </c>
      <c r="AE1065" t="str">
        <f>IF(EV_Data4[[#This Row],[charging_speed_kw]]&gt;=250,"Ultra-Fast",IF(EV_Data4[[#This Row],[charging_speed_kw]]&gt;=150,"Fast-Charging","Standard-Charging"))</f>
        <v>Standard-Charging</v>
      </c>
      <c r="AF1065" t="str">
        <f>IF(EV_Data4[[#This Row],[acceleration_0_60_mph]]&lt;=3,"SportsPerformance",IF(EV_Data4[[#This Row],[acceleration_0_60_mph]]&lt;=5,"HighPerformance","Standard"))</f>
        <v>Standard</v>
      </c>
      <c r="AG1065" t="str">
        <f>IF(EV_Data4[[#This Row],[customer_rating]]&gt;=4.5,"Excellent",IF(EV_Data4[[#This Row],[customer_rating]]&gt;=3.5,"Good","Average"))</f>
        <v>Good</v>
      </c>
      <c r="AH106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66" spans="1:34" x14ac:dyDescent="0.3">
      <c r="A1066" t="s">
        <v>24</v>
      </c>
      <c r="B1066" t="s">
        <v>74</v>
      </c>
      <c r="C1066">
        <v>2022</v>
      </c>
      <c r="D1066" t="s">
        <v>26</v>
      </c>
      <c r="E1066" s="3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48</v>
      </c>
      <c r="N1066">
        <v>5</v>
      </c>
      <c r="O1066" t="s">
        <v>35</v>
      </c>
      <c r="P1066">
        <v>62.6</v>
      </c>
      <c r="Q1066">
        <v>1513</v>
      </c>
      <c r="R1066">
        <v>4</v>
      </c>
      <c r="S1066">
        <v>1</v>
      </c>
      <c r="T1066" t="s">
        <v>29</v>
      </c>
      <c r="U1066" t="s">
        <v>37</v>
      </c>
      <c r="V1066" s="3">
        <v>219975</v>
      </c>
      <c r="W1066">
        <v>3.79</v>
      </c>
      <c r="X1066">
        <v>4</v>
      </c>
      <c r="Y1066" s="1">
        <f>EV_Data4[[#This Row],[range_miles]]/EV_Data4[[#This Row],[battery_capacity_kwh]]</f>
        <v>3.7</v>
      </c>
      <c r="Z1066" s="4">
        <f>EV_Data4[[#This Row],[price_usd]]/EV_Data4[[#This Row],[range_miles]]</f>
        <v>139.18486486486486</v>
      </c>
      <c r="AA1066" s="2">
        <f>(EV_Data4[[#This Row],[customer_rating]]*EV_Data4[[#This Row],[safety_rating]]*1000)/EV_Data4[[#This Row],[price_usd]]</f>
        <v>0.32708675307280316</v>
      </c>
      <c r="AB1066">
        <f>EV_Data4[[#This Row],[horsepower]]+EV_Data4[[#This Row],[torque_nm]]/EV_Data4[[#This Row],[acceleration_0_60_mph]]</f>
        <v>413.67479674796749</v>
      </c>
      <c r="AC1066" t="str">
        <f>IF(EV_Data4[[#This Row],[price_usd]]&gt;=80000,"Luxury",IF(EV_Data4[[#This Row],[price_usd]]&gt;=40000,"Mid-Range","Budget"))</f>
        <v>Mid-Range</v>
      </c>
      <c r="AD1066" t="str">
        <f>IF(EV_Data4[[#This Row],[range_miles]]&gt;=350,"Long-Range",IF(EV_Data4[[#This Row],[range_miles]]&gt;=250,"Medium-Range","Short-Range"))</f>
        <v>Medium-Range</v>
      </c>
      <c r="AE1066" t="str">
        <f>IF(EV_Data4[[#This Row],[charging_speed_kw]]&gt;=250,"Ultra-Fast",IF(EV_Data4[[#This Row],[charging_speed_kw]]&gt;=150,"Fast-Charging","Standard-Charging"))</f>
        <v>Fast-Charging</v>
      </c>
      <c r="AF1066" t="str">
        <f>IF(EV_Data4[[#This Row],[acceleration_0_60_mph]]&lt;=3,"SportsPerformance",IF(EV_Data4[[#This Row],[acceleration_0_60_mph]]&lt;=5,"HighPerformance","Standard"))</f>
        <v>HighPerformance</v>
      </c>
      <c r="AG1066" t="str">
        <f>IF(EV_Data4[[#This Row],[customer_rating]]&gt;=4.5,"Excellent",IF(EV_Data4[[#This Row],[customer_rating]]&gt;=3.5,"Good","Average"))</f>
        <v>Good</v>
      </c>
      <c r="AH106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67" spans="1:34" x14ac:dyDescent="0.3">
      <c r="A1067" t="s">
        <v>38</v>
      </c>
      <c r="B1067" t="s">
        <v>118</v>
      </c>
      <c r="C1067">
        <v>2023</v>
      </c>
      <c r="D1067" t="s">
        <v>33</v>
      </c>
      <c r="E1067" s="3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27</v>
      </c>
      <c r="N1067">
        <v>5</v>
      </c>
      <c r="O1067" t="s">
        <v>50</v>
      </c>
      <c r="P1067">
        <v>38.799999999999997</v>
      </c>
      <c r="Q1067">
        <v>1502</v>
      </c>
      <c r="R1067">
        <v>4</v>
      </c>
      <c r="S1067">
        <v>2</v>
      </c>
      <c r="T1067" t="s">
        <v>41</v>
      </c>
      <c r="U1067" t="s">
        <v>37</v>
      </c>
      <c r="V1067" s="3">
        <v>776</v>
      </c>
      <c r="W1067">
        <v>3.17</v>
      </c>
      <c r="X1067">
        <v>4</v>
      </c>
      <c r="Y1067" s="1">
        <f>EV_Data4[[#This Row],[range_miles]]/EV_Data4[[#This Row],[battery_capacity_kwh]]</f>
        <v>3.4634974533106964</v>
      </c>
      <c r="Z1067" s="4">
        <f>EV_Data4[[#This Row],[price_usd]]/EV_Data4[[#This Row],[range_miles]]</f>
        <v>204.46666666666664</v>
      </c>
      <c r="AA1067" s="2">
        <f>(EV_Data4[[#This Row],[customer_rating]]*EV_Data4[[#This Row],[safety_rating]]*1000)/EV_Data4[[#This Row],[price_usd]]</f>
        <v>0.30399509004775699</v>
      </c>
      <c r="AB1067">
        <f>EV_Data4[[#This Row],[horsepower]]+EV_Data4[[#This Row],[torque_nm]]/EV_Data4[[#This Row],[acceleration_0_60_mph]]</f>
        <v>423.76719576719574</v>
      </c>
      <c r="AC1067" t="str">
        <f>IF(EV_Data4[[#This Row],[price_usd]]&gt;=80000,"Luxury",IF(EV_Data4[[#This Row],[price_usd]]&gt;=40000,"Mid-Range","Budget"))</f>
        <v>Mid-Range</v>
      </c>
      <c r="AD1067" t="str">
        <f>IF(EV_Data4[[#This Row],[range_miles]]&gt;=350,"Long-Range",IF(EV_Data4[[#This Row],[range_miles]]&gt;=250,"Medium-Range","Short-Range"))</f>
        <v>Short-Range</v>
      </c>
      <c r="AE1067" t="str">
        <f>IF(EV_Data4[[#This Row],[charging_speed_kw]]&gt;=250,"Ultra-Fast",IF(EV_Data4[[#This Row],[charging_speed_kw]]&gt;=150,"Fast-Charging","Standard-Charging"))</f>
        <v>Standard-Charging</v>
      </c>
      <c r="AF1067" t="str">
        <f>IF(EV_Data4[[#This Row],[acceleration_0_60_mph]]&lt;=3,"SportsPerformance",IF(EV_Data4[[#This Row],[acceleration_0_60_mph]]&lt;=5,"HighPerformance","Standard"))</f>
        <v>Standard</v>
      </c>
      <c r="AG1067" t="str">
        <f>IF(EV_Data4[[#This Row],[customer_rating]]&gt;=4.5,"Excellent",IF(EV_Data4[[#This Row],[customer_rating]]&gt;=3.5,"Good","Average"))</f>
        <v>Average</v>
      </c>
      <c r="AH106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68" spans="1:34" x14ac:dyDescent="0.3">
      <c r="A1068" t="s">
        <v>63</v>
      </c>
      <c r="B1068" t="s">
        <v>67</v>
      </c>
      <c r="C1068">
        <v>2024</v>
      </c>
      <c r="D1068" t="s">
        <v>44</v>
      </c>
      <c r="E1068" s="3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48</v>
      </c>
      <c r="N1068">
        <v>5</v>
      </c>
      <c r="O1068" t="s">
        <v>40</v>
      </c>
      <c r="P1068">
        <v>77.099999999999994</v>
      </c>
      <c r="Q1068">
        <v>1540</v>
      </c>
      <c r="R1068">
        <v>5</v>
      </c>
      <c r="S1068">
        <v>2</v>
      </c>
      <c r="T1068" t="s">
        <v>65</v>
      </c>
      <c r="U1068" t="s">
        <v>33</v>
      </c>
      <c r="V1068" s="3">
        <v>111875</v>
      </c>
      <c r="W1068">
        <v>3.51</v>
      </c>
      <c r="X1068">
        <v>4</v>
      </c>
      <c r="Y1068" s="1">
        <f>EV_Data4[[#This Row],[range_miles]]/EV_Data4[[#This Row],[battery_capacity_kwh]]</f>
        <v>3.385416666666667</v>
      </c>
      <c r="Z1068" s="4">
        <f>EV_Data4[[#This Row],[price_usd]]/EV_Data4[[#This Row],[range_miles]]</f>
        <v>274.81488461538459</v>
      </c>
      <c r="AA1068" s="2">
        <f>(EV_Data4[[#This Row],[customer_rating]]*EV_Data4[[#This Row],[safety_rating]]*1000)/EV_Data4[[#This Row],[price_usd]]</f>
        <v>0.24561988370633264</v>
      </c>
      <c r="AB1068">
        <f>EV_Data4[[#This Row],[horsepower]]+EV_Data4[[#This Row],[torque_nm]]/EV_Data4[[#This Row],[acceleration_0_60_mph]]</f>
        <v>918.30821917808225</v>
      </c>
      <c r="AC1068" t="str">
        <f>IF(EV_Data4[[#This Row],[price_usd]]&gt;=80000,"Luxury",IF(EV_Data4[[#This Row],[price_usd]]&gt;=40000,"Mid-Range","Budget"))</f>
        <v>Mid-Range</v>
      </c>
      <c r="AD1068" t="str">
        <f>IF(EV_Data4[[#This Row],[range_miles]]&gt;=350,"Long-Range",IF(EV_Data4[[#This Row],[range_miles]]&gt;=250,"Medium-Range","Short-Range"))</f>
        <v>Medium-Range</v>
      </c>
      <c r="AE1068" t="str">
        <f>IF(EV_Data4[[#This Row],[charging_speed_kw]]&gt;=250,"Ultra-Fast",IF(EV_Data4[[#This Row],[charging_speed_kw]]&gt;=150,"Fast-Charging","Standard-Charging"))</f>
        <v>Standard-Charging</v>
      </c>
      <c r="AF1068" t="str">
        <f>IF(EV_Data4[[#This Row],[acceleration_0_60_mph]]&lt;=3,"SportsPerformance",IF(EV_Data4[[#This Row],[acceleration_0_60_mph]]&lt;=5,"HighPerformance","Standard"))</f>
        <v>Standard</v>
      </c>
      <c r="AG1068" t="str">
        <f>IF(EV_Data4[[#This Row],[customer_rating]]&gt;=4.5,"Excellent",IF(EV_Data4[[#This Row],[customer_rating]]&gt;=3.5,"Good","Average"))</f>
        <v>Good</v>
      </c>
      <c r="AH106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69" spans="1:34" x14ac:dyDescent="0.3">
      <c r="A1069" t="s">
        <v>46</v>
      </c>
      <c r="B1069" t="s">
        <v>72</v>
      </c>
      <c r="C1069">
        <v>2022</v>
      </c>
      <c r="D1069" t="s">
        <v>44</v>
      </c>
      <c r="E1069" s="3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34</v>
      </c>
      <c r="N1069">
        <v>7</v>
      </c>
      <c r="O1069" t="s">
        <v>28</v>
      </c>
      <c r="P1069">
        <v>78</v>
      </c>
      <c r="Q1069">
        <v>2513</v>
      </c>
      <c r="R1069">
        <v>5</v>
      </c>
      <c r="S1069">
        <v>3</v>
      </c>
      <c r="T1069" t="s">
        <v>41</v>
      </c>
      <c r="U1069" t="s">
        <v>30</v>
      </c>
      <c r="V1069" s="3">
        <v>161385</v>
      </c>
      <c r="W1069">
        <v>4.17</v>
      </c>
      <c r="X1069">
        <v>4</v>
      </c>
      <c r="Y1069" s="1">
        <f>EV_Data4[[#This Row],[range_miles]]/EV_Data4[[#This Row],[battery_capacity_kwh]]</f>
        <v>3.7008733624454151</v>
      </c>
      <c r="Z1069" s="4">
        <f>EV_Data4[[#This Row],[price_usd]]/EV_Data4[[#This Row],[range_miles]]</f>
        <v>321.9175516224189</v>
      </c>
      <c r="AA1069" s="2">
        <f>(EV_Data4[[#This Row],[customer_rating]]*EV_Data4[[#This Row],[safety_rating]]*1000)/EV_Data4[[#This Row],[price_usd]]</f>
        <v>0.19105645053768416</v>
      </c>
      <c r="AB1069">
        <f>EV_Data4[[#This Row],[horsepower]]+EV_Data4[[#This Row],[torque_nm]]/EV_Data4[[#This Row],[acceleration_0_60_mph]]</f>
        <v>837.96733212341201</v>
      </c>
      <c r="AC1069" t="str">
        <f>IF(EV_Data4[[#This Row],[price_usd]]&gt;=80000,"Luxury",IF(EV_Data4[[#This Row],[price_usd]]&gt;=40000,"Mid-Range","Budget"))</f>
        <v>Luxury</v>
      </c>
      <c r="AD1069" t="str">
        <f>IF(EV_Data4[[#This Row],[range_miles]]&gt;=350,"Long-Range",IF(EV_Data4[[#This Row],[range_miles]]&gt;=250,"Medium-Range","Short-Range"))</f>
        <v>Medium-Range</v>
      </c>
      <c r="AE1069" t="str">
        <f>IF(EV_Data4[[#This Row],[charging_speed_kw]]&gt;=250,"Ultra-Fast",IF(EV_Data4[[#This Row],[charging_speed_kw]]&gt;=150,"Fast-Charging","Standard-Charging"))</f>
        <v>Fast-Charging</v>
      </c>
      <c r="AF1069" t="str">
        <f>IF(EV_Data4[[#This Row],[acceleration_0_60_mph]]&lt;=3,"SportsPerformance",IF(EV_Data4[[#This Row],[acceleration_0_60_mph]]&lt;=5,"HighPerformance","Standard"))</f>
        <v>Standard</v>
      </c>
      <c r="AG1069" t="str">
        <f>IF(EV_Data4[[#This Row],[customer_rating]]&gt;=4.5,"Excellent",IF(EV_Data4[[#This Row],[customer_rating]]&gt;=3.5,"Good","Average"))</f>
        <v>Good</v>
      </c>
      <c r="AH1069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070" spans="1:34" x14ac:dyDescent="0.3">
      <c r="A1070" t="s">
        <v>63</v>
      </c>
      <c r="B1070" t="s">
        <v>96</v>
      </c>
      <c r="C1070">
        <v>2025</v>
      </c>
      <c r="D1070" t="s">
        <v>26</v>
      </c>
      <c r="E1070" s="3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48</v>
      </c>
      <c r="N1070">
        <v>7</v>
      </c>
      <c r="O1070" t="s">
        <v>40</v>
      </c>
      <c r="P1070">
        <v>77.2</v>
      </c>
      <c r="Q1070">
        <v>1897</v>
      </c>
      <c r="R1070">
        <v>5</v>
      </c>
      <c r="S1070">
        <v>2</v>
      </c>
      <c r="T1070" t="s">
        <v>65</v>
      </c>
      <c r="U1070" t="s">
        <v>66</v>
      </c>
      <c r="V1070" s="3">
        <v>180781</v>
      </c>
      <c r="W1070">
        <v>4.04</v>
      </c>
      <c r="X1070">
        <v>5</v>
      </c>
      <c r="Y1070" s="1">
        <f>EV_Data4[[#This Row],[range_miles]]/EV_Data4[[#This Row],[battery_capacity_kwh]]</f>
        <v>3.31</v>
      </c>
      <c r="Z1070" s="4">
        <f>EV_Data4[[#This Row],[price_usd]]/EV_Data4[[#This Row],[range_miles]]</f>
        <v>91.486737160120853</v>
      </c>
      <c r="AA1070" s="2">
        <f>(EV_Data4[[#This Row],[customer_rating]]*EV_Data4[[#This Row],[safety_rating]]*1000)/EV_Data4[[#This Row],[price_usd]]</f>
        <v>0.66706051857020532</v>
      </c>
      <c r="AB1070">
        <f>EV_Data4[[#This Row],[horsepower]]+EV_Data4[[#This Row],[torque_nm]]/EV_Data4[[#This Row],[acceleration_0_60_mph]]</f>
        <v>399.42471042471044</v>
      </c>
      <c r="AC1070" t="str">
        <f>IF(EV_Data4[[#This Row],[price_usd]]&gt;=80000,"Luxury",IF(EV_Data4[[#This Row],[price_usd]]&gt;=40000,"Mid-Range","Budget"))</f>
        <v>Budget</v>
      </c>
      <c r="AD1070" t="str">
        <f>IF(EV_Data4[[#This Row],[range_miles]]&gt;=350,"Long-Range",IF(EV_Data4[[#This Row],[range_miles]]&gt;=250,"Medium-Range","Short-Range"))</f>
        <v>Medium-Range</v>
      </c>
      <c r="AE1070" t="str">
        <f>IF(EV_Data4[[#This Row],[charging_speed_kw]]&gt;=250,"Ultra-Fast",IF(EV_Data4[[#This Row],[charging_speed_kw]]&gt;=150,"Fast-Charging","Standard-Charging"))</f>
        <v>Fast-Charging</v>
      </c>
      <c r="AF1070" t="str">
        <f>IF(EV_Data4[[#This Row],[acceleration_0_60_mph]]&lt;=3,"SportsPerformance",IF(EV_Data4[[#This Row],[acceleration_0_60_mph]]&lt;=5,"HighPerformance","Standard"))</f>
        <v>SportsPerformance</v>
      </c>
      <c r="AG1070" t="str">
        <f>IF(EV_Data4[[#This Row],[customer_rating]]&gt;=4.5,"Excellent",IF(EV_Data4[[#This Row],[customer_rating]]&gt;=3.5,"Good","Average"))</f>
        <v>Good</v>
      </c>
      <c r="AH107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71" spans="1:34" x14ac:dyDescent="0.3">
      <c r="A1071" t="s">
        <v>63</v>
      </c>
      <c r="B1071" t="s">
        <v>96</v>
      </c>
      <c r="C1071">
        <v>2025</v>
      </c>
      <c r="D1071" t="s">
        <v>61</v>
      </c>
      <c r="E1071" s="3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48</v>
      </c>
      <c r="N1071">
        <v>5</v>
      </c>
      <c r="O1071" t="s">
        <v>35</v>
      </c>
      <c r="P1071">
        <v>35.9</v>
      </c>
      <c r="Q1071">
        <v>1784</v>
      </c>
      <c r="R1071">
        <v>3</v>
      </c>
      <c r="S1071">
        <v>0</v>
      </c>
      <c r="T1071" t="s">
        <v>65</v>
      </c>
      <c r="U1071" t="s">
        <v>33</v>
      </c>
      <c r="V1071" s="3">
        <v>193467</v>
      </c>
      <c r="W1071">
        <v>3.4</v>
      </c>
      <c r="X1071">
        <v>5</v>
      </c>
      <c r="Y1071" s="1">
        <f>EV_Data4[[#This Row],[range_miles]]/EV_Data4[[#This Row],[battery_capacity_kwh]]</f>
        <v>3.8714285714285714</v>
      </c>
      <c r="Z1071" s="4">
        <f>EV_Data4[[#This Row],[price_usd]]/EV_Data4[[#This Row],[range_miles]]</f>
        <v>309.27446494464948</v>
      </c>
      <c r="AA1071" s="2">
        <f>(EV_Data4[[#This Row],[customer_rating]]*EV_Data4[[#This Row],[safety_rating]]*1000)/EV_Data4[[#This Row],[price_usd]]</f>
        <v>0.12169894592009056</v>
      </c>
      <c r="AB1071">
        <f>EV_Data4[[#This Row],[horsepower]]+EV_Data4[[#This Row],[torque_nm]]/EV_Data4[[#This Row],[acceleration_0_60_mph]]</f>
        <v>1124.9812734082398</v>
      </c>
      <c r="AC1071" t="str">
        <f>IF(EV_Data4[[#This Row],[price_usd]]&gt;=80000,"Luxury",IF(EV_Data4[[#This Row],[price_usd]]&gt;=40000,"Mid-Range","Budget"))</f>
        <v>Luxury</v>
      </c>
      <c r="AD1071" t="str">
        <f>IF(EV_Data4[[#This Row],[range_miles]]&gt;=350,"Long-Range",IF(EV_Data4[[#This Row],[range_miles]]&gt;=250,"Medium-Range","Short-Range"))</f>
        <v>Medium-Range</v>
      </c>
      <c r="AE1071" t="str">
        <f>IF(EV_Data4[[#This Row],[charging_speed_kw]]&gt;=250,"Ultra-Fast",IF(EV_Data4[[#This Row],[charging_speed_kw]]&gt;=150,"Fast-Charging","Standard-Charging"))</f>
        <v>Standard-Charging</v>
      </c>
      <c r="AF1071" t="str">
        <f>IF(EV_Data4[[#This Row],[acceleration_0_60_mph]]&lt;=3,"SportsPerformance",IF(EV_Data4[[#This Row],[acceleration_0_60_mph]]&lt;=5,"HighPerformance","Standard"))</f>
        <v>Standard</v>
      </c>
      <c r="AG1071" t="str">
        <f>IF(EV_Data4[[#This Row],[customer_rating]]&gt;=4.5,"Excellent",IF(EV_Data4[[#This Row],[customer_rating]]&gt;=3.5,"Good","Average"))</f>
        <v>Average</v>
      </c>
      <c r="AH107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72" spans="1:34" x14ac:dyDescent="0.3">
      <c r="A1072" t="s">
        <v>63</v>
      </c>
      <c r="B1072" t="s">
        <v>67</v>
      </c>
      <c r="C1072">
        <v>2022</v>
      </c>
      <c r="D1072" t="s">
        <v>44</v>
      </c>
      <c r="E1072" s="3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34</v>
      </c>
      <c r="N1072">
        <v>7</v>
      </c>
      <c r="O1072" t="s">
        <v>50</v>
      </c>
      <c r="P1072">
        <v>27.6</v>
      </c>
      <c r="Q1072">
        <v>1597</v>
      </c>
      <c r="R1072">
        <v>4</v>
      </c>
      <c r="S1072">
        <v>0</v>
      </c>
      <c r="T1072" t="s">
        <v>65</v>
      </c>
      <c r="U1072" t="s">
        <v>37</v>
      </c>
      <c r="V1072" s="3">
        <v>242445</v>
      </c>
      <c r="W1072">
        <v>3.57</v>
      </c>
      <c r="X1072">
        <v>3</v>
      </c>
      <c r="Y1072" s="1">
        <f>EV_Data4[[#This Row],[range_miles]]/EV_Data4[[#This Row],[battery_capacity_kwh]]</f>
        <v>3.4795613160518446</v>
      </c>
      <c r="Z1072" s="4">
        <f>EV_Data4[[#This Row],[price_usd]]/EV_Data4[[#This Row],[range_miles]]</f>
        <v>169.29601719197706</v>
      </c>
      <c r="AA1072" s="2">
        <f>(EV_Data4[[#This Row],[customer_rating]]*EV_Data4[[#This Row],[safety_rating]]*1000)/EV_Data4[[#This Row],[price_usd]]</f>
        <v>0.24168852949285521</v>
      </c>
      <c r="AB1072">
        <f>EV_Data4[[#This Row],[horsepower]]+EV_Data4[[#This Row],[torque_nm]]/EV_Data4[[#This Row],[acceleration_0_60_mph]]</f>
        <v>761.82897384305829</v>
      </c>
      <c r="AC1072" t="str">
        <f>IF(EV_Data4[[#This Row],[price_usd]]&gt;=80000,"Luxury",IF(EV_Data4[[#This Row],[price_usd]]&gt;=40000,"Mid-Range","Budget"))</f>
        <v>Mid-Range</v>
      </c>
      <c r="AD1072" t="str">
        <f>IF(EV_Data4[[#This Row],[range_miles]]&gt;=350,"Long-Range",IF(EV_Data4[[#This Row],[range_miles]]&gt;=250,"Medium-Range","Short-Range"))</f>
        <v>Medium-Range</v>
      </c>
      <c r="AE1072" t="str">
        <f>IF(EV_Data4[[#This Row],[charging_speed_kw]]&gt;=250,"Ultra-Fast",IF(EV_Data4[[#This Row],[charging_speed_kw]]&gt;=150,"Fast-Charging","Standard-Charging"))</f>
        <v>Standard-Charging</v>
      </c>
      <c r="AF1072" t="str">
        <f>IF(EV_Data4[[#This Row],[acceleration_0_60_mph]]&lt;=3,"SportsPerformance",IF(EV_Data4[[#This Row],[acceleration_0_60_mph]]&lt;=5,"HighPerformance","Standard"))</f>
        <v>HighPerformance</v>
      </c>
      <c r="AG1072" t="str">
        <f>IF(EV_Data4[[#This Row],[customer_rating]]&gt;=4.5,"Excellent",IF(EV_Data4[[#This Row],[customer_rating]]&gt;=3.5,"Good","Average"))</f>
        <v>Good</v>
      </c>
      <c r="AH107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73" spans="1:34" x14ac:dyDescent="0.3">
      <c r="A1073" t="s">
        <v>63</v>
      </c>
      <c r="B1073" t="s">
        <v>96</v>
      </c>
      <c r="C1073">
        <v>2021</v>
      </c>
      <c r="D1073" t="s">
        <v>26</v>
      </c>
      <c r="E1073" s="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48</v>
      </c>
      <c r="N1073">
        <v>5</v>
      </c>
      <c r="O1073" t="s">
        <v>51</v>
      </c>
      <c r="P1073">
        <v>24.5</v>
      </c>
      <c r="Q1073">
        <v>1505</v>
      </c>
      <c r="R1073">
        <v>4</v>
      </c>
      <c r="S1073">
        <v>1</v>
      </c>
      <c r="T1073" t="s">
        <v>65</v>
      </c>
      <c r="U1073" t="s">
        <v>37</v>
      </c>
      <c r="V1073" s="3">
        <v>213365</v>
      </c>
      <c r="W1073">
        <v>3.76</v>
      </c>
      <c r="X1073">
        <v>4</v>
      </c>
      <c r="Y1073" s="1">
        <f>EV_Data4[[#This Row],[range_miles]]/EV_Data4[[#This Row],[battery_capacity_kwh]]</f>
        <v>3.5802469135802468</v>
      </c>
      <c r="Z1073" s="4">
        <f>EV_Data4[[#This Row],[price_usd]]/EV_Data4[[#This Row],[range_miles]]</f>
        <v>126.39617816091955</v>
      </c>
      <c r="AA1073" s="2">
        <f>(EV_Data4[[#This Row],[customer_rating]]*EV_Data4[[#This Row],[safety_rating]]*1000)/EV_Data4[[#This Row],[price_usd]]</f>
        <v>0.34192798732865803</v>
      </c>
      <c r="AB1073">
        <f>EV_Data4[[#This Row],[horsepower]]+EV_Data4[[#This Row],[torque_nm]]/EV_Data4[[#This Row],[acceleration_0_60_mph]]</f>
        <v>602.15635179153094</v>
      </c>
      <c r="AC1073" t="str">
        <f>IF(EV_Data4[[#This Row],[price_usd]]&gt;=80000,"Luxury",IF(EV_Data4[[#This Row],[price_usd]]&gt;=40000,"Mid-Range","Budget"))</f>
        <v>Mid-Range</v>
      </c>
      <c r="AD1073" t="str">
        <f>IF(EV_Data4[[#This Row],[range_miles]]&gt;=350,"Long-Range",IF(EV_Data4[[#This Row],[range_miles]]&gt;=250,"Medium-Range","Short-Range"))</f>
        <v>Medium-Range</v>
      </c>
      <c r="AE1073" t="str">
        <f>IF(EV_Data4[[#This Row],[charging_speed_kw]]&gt;=250,"Ultra-Fast",IF(EV_Data4[[#This Row],[charging_speed_kw]]&gt;=150,"Fast-Charging","Standard-Charging"))</f>
        <v>Fast-Charging</v>
      </c>
      <c r="AF1073" t="str">
        <f>IF(EV_Data4[[#This Row],[acceleration_0_60_mph]]&lt;=3,"SportsPerformance",IF(EV_Data4[[#This Row],[acceleration_0_60_mph]]&lt;=5,"HighPerformance","Standard"))</f>
        <v>HighPerformance</v>
      </c>
      <c r="AG1073" t="str">
        <f>IF(EV_Data4[[#This Row],[customer_rating]]&gt;=4.5,"Excellent",IF(EV_Data4[[#This Row],[customer_rating]]&gt;=3.5,"Good","Average"))</f>
        <v>Good</v>
      </c>
      <c r="AH107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74" spans="1:34" x14ac:dyDescent="0.3">
      <c r="A1074" t="s">
        <v>46</v>
      </c>
      <c r="B1074" t="s">
        <v>49</v>
      </c>
      <c r="C1074">
        <v>2024</v>
      </c>
      <c r="D1074" t="s">
        <v>44</v>
      </c>
      <c r="E1074" s="3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34</v>
      </c>
      <c r="N1074">
        <v>5</v>
      </c>
      <c r="O1074" t="s">
        <v>51</v>
      </c>
      <c r="P1074">
        <v>34.299999999999997</v>
      </c>
      <c r="Q1074">
        <v>1663</v>
      </c>
      <c r="R1074">
        <v>5</v>
      </c>
      <c r="S1074">
        <v>2</v>
      </c>
      <c r="T1074" t="s">
        <v>41</v>
      </c>
      <c r="U1074" t="s">
        <v>30</v>
      </c>
      <c r="V1074" s="3">
        <v>473485</v>
      </c>
      <c r="W1074">
        <v>4.07</v>
      </c>
      <c r="X1074">
        <v>4</v>
      </c>
      <c r="Y1074" s="1">
        <f>EV_Data4[[#This Row],[range_miles]]/EV_Data4[[#This Row],[battery_capacity_kwh]]</f>
        <v>3.3465346534653464</v>
      </c>
      <c r="Z1074" s="4">
        <f>EV_Data4[[#This Row],[price_usd]]/EV_Data4[[#This Row],[range_miles]]</f>
        <v>338.90417159763314</v>
      </c>
      <c r="AA1074" s="2">
        <f>(EV_Data4[[#This Row],[customer_rating]]*EV_Data4[[#This Row],[safety_rating]]*1000)/EV_Data4[[#This Row],[price_usd]]</f>
        <v>0.17765228532860131</v>
      </c>
      <c r="AB1074">
        <f>EV_Data4[[#This Row],[horsepower]]+EV_Data4[[#This Row],[torque_nm]]/EV_Data4[[#This Row],[acceleration_0_60_mph]]</f>
        <v>972.60273972602738</v>
      </c>
      <c r="AC1074" t="str">
        <f>IF(EV_Data4[[#This Row],[price_usd]]&gt;=80000,"Luxury",IF(EV_Data4[[#This Row],[price_usd]]&gt;=40000,"Mid-Range","Budget"))</f>
        <v>Luxury</v>
      </c>
      <c r="AD1074" t="str">
        <f>IF(EV_Data4[[#This Row],[range_miles]]&gt;=350,"Long-Range",IF(EV_Data4[[#This Row],[range_miles]]&gt;=250,"Medium-Range","Short-Range"))</f>
        <v>Medium-Range</v>
      </c>
      <c r="AE1074" t="str">
        <f>IF(EV_Data4[[#This Row],[charging_speed_kw]]&gt;=250,"Ultra-Fast",IF(EV_Data4[[#This Row],[charging_speed_kw]]&gt;=150,"Fast-Charging","Standard-Charging"))</f>
        <v>Ultra-Fast</v>
      </c>
      <c r="AF1074" t="str">
        <f>IF(EV_Data4[[#This Row],[acceleration_0_60_mph]]&lt;=3,"SportsPerformance",IF(EV_Data4[[#This Row],[acceleration_0_60_mph]]&lt;=5,"HighPerformance","Standard"))</f>
        <v>HighPerformance</v>
      </c>
      <c r="AG1074" t="str">
        <f>IF(EV_Data4[[#This Row],[customer_rating]]&gt;=4.5,"Excellent",IF(EV_Data4[[#This Row],[customer_rating]]&gt;=3.5,"Good","Average"))</f>
        <v>Good</v>
      </c>
      <c r="AH107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75" spans="1:34" x14ac:dyDescent="0.3">
      <c r="A1075" t="s">
        <v>46</v>
      </c>
      <c r="B1075" t="s">
        <v>49</v>
      </c>
      <c r="C1075">
        <v>2025</v>
      </c>
      <c r="D1075" t="s">
        <v>26</v>
      </c>
      <c r="E1075" s="3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48</v>
      </c>
      <c r="N1075">
        <v>7</v>
      </c>
      <c r="O1075" t="s">
        <v>51</v>
      </c>
      <c r="P1075">
        <v>32.200000000000003</v>
      </c>
      <c r="Q1075">
        <v>1634</v>
      </c>
      <c r="R1075">
        <v>5</v>
      </c>
      <c r="S1075">
        <v>3</v>
      </c>
      <c r="T1075" t="s">
        <v>41</v>
      </c>
      <c r="U1075" t="s">
        <v>37</v>
      </c>
      <c r="V1075" s="3">
        <v>404935</v>
      </c>
      <c r="W1075">
        <v>3.92</v>
      </c>
      <c r="X1075">
        <v>5</v>
      </c>
      <c r="Y1075" s="1">
        <f>EV_Data4[[#This Row],[range_miles]]/EV_Data4[[#This Row],[battery_capacity_kwh]]</f>
        <v>3.4696132596685083</v>
      </c>
      <c r="Z1075" s="4">
        <f>EV_Data4[[#This Row],[price_usd]]/EV_Data4[[#This Row],[range_miles]]</f>
        <v>201.66614649681529</v>
      </c>
      <c r="AA1075" s="2">
        <f>(EV_Data4[[#This Row],[customer_rating]]*EV_Data4[[#This Row],[safety_rating]]*1000)/EV_Data4[[#This Row],[price_usd]]</f>
        <v>0.30952335456358232</v>
      </c>
      <c r="AB1075">
        <f>EV_Data4[[#This Row],[horsepower]]+EV_Data4[[#This Row],[torque_nm]]/EV_Data4[[#This Row],[acceleration_0_60_mph]]</f>
        <v>519.44134078212289</v>
      </c>
      <c r="AC1075" t="str">
        <f>IF(EV_Data4[[#This Row],[price_usd]]&gt;=80000,"Luxury",IF(EV_Data4[[#This Row],[price_usd]]&gt;=40000,"Mid-Range","Budget"))</f>
        <v>Mid-Range</v>
      </c>
      <c r="AD1075" t="str">
        <f>IF(EV_Data4[[#This Row],[range_miles]]&gt;=350,"Long-Range",IF(EV_Data4[[#This Row],[range_miles]]&gt;=250,"Medium-Range","Short-Range"))</f>
        <v>Medium-Range</v>
      </c>
      <c r="AE1075" t="str">
        <f>IF(EV_Data4[[#This Row],[charging_speed_kw]]&gt;=250,"Ultra-Fast",IF(EV_Data4[[#This Row],[charging_speed_kw]]&gt;=150,"Fast-Charging","Standard-Charging"))</f>
        <v>Ultra-Fast</v>
      </c>
      <c r="AF1075" t="str">
        <f>IF(EV_Data4[[#This Row],[acceleration_0_60_mph]]&lt;=3,"SportsPerformance",IF(EV_Data4[[#This Row],[acceleration_0_60_mph]]&lt;=5,"HighPerformance","Standard"))</f>
        <v>HighPerformance</v>
      </c>
      <c r="AG1075" t="str">
        <f>IF(EV_Data4[[#This Row],[customer_rating]]&gt;=4.5,"Excellent",IF(EV_Data4[[#This Row],[customer_rating]]&gt;=3.5,"Good","Average"))</f>
        <v>Good</v>
      </c>
      <c r="AH1075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076" spans="1:34" x14ac:dyDescent="0.3">
      <c r="A1076" t="s">
        <v>99</v>
      </c>
      <c r="B1076" t="s">
        <v>113</v>
      </c>
      <c r="C1076">
        <v>2024</v>
      </c>
      <c r="D1076" t="s">
        <v>33</v>
      </c>
      <c r="E1076" s="3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27</v>
      </c>
      <c r="N1076">
        <v>7</v>
      </c>
      <c r="O1076" t="s">
        <v>51</v>
      </c>
      <c r="P1076">
        <v>37.200000000000003</v>
      </c>
      <c r="Q1076">
        <v>1500</v>
      </c>
      <c r="R1076">
        <v>4</v>
      </c>
      <c r="S1076">
        <v>2</v>
      </c>
      <c r="T1076" t="s">
        <v>29</v>
      </c>
      <c r="U1076" t="s">
        <v>30</v>
      </c>
      <c r="V1076" s="3">
        <v>6555</v>
      </c>
      <c r="W1076">
        <v>3.83</v>
      </c>
      <c r="X1076">
        <v>7</v>
      </c>
      <c r="Y1076" s="1">
        <f>EV_Data4[[#This Row],[range_miles]]/EV_Data4[[#This Row],[battery_capacity_kwh]]</f>
        <v>3.2223903177004543</v>
      </c>
      <c r="Z1076" s="4">
        <f>EV_Data4[[#This Row],[price_usd]]/EV_Data4[[#This Row],[range_miles]]</f>
        <v>673.37112676056336</v>
      </c>
      <c r="AA1076" s="2">
        <f>(EV_Data4[[#This Row],[customer_rating]]*EV_Data4[[#This Row],[safety_rating]]*1000)/EV_Data4[[#This Row],[price_usd]]</f>
        <v>0.10681313731867652</v>
      </c>
      <c r="AB1076">
        <f>EV_Data4[[#This Row],[horsepower]]+EV_Data4[[#This Row],[torque_nm]]/EV_Data4[[#This Row],[acceleration_0_60_mph]]</f>
        <v>715.83697234352258</v>
      </c>
      <c r="AC1076" t="str">
        <f>IF(EV_Data4[[#This Row],[price_usd]]&gt;=80000,"Luxury",IF(EV_Data4[[#This Row],[price_usd]]&gt;=40000,"Mid-Range","Budget"))</f>
        <v>Luxury</v>
      </c>
      <c r="AD1076" t="str">
        <f>IF(EV_Data4[[#This Row],[range_miles]]&gt;=350,"Long-Range",IF(EV_Data4[[#This Row],[range_miles]]&gt;=250,"Medium-Range","Short-Range"))</f>
        <v>Short-Range</v>
      </c>
      <c r="AE1076" t="str">
        <f>IF(EV_Data4[[#This Row],[charging_speed_kw]]&gt;=250,"Ultra-Fast",IF(EV_Data4[[#This Row],[charging_speed_kw]]&gt;=150,"Fast-Charging","Standard-Charging"))</f>
        <v>Fast-Charging</v>
      </c>
      <c r="AF1076" t="str">
        <f>IF(EV_Data4[[#This Row],[acceleration_0_60_mph]]&lt;=3,"SportsPerformance",IF(EV_Data4[[#This Row],[acceleration_0_60_mph]]&lt;=5,"HighPerformance","Standard"))</f>
        <v>Standard</v>
      </c>
      <c r="AG1076" t="str">
        <f>IF(EV_Data4[[#This Row],[customer_rating]]&gt;=4.5,"Excellent",IF(EV_Data4[[#This Row],[customer_rating]]&gt;=3.5,"Good","Average"))</f>
        <v>Good</v>
      </c>
      <c r="AH107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77" spans="1:34" x14ac:dyDescent="0.3">
      <c r="A1077" t="s">
        <v>24</v>
      </c>
      <c r="B1077" t="s">
        <v>75</v>
      </c>
      <c r="C1077">
        <v>2023</v>
      </c>
      <c r="D1077" t="s">
        <v>33</v>
      </c>
      <c r="E1077" s="3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48</v>
      </c>
      <c r="N1077">
        <v>7</v>
      </c>
      <c r="O1077" t="s">
        <v>50</v>
      </c>
      <c r="P1077">
        <v>32</v>
      </c>
      <c r="Q1077">
        <v>1500</v>
      </c>
      <c r="R1077">
        <v>5</v>
      </c>
      <c r="S1077">
        <v>1</v>
      </c>
      <c r="T1077" t="s">
        <v>29</v>
      </c>
      <c r="U1077" t="s">
        <v>37</v>
      </c>
      <c r="V1077" s="3">
        <v>201954</v>
      </c>
      <c r="W1077">
        <v>3.3</v>
      </c>
      <c r="X1077">
        <v>3</v>
      </c>
      <c r="Y1077" s="1">
        <f>EV_Data4[[#This Row],[range_miles]]/EV_Data4[[#This Row],[battery_capacity_kwh]]</f>
        <v>3.5746606334841626</v>
      </c>
      <c r="Z1077" s="4">
        <f>EV_Data4[[#This Row],[price_usd]]/EV_Data4[[#This Row],[range_miles]]</f>
        <v>381.88367088607595</v>
      </c>
      <c r="AA1077" s="2">
        <f>(EV_Data4[[#This Row],[customer_rating]]*EV_Data4[[#This Row],[safety_rating]]*1000)/EV_Data4[[#This Row],[price_usd]]</f>
        <v>0.2734612336383172</v>
      </c>
      <c r="AB1077">
        <f>EV_Data4[[#This Row],[horsepower]]+EV_Data4[[#This Row],[torque_nm]]/EV_Data4[[#This Row],[acceleration_0_60_mph]]</f>
        <v>678.06338028169012</v>
      </c>
      <c r="AC1077" t="str">
        <f>IF(EV_Data4[[#This Row],[price_usd]]&gt;=80000,"Luxury",IF(EV_Data4[[#This Row],[price_usd]]&gt;=40000,"Mid-Range","Budget"))</f>
        <v>Mid-Range</v>
      </c>
      <c r="AD1077" t="str">
        <f>IF(EV_Data4[[#This Row],[range_miles]]&gt;=350,"Long-Range",IF(EV_Data4[[#This Row],[range_miles]]&gt;=250,"Medium-Range","Short-Range"))</f>
        <v>Short-Range</v>
      </c>
      <c r="AE1077" t="str">
        <f>IF(EV_Data4[[#This Row],[charging_speed_kw]]&gt;=250,"Ultra-Fast",IF(EV_Data4[[#This Row],[charging_speed_kw]]&gt;=150,"Fast-Charging","Standard-Charging"))</f>
        <v>Standard-Charging</v>
      </c>
      <c r="AF1077" t="str">
        <f>IF(EV_Data4[[#This Row],[acceleration_0_60_mph]]&lt;=3,"SportsPerformance",IF(EV_Data4[[#This Row],[acceleration_0_60_mph]]&lt;=5,"HighPerformance","Standard"))</f>
        <v>Standard</v>
      </c>
      <c r="AG1077" t="str">
        <f>IF(EV_Data4[[#This Row],[customer_rating]]&gt;=4.5,"Excellent",IF(EV_Data4[[#This Row],[customer_rating]]&gt;=3.5,"Good","Average"))</f>
        <v>Average</v>
      </c>
      <c r="AH107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78" spans="1:34" x14ac:dyDescent="0.3">
      <c r="A1078" t="s">
        <v>24</v>
      </c>
      <c r="B1078" t="s">
        <v>85</v>
      </c>
      <c r="C1078">
        <v>2023</v>
      </c>
      <c r="D1078" t="s">
        <v>33</v>
      </c>
      <c r="E1078" s="3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48</v>
      </c>
      <c r="N1078">
        <v>7</v>
      </c>
      <c r="O1078" t="s">
        <v>28</v>
      </c>
      <c r="P1078">
        <v>57.8</v>
      </c>
      <c r="Q1078">
        <v>2506</v>
      </c>
      <c r="R1078">
        <v>3</v>
      </c>
      <c r="S1078">
        <v>0</v>
      </c>
      <c r="T1078" t="s">
        <v>29</v>
      </c>
      <c r="U1078" t="s">
        <v>37</v>
      </c>
      <c r="V1078" s="3">
        <v>243991</v>
      </c>
      <c r="W1078">
        <v>3.26</v>
      </c>
      <c r="X1078">
        <v>4</v>
      </c>
      <c r="Y1078" s="1">
        <f>EV_Data4[[#This Row],[range_miles]]/EV_Data4[[#This Row],[battery_capacity_kwh]]</f>
        <v>3.3186490455212927</v>
      </c>
      <c r="Z1078" s="4">
        <f>EV_Data4[[#This Row],[price_usd]]/EV_Data4[[#This Row],[range_miles]]</f>
        <v>234.79884955752212</v>
      </c>
      <c r="AA1078" s="2">
        <f>(EV_Data4[[#This Row],[customer_rating]]*EV_Data4[[#This Row],[safety_rating]]*1000)/EV_Data4[[#This Row],[price_usd]]</f>
        <v>0.18430386845905006</v>
      </c>
      <c r="AB1078">
        <f>EV_Data4[[#This Row],[horsepower]]+EV_Data4[[#This Row],[torque_nm]]/EV_Data4[[#This Row],[acceleration_0_60_mph]]</f>
        <v>517.45557122708044</v>
      </c>
      <c r="AC1078" t="str">
        <f>IF(EV_Data4[[#This Row],[price_usd]]&gt;=80000,"Luxury",IF(EV_Data4[[#This Row],[price_usd]]&gt;=40000,"Mid-Range","Budget"))</f>
        <v>Mid-Range</v>
      </c>
      <c r="AD1078" t="str">
        <f>IF(EV_Data4[[#This Row],[range_miles]]&gt;=350,"Long-Range",IF(EV_Data4[[#This Row],[range_miles]]&gt;=250,"Medium-Range","Short-Range"))</f>
        <v>Short-Range</v>
      </c>
      <c r="AE1078" t="str">
        <f>IF(EV_Data4[[#This Row],[charging_speed_kw]]&gt;=250,"Ultra-Fast",IF(EV_Data4[[#This Row],[charging_speed_kw]]&gt;=150,"Fast-Charging","Standard-Charging"))</f>
        <v>Standard-Charging</v>
      </c>
      <c r="AF1078" t="str">
        <f>IF(EV_Data4[[#This Row],[acceleration_0_60_mph]]&lt;=3,"SportsPerformance",IF(EV_Data4[[#This Row],[acceleration_0_60_mph]]&lt;=5,"HighPerformance","Standard"))</f>
        <v>Standard</v>
      </c>
      <c r="AG1078" t="str">
        <f>IF(EV_Data4[[#This Row],[customer_rating]]&gt;=4.5,"Excellent",IF(EV_Data4[[#This Row],[customer_rating]]&gt;=3.5,"Good","Average"))</f>
        <v>Average</v>
      </c>
      <c r="AH107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79" spans="1:34" x14ac:dyDescent="0.3">
      <c r="A1079" t="s">
        <v>83</v>
      </c>
      <c r="B1079" t="s">
        <v>114</v>
      </c>
      <c r="C1079">
        <v>2022</v>
      </c>
      <c r="D1079" t="s">
        <v>26</v>
      </c>
      <c r="E1079" s="3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48</v>
      </c>
      <c r="N1079">
        <v>7</v>
      </c>
      <c r="O1079" t="s">
        <v>51</v>
      </c>
      <c r="P1079">
        <v>31.7</v>
      </c>
      <c r="Q1079">
        <v>1714</v>
      </c>
      <c r="R1079">
        <v>5</v>
      </c>
      <c r="S1079">
        <v>2</v>
      </c>
      <c r="T1079" t="s">
        <v>29</v>
      </c>
      <c r="U1079" t="s">
        <v>33</v>
      </c>
      <c r="V1079" s="3">
        <v>60959</v>
      </c>
      <c r="W1079">
        <v>3.29</v>
      </c>
      <c r="X1079">
        <v>5</v>
      </c>
      <c r="Y1079" s="1">
        <f>EV_Data4[[#This Row],[range_miles]]/EV_Data4[[#This Row],[battery_capacity_kwh]]</f>
        <v>3.4729729729729728</v>
      </c>
      <c r="Z1079" s="4">
        <f>EV_Data4[[#This Row],[price_usd]]/EV_Data4[[#This Row],[range_miles]]</f>
        <v>288.63245136186765</v>
      </c>
      <c r="AA1079" s="2">
        <f>(EV_Data4[[#This Row],[customer_rating]]*EV_Data4[[#This Row],[safety_rating]]*1000)/EV_Data4[[#This Row],[price_usd]]</f>
        <v>0.22176225091515689</v>
      </c>
      <c r="AB1079">
        <f>EV_Data4[[#This Row],[horsepower]]+EV_Data4[[#This Row],[torque_nm]]/EV_Data4[[#This Row],[acceleration_0_60_mph]]</f>
        <v>467.70426065162906</v>
      </c>
      <c r="AC1079" t="str">
        <f>IF(EV_Data4[[#This Row],[price_usd]]&gt;=80000,"Luxury",IF(EV_Data4[[#This Row],[price_usd]]&gt;=40000,"Mid-Range","Budget"))</f>
        <v>Mid-Range</v>
      </c>
      <c r="AD1079" t="str">
        <f>IF(EV_Data4[[#This Row],[range_miles]]&gt;=350,"Long-Range",IF(EV_Data4[[#This Row],[range_miles]]&gt;=250,"Medium-Range","Short-Range"))</f>
        <v>Medium-Range</v>
      </c>
      <c r="AE1079" t="str">
        <f>IF(EV_Data4[[#This Row],[charging_speed_kw]]&gt;=250,"Ultra-Fast",IF(EV_Data4[[#This Row],[charging_speed_kw]]&gt;=150,"Fast-Charging","Standard-Charging"))</f>
        <v>Fast-Charging</v>
      </c>
      <c r="AF1079" t="str">
        <f>IF(EV_Data4[[#This Row],[acceleration_0_60_mph]]&lt;=3,"SportsPerformance",IF(EV_Data4[[#This Row],[acceleration_0_60_mph]]&lt;=5,"HighPerformance","Standard"))</f>
        <v>HighPerformance</v>
      </c>
      <c r="AG1079" t="str">
        <f>IF(EV_Data4[[#This Row],[customer_rating]]&gt;=4.5,"Excellent",IF(EV_Data4[[#This Row],[customer_rating]]&gt;=3.5,"Good","Average"))</f>
        <v>Average</v>
      </c>
      <c r="AH107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80" spans="1:34" x14ac:dyDescent="0.3">
      <c r="A1080" t="s">
        <v>63</v>
      </c>
      <c r="B1080" t="s">
        <v>67</v>
      </c>
      <c r="C1080">
        <v>2025</v>
      </c>
      <c r="D1080" t="s">
        <v>44</v>
      </c>
      <c r="E1080" s="3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27</v>
      </c>
      <c r="N1080">
        <v>7</v>
      </c>
      <c r="O1080" t="s">
        <v>58</v>
      </c>
      <c r="P1080">
        <v>31.7</v>
      </c>
      <c r="Q1080">
        <v>1785</v>
      </c>
      <c r="R1080">
        <v>5</v>
      </c>
      <c r="S1080">
        <v>1</v>
      </c>
      <c r="T1080" t="s">
        <v>65</v>
      </c>
      <c r="U1080" t="s">
        <v>37</v>
      </c>
      <c r="V1080" s="3">
        <v>247778</v>
      </c>
      <c r="W1080">
        <v>3.61</v>
      </c>
      <c r="X1080">
        <v>3</v>
      </c>
      <c r="Y1080" s="1">
        <f>EV_Data4[[#This Row],[range_miles]]/EV_Data4[[#This Row],[battery_capacity_kwh]]</f>
        <v>3.3672431332655139</v>
      </c>
      <c r="Z1080" s="4">
        <f>EV_Data4[[#This Row],[price_usd]]/EV_Data4[[#This Row],[range_miles]]</f>
        <v>156.93676737160121</v>
      </c>
      <c r="AA1080" s="2">
        <f>(EV_Data4[[#This Row],[customer_rating]]*EV_Data4[[#This Row],[safety_rating]]*1000)/EV_Data4[[#This Row],[price_usd]]</f>
        <v>0.34747575706882156</v>
      </c>
      <c r="AB1080">
        <f>EV_Data4[[#This Row],[horsepower]]+EV_Data4[[#This Row],[torque_nm]]/EV_Data4[[#This Row],[acceleration_0_60_mph]]</f>
        <v>720.58620689655174</v>
      </c>
      <c r="AC1080" t="str">
        <f>IF(EV_Data4[[#This Row],[price_usd]]&gt;=80000,"Luxury",IF(EV_Data4[[#This Row],[price_usd]]&gt;=40000,"Mid-Range","Budget"))</f>
        <v>Mid-Range</v>
      </c>
      <c r="AD1080" t="str">
        <f>IF(EV_Data4[[#This Row],[range_miles]]&gt;=350,"Long-Range",IF(EV_Data4[[#This Row],[range_miles]]&gt;=250,"Medium-Range","Short-Range"))</f>
        <v>Medium-Range</v>
      </c>
      <c r="AE1080" t="str">
        <f>IF(EV_Data4[[#This Row],[charging_speed_kw]]&gt;=250,"Ultra-Fast",IF(EV_Data4[[#This Row],[charging_speed_kw]]&gt;=150,"Fast-Charging","Standard-Charging"))</f>
        <v>Standard-Charging</v>
      </c>
      <c r="AF1080" t="str">
        <f>IF(EV_Data4[[#This Row],[acceleration_0_60_mph]]&lt;=3,"SportsPerformance",IF(EV_Data4[[#This Row],[acceleration_0_60_mph]]&lt;=5,"HighPerformance","Standard"))</f>
        <v>HighPerformance</v>
      </c>
      <c r="AG1080" t="str">
        <f>IF(EV_Data4[[#This Row],[customer_rating]]&gt;=4.5,"Excellent",IF(EV_Data4[[#This Row],[customer_rating]]&gt;=3.5,"Good","Average"))</f>
        <v>Good</v>
      </c>
      <c r="AH108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81" spans="1:34" x14ac:dyDescent="0.3">
      <c r="A1081" t="s">
        <v>31</v>
      </c>
      <c r="B1081" t="s">
        <v>32</v>
      </c>
      <c r="C1081">
        <v>2024</v>
      </c>
      <c r="D1081" t="s">
        <v>44</v>
      </c>
      <c r="E1081" s="3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34</v>
      </c>
      <c r="N1081">
        <v>7</v>
      </c>
      <c r="O1081" t="s">
        <v>35</v>
      </c>
      <c r="P1081">
        <v>36.6</v>
      </c>
      <c r="Q1081">
        <v>2167</v>
      </c>
      <c r="R1081">
        <v>4</v>
      </c>
      <c r="S1081">
        <v>0</v>
      </c>
      <c r="T1081" t="s">
        <v>36</v>
      </c>
      <c r="U1081" t="s">
        <v>33</v>
      </c>
      <c r="V1081" s="3">
        <v>12454</v>
      </c>
      <c r="W1081">
        <v>3.6</v>
      </c>
      <c r="X1081">
        <v>4</v>
      </c>
      <c r="Y1081" s="1">
        <f>EV_Data4[[#This Row],[range_miles]]/EV_Data4[[#This Row],[battery_capacity_kwh]]</f>
        <v>3.6300578034682083</v>
      </c>
      <c r="Z1081" s="4">
        <f>EV_Data4[[#This Row],[price_usd]]/EV_Data4[[#This Row],[range_miles]]</f>
        <v>271.40646496815287</v>
      </c>
      <c r="AA1081" s="2">
        <f>(EV_Data4[[#This Row],[customer_rating]]*EV_Data4[[#This Row],[safety_rating]]*1000)/EV_Data4[[#This Row],[price_usd]]</f>
        <v>0.16897118724436508</v>
      </c>
      <c r="AB1081">
        <f>EV_Data4[[#This Row],[horsepower]]+EV_Data4[[#This Row],[torque_nm]]/EV_Data4[[#This Row],[acceleration_0_60_mph]]</f>
        <v>1191.4225941422594</v>
      </c>
      <c r="AC1081" t="str">
        <f>IF(EV_Data4[[#This Row],[price_usd]]&gt;=80000,"Luxury",IF(EV_Data4[[#This Row],[price_usd]]&gt;=40000,"Mid-Range","Budget"))</f>
        <v>Luxury</v>
      </c>
      <c r="AD1081" t="str">
        <f>IF(EV_Data4[[#This Row],[range_miles]]&gt;=350,"Long-Range",IF(EV_Data4[[#This Row],[range_miles]]&gt;=250,"Medium-Range","Short-Range"))</f>
        <v>Medium-Range</v>
      </c>
      <c r="AE1081" t="str">
        <f>IF(EV_Data4[[#This Row],[charging_speed_kw]]&gt;=250,"Ultra-Fast",IF(EV_Data4[[#This Row],[charging_speed_kw]]&gt;=150,"Fast-Charging","Standard-Charging"))</f>
        <v>Standard-Charging</v>
      </c>
      <c r="AF1081" t="str">
        <f>IF(EV_Data4[[#This Row],[acceleration_0_60_mph]]&lt;=3,"SportsPerformance",IF(EV_Data4[[#This Row],[acceleration_0_60_mph]]&lt;=5,"HighPerformance","Standard"))</f>
        <v>HighPerformance</v>
      </c>
      <c r="AG1081" t="str">
        <f>IF(EV_Data4[[#This Row],[customer_rating]]&gt;=4.5,"Excellent",IF(EV_Data4[[#This Row],[customer_rating]]&gt;=3.5,"Good","Average"))</f>
        <v>Good</v>
      </c>
      <c r="AH108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82" spans="1:34" x14ac:dyDescent="0.3">
      <c r="A1082" t="s">
        <v>76</v>
      </c>
      <c r="B1082" t="s">
        <v>81</v>
      </c>
      <c r="C1082">
        <v>2025</v>
      </c>
      <c r="D1082" t="s">
        <v>61</v>
      </c>
      <c r="E1082" s="3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34</v>
      </c>
      <c r="N1082">
        <v>7</v>
      </c>
      <c r="O1082" t="s">
        <v>50</v>
      </c>
      <c r="P1082">
        <v>27.8</v>
      </c>
      <c r="Q1082">
        <v>1523</v>
      </c>
      <c r="R1082">
        <v>5</v>
      </c>
      <c r="S1082">
        <v>1</v>
      </c>
      <c r="T1082" t="s">
        <v>41</v>
      </c>
      <c r="U1082" t="s">
        <v>37</v>
      </c>
      <c r="V1082" s="3">
        <v>41551</v>
      </c>
      <c r="W1082">
        <v>3.51</v>
      </c>
      <c r="X1082">
        <v>3</v>
      </c>
      <c r="Y1082" s="1">
        <f>EV_Data4[[#This Row],[range_miles]]/EV_Data4[[#This Row],[battery_capacity_kwh]]</f>
        <v>3.5983263598326358</v>
      </c>
      <c r="Z1082" s="4">
        <f>EV_Data4[[#This Row],[price_usd]]/EV_Data4[[#This Row],[range_miles]]</f>
        <v>173.32596899224805</v>
      </c>
      <c r="AA1082" s="2">
        <f>(EV_Data4[[#This Row],[customer_rating]]*EV_Data4[[#This Row],[safety_rating]]*1000)/EV_Data4[[#This Row],[price_usd]]</f>
        <v>0.39245853468729658</v>
      </c>
      <c r="AB1082">
        <f>EV_Data4[[#This Row],[horsepower]]+EV_Data4[[#This Row],[torque_nm]]/EV_Data4[[#This Row],[acceleration_0_60_mph]]</f>
        <v>434.82738095238096</v>
      </c>
      <c r="AC1082" t="str">
        <f>IF(EV_Data4[[#This Row],[price_usd]]&gt;=80000,"Luxury",IF(EV_Data4[[#This Row],[price_usd]]&gt;=40000,"Mid-Range","Budget"))</f>
        <v>Mid-Range</v>
      </c>
      <c r="AD1082" t="str">
        <f>IF(EV_Data4[[#This Row],[range_miles]]&gt;=350,"Long-Range",IF(EV_Data4[[#This Row],[range_miles]]&gt;=250,"Medium-Range","Short-Range"))</f>
        <v>Medium-Range</v>
      </c>
      <c r="AE1082" t="str">
        <f>IF(EV_Data4[[#This Row],[charging_speed_kw]]&gt;=250,"Ultra-Fast",IF(EV_Data4[[#This Row],[charging_speed_kw]]&gt;=150,"Fast-Charging","Standard-Charging"))</f>
        <v>Standard-Charging</v>
      </c>
      <c r="AF1082" t="str">
        <f>IF(EV_Data4[[#This Row],[acceleration_0_60_mph]]&lt;=3,"SportsPerformance",IF(EV_Data4[[#This Row],[acceleration_0_60_mph]]&lt;=5,"HighPerformance","Standard"))</f>
        <v>Standard</v>
      </c>
      <c r="AG1082" t="str">
        <f>IF(EV_Data4[[#This Row],[customer_rating]]&gt;=4.5,"Excellent",IF(EV_Data4[[#This Row],[customer_rating]]&gt;=3.5,"Good","Average"))</f>
        <v>Good</v>
      </c>
      <c r="AH108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83" spans="1:34" x14ac:dyDescent="0.3">
      <c r="A1083" t="s">
        <v>46</v>
      </c>
      <c r="B1083" t="s">
        <v>78</v>
      </c>
      <c r="C1083">
        <v>2024</v>
      </c>
      <c r="D1083" t="s">
        <v>33</v>
      </c>
      <c r="E1083" s="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48</v>
      </c>
      <c r="N1083">
        <v>7</v>
      </c>
      <c r="O1083" t="s">
        <v>50</v>
      </c>
      <c r="P1083">
        <v>37.6</v>
      </c>
      <c r="Q1083">
        <v>1576</v>
      </c>
      <c r="R1083">
        <v>5</v>
      </c>
      <c r="S1083">
        <v>2</v>
      </c>
      <c r="T1083" t="s">
        <v>41</v>
      </c>
      <c r="U1083" t="s">
        <v>37</v>
      </c>
      <c r="V1083" s="3">
        <v>103833</v>
      </c>
      <c r="W1083">
        <v>3.5</v>
      </c>
      <c r="X1083">
        <v>5</v>
      </c>
      <c r="Y1083" s="1">
        <f>EV_Data4[[#This Row],[range_miles]]/EV_Data4[[#This Row],[battery_capacity_kwh]]</f>
        <v>3.8528138528138527</v>
      </c>
      <c r="Z1083" s="4">
        <f>EV_Data4[[#This Row],[price_usd]]/EV_Data4[[#This Row],[range_miles]]</f>
        <v>321.97219101123596</v>
      </c>
      <c r="AA1083" s="2">
        <f>(EV_Data4[[#This Row],[customer_rating]]*EV_Data4[[#This Row],[safety_rating]]*1000)/EV_Data4[[#This Row],[price_usd]]</f>
        <v>0.30535123680337384</v>
      </c>
      <c r="AB1083">
        <f>EV_Data4[[#This Row],[horsepower]]+EV_Data4[[#This Row],[torque_nm]]/EV_Data4[[#This Row],[acceleration_0_60_mph]]</f>
        <v>425.32473444613049</v>
      </c>
      <c r="AC1083" t="str">
        <f>IF(EV_Data4[[#This Row],[price_usd]]&gt;=80000,"Luxury",IF(EV_Data4[[#This Row],[price_usd]]&gt;=40000,"Mid-Range","Budget"))</f>
        <v>Mid-Range</v>
      </c>
      <c r="AD1083" t="str">
        <f>IF(EV_Data4[[#This Row],[range_miles]]&gt;=350,"Long-Range",IF(EV_Data4[[#This Row],[range_miles]]&gt;=250,"Medium-Range","Short-Range"))</f>
        <v>Short-Range</v>
      </c>
      <c r="AE1083" t="str">
        <f>IF(EV_Data4[[#This Row],[charging_speed_kw]]&gt;=250,"Ultra-Fast",IF(EV_Data4[[#This Row],[charging_speed_kw]]&gt;=150,"Fast-Charging","Standard-Charging"))</f>
        <v>Fast-Charging</v>
      </c>
      <c r="AF1083" t="str">
        <f>IF(EV_Data4[[#This Row],[acceleration_0_60_mph]]&lt;=3,"SportsPerformance",IF(EV_Data4[[#This Row],[acceleration_0_60_mph]]&lt;=5,"HighPerformance","Standard"))</f>
        <v>Standard</v>
      </c>
      <c r="AG1083" t="str">
        <f>IF(EV_Data4[[#This Row],[customer_rating]]&gt;=4.5,"Excellent",IF(EV_Data4[[#This Row],[customer_rating]]&gt;=3.5,"Good","Average"))</f>
        <v>Good</v>
      </c>
      <c r="AH108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84" spans="1:34" x14ac:dyDescent="0.3">
      <c r="A1084" t="s">
        <v>24</v>
      </c>
      <c r="B1084" t="s">
        <v>75</v>
      </c>
      <c r="C1084">
        <v>2025</v>
      </c>
      <c r="D1084" t="s">
        <v>33</v>
      </c>
      <c r="E1084" s="3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27</v>
      </c>
      <c r="N1084">
        <v>7</v>
      </c>
      <c r="O1084" t="s">
        <v>28</v>
      </c>
      <c r="P1084">
        <v>79.8</v>
      </c>
      <c r="Q1084">
        <v>2658</v>
      </c>
      <c r="R1084">
        <v>4</v>
      </c>
      <c r="S1084">
        <v>1</v>
      </c>
      <c r="T1084" t="s">
        <v>29</v>
      </c>
      <c r="U1084" t="s">
        <v>30</v>
      </c>
      <c r="V1084" s="3">
        <v>225327</v>
      </c>
      <c r="W1084">
        <v>3.76</v>
      </c>
      <c r="X1084">
        <v>3</v>
      </c>
      <c r="Y1084" s="1">
        <f>EV_Data4[[#This Row],[range_miles]]/EV_Data4[[#This Row],[battery_capacity_kwh]]</f>
        <v>3.6576354679802954</v>
      </c>
      <c r="Z1084" s="4">
        <f>EV_Data4[[#This Row],[price_usd]]/EV_Data4[[#This Row],[range_miles]]</f>
        <v>379.80851851851855</v>
      </c>
      <c r="AA1084" s="2">
        <f>(EV_Data4[[#This Row],[customer_rating]]*EV_Data4[[#This Row],[safety_rating]]*1000)/EV_Data4[[#This Row],[price_usd]]</f>
        <v>0.13332963367239897</v>
      </c>
      <c r="AB1084">
        <f>EV_Data4[[#This Row],[horsepower]]+EV_Data4[[#This Row],[torque_nm]]/EV_Data4[[#This Row],[acceleration_0_60_mph]]</f>
        <v>1149.7520661157025</v>
      </c>
      <c r="AC1084" t="str">
        <f>IF(EV_Data4[[#This Row],[price_usd]]&gt;=80000,"Luxury",IF(EV_Data4[[#This Row],[price_usd]]&gt;=40000,"Mid-Range","Budget"))</f>
        <v>Luxury</v>
      </c>
      <c r="AD1084" t="str">
        <f>IF(EV_Data4[[#This Row],[range_miles]]&gt;=350,"Long-Range",IF(EV_Data4[[#This Row],[range_miles]]&gt;=250,"Medium-Range","Short-Range"))</f>
        <v>Medium-Range</v>
      </c>
      <c r="AE1084" t="str">
        <f>IF(EV_Data4[[#This Row],[charging_speed_kw]]&gt;=250,"Ultra-Fast",IF(EV_Data4[[#This Row],[charging_speed_kw]]&gt;=150,"Fast-Charging","Standard-Charging"))</f>
        <v>Standard-Charging</v>
      </c>
      <c r="AF1084" t="str">
        <f>IF(EV_Data4[[#This Row],[acceleration_0_60_mph]]&lt;=3,"SportsPerformance",IF(EV_Data4[[#This Row],[acceleration_0_60_mph]]&lt;=5,"HighPerformance","Standard"))</f>
        <v>Standard</v>
      </c>
      <c r="AG1084" t="str">
        <f>IF(EV_Data4[[#This Row],[customer_rating]]&gt;=4.5,"Excellent",IF(EV_Data4[[#This Row],[customer_rating]]&gt;=3.5,"Good","Average"))</f>
        <v>Good</v>
      </c>
      <c r="AH108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85" spans="1:34" x14ac:dyDescent="0.3">
      <c r="A1085" t="s">
        <v>86</v>
      </c>
      <c r="B1085" t="s">
        <v>87</v>
      </c>
      <c r="C1085">
        <v>2025</v>
      </c>
      <c r="D1085" t="s">
        <v>44</v>
      </c>
      <c r="E1085" s="3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34</v>
      </c>
      <c r="N1085">
        <v>7</v>
      </c>
      <c r="O1085" t="s">
        <v>58</v>
      </c>
      <c r="P1085">
        <v>22.8</v>
      </c>
      <c r="Q1085">
        <v>1500</v>
      </c>
      <c r="R1085">
        <v>4</v>
      </c>
      <c r="S1085">
        <v>2</v>
      </c>
      <c r="T1085" t="s">
        <v>29</v>
      </c>
      <c r="U1085" t="s">
        <v>30</v>
      </c>
      <c r="V1085" s="3">
        <v>38380</v>
      </c>
      <c r="W1085">
        <v>4.0199999999999996</v>
      </c>
      <c r="X1085">
        <v>8</v>
      </c>
      <c r="Y1085" s="1">
        <f>EV_Data4[[#This Row],[range_miles]]/EV_Data4[[#This Row],[battery_capacity_kwh]]</f>
        <v>3.4972677595628414</v>
      </c>
      <c r="Z1085" s="4">
        <f>EV_Data4[[#This Row],[price_usd]]/EV_Data4[[#This Row],[range_miles]]</f>
        <v>329.14833333333337</v>
      </c>
      <c r="AA1085" s="2">
        <f>(EV_Data4[[#This Row],[customer_rating]]*EV_Data4[[#This Row],[safety_rating]]*1000)/EV_Data4[[#This Row],[price_usd]]</f>
        <v>0.12722227567105002</v>
      </c>
      <c r="AB1085">
        <f>EV_Data4[[#This Row],[horsepower]]+EV_Data4[[#This Row],[torque_nm]]/EV_Data4[[#This Row],[acceleration_0_60_mph]]</f>
        <v>1165.9695817490494</v>
      </c>
      <c r="AC1085" t="str">
        <f>IF(EV_Data4[[#This Row],[price_usd]]&gt;=80000,"Luxury",IF(EV_Data4[[#This Row],[price_usd]]&gt;=40000,"Mid-Range","Budget"))</f>
        <v>Luxury</v>
      </c>
      <c r="AD1085" t="str">
        <f>IF(EV_Data4[[#This Row],[range_miles]]&gt;=350,"Long-Range",IF(EV_Data4[[#This Row],[range_miles]]&gt;=250,"Medium-Range","Short-Range"))</f>
        <v>Long-Range</v>
      </c>
      <c r="AE1085" t="str">
        <f>IF(EV_Data4[[#This Row],[charging_speed_kw]]&gt;=250,"Ultra-Fast",IF(EV_Data4[[#This Row],[charging_speed_kw]]&gt;=150,"Fast-Charging","Standard-Charging"))</f>
        <v>Standard-Charging</v>
      </c>
      <c r="AF1085" t="str">
        <f>IF(EV_Data4[[#This Row],[acceleration_0_60_mph]]&lt;=3,"SportsPerformance",IF(EV_Data4[[#This Row],[acceleration_0_60_mph]]&lt;=5,"HighPerformance","Standard"))</f>
        <v>Standard</v>
      </c>
      <c r="AG1085" t="str">
        <f>IF(EV_Data4[[#This Row],[customer_rating]]&gt;=4.5,"Excellent",IF(EV_Data4[[#This Row],[customer_rating]]&gt;=3.5,"Good","Average"))</f>
        <v>Good</v>
      </c>
      <c r="AH108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86" spans="1:34" x14ac:dyDescent="0.3">
      <c r="A1086" t="s">
        <v>31</v>
      </c>
      <c r="B1086" t="s">
        <v>32</v>
      </c>
      <c r="C1086">
        <v>2025</v>
      </c>
      <c r="D1086" t="s">
        <v>33</v>
      </c>
      <c r="E1086" s="3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48</v>
      </c>
      <c r="N1086">
        <v>7</v>
      </c>
      <c r="O1086" t="s">
        <v>35</v>
      </c>
      <c r="P1086">
        <v>39.299999999999997</v>
      </c>
      <c r="Q1086">
        <v>1681</v>
      </c>
      <c r="R1086">
        <v>5</v>
      </c>
      <c r="S1086">
        <v>0</v>
      </c>
      <c r="T1086" t="s">
        <v>36</v>
      </c>
      <c r="U1086" t="s">
        <v>33</v>
      </c>
      <c r="V1086" s="3">
        <v>12847</v>
      </c>
      <c r="W1086">
        <v>3.03</v>
      </c>
      <c r="X1086">
        <v>3</v>
      </c>
      <c r="Y1086" s="1">
        <f>EV_Data4[[#This Row],[range_miles]]/EV_Data4[[#This Row],[battery_capacity_kwh]]</f>
        <v>4.0695296523517381</v>
      </c>
      <c r="Z1086" s="4">
        <f>EV_Data4[[#This Row],[price_usd]]/EV_Data4[[#This Row],[range_miles]]</f>
        <v>399.79989949748739</v>
      </c>
      <c r="AA1086" s="2">
        <f>(EV_Data4[[#This Row],[customer_rating]]*EV_Data4[[#This Row],[safety_rating]]*1000)/EV_Data4[[#This Row],[price_usd]]</f>
        <v>0.19042189195650386</v>
      </c>
      <c r="AB1086">
        <f>EV_Data4[[#This Row],[horsepower]]+EV_Data4[[#This Row],[torque_nm]]/EV_Data4[[#This Row],[acceleration_0_60_mph]]</f>
        <v>1171.7228464419477</v>
      </c>
      <c r="AC1086" t="str">
        <f>IF(EV_Data4[[#This Row],[price_usd]]&gt;=80000,"Luxury",IF(EV_Data4[[#This Row],[price_usd]]&gt;=40000,"Mid-Range","Budget"))</f>
        <v>Mid-Range</v>
      </c>
      <c r="AD1086" t="str">
        <f>IF(EV_Data4[[#This Row],[range_miles]]&gt;=350,"Long-Range",IF(EV_Data4[[#This Row],[range_miles]]&gt;=250,"Medium-Range","Short-Range"))</f>
        <v>Short-Range</v>
      </c>
      <c r="AE1086" t="str">
        <f>IF(EV_Data4[[#This Row],[charging_speed_kw]]&gt;=250,"Ultra-Fast",IF(EV_Data4[[#This Row],[charging_speed_kw]]&gt;=150,"Fast-Charging","Standard-Charging"))</f>
        <v>Standard-Charging</v>
      </c>
      <c r="AF1086" t="str">
        <f>IF(EV_Data4[[#This Row],[acceleration_0_60_mph]]&lt;=3,"SportsPerformance",IF(EV_Data4[[#This Row],[acceleration_0_60_mph]]&lt;=5,"HighPerformance","Standard"))</f>
        <v>Standard</v>
      </c>
      <c r="AG1086" t="str">
        <f>IF(EV_Data4[[#This Row],[customer_rating]]&gt;=4.5,"Excellent",IF(EV_Data4[[#This Row],[customer_rating]]&gt;=3.5,"Good","Average"))</f>
        <v>Average</v>
      </c>
      <c r="AH108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87" spans="1:34" x14ac:dyDescent="0.3">
      <c r="A1087" t="s">
        <v>68</v>
      </c>
      <c r="B1087" t="s">
        <v>90</v>
      </c>
      <c r="C1087">
        <v>2025</v>
      </c>
      <c r="D1087" t="s">
        <v>26</v>
      </c>
      <c r="E1087" s="3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27</v>
      </c>
      <c r="N1087">
        <v>7</v>
      </c>
      <c r="O1087" t="s">
        <v>28</v>
      </c>
      <c r="P1087">
        <v>51.4</v>
      </c>
      <c r="Q1087">
        <v>2444</v>
      </c>
      <c r="R1087">
        <v>4</v>
      </c>
      <c r="S1087">
        <v>1</v>
      </c>
      <c r="T1087" t="s">
        <v>45</v>
      </c>
      <c r="U1087" t="s">
        <v>37</v>
      </c>
      <c r="V1087" s="3">
        <v>120189</v>
      </c>
      <c r="W1087">
        <v>3.68</v>
      </c>
      <c r="X1087">
        <v>3</v>
      </c>
      <c r="Y1087" s="1">
        <f>EV_Data4[[#This Row],[range_miles]]/EV_Data4[[#This Row],[battery_capacity_kwh]]</f>
        <v>3.3160621761658029</v>
      </c>
      <c r="Z1087" s="4">
        <f>EV_Data4[[#This Row],[price_usd]]/EV_Data4[[#This Row],[range_miles]]</f>
        <v>221.28300781249999</v>
      </c>
      <c r="AA1087" s="2">
        <f>(EV_Data4[[#This Row],[customer_rating]]*EV_Data4[[#This Row],[safety_rating]]*1000)/EV_Data4[[#This Row],[price_usd]]</f>
        <v>0.25984823944874047</v>
      </c>
      <c r="AB1087">
        <f>EV_Data4[[#This Row],[horsepower]]+EV_Data4[[#This Row],[torque_nm]]/EV_Data4[[#This Row],[acceleration_0_60_mph]]</f>
        <v>836.99348534201954</v>
      </c>
      <c r="AC1087" t="str">
        <f>IF(EV_Data4[[#This Row],[price_usd]]&gt;=80000,"Luxury",IF(EV_Data4[[#This Row],[price_usd]]&gt;=40000,"Mid-Range","Budget"))</f>
        <v>Mid-Range</v>
      </c>
      <c r="AD1087" t="str">
        <f>IF(EV_Data4[[#This Row],[range_miles]]&gt;=350,"Long-Range",IF(EV_Data4[[#This Row],[range_miles]]&gt;=250,"Medium-Range","Short-Range"))</f>
        <v>Medium-Range</v>
      </c>
      <c r="AE1087" t="str">
        <f>IF(EV_Data4[[#This Row],[charging_speed_kw]]&gt;=250,"Ultra-Fast",IF(EV_Data4[[#This Row],[charging_speed_kw]]&gt;=150,"Fast-Charging","Standard-Charging"))</f>
        <v>Fast-Charging</v>
      </c>
      <c r="AF1087" t="str">
        <f>IF(EV_Data4[[#This Row],[acceleration_0_60_mph]]&lt;=3,"SportsPerformance",IF(EV_Data4[[#This Row],[acceleration_0_60_mph]]&lt;=5,"HighPerformance","Standard"))</f>
        <v>HighPerformance</v>
      </c>
      <c r="AG1087" t="str">
        <f>IF(EV_Data4[[#This Row],[customer_rating]]&gt;=4.5,"Excellent",IF(EV_Data4[[#This Row],[customer_rating]]&gt;=3.5,"Good","Average"))</f>
        <v>Good</v>
      </c>
      <c r="AH108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88" spans="1:34" x14ac:dyDescent="0.3">
      <c r="A1088" t="s">
        <v>42</v>
      </c>
      <c r="B1088" t="s">
        <v>80</v>
      </c>
      <c r="C1088">
        <v>2026</v>
      </c>
      <c r="D1088" t="s">
        <v>44</v>
      </c>
      <c r="E1088" s="3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34</v>
      </c>
      <c r="N1088">
        <v>5</v>
      </c>
      <c r="O1088" t="s">
        <v>35</v>
      </c>
      <c r="P1088">
        <v>66</v>
      </c>
      <c r="Q1088">
        <v>1880</v>
      </c>
      <c r="R1088">
        <v>5</v>
      </c>
      <c r="S1088">
        <v>1</v>
      </c>
      <c r="T1088" t="s">
        <v>45</v>
      </c>
      <c r="U1088" t="s">
        <v>33</v>
      </c>
      <c r="V1088" s="3">
        <v>136116</v>
      </c>
      <c r="W1088">
        <v>3.29</v>
      </c>
      <c r="X1088">
        <v>3</v>
      </c>
      <c r="Y1088" s="1">
        <f>EV_Data4[[#This Row],[range_miles]]/EV_Data4[[#This Row],[battery_capacity_kwh]]</f>
        <v>3.2292917166866748</v>
      </c>
      <c r="Z1088" s="4">
        <f>EV_Data4[[#This Row],[price_usd]]/EV_Data4[[#This Row],[range_miles]]</f>
        <v>254.9804460966543</v>
      </c>
      <c r="AA1088" s="2">
        <f>(EV_Data4[[#This Row],[customer_rating]]*EV_Data4[[#This Row],[safety_rating]]*1000)/EV_Data4[[#This Row],[price_usd]]</f>
        <v>0.23983178825287862</v>
      </c>
      <c r="AB1088">
        <f>EV_Data4[[#This Row],[horsepower]]+EV_Data4[[#This Row],[torque_nm]]/EV_Data4[[#This Row],[acceleration_0_60_mph]]</f>
        <v>948.53465346534654</v>
      </c>
      <c r="AC1088" t="str">
        <f>IF(EV_Data4[[#This Row],[price_usd]]&gt;=80000,"Luxury",IF(EV_Data4[[#This Row],[price_usd]]&gt;=40000,"Mid-Range","Budget"))</f>
        <v>Mid-Range</v>
      </c>
      <c r="AD1088" t="str">
        <f>IF(EV_Data4[[#This Row],[range_miles]]&gt;=350,"Long-Range",IF(EV_Data4[[#This Row],[range_miles]]&gt;=250,"Medium-Range","Short-Range"))</f>
        <v>Medium-Range</v>
      </c>
      <c r="AE1088" t="str">
        <f>IF(EV_Data4[[#This Row],[charging_speed_kw]]&gt;=250,"Ultra-Fast",IF(EV_Data4[[#This Row],[charging_speed_kw]]&gt;=150,"Fast-Charging","Standard-Charging"))</f>
        <v>Standard-Charging</v>
      </c>
      <c r="AF1088" t="str">
        <f>IF(EV_Data4[[#This Row],[acceleration_0_60_mph]]&lt;=3,"SportsPerformance",IF(EV_Data4[[#This Row],[acceleration_0_60_mph]]&lt;=5,"HighPerformance","Standard"))</f>
        <v>HighPerformance</v>
      </c>
      <c r="AG1088" t="str">
        <f>IF(EV_Data4[[#This Row],[customer_rating]]&gt;=4.5,"Excellent",IF(EV_Data4[[#This Row],[customer_rating]]&gt;=3.5,"Good","Average"))</f>
        <v>Average</v>
      </c>
      <c r="AH108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89" spans="1:34" x14ac:dyDescent="0.3">
      <c r="A1089" t="s">
        <v>46</v>
      </c>
      <c r="B1089" t="s">
        <v>49</v>
      </c>
      <c r="C1089">
        <v>2025</v>
      </c>
      <c r="D1089" t="s">
        <v>33</v>
      </c>
      <c r="E1089" s="3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27</v>
      </c>
      <c r="N1089">
        <v>5</v>
      </c>
      <c r="O1089" t="s">
        <v>35</v>
      </c>
      <c r="P1089">
        <v>40</v>
      </c>
      <c r="Q1089">
        <v>1955</v>
      </c>
      <c r="R1089">
        <v>4</v>
      </c>
      <c r="S1089">
        <v>2</v>
      </c>
      <c r="T1089" t="s">
        <v>41</v>
      </c>
      <c r="U1089" t="s">
        <v>30</v>
      </c>
      <c r="V1089" s="3">
        <v>433007</v>
      </c>
      <c r="W1089">
        <v>3.92</v>
      </c>
      <c r="X1089">
        <v>5</v>
      </c>
      <c r="Y1089" s="1">
        <f>EV_Data4[[#This Row],[range_miles]]/EV_Data4[[#This Row],[battery_capacity_kwh]]</f>
        <v>4.048</v>
      </c>
      <c r="Z1089" s="4">
        <f>EV_Data4[[#This Row],[price_usd]]/EV_Data4[[#This Row],[range_miles]]</f>
        <v>499.39462450592885</v>
      </c>
      <c r="AA1089" s="2">
        <f>(EV_Data4[[#This Row],[customer_rating]]*EV_Data4[[#This Row],[safety_rating]]*1000)/EV_Data4[[#This Row],[price_usd]]</f>
        <v>0.12410282679012788</v>
      </c>
      <c r="AB1089">
        <f>EV_Data4[[#This Row],[horsepower]]+EV_Data4[[#This Row],[torque_nm]]/EV_Data4[[#This Row],[acceleration_0_60_mph]]</f>
        <v>1004.0919540229885</v>
      </c>
      <c r="AC1089" t="str">
        <f>IF(EV_Data4[[#This Row],[price_usd]]&gt;=80000,"Luxury",IF(EV_Data4[[#This Row],[price_usd]]&gt;=40000,"Mid-Range","Budget"))</f>
        <v>Luxury</v>
      </c>
      <c r="AD1089" t="str">
        <f>IF(EV_Data4[[#This Row],[range_miles]]&gt;=350,"Long-Range",IF(EV_Data4[[#This Row],[range_miles]]&gt;=250,"Medium-Range","Short-Range"))</f>
        <v>Medium-Range</v>
      </c>
      <c r="AE1089" t="str">
        <f>IF(EV_Data4[[#This Row],[charging_speed_kw]]&gt;=250,"Ultra-Fast",IF(EV_Data4[[#This Row],[charging_speed_kw]]&gt;=150,"Fast-Charging","Standard-Charging"))</f>
        <v>Ultra-Fast</v>
      </c>
      <c r="AF1089" t="str">
        <f>IF(EV_Data4[[#This Row],[acceleration_0_60_mph]]&lt;=3,"SportsPerformance",IF(EV_Data4[[#This Row],[acceleration_0_60_mph]]&lt;=5,"HighPerformance","Standard"))</f>
        <v>Standard</v>
      </c>
      <c r="AG1089" t="str">
        <f>IF(EV_Data4[[#This Row],[customer_rating]]&gt;=4.5,"Excellent",IF(EV_Data4[[#This Row],[customer_rating]]&gt;=3.5,"Good","Average"))</f>
        <v>Good</v>
      </c>
      <c r="AH108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90" spans="1:34" x14ac:dyDescent="0.3">
      <c r="A1090" t="s">
        <v>121</v>
      </c>
      <c r="B1090" t="s">
        <v>137</v>
      </c>
      <c r="C1090">
        <v>2025</v>
      </c>
      <c r="D1090" t="s">
        <v>44</v>
      </c>
      <c r="E1090" s="3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34</v>
      </c>
      <c r="N1090">
        <v>5</v>
      </c>
      <c r="O1090" t="s">
        <v>40</v>
      </c>
      <c r="P1090">
        <v>70.099999999999994</v>
      </c>
      <c r="Q1090">
        <v>1500</v>
      </c>
      <c r="R1090">
        <v>5</v>
      </c>
      <c r="S1090">
        <v>0</v>
      </c>
      <c r="T1090" t="s">
        <v>123</v>
      </c>
      <c r="U1090" t="s">
        <v>33</v>
      </c>
      <c r="V1090" s="3">
        <v>9072</v>
      </c>
      <c r="W1090">
        <v>4</v>
      </c>
      <c r="X1090">
        <v>5</v>
      </c>
      <c r="Y1090" s="1">
        <f>EV_Data4[[#This Row],[range_miles]]/EV_Data4[[#This Row],[battery_capacity_kwh]]</f>
        <v>3.6967294350842415</v>
      </c>
      <c r="Z1090" s="4">
        <f>EV_Data4[[#This Row],[price_usd]]/EV_Data4[[#This Row],[range_miles]]</f>
        <v>213.04289544235925</v>
      </c>
      <c r="AA1090" s="2">
        <f>(EV_Data4[[#This Row],[customer_rating]]*EV_Data4[[#This Row],[safety_rating]]*1000)/EV_Data4[[#This Row],[price_usd]]</f>
        <v>0.25168313093814887</v>
      </c>
      <c r="AB1090">
        <f>EV_Data4[[#This Row],[horsepower]]+EV_Data4[[#This Row],[torque_nm]]/EV_Data4[[#This Row],[acceleration_0_60_mph]]</f>
        <v>728.85344827586209</v>
      </c>
      <c r="AC1090" t="str">
        <f>IF(EV_Data4[[#This Row],[price_usd]]&gt;=80000,"Luxury",IF(EV_Data4[[#This Row],[price_usd]]&gt;=40000,"Mid-Range","Budget"))</f>
        <v>Mid-Range</v>
      </c>
      <c r="AD1090" t="str">
        <f>IF(EV_Data4[[#This Row],[range_miles]]&gt;=350,"Long-Range",IF(EV_Data4[[#This Row],[range_miles]]&gt;=250,"Medium-Range","Short-Range"))</f>
        <v>Long-Range</v>
      </c>
      <c r="AE1090" t="str">
        <f>IF(EV_Data4[[#This Row],[charging_speed_kw]]&gt;=250,"Ultra-Fast",IF(EV_Data4[[#This Row],[charging_speed_kw]]&gt;=150,"Fast-Charging","Standard-Charging"))</f>
        <v>Standard-Charging</v>
      </c>
      <c r="AF1090" t="str">
        <f>IF(EV_Data4[[#This Row],[acceleration_0_60_mph]]&lt;=3,"SportsPerformance",IF(EV_Data4[[#This Row],[acceleration_0_60_mph]]&lt;=5,"HighPerformance","Standard"))</f>
        <v>HighPerformance</v>
      </c>
      <c r="AG1090" t="str">
        <f>IF(EV_Data4[[#This Row],[customer_rating]]&gt;=4.5,"Excellent",IF(EV_Data4[[#This Row],[customer_rating]]&gt;=3.5,"Good","Average"))</f>
        <v>Good</v>
      </c>
      <c r="AH109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91" spans="1:34" x14ac:dyDescent="0.3">
      <c r="A1091" t="s">
        <v>63</v>
      </c>
      <c r="B1091" t="s">
        <v>107</v>
      </c>
      <c r="C1091">
        <v>2022</v>
      </c>
      <c r="D1091" t="s">
        <v>56</v>
      </c>
      <c r="E1091" s="3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27</v>
      </c>
      <c r="N1091">
        <v>5</v>
      </c>
      <c r="O1091" t="s">
        <v>40</v>
      </c>
      <c r="P1091">
        <v>75.599999999999994</v>
      </c>
      <c r="Q1091">
        <v>1639</v>
      </c>
      <c r="R1091">
        <v>5</v>
      </c>
      <c r="S1091">
        <v>0</v>
      </c>
      <c r="T1091" t="s">
        <v>65</v>
      </c>
      <c r="U1091" t="s">
        <v>37</v>
      </c>
      <c r="V1091" s="3">
        <v>122452</v>
      </c>
      <c r="W1091">
        <v>3.62</v>
      </c>
      <c r="X1091">
        <v>5</v>
      </c>
      <c r="Y1091" s="1">
        <f>EV_Data4[[#This Row],[range_miles]]/EV_Data4[[#This Row],[battery_capacity_kwh]]</f>
        <v>3.5849056603773586</v>
      </c>
      <c r="Z1091" s="4">
        <f>EV_Data4[[#This Row],[price_usd]]/EV_Data4[[#This Row],[range_miles]]</f>
        <v>244.69133971291865</v>
      </c>
      <c r="AA1091" s="2">
        <f>(EV_Data4[[#This Row],[customer_rating]]*EV_Data4[[#This Row],[safety_rating]]*1000)/EV_Data4[[#This Row],[price_usd]]</f>
        <v>0.35392699600649113</v>
      </c>
      <c r="AB1091">
        <f>EV_Data4[[#This Row],[horsepower]]+EV_Data4[[#This Row],[torque_nm]]/EV_Data4[[#This Row],[acceleration_0_60_mph]]</f>
        <v>661.10891089108907</v>
      </c>
      <c r="AC1091" t="str">
        <f>IF(EV_Data4[[#This Row],[price_usd]]&gt;=80000,"Luxury",IF(EV_Data4[[#This Row],[price_usd]]&gt;=40000,"Mid-Range","Budget"))</f>
        <v>Mid-Range</v>
      </c>
      <c r="AD1091" t="str">
        <f>IF(EV_Data4[[#This Row],[range_miles]]&gt;=350,"Long-Range",IF(EV_Data4[[#This Row],[range_miles]]&gt;=250,"Medium-Range","Short-Range"))</f>
        <v>Short-Range</v>
      </c>
      <c r="AE1091" t="str">
        <f>IF(EV_Data4[[#This Row],[charging_speed_kw]]&gt;=250,"Ultra-Fast",IF(EV_Data4[[#This Row],[charging_speed_kw]]&gt;=150,"Fast-Charging","Standard-Charging"))</f>
        <v>Standard-Charging</v>
      </c>
      <c r="AF1091" t="str">
        <f>IF(EV_Data4[[#This Row],[acceleration_0_60_mph]]&lt;=3,"SportsPerformance",IF(EV_Data4[[#This Row],[acceleration_0_60_mph]]&lt;=5,"HighPerformance","Standard"))</f>
        <v>Standard</v>
      </c>
      <c r="AG1091" t="str">
        <f>IF(EV_Data4[[#This Row],[customer_rating]]&gt;=4.5,"Excellent",IF(EV_Data4[[#This Row],[customer_rating]]&gt;=3.5,"Good","Average"))</f>
        <v>Good</v>
      </c>
      <c r="AH109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92" spans="1:34" x14ac:dyDescent="0.3">
      <c r="A1092" t="s">
        <v>92</v>
      </c>
      <c r="B1092" t="s">
        <v>110</v>
      </c>
      <c r="C1092">
        <v>2021</v>
      </c>
      <c r="D1092" t="s">
        <v>44</v>
      </c>
      <c r="E1092" s="3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27</v>
      </c>
      <c r="N1092">
        <v>7</v>
      </c>
      <c r="O1092" t="s">
        <v>51</v>
      </c>
      <c r="P1092">
        <v>30</v>
      </c>
      <c r="Q1092">
        <v>1742</v>
      </c>
      <c r="R1092">
        <v>4</v>
      </c>
      <c r="S1092">
        <v>1</v>
      </c>
      <c r="T1092" t="s">
        <v>65</v>
      </c>
      <c r="U1092" t="s">
        <v>37</v>
      </c>
      <c r="V1092" s="3">
        <v>7302</v>
      </c>
      <c r="W1092">
        <v>3.7</v>
      </c>
      <c r="X1092">
        <v>3</v>
      </c>
      <c r="Y1092" s="1">
        <f>EV_Data4[[#This Row],[range_miles]]/EV_Data4[[#This Row],[battery_capacity_kwh]]</f>
        <v>3.5397412199630311</v>
      </c>
      <c r="Z1092" s="4">
        <f>EV_Data4[[#This Row],[price_usd]]/EV_Data4[[#This Row],[range_miles]]</f>
        <v>144.18274151436032</v>
      </c>
      <c r="AA1092" s="2">
        <f>(EV_Data4[[#This Row],[customer_rating]]*EV_Data4[[#This Row],[safety_rating]]*1000)/EV_Data4[[#This Row],[price_usd]]</f>
        <v>0.26800917533033491</v>
      </c>
      <c r="AB1092">
        <f>EV_Data4[[#This Row],[horsepower]]+EV_Data4[[#This Row],[torque_nm]]/EV_Data4[[#This Row],[acceleration_0_60_mph]]</f>
        <v>403.41766109785203</v>
      </c>
      <c r="AC1092" t="str">
        <f>IF(EV_Data4[[#This Row],[price_usd]]&gt;=80000,"Luxury",IF(EV_Data4[[#This Row],[price_usd]]&gt;=40000,"Mid-Range","Budget"))</f>
        <v>Mid-Range</v>
      </c>
      <c r="AD1092" t="str">
        <f>IF(EV_Data4[[#This Row],[range_miles]]&gt;=350,"Long-Range",IF(EV_Data4[[#This Row],[range_miles]]&gt;=250,"Medium-Range","Short-Range"))</f>
        <v>Long-Range</v>
      </c>
      <c r="AE1092" t="str">
        <f>IF(EV_Data4[[#This Row],[charging_speed_kw]]&gt;=250,"Ultra-Fast",IF(EV_Data4[[#This Row],[charging_speed_kw]]&gt;=150,"Fast-Charging","Standard-Charging"))</f>
        <v>Standard-Charging</v>
      </c>
      <c r="AF1092" t="str">
        <f>IF(EV_Data4[[#This Row],[acceleration_0_60_mph]]&lt;=3,"SportsPerformance",IF(EV_Data4[[#This Row],[acceleration_0_60_mph]]&lt;=5,"HighPerformance","Standard"))</f>
        <v>HighPerformance</v>
      </c>
      <c r="AG1092" t="str">
        <f>IF(EV_Data4[[#This Row],[customer_rating]]&gt;=4.5,"Excellent",IF(EV_Data4[[#This Row],[customer_rating]]&gt;=3.5,"Good","Average"))</f>
        <v>Good</v>
      </c>
      <c r="AH109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93" spans="1:34" x14ac:dyDescent="0.3">
      <c r="A1093" t="s">
        <v>83</v>
      </c>
      <c r="B1093" t="s">
        <v>89</v>
      </c>
      <c r="C1093">
        <v>2024</v>
      </c>
      <c r="D1093" t="s">
        <v>33</v>
      </c>
      <c r="E1093" s="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27</v>
      </c>
      <c r="N1093">
        <v>5</v>
      </c>
      <c r="O1093" t="s">
        <v>50</v>
      </c>
      <c r="P1093">
        <v>26.8</v>
      </c>
      <c r="Q1093">
        <v>1500</v>
      </c>
      <c r="R1093">
        <v>5</v>
      </c>
      <c r="S1093">
        <v>1</v>
      </c>
      <c r="T1093" t="s">
        <v>29</v>
      </c>
      <c r="U1093" t="s">
        <v>33</v>
      </c>
      <c r="V1093" s="3">
        <v>73538</v>
      </c>
      <c r="W1093">
        <v>3.37</v>
      </c>
      <c r="X1093">
        <v>6</v>
      </c>
      <c r="Y1093" s="1">
        <f>EV_Data4[[#This Row],[range_miles]]/EV_Data4[[#This Row],[battery_capacity_kwh]]</f>
        <v>3.7962962962962967</v>
      </c>
      <c r="Z1093" s="4">
        <f>EV_Data4[[#This Row],[price_usd]]/EV_Data4[[#This Row],[range_miles]]</f>
        <v>276.55581881533101</v>
      </c>
      <c r="AA1093" s="2">
        <f>(EV_Data4[[#This Row],[customer_rating]]*EV_Data4[[#This Row],[safety_rating]]*1000)/EV_Data4[[#This Row],[price_usd]]</f>
        <v>0.21229277201696528</v>
      </c>
      <c r="AB1093">
        <f>EV_Data4[[#This Row],[horsepower]]+EV_Data4[[#This Row],[torque_nm]]/EV_Data4[[#This Row],[acceleration_0_60_mph]]</f>
        <v>531.16487455197137</v>
      </c>
      <c r="AC1093" t="str">
        <f>IF(EV_Data4[[#This Row],[price_usd]]&gt;=80000,"Luxury",IF(EV_Data4[[#This Row],[price_usd]]&gt;=40000,"Mid-Range","Budget"))</f>
        <v>Mid-Range</v>
      </c>
      <c r="AD1093" t="str">
        <f>IF(EV_Data4[[#This Row],[range_miles]]&gt;=350,"Long-Range",IF(EV_Data4[[#This Row],[range_miles]]&gt;=250,"Medium-Range","Short-Range"))</f>
        <v>Medium-Range</v>
      </c>
      <c r="AE1093" t="str">
        <f>IF(EV_Data4[[#This Row],[charging_speed_kw]]&gt;=250,"Ultra-Fast",IF(EV_Data4[[#This Row],[charging_speed_kw]]&gt;=150,"Fast-Charging","Standard-Charging"))</f>
        <v>Standard-Charging</v>
      </c>
      <c r="AF1093" t="str">
        <f>IF(EV_Data4[[#This Row],[acceleration_0_60_mph]]&lt;=3,"SportsPerformance",IF(EV_Data4[[#This Row],[acceleration_0_60_mph]]&lt;=5,"HighPerformance","Standard"))</f>
        <v>Standard</v>
      </c>
      <c r="AG1093" t="str">
        <f>IF(EV_Data4[[#This Row],[customer_rating]]&gt;=4.5,"Excellent",IF(EV_Data4[[#This Row],[customer_rating]]&gt;=3.5,"Good","Average"))</f>
        <v>Average</v>
      </c>
      <c r="AH109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94" spans="1:34" x14ac:dyDescent="0.3">
      <c r="A1094" t="s">
        <v>42</v>
      </c>
      <c r="B1094" t="s">
        <v>71</v>
      </c>
      <c r="C1094">
        <v>2024</v>
      </c>
      <c r="D1094" t="s">
        <v>26</v>
      </c>
      <c r="E1094" s="3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34</v>
      </c>
      <c r="N1094">
        <v>5</v>
      </c>
      <c r="O1094" t="s">
        <v>35</v>
      </c>
      <c r="P1094">
        <v>69.8</v>
      </c>
      <c r="Q1094">
        <v>1837</v>
      </c>
      <c r="R1094">
        <v>4</v>
      </c>
      <c r="S1094">
        <v>0</v>
      </c>
      <c r="T1094" t="s">
        <v>45</v>
      </c>
      <c r="U1094" t="s">
        <v>37</v>
      </c>
      <c r="V1094" s="3">
        <v>60355</v>
      </c>
      <c r="W1094">
        <v>3.59</v>
      </c>
      <c r="X1094">
        <v>5</v>
      </c>
      <c r="Y1094" s="1">
        <f>EV_Data4[[#This Row],[range_miles]]/EV_Data4[[#This Row],[battery_capacity_kwh]]</f>
        <v>3.1783783783783783</v>
      </c>
      <c r="Z1094" s="4">
        <f>EV_Data4[[#This Row],[price_usd]]/EV_Data4[[#This Row],[range_miles]]</f>
        <v>145.50700680272109</v>
      </c>
      <c r="AA1094" s="2">
        <f>(EV_Data4[[#This Row],[customer_rating]]*EV_Data4[[#This Row],[safety_rating]]*1000)/EV_Data4[[#This Row],[price_usd]]</f>
        <v>0.33567825005972551</v>
      </c>
      <c r="AB1094">
        <f>EV_Data4[[#This Row],[horsepower]]+EV_Data4[[#This Row],[torque_nm]]/EV_Data4[[#This Row],[acceleration_0_60_mph]]</f>
        <v>469.94805194805195</v>
      </c>
      <c r="AC1094" t="str">
        <f>IF(EV_Data4[[#This Row],[price_usd]]&gt;=80000,"Luxury",IF(EV_Data4[[#This Row],[price_usd]]&gt;=40000,"Mid-Range","Budget"))</f>
        <v>Mid-Range</v>
      </c>
      <c r="AD1094" t="str">
        <f>IF(EV_Data4[[#This Row],[range_miles]]&gt;=350,"Long-Range",IF(EV_Data4[[#This Row],[range_miles]]&gt;=250,"Medium-Range","Short-Range"))</f>
        <v>Medium-Range</v>
      </c>
      <c r="AE1094" t="str">
        <f>IF(EV_Data4[[#This Row],[charging_speed_kw]]&gt;=250,"Ultra-Fast",IF(EV_Data4[[#This Row],[charging_speed_kw]]&gt;=150,"Fast-Charging","Standard-Charging"))</f>
        <v>Fast-Charging</v>
      </c>
      <c r="AF1094" t="str">
        <f>IF(EV_Data4[[#This Row],[acceleration_0_60_mph]]&lt;=3,"SportsPerformance",IF(EV_Data4[[#This Row],[acceleration_0_60_mph]]&lt;=5,"HighPerformance","Standard"))</f>
        <v>HighPerformance</v>
      </c>
      <c r="AG1094" t="str">
        <f>IF(EV_Data4[[#This Row],[customer_rating]]&gt;=4.5,"Excellent",IF(EV_Data4[[#This Row],[customer_rating]]&gt;=3.5,"Good","Average"))</f>
        <v>Good</v>
      </c>
      <c r="AH109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95" spans="1:34" x14ac:dyDescent="0.3">
      <c r="A1095" t="s">
        <v>68</v>
      </c>
      <c r="B1095" t="s">
        <v>79</v>
      </c>
      <c r="C1095">
        <v>2026</v>
      </c>
      <c r="D1095" t="s">
        <v>33</v>
      </c>
      <c r="E1095" s="3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48</v>
      </c>
      <c r="N1095">
        <v>5</v>
      </c>
      <c r="O1095" t="s">
        <v>28</v>
      </c>
      <c r="P1095">
        <v>51.5</v>
      </c>
      <c r="Q1095">
        <v>2171</v>
      </c>
      <c r="R1095">
        <v>4</v>
      </c>
      <c r="S1095">
        <v>0</v>
      </c>
      <c r="T1095" t="s">
        <v>45</v>
      </c>
      <c r="U1095" t="s">
        <v>37</v>
      </c>
      <c r="V1095" s="3">
        <v>82791</v>
      </c>
      <c r="W1095">
        <v>3.39</v>
      </c>
      <c r="X1095">
        <v>4</v>
      </c>
      <c r="Y1095" s="1">
        <f>EV_Data4[[#This Row],[range_miles]]/EV_Data4[[#This Row],[battery_capacity_kwh]]</f>
        <v>3.8437001594896332</v>
      </c>
      <c r="Z1095" s="4">
        <f>EV_Data4[[#This Row],[price_usd]]/EV_Data4[[#This Row],[range_miles]]</f>
        <v>234.16182572614107</v>
      </c>
      <c r="AA1095" s="2">
        <f>(EV_Data4[[#This Row],[customer_rating]]*EV_Data4[[#This Row],[safety_rating]]*1000)/EV_Data4[[#This Row],[price_usd]]</f>
        <v>0.24028493966296316</v>
      </c>
      <c r="AB1095">
        <f>EV_Data4[[#This Row],[horsepower]]+EV_Data4[[#This Row],[torque_nm]]/EV_Data4[[#This Row],[acceleration_0_60_mph]]</f>
        <v>718.77777777777783</v>
      </c>
      <c r="AC1095" t="str">
        <f>IF(EV_Data4[[#This Row],[price_usd]]&gt;=80000,"Luxury",IF(EV_Data4[[#This Row],[price_usd]]&gt;=40000,"Mid-Range","Budget"))</f>
        <v>Mid-Range</v>
      </c>
      <c r="AD1095" t="str">
        <f>IF(EV_Data4[[#This Row],[range_miles]]&gt;=350,"Long-Range",IF(EV_Data4[[#This Row],[range_miles]]&gt;=250,"Medium-Range","Short-Range"))</f>
        <v>Short-Range</v>
      </c>
      <c r="AE1095" t="str">
        <f>IF(EV_Data4[[#This Row],[charging_speed_kw]]&gt;=250,"Ultra-Fast",IF(EV_Data4[[#This Row],[charging_speed_kw]]&gt;=150,"Fast-Charging","Standard-Charging"))</f>
        <v>Standard-Charging</v>
      </c>
      <c r="AF1095" t="str">
        <f>IF(EV_Data4[[#This Row],[acceleration_0_60_mph]]&lt;=3,"SportsPerformance",IF(EV_Data4[[#This Row],[acceleration_0_60_mph]]&lt;=5,"HighPerformance","Standard"))</f>
        <v>Standard</v>
      </c>
      <c r="AG1095" t="str">
        <f>IF(EV_Data4[[#This Row],[customer_rating]]&gt;=4.5,"Excellent",IF(EV_Data4[[#This Row],[customer_rating]]&gt;=3.5,"Good","Average"))</f>
        <v>Average</v>
      </c>
      <c r="AH109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96" spans="1:34" x14ac:dyDescent="0.3">
      <c r="A1096" t="s">
        <v>63</v>
      </c>
      <c r="B1096" t="s">
        <v>67</v>
      </c>
      <c r="C1096">
        <v>2026</v>
      </c>
      <c r="D1096" t="s">
        <v>44</v>
      </c>
      <c r="E1096" s="3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34</v>
      </c>
      <c r="N1096">
        <v>5</v>
      </c>
      <c r="O1096" t="s">
        <v>28</v>
      </c>
      <c r="P1096">
        <v>78.900000000000006</v>
      </c>
      <c r="Q1096">
        <v>2795</v>
      </c>
      <c r="R1096">
        <v>5</v>
      </c>
      <c r="S1096">
        <v>0</v>
      </c>
      <c r="T1096" t="s">
        <v>65</v>
      </c>
      <c r="U1096" t="s">
        <v>66</v>
      </c>
      <c r="V1096" s="3">
        <v>122434</v>
      </c>
      <c r="W1096">
        <v>3.77</v>
      </c>
      <c r="X1096">
        <v>5</v>
      </c>
      <c r="Y1096" s="1">
        <f>EV_Data4[[#This Row],[range_miles]]/EV_Data4[[#This Row],[battery_capacity_kwh]]</f>
        <v>3.4960272417707152</v>
      </c>
      <c r="Z1096" s="4">
        <f>EV_Data4[[#This Row],[price_usd]]/EV_Data4[[#This Row],[range_miles]]</f>
        <v>89.555487012987015</v>
      </c>
      <c r="AA1096" s="2">
        <f>(EV_Data4[[#This Row],[customer_rating]]*EV_Data4[[#This Row],[safety_rating]]*1000)/EV_Data4[[#This Row],[price_usd]]</f>
        <v>0.68338971449536656</v>
      </c>
      <c r="AB1096">
        <f>EV_Data4[[#This Row],[horsepower]]+EV_Data4[[#This Row],[torque_nm]]/EV_Data4[[#This Row],[acceleration_0_60_mph]]</f>
        <v>278.92015968063873</v>
      </c>
      <c r="AC1096" t="str">
        <f>IF(EV_Data4[[#This Row],[price_usd]]&gt;=80000,"Luxury",IF(EV_Data4[[#This Row],[price_usd]]&gt;=40000,"Mid-Range","Budget"))</f>
        <v>Budget</v>
      </c>
      <c r="AD1096" t="str">
        <f>IF(EV_Data4[[#This Row],[range_miles]]&gt;=350,"Long-Range",IF(EV_Data4[[#This Row],[range_miles]]&gt;=250,"Medium-Range","Short-Range"))</f>
        <v>Medium-Range</v>
      </c>
      <c r="AE1096" t="str">
        <f>IF(EV_Data4[[#This Row],[charging_speed_kw]]&gt;=250,"Ultra-Fast",IF(EV_Data4[[#This Row],[charging_speed_kw]]&gt;=150,"Fast-Charging","Standard-Charging"))</f>
        <v>Standard-Charging</v>
      </c>
      <c r="AF1096" t="str">
        <f>IF(EV_Data4[[#This Row],[acceleration_0_60_mph]]&lt;=3,"SportsPerformance",IF(EV_Data4[[#This Row],[acceleration_0_60_mph]]&lt;=5,"HighPerformance","Standard"))</f>
        <v>Standard</v>
      </c>
      <c r="AG1096" t="str">
        <f>IF(EV_Data4[[#This Row],[customer_rating]]&gt;=4.5,"Excellent",IF(EV_Data4[[#This Row],[customer_rating]]&gt;=3.5,"Good","Average"))</f>
        <v>Good</v>
      </c>
      <c r="AH109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097" spans="1:34" x14ac:dyDescent="0.3">
      <c r="A1097" t="s">
        <v>46</v>
      </c>
      <c r="B1097" t="s">
        <v>57</v>
      </c>
      <c r="C1097">
        <v>2026</v>
      </c>
      <c r="D1097" t="s">
        <v>56</v>
      </c>
      <c r="E1097" s="3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34</v>
      </c>
      <c r="N1097">
        <v>7</v>
      </c>
      <c r="O1097" t="s">
        <v>58</v>
      </c>
      <c r="P1097">
        <v>36.5</v>
      </c>
      <c r="Q1097">
        <v>1518</v>
      </c>
      <c r="R1097">
        <v>4</v>
      </c>
      <c r="S1097">
        <v>2</v>
      </c>
      <c r="T1097" t="s">
        <v>41</v>
      </c>
      <c r="U1097" t="s">
        <v>37</v>
      </c>
      <c r="V1097" s="3">
        <v>198300</v>
      </c>
      <c r="W1097">
        <v>3.51</v>
      </c>
      <c r="X1097">
        <v>5</v>
      </c>
      <c r="Y1097" s="1">
        <f>EV_Data4[[#This Row],[range_miles]]/EV_Data4[[#This Row],[battery_capacity_kwh]]</f>
        <v>3.4013605442176869</v>
      </c>
      <c r="Z1097" s="4">
        <f>EV_Data4[[#This Row],[price_usd]]/EV_Data4[[#This Row],[range_miles]]</f>
        <v>392.17919999999998</v>
      </c>
      <c r="AA1097" s="2">
        <f>(EV_Data4[[#This Row],[customer_rating]]*EV_Data4[[#This Row],[safety_rating]]*1000)/EV_Data4[[#This Row],[price_usd]]</f>
        <v>0.23866640556153923</v>
      </c>
      <c r="AB1097">
        <f>EV_Data4[[#This Row],[horsepower]]+EV_Data4[[#This Row],[torque_nm]]/EV_Data4[[#This Row],[acceleration_0_60_mph]]</f>
        <v>437.14583333333331</v>
      </c>
      <c r="AC1097" t="str">
        <f>IF(EV_Data4[[#This Row],[price_usd]]&gt;=80000,"Luxury",IF(EV_Data4[[#This Row],[price_usd]]&gt;=40000,"Mid-Range","Budget"))</f>
        <v>Mid-Range</v>
      </c>
      <c r="AD1097" t="str">
        <f>IF(EV_Data4[[#This Row],[range_miles]]&gt;=350,"Long-Range",IF(EV_Data4[[#This Row],[range_miles]]&gt;=250,"Medium-Range","Short-Range"))</f>
        <v>Short-Range</v>
      </c>
      <c r="AE1097" t="str">
        <f>IF(EV_Data4[[#This Row],[charging_speed_kw]]&gt;=250,"Ultra-Fast",IF(EV_Data4[[#This Row],[charging_speed_kw]]&gt;=150,"Fast-Charging","Standard-Charging"))</f>
        <v>Ultra-Fast</v>
      </c>
      <c r="AF1097" t="str">
        <f>IF(EV_Data4[[#This Row],[acceleration_0_60_mph]]&lt;=3,"SportsPerformance",IF(EV_Data4[[#This Row],[acceleration_0_60_mph]]&lt;=5,"HighPerformance","Standard"))</f>
        <v>Standard</v>
      </c>
      <c r="AG1097" t="str">
        <f>IF(EV_Data4[[#This Row],[customer_rating]]&gt;=4.5,"Excellent",IF(EV_Data4[[#This Row],[customer_rating]]&gt;=3.5,"Good","Average"))</f>
        <v>Good</v>
      </c>
      <c r="AH109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098" spans="1:34" x14ac:dyDescent="0.3">
      <c r="A1098" t="s">
        <v>63</v>
      </c>
      <c r="B1098" t="s">
        <v>67</v>
      </c>
      <c r="C1098">
        <v>2024</v>
      </c>
      <c r="D1098" t="s">
        <v>33</v>
      </c>
      <c r="E1098" s="3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48</v>
      </c>
      <c r="N1098">
        <v>5</v>
      </c>
      <c r="O1098" t="s">
        <v>58</v>
      </c>
      <c r="P1098">
        <v>17.399999999999999</v>
      </c>
      <c r="Q1098">
        <v>1707</v>
      </c>
      <c r="R1098">
        <v>4</v>
      </c>
      <c r="S1098">
        <v>1</v>
      </c>
      <c r="T1098" t="s">
        <v>65</v>
      </c>
      <c r="U1098" t="s">
        <v>33</v>
      </c>
      <c r="V1098" s="3">
        <v>108967</v>
      </c>
      <c r="W1098">
        <v>3.37</v>
      </c>
      <c r="X1098">
        <v>5</v>
      </c>
      <c r="Y1098" s="1">
        <f>EV_Data4[[#This Row],[range_miles]]/EV_Data4[[#This Row],[battery_capacity_kwh]]</f>
        <v>3.7342908438061038</v>
      </c>
      <c r="Z1098" s="4">
        <f>EV_Data4[[#This Row],[price_usd]]/EV_Data4[[#This Row],[range_miles]]</f>
        <v>315.43485576923075</v>
      </c>
      <c r="AA1098" s="2">
        <f>(EV_Data4[[#This Row],[customer_rating]]*EV_Data4[[#This Row],[safety_rating]]*1000)/EV_Data4[[#This Row],[price_usd]]</f>
        <v>0.20545507613497546</v>
      </c>
      <c r="AB1098">
        <f>EV_Data4[[#This Row],[horsepower]]+EV_Data4[[#This Row],[torque_nm]]/EV_Data4[[#This Row],[acceleration_0_60_mph]]</f>
        <v>805.71140939597319</v>
      </c>
      <c r="AC1098" t="str">
        <f>IF(EV_Data4[[#This Row],[price_usd]]&gt;=80000,"Luxury",IF(EV_Data4[[#This Row],[price_usd]]&gt;=40000,"Mid-Range","Budget"))</f>
        <v>Mid-Range</v>
      </c>
      <c r="AD1098" t="str">
        <f>IF(EV_Data4[[#This Row],[range_miles]]&gt;=350,"Long-Range",IF(EV_Data4[[#This Row],[range_miles]]&gt;=250,"Medium-Range","Short-Range"))</f>
        <v>Short-Range</v>
      </c>
      <c r="AE1098" t="str">
        <f>IF(EV_Data4[[#This Row],[charging_speed_kw]]&gt;=250,"Ultra-Fast",IF(EV_Data4[[#This Row],[charging_speed_kw]]&gt;=150,"Fast-Charging","Standard-Charging"))</f>
        <v>Standard-Charging</v>
      </c>
      <c r="AF1098" t="str">
        <f>IF(EV_Data4[[#This Row],[acceleration_0_60_mph]]&lt;=3,"SportsPerformance",IF(EV_Data4[[#This Row],[acceleration_0_60_mph]]&lt;=5,"HighPerformance","Standard"))</f>
        <v>Standard</v>
      </c>
      <c r="AG1098" t="str">
        <f>IF(EV_Data4[[#This Row],[customer_rating]]&gt;=4.5,"Excellent",IF(EV_Data4[[#This Row],[customer_rating]]&gt;=3.5,"Good","Average"))</f>
        <v>Average</v>
      </c>
      <c r="AH109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099" spans="1:34" x14ac:dyDescent="0.3">
      <c r="A1099" t="s">
        <v>46</v>
      </c>
      <c r="B1099" t="s">
        <v>72</v>
      </c>
      <c r="C1099">
        <v>2024</v>
      </c>
      <c r="D1099" t="s">
        <v>44</v>
      </c>
      <c r="E1099" s="3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48</v>
      </c>
      <c r="N1099">
        <v>7</v>
      </c>
      <c r="O1099" t="s">
        <v>28</v>
      </c>
      <c r="P1099">
        <v>56.2</v>
      </c>
      <c r="Q1099">
        <v>2926</v>
      </c>
      <c r="R1099">
        <v>5</v>
      </c>
      <c r="S1099">
        <v>3</v>
      </c>
      <c r="T1099" t="s">
        <v>41</v>
      </c>
      <c r="U1099" t="s">
        <v>33</v>
      </c>
      <c r="V1099" s="3">
        <v>213989</v>
      </c>
      <c r="W1099">
        <v>3.69</v>
      </c>
      <c r="X1099">
        <v>4</v>
      </c>
      <c r="Y1099" s="1">
        <f>EV_Data4[[#This Row],[range_miles]]/EV_Data4[[#This Row],[battery_capacity_kwh]]</f>
        <v>3.6342592592592591</v>
      </c>
      <c r="Z1099" s="4">
        <f>EV_Data4[[#This Row],[price_usd]]/EV_Data4[[#This Row],[range_miles]]</f>
        <v>227.3261146496815</v>
      </c>
      <c r="AA1099" s="2">
        <f>(EV_Data4[[#This Row],[customer_rating]]*EV_Data4[[#This Row],[safety_rating]]*1000)/EV_Data4[[#This Row],[price_usd]]</f>
        <v>0.25847431507808866</v>
      </c>
      <c r="AB1099">
        <f>EV_Data4[[#This Row],[horsepower]]+EV_Data4[[#This Row],[torque_nm]]/EV_Data4[[#This Row],[acceleration_0_60_mph]]</f>
        <v>595</v>
      </c>
      <c r="AC1099" t="str">
        <f>IF(EV_Data4[[#This Row],[price_usd]]&gt;=80000,"Luxury",IF(EV_Data4[[#This Row],[price_usd]]&gt;=40000,"Mid-Range","Budget"))</f>
        <v>Mid-Range</v>
      </c>
      <c r="AD1099" t="str">
        <f>IF(EV_Data4[[#This Row],[range_miles]]&gt;=350,"Long-Range",IF(EV_Data4[[#This Row],[range_miles]]&gt;=250,"Medium-Range","Short-Range"))</f>
        <v>Medium-Range</v>
      </c>
      <c r="AE1099" t="str">
        <f>IF(EV_Data4[[#This Row],[charging_speed_kw]]&gt;=250,"Ultra-Fast",IF(EV_Data4[[#This Row],[charging_speed_kw]]&gt;=150,"Fast-Charging","Standard-Charging"))</f>
        <v>Fast-Charging</v>
      </c>
      <c r="AF1099" t="str">
        <f>IF(EV_Data4[[#This Row],[acceleration_0_60_mph]]&lt;=3,"SportsPerformance",IF(EV_Data4[[#This Row],[acceleration_0_60_mph]]&lt;=5,"HighPerformance","Standard"))</f>
        <v>HighPerformance</v>
      </c>
      <c r="AG1099" t="str">
        <f>IF(EV_Data4[[#This Row],[customer_rating]]&gt;=4.5,"Excellent",IF(EV_Data4[[#This Row],[customer_rating]]&gt;=3.5,"Good","Average"))</f>
        <v>Good</v>
      </c>
      <c r="AH1099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100" spans="1:34" x14ac:dyDescent="0.3">
      <c r="A1100" t="s">
        <v>76</v>
      </c>
      <c r="B1100" t="s">
        <v>91</v>
      </c>
      <c r="C1100">
        <v>2024</v>
      </c>
      <c r="D1100" t="s">
        <v>33</v>
      </c>
      <c r="E1100" s="3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27</v>
      </c>
      <c r="N1100">
        <v>2</v>
      </c>
      <c r="O1100" t="s">
        <v>28</v>
      </c>
      <c r="P1100">
        <v>74.7</v>
      </c>
      <c r="Q1100">
        <v>2579</v>
      </c>
      <c r="R1100">
        <v>4</v>
      </c>
      <c r="S1100">
        <v>0</v>
      </c>
      <c r="T1100" t="s">
        <v>41</v>
      </c>
      <c r="U1100" t="s">
        <v>33</v>
      </c>
      <c r="V1100" s="3">
        <v>59746</v>
      </c>
      <c r="W1100">
        <v>3.32</v>
      </c>
      <c r="X1100">
        <v>4</v>
      </c>
      <c r="Y1100" s="1">
        <f>EV_Data4[[#This Row],[range_miles]]/EV_Data4[[#This Row],[battery_capacity_kwh]]</f>
        <v>3.75</v>
      </c>
      <c r="Z1100" s="4">
        <f>EV_Data4[[#This Row],[price_usd]]/EV_Data4[[#This Row],[range_miles]]</f>
        <v>371.99845070422532</v>
      </c>
      <c r="AA1100" s="2">
        <f>(EV_Data4[[#This Row],[customer_rating]]*EV_Data4[[#This Row],[safety_rating]]*1000)/EV_Data4[[#This Row],[price_usd]]</f>
        <v>0.16760128361380677</v>
      </c>
      <c r="AB1100">
        <f>EV_Data4[[#This Row],[horsepower]]+EV_Data4[[#This Row],[torque_nm]]/EV_Data4[[#This Row],[acceleration_0_60_mph]]</f>
        <v>1036.7836411609499</v>
      </c>
      <c r="AC1100" t="str">
        <f>IF(EV_Data4[[#This Row],[price_usd]]&gt;=80000,"Luxury",IF(EV_Data4[[#This Row],[price_usd]]&gt;=40000,"Mid-Range","Budget"))</f>
        <v>Mid-Range</v>
      </c>
      <c r="AD1100" t="str">
        <f>IF(EV_Data4[[#This Row],[range_miles]]&gt;=350,"Long-Range",IF(EV_Data4[[#This Row],[range_miles]]&gt;=250,"Medium-Range","Short-Range"))</f>
        <v>Short-Range</v>
      </c>
      <c r="AE1100" t="str">
        <f>IF(EV_Data4[[#This Row],[charging_speed_kw]]&gt;=250,"Ultra-Fast",IF(EV_Data4[[#This Row],[charging_speed_kw]]&gt;=150,"Fast-Charging","Standard-Charging"))</f>
        <v>Standard-Charging</v>
      </c>
      <c r="AF1100" t="str">
        <f>IF(EV_Data4[[#This Row],[acceleration_0_60_mph]]&lt;=3,"SportsPerformance",IF(EV_Data4[[#This Row],[acceleration_0_60_mph]]&lt;=5,"HighPerformance","Standard"))</f>
        <v>Standard</v>
      </c>
      <c r="AG1100" t="str">
        <f>IF(EV_Data4[[#This Row],[customer_rating]]&gt;=4.5,"Excellent",IF(EV_Data4[[#This Row],[customer_rating]]&gt;=3.5,"Good","Average"))</f>
        <v>Average</v>
      </c>
      <c r="AH110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01" spans="1:34" x14ac:dyDescent="0.3">
      <c r="A1101" t="s">
        <v>63</v>
      </c>
      <c r="B1101" t="s">
        <v>88</v>
      </c>
      <c r="C1101">
        <v>2024</v>
      </c>
      <c r="D1101" t="s">
        <v>33</v>
      </c>
      <c r="E1101" s="3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27</v>
      </c>
      <c r="N1101">
        <v>7</v>
      </c>
      <c r="O1101" t="s">
        <v>51</v>
      </c>
      <c r="P1101">
        <v>37.1</v>
      </c>
      <c r="Q1101">
        <v>1709</v>
      </c>
      <c r="R1101">
        <v>4</v>
      </c>
      <c r="S1101">
        <v>0</v>
      </c>
      <c r="T1101" t="s">
        <v>65</v>
      </c>
      <c r="U1101" t="s">
        <v>33</v>
      </c>
      <c r="V1101" s="3">
        <v>227690</v>
      </c>
      <c r="W1101">
        <v>3.41</v>
      </c>
      <c r="X1101">
        <v>4</v>
      </c>
      <c r="Y1101" s="1">
        <f>EV_Data4[[#This Row],[range_miles]]/EV_Data4[[#This Row],[battery_capacity_kwh]]</f>
        <v>3.839122486288848</v>
      </c>
      <c r="Z1101" s="4">
        <f>EV_Data4[[#This Row],[price_usd]]/EV_Data4[[#This Row],[range_miles]]</f>
        <v>420.08880952380952</v>
      </c>
      <c r="AA1101" s="2">
        <f>(EV_Data4[[#This Row],[customer_rating]]*EV_Data4[[#This Row],[safety_rating]]*1000)/EV_Data4[[#This Row],[price_usd]]</f>
        <v>0.15461583236651208</v>
      </c>
      <c r="AB1101">
        <f>EV_Data4[[#This Row],[horsepower]]+EV_Data4[[#This Row],[torque_nm]]/EV_Data4[[#This Row],[acceleration_0_60_mph]]</f>
        <v>1155.5555555555557</v>
      </c>
      <c r="AC1101" t="str">
        <f>IF(EV_Data4[[#This Row],[price_usd]]&gt;=80000,"Luxury",IF(EV_Data4[[#This Row],[price_usd]]&gt;=40000,"Mid-Range","Budget"))</f>
        <v>Luxury</v>
      </c>
      <c r="AD1101" t="str">
        <f>IF(EV_Data4[[#This Row],[range_miles]]&gt;=350,"Long-Range",IF(EV_Data4[[#This Row],[range_miles]]&gt;=250,"Medium-Range","Short-Range"))</f>
        <v>Short-Range</v>
      </c>
      <c r="AE1101" t="str">
        <f>IF(EV_Data4[[#This Row],[charging_speed_kw]]&gt;=250,"Ultra-Fast",IF(EV_Data4[[#This Row],[charging_speed_kw]]&gt;=150,"Fast-Charging","Standard-Charging"))</f>
        <v>Standard-Charging</v>
      </c>
      <c r="AF1101" t="str">
        <f>IF(EV_Data4[[#This Row],[acceleration_0_60_mph]]&lt;=3,"SportsPerformance",IF(EV_Data4[[#This Row],[acceleration_0_60_mph]]&lt;=5,"HighPerformance","Standard"))</f>
        <v>Standard</v>
      </c>
      <c r="AG1101" t="str">
        <f>IF(EV_Data4[[#This Row],[customer_rating]]&gt;=4.5,"Excellent",IF(EV_Data4[[#This Row],[customer_rating]]&gt;=3.5,"Good","Average"))</f>
        <v>Average</v>
      </c>
      <c r="AH110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02" spans="1:34" x14ac:dyDescent="0.3">
      <c r="A1102" t="s">
        <v>46</v>
      </c>
      <c r="B1102" t="s">
        <v>57</v>
      </c>
      <c r="C1102">
        <v>2020</v>
      </c>
      <c r="D1102" t="s">
        <v>26</v>
      </c>
      <c r="E1102" s="3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48</v>
      </c>
      <c r="N1102">
        <v>7</v>
      </c>
      <c r="O1102" t="s">
        <v>58</v>
      </c>
      <c r="P1102">
        <v>21.9</v>
      </c>
      <c r="Q1102">
        <v>1900</v>
      </c>
      <c r="R1102">
        <v>5</v>
      </c>
      <c r="S1102">
        <v>2</v>
      </c>
      <c r="T1102" t="s">
        <v>41</v>
      </c>
      <c r="U1102" t="s">
        <v>30</v>
      </c>
      <c r="V1102" s="3">
        <v>159470</v>
      </c>
      <c r="W1102">
        <v>4.1100000000000003</v>
      </c>
      <c r="X1102">
        <v>4</v>
      </c>
      <c r="Y1102" s="1">
        <f>EV_Data4[[#This Row],[range_miles]]/EV_Data4[[#This Row],[battery_capacity_kwh]]</f>
        <v>3.5070671378091873</v>
      </c>
      <c r="Z1102" s="4">
        <f>EV_Data4[[#This Row],[price_usd]]/EV_Data4[[#This Row],[range_miles]]</f>
        <v>414.87105793450883</v>
      </c>
      <c r="AA1102" s="2">
        <f>(EV_Data4[[#This Row],[customer_rating]]*EV_Data4[[#This Row],[safety_rating]]*1000)/EV_Data4[[#This Row],[price_usd]]</f>
        <v>0.12476942700961198</v>
      </c>
      <c r="AB1102">
        <f>EV_Data4[[#This Row],[horsepower]]+EV_Data4[[#This Row],[torque_nm]]/EV_Data4[[#This Row],[acceleration_0_60_mph]]</f>
        <v>1214.9509803921569</v>
      </c>
      <c r="AC1102" t="str">
        <f>IF(EV_Data4[[#This Row],[price_usd]]&gt;=80000,"Luxury",IF(EV_Data4[[#This Row],[price_usd]]&gt;=40000,"Mid-Range","Budget"))</f>
        <v>Luxury</v>
      </c>
      <c r="AD1102" t="str">
        <f>IF(EV_Data4[[#This Row],[range_miles]]&gt;=350,"Long-Range",IF(EV_Data4[[#This Row],[range_miles]]&gt;=250,"Medium-Range","Short-Range"))</f>
        <v>Long-Range</v>
      </c>
      <c r="AE1102" t="str">
        <f>IF(EV_Data4[[#This Row],[charging_speed_kw]]&gt;=250,"Ultra-Fast",IF(EV_Data4[[#This Row],[charging_speed_kw]]&gt;=150,"Fast-Charging","Standard-Charging"))</f>
        <v>Fast-Charging</v>
      </c>
      <c r="AF1102" t="str">
        <f>IF(EV_Data4[[#This Row],[acceleration_0_60_mph]]&lt;=3,"SportsPerformance",IF(EV_Data4[[#This Row],[acceleration_0_60_mph]]&lt;=5,"HighPerformance","Standard"))</f>
        <v>HighPerformance</v>
      </c>
      <c r="AG1102" t="str">
        <f>IF(EV_Data4[[#This Row],[customer_rating]]&gt;=4.5,"Excellent",IF(EV_Data4[[#This Row],[customer_rating]]&gt;=3.5,"Good","Average"))</f>
        <v>Good</v>
      </c>
      <c r="AH110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03" spans="1:34" x14ac:dyDescent="0.3">
      <c r="A1103" t="s">
        <v>59</v>
      </c>
      <c r="B1103" t="s">
        <v>60</v>
      </c>
      <c r="C1103">
        <v>2026</v>
      </c>
      <c r="D1103" t="s">
        <v>61</v>
      </c>
      <c r="E1103" s="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34</v>
      </c>
      <c r="N1103">
        <v>5</v>
      </c>
      <c r="O1103" t="s">
        <v>58</v>
      </c>
      <c r="P1103">
        <v>21.3</v>
      </c>
      <c r="Q1103">
        <v>1675</v>
      </c>
      <c r="R1103">
        <v>3</v>
      </c>
      <c r="S1103">
        <v>0</v>
      </c>
      <c r="T1103" t="s">
        <v>41</v>
      </c>
      <c r="U1103" t="s">
        <v>33</v>
      </c>
      <c r="V1103" s="3">
        <v>24709</v>
      </c>
      <c r="W1103">
        <v>3.26</v>
      </c>
      <c r="X1103">
        <v>5</v>
      </c>
      <c r="Y1103" s="1">
        <f>EV_Data4[[#This Row],[range_miles]]/EV_Data4[[#This Row],[battery_capacity_kwh]]</f>
        <v>3.5412844036697249</v>
      </c>
      <c r="Z1103" s="4">
        <f>EV_Data4[[#This Row],[price_usd]]/EV_Data4[[#This Row],[range_miles]]</f>
        <v>485.24839378238346</v>
      </c>
      <c r="AA1103" s="2">
        <f>(EV_Data4[[#This Row],[customer_rating]]*EV_Data4[[#This Row],[safety_rating]]*1000)/EV_Data4[[#This Row],[price_usd]]</f>
        <v>0.10442811512377508</v>
      </c>
      <c r="AB1103">
        <f>EV_Data4[[#This Row],[horsepower]]+EV_Data4[[#This Row],[torque_nm]]/EV_Data4[[#This Row],[acceleration_0_60_mph]]</f>
        <v>964.79389312977105</v>
      </c>
      <c r="AC1103" t="str">
        <f>IF(EV_Data4[[#This Row],[price_usd]]&gt;=80000,"Luxury",IF(EV_Data4[[#This Row],[price_usd]]&gt;=40000,"Mid-Range","Budget"))</f>
        <v>Luxury</v>
      </c>
      <c r="AD1103" t="str">
        <f>IF(EV_Data4[[#This Row],[range_miles]]&gt;=350,"Long-Range",IF(EV_Data4[[#This Row],[range_miles]]&gt;=250,"Medium-Range","Short-Range"))</f>
        <v>Short-Range</v>
      </c>
      <c r="AE1103" t="str">
        <f>IF(EV_Data4[[#This Row],[charging_speed_kw]]&gt;=250,"Ultra-Fast",IF(EV_Data4[[#This Row],[charging_speed_kw]]&gt;=150,"Fast-Charging","Standard-Charging"))</f>
        <v>Standard-Charging</v>
      </c>
      <c r="AF1103" t="str">
        <f>IF(EV_Data4[[#This Row],[acceleration_0_60_mph]]&lt;=3,"SportsPerformance",IF(EV_Data4[[#This Row],[acceleration_0_60_mph]]&lt;=5,"HighPerformance","Standard"))</f>
        <v>Standard</v>
      </c>
      <c r="AG1103" t="str">
        <f>IF(EV_Data4[[#This Row],[customer_rating]]&gt;=4.5,"Excellent",IF(EV_Data4[[#This Row],[customer_rating]]&gt;=3.5,"Good","Average"))</f>
        <v>Average</v>
      </c>
      <c r="AH110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04" spans="1:34" x14ac:dyDescent="0.3">
      <c r="A1104" t="s">
        <v>86</v>
      </c>
      <c r="B1104" t="s">
        <v>87</v>
      </c>
      <c r="C1104">
        <v>2024</v>
      </c>
      <c r="D1104" t="s">
        <v>26</v>
      </c>
      <c r="E1104" s="3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27</v>
      </c>
      <c r="N1104">
        <v>5</v>
      </c>
      <c r="O1104" t="s">
        <v>40</v>
      </c>
      <c r="P1104">
        <v>71.599999999999994</v>
      </c>
      <c r="Q1104">
        <v>1664</v>
      </c>
      <c r="R1104">
        <v>5</v>
      </c>
      <c r="S1104">
        <v>2</v>
      </c>
      <c r="T1104" t="s">
        <v>29</v>
      </c>
      <c r="U1104" t="s">
        <v>30</v>
      </c>
      <c r="V1104" s="3">
        <v>31338</v>
      </c>
      <c r="W1104">
        <v>3.61</v>
      </c>
      <c r="X1104">
        <v>7</v>
      </c>
      <c r="Y1104" s="1">
        <f>EV_Data4[[#This Row],[range_miles]]/EV_Data4[[#This Row],[battery_capacity_kwh]]</f>
        <v>3.5382830626450117</v>
      </c>
      <c r="Z1104" s="4">
        <f>EV_Data4[[#This Row],[price_usd]]/EV_Data4[[#This Row],[range_miles]]</f>
        <v>399.57934426229508</v>
      </c>
      <c r="AA1104" s="2">
        <f>(EV_Data4[[#This Row],[customer_rating]]*EV_Data4[[#This Row],[safety_rating]]*1000)/EV_Data4[[#This Row],[price_usd]]</f>
        <v>0.14810657437288557</v>
      </c>
      <c r="AB1104">
        <f>EV_Data4[[#This Row],[horsepower]]+EV_Data4[[#This Row],[torque_nm]]/EV_Data4[[#This Row],[acceleration_0_60_mph]]</f>
        <v>1338.0228136882129</v>
      </c>
      <c r="AC1104" t="str">
        <f>IF(EV_Data4[[#This Row],[price_usd]]&gt;=80000,"Luxury",IF(EV_Data4[[#This Row],[price_usd]]&gt;=40000,"Mid-Range","Budget"))</f>
        <v>Luxury</v>
      </c>
      <c r="AD1104" t="str">
        <f>IF(EV_Data4[[#This Row],[range_miles]]&gt;=350,"Long-Range",IF(EV_Data4[[#This Row],[range_miles]]&gt;=250,"Medium-Range","Short-Range"))</f>
        <v>Medium-Range</v>
      </c>
      <c r="AE1104" t="str">
        <f>IF(EV_Data4[[#This Row],[charging_speed_kw]]&gt;=250,"Ultra-Fast",IF(EV_Data4[[#This Row],[charging_speed_kw]]&gt;=150,"Fast-Charging","Standard-Charging"))</f>
        <v>Fast-Charging</v>
      </c>
      <c r="AF1104" t="str">
        <f>IF(EV_Data4[[#This Row],[acceleration_0_60_mph]]&lt;=3,"SportsPerformance",IF(EV_Data4[[#This Row],[acceleration_0_60_mph]]&lt;=5,"HighPerformance","Standard"))</f>
        <v>SportsPerformance</v>
      </c>
      <c r="AG1104" t="str">
        <f>IF(EV_Data4[[#This Row],[customer_rating]]&gt;=4.5,"Excellent",IF(EV_Data4[[#This Row],[customer_rating]]&gt;=3.5,"Good","Average"))</f>
        <v>Good</v>
      </c>
      <c r="AH110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05" spans="1:34" x14ac:dyDescent="0.3">
      <c r="A1105" t="s">
        <v>94</v>
      </c>
      <c r="B1105" t="s">
        <v>128</v>
      </c>
      <c r="C1105">
        <v>2022</v>
      </c>
      <c r="D1105" t="s">
        <v>33</v>
      </c>
      <c r="E1105" s="3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27</v>
      </c>
      <c r="N1105">
        <v>5</v>
      </c>
      <c r="O1105" t="s">
        <v>58</v>
      </c>
      <c r="P1105">
        <v>39.700000000000003</v>
      </c>
      <c r="Q1105">
        <v>1640</v>
      </c>
      <c r="R1105">
        <v>5</v>
      </c>
      <c r="S1105">
        <v>0</v>
      </c>
      <c r="T1105" t="s">
        <v>41</v>
      </c>
      <c r="U1105" t="s">
        <v>30</v>
      </c>
      <c r="V1105" s="3">
        <v>27062</v>
      </c>
      <c r="W1105">
        <v>3.19</v>
      </c>
      <c r="X1105">
        <v>5</v>
      </c>
      <c r="Y1105" s="1">
        <f>EV_Data4[[#This Row],[range_miles]]/EV_Data4[[#This Row],[battery_capacity_kwh]]</f>
        <v>3.6943620178041541</v>
      </c>
      <c r="Z1105" s="4">
        <f>EV_Data4[[#This Row],[price_usd]]/EV_Data4[[#This Row],[range_miles]]</f>
        <v>413.16722891566263</v>
      </c>
      <c r="AA1105" s="2">
        <f>(EV_Data4[[#This Row],[customer_rating]]*EV_Data4[[#This Row],[safety_rating]]*1000)/EV_Data4[[#This Row],[price_usd]]</f>
        <v>0.15503704170272858</v>
      </c>
      <c r="AB1105">
        <f>EV_Data4[[#This Row],[horsepower]]+EV_Data4[[#This Row],[torque_nm]]/EV_Data4[[#This Row],[acceleration_0_60_mph]]</f>
        <v>1145.9968602825745</v>
      </c>
      <c r="AC1105" t="str">
        <f>IF(EV_Data4[[#This Row],[price_usd]]&gt;=80000,"Luxury",IF(EV_Data4[[#This Row],[price_usd]]&gt;=40000,"Mid-Range","Budget"))</f>
        <v>Luxury</v>
      </c>
      <c r="AD1105" t="str">
        <f>IF(EV_Data4[[#This Row],[range_miles]]&gt;=350,"Long-Range",IF(EV_Data4[[#This Row],[range_miles]]&gt;=250,"Medium-Range","Short-Range"))</f>
        <v>Short-Range</v>
      </c>
      <c r="AE1105" t="str">
        <f>IF(EV_Data4[[#This Row],[charging_speed_kw]]&gt;=250,"Ultra-Fast",IF(EV_Data4[[#This Row],[charging_speed_kw]]&gt;=150,"Fast-Charging","Standard-Charging"))</f>
        <v>Standard-Charging</v>
      </c>
      <c r="AF1105" t="str">
        <f>IF(EV_Data4[[#This Row],[acceleration_0_60_mph]]&lt;=3,"SportsPerformance",IF(EV_Data4[[#This Row],[acceleration_0_60_mph]]&lt;=5,"HighPerformance","Standard"))</f>
        <v>Standard</v>
      </c>
      <c r="AG1105" t="str">
        <f>IF(EV_Data4[[#This Row],[customer_rating]]&gt;=4.5,"Excellent",IF(EV_Data4[[#This Row],[customer_rating]]&gt;=3.5,"Good","Average"))</f>
        <v>Average</v>
      </c>
      <c r="AH110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06" spans="1:34" x14ac:dyDescent="0.3">
      <c r="A1106" t="s">
        <v>121</v>
      </c>
      <c r="B1106" t="s">
        <v>122</v>
      </c>
      <c r="C1106">
        <v>2022</v>
      </c>
      <c r="D1106" t="s">
        <v>26</v>
      </c>
      <c r="E1106" s="3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48</v>
      </c>
      <c r="N1106">
        <v>5</v>
      </c>
      <c r="O1106" t="s">
        <v>28</v>
      </c>
      <c r="P1106">
        <v>74.099999999999994</v>
      </c>
      <c r="Q1106">
        <v>2794</v>
      </c>
      <c r="R1106">
        <v>5</v>
      </c>
      <c r="S1106">
        <v>2</v>
      </c>
      <c r="T1106" t="s">
        <v>123</v>
      </c>
      <c r="U1106" t="s">
        <v>33</v>
      </c>
      <c r="V1106" s="3">
        <v>3031</v>
      </c>
      <c r="W1106">
        <v>3.51</v>
      </c>
      <c r="X1106">
        <v>3</v>
      </c>
      <c r="Y1106" s="1">
        <f>EV_Data4[[#This Row],[range_miles]]/EV_Data4[[#This Row],[battery_capacity_kwh]]</f>
        <v>3.670150987224158</v>
      </c>
      <c r="Z1106" s="4">
        <f>EV_Data4[[#This Row],[price_usd]]/EV_Data4[[#This Row],[range_miles]]</f>
        <v>235.53208860759494</v>
      </c>
      <c r="AA1106" s="2">
        <f>(EV_Data4[[#This Row],[customer_rating]]*EV_Data4[[#This Row],[safety_rating]]*1000)/EV_Data4[[#This Row],[price_usd]]</f>
        <v>0.2357979119187984</v>
      </c>
      <c r="AB1106">
        <f>EV_Data4[[#This Row],[horsepower]]+EV_Data4[[#This Row],[torque_nm]]/EV_Data4[[#This Row],[acceleration_0_60_mph]]</f>
        <v>721.30158730158735</v>
      </c>
      <c r="AC1106" t="str">
        <f>IF(EV_Data4[[#This Row],[price_usd]]&gt;=80000,"Luxury",IF(EV_Data4[[#This Row],[price_usd]]&gt;=40000,"Mid-Range","Budget"))</f>
        <v>Mid-Range</v>
      </c>
      <c r="AD1106" t="str">
        <f>IF(EV_Data4[[#This Row],[range_miles]]&gt;=350,"Long-Range",IF(EV_Data4[[#This Row],[range_miles]]&gt;=250,"Medium-Range","Short-Range"))</f>
        <v>Medium-Range</v>
      </c>
      <c r="AE1106" t="str">
        <f>IF(EV_Data4[[#This Row],[charging_speed_kw]]&gt;=250,"Ultra-Fast",IF(EV_Data4[[#This Row],[charging_speed_kw]]&gt;=150,"Fast-Charging","Standard-Charging"))</f>
        <v>Fast-Charging</v>
      </c>
      <c r="AF1106" t="str">
        <f>IF(EV_Data4[[#This Row],[acceleration_0_60_mph]]&lt;=3,"SportsPerformance",IF(EV_Data4[[#This Row],[acceleration_0_60_mph]]&lt;=5,"HighPerformance","Standard"))</f>
        <v>HighPerformance</v>
      </c>
      <c r="AG1106" t="str">
        <f>IF(EV_Data4[[#This Row],[customer_rating]]&gt;=4.5,"Excellent",IF(EV_Data4[[#This Row],[customer_rating]]&gt;=3.5,"Good","Average"))</f>
        <v>Good</v>
      </c>
      <c r="AH110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07" spans="1:34" x14ac:dyDescent="0.3">
      <c r="A1107" t="s">
        <v>46</v>
      </c>
      <c r="B1107" t="s">
        <v>47</v>
      </c>
      <c r="C1107">
        <v>2026</v>
      </c>
      <c r="D1107" t="s">
        <v>26</v>
      </c>
      <c r="E1107" s="3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27</v>
      </c>
      <c r="N1107">
        <v>7</v>
      </c>
      <c r="O1107" t="s">
        <v>50</v>
      </c>
      <c r="P1107">
        <v>18.3</v>
      </c>
      <c r="Q1107">
        <v>1825</v>
      </c>
      <c r="R1107">
        <v>4</v>
      </c>
      <c r="S1107">
        <v>2</v>
      </c>
      <c r="T1107" t="s">
        <v>41</v>
      </c>
      <c r="U1107" t="s">
        <v>30</v>
      </c>
      <c r="V1107" s="3">
        <v>193133</v>
      </c>
      <c r="W1107">
        <v>3.85</v>
      </c>
      <c r="X1107">
        <v>5</v>
      </c>
      <c r="Y1107" s="1">
        <f>EV_Data4[[#This Row],[range_miles]]/EV_Data4[[#This Row],[battery_capacity_kwh]]</f>
        <v>3.2880434782608696</v>
      </c>
      <c r="Z1107" s="4">
        <f>EV_Data4[[#This Row],[price_usd]]/EV_Data4[[#This Row],[range_miles]]</f>
        <v>463.9446280991736</v>
      </c>
      <c r="AA1107" s="2">
        <f>(EV_Data4[[#This Row],[customer_rating]]*EV_Data4[[#This Row],[safety_rating]]*1000)/EV_Data4[[#This Row],[price_usd]]</f>
        <v>0.13716370399003869</v>
      </c>
      <c r="AB1107">
        <f>EV_Data4[[#This Row],[horsepower]]+EV_Data4[[#This Row],[torque_nm]]/EV_Data4[[#This Row],[acceleration_0_60_mph]]</f>
        <v>945.67661691542287</v>
      </c>
      <c r="AC1107" t="str">
        <f>IF(EV_Data4[[#This Row],[price_usd]]&gt;=80000,"Luxury",IF(EV_Data4[[#This Row],[price_usd]]&gt;=40000,"Mid-Range","Budget"))</f>
        <v>Luxury</v>
      </c>
      <c r="AD1107" t="str">
        <f>IF(EV_Data4[[#This Row],[range_miles]]&gt;=350,"Long-Range",IF(EV_Data4[[#This Row],[range_miles]]&gt;=250,"Medium-Range","Short-Range"))</f>
        <v>Short-Range</v>
      </c>
      <c r="AE1107" t="str">
        <f>IF(EV_Data4[[#This Row],[charging_speed_kw]]&gt;=250,"Ultra-Fast",IF(EV_Data4[[#This Row],[charging_speed_kw]]&gt;=150,"Fast-Charging","Standard-Charging"))</f>
        <v>Ultra-Fast</v>
      </c>
      <c r="AF1107" t="str">
        <f>IF(EV_Data4[[#This Row],[acceleration_0_60_mph]]&lt;=3,"SportsPerformance",IF(EV_Data4[[#This Row],[acceleration_0_60_mph]]&lt;=5,"HighPerformance","Standard"))</f>
        <v>HighPerformance</v>
      </c>
      <c r="AG1107" t="str">
        <f>IF(EV_Data4[[#This Row],[customer_rating]]&gt;=4.5,"Excellent",IF(EV_Data4[[#This Row],[customer_rating]]&gt;=3.5,"Good","Average"))</f>
        <v>Good</v>
      </c>
      <c r="AH110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08" spans="1:34" x14ac:dyDescent="0.3">
      <c r="A1108" t="s">
        <v>24</v>
      </c>
      <c r="B1108" t="s">
        <v>25</v>
      </c>
      <c r="C1108">
        <v>2025</v>
      </c>
      <c r="D1108" t="s">
        <v>44</v>
      </c>
      <c r="E1108" s="3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34</v>
      </c>
      <c r="N1108">
        <v>5</v>
      </c>
      <c r="O1108" t="s">
        <v>51</v>
      </c>
      <c r="P1108">
        <v>21.4</v>
      </c>
      <c r="Q1108">
        <v>1712</v>
      </c>
      <c r="R1108">
        <v>4</v>
      </c>
      <c r="S1108">
        <v>1</v>
      </c>
      <c r="T1108" t="s">
        <v>29</v>
      </c>
      <c r="U1108" t="s">
        <v>33</v>
      </c>
      <c r="V1108" s="3">
        <v>224398</v>
      </c>
      <c r="W1108">
        <v>3.79</v>
      </c>
      <c r="X1108">
        <v>3</v>
      </c>
      <c r="Y1108" s="1">
        <f>EV_Data4[[#This Row],[range_miles]]/EV_Data4[[#This Row],[battery_capacity_kwh]]</f>
        <v>3.5451837140019862</v>
      </c>
      <c r="Z1108" s="4">
        <f>EV_Data4[[#This Row],[price_usd]]/EV_Data4[[#This Row],[range_miles]]</f>
        <v>271.81809523809522</v>
      </c>
      <c r="AA1108" s="2">
        <f>(EV_Data4[[#This Row],[customer_rating]]*EV_Data4[[#This Row],[safety_rating]]*1000)/EV_Data4[[#This Row],[price_usd]]</f>
        <v>0.15622575074408182</v>
      </c>
      <c r="AB1108">
        <f>EV_Data4[[#This Row],[horsepower]]+EV_Data4[[#This Row],[torque_nm]]/EV_Data4[[#This Row],[acceleration_0_60_mph]]</f>
        <v>1216.7883211678832</v>
      </c>
      <c r="AC1108" t="str">
        <f>IF(EV_Data4[[#This Row],[price_usd]]&gt;=80000,"Luxury",IF(EV_Data4[[#This Row],[price_usd]]&gt;=40000,"Mid-Range","Budget"))</f>
        <v>Luxury</v>
      </c>
      <c r="AD1108" t="str">
        <f>IF(EV_Data4[[#This Row],[range_miles]]&gt;=350,"Long-Range",IF(EV_Data4[[#This Row],[range_miles]]&gt;=250,"Medium-Range","Short-Range"))</f>
        <v>Long-Range</v>
      </c>
      <c r="AE1108" t="str">
        <f>IF(EV_Data4[[#This Row],[charging_speed_kw]]&gt;=250,"Ultra-Fast",IF(EV_Data4[[#This Row],[charging_speed_kw]]&gt;=150,"Fast-Charging","Standard-Charging"))</f>
        <v>Standard-Charging</v>
      </c>
      <c r="AF1108" t="str">
        <f>IF(EV_Data4[[#This Row],[acceleration_0_60_mph]]&lt;=3,"SportsPerformance",IF(EV_Data4[[#This Row],[acceleration_0_60_mph]]&lt;=5,"HighPerformance","Standard"))</f>
        <v>HighPerformance</v>
      </c>
      <c r="AG1108" t="str">
        <f>IF(EV_Data4[[#This Row],[customer_rating]]&gt;=4.5,"Excellent",IF(EV_Data4[[#This Row],[customer_rating]]&gt;=3.5,"Good","Average"))</f>
        <v>Good</v>
      </c>
      <c r="AH110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09" spans="1:34" x14ac:dyDescent="0.3">
      <c r="A1109" t="s">
        <v>38</v>
      </c>
      <c r="B1109" t="s">
        <v>118</v>
      </c>
      <c r="C1109">
        <v>2021</v>
      </c>
      <c r="D1109" t="s">
        <v>33</v>
      </c>
      <c r="E1109" s="3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27</v>
      </c>
      <c r="N1109">
        <v>5</v>
      </c>
      <c r="O1109" t="s">
        <v>58</v>
      </c>
      <c r="P1109">
        <v>32</v>
      </c>
      <c r="Q1109">
        <v>1519</v>
      </c>
      <c r="R1109">
        <v>4</v>
      </c>
      <c r="S1109">
        <v>1</v>
      </c>
      <c r="T1109" t="s">
        <v>41</v>
      </c>
      <c r="U1109" t="s">
        <v>37</v>
      </c>
      <c r="V1109" s="3">
        <v>1550</v>
      </c>
      <c r="W1109">
        <v>3.22</v>
      </c>
      <c r="X1109">
        <v>4</v>
      </c>
      <c r="Y1109" s="1">
        <f>EV_Data4[[#This Row],[range_miles]]/EV_Data4[[#This Row],[battery_capacity_kwh]]</f>
        <v>3.52112676056338</v>
      </c>
      <c r="Z1109" s="4">
        <f>EV_Data4[[#This Row],[price_usd]]/EV_Data4[[#This Row],[range_miles]]</f>
        <v>355.9726</v>
      </c>
      <c r="AA1109" s="2">
        <f>(EV_Data4[[#This Row],[customer_rating]]*EV_Data4[[#This Row],[safety_rating]]*1000)/EV_Data4[[#This Row],[price_usd]]</f>
        <v>0.2412170674559409</v>
      </c>
      <c r="AB1109">
        <f>EV_Data4[[#This Row],[horsepower]]+EV_Data4[[#This Row],[torque_nm]]/EV_Data4[[#This Row],[acceleration_0_60_mph]]</f>
        <v>717.76996805111821</v>
      </c>
      <c r="AC1109" t="str">
        <f>IF(EV_Data4[[#This Row],[price_usd]]&gt;=80000,"Luxury",IF(EV_Data4[[#This Row],[price_usd]]&gt;=40000,"Mid-Range","Budget"))</f>
        <v>Mid-Range</v>
      </c>
      <c r="AD1109" t="str">
        <f>IF(EV_Data4[[#This Row],[range_miles]]&gt;=350,"Long-Range",IF(EV_Data4[[#This Row],[range_miles]]&gt;=250,"Medium-Range","Short-Range"))</f>
        <v>Short-Range</v>
      </c>
      <c r="AE1109" t="str">
        <f>IF(EV_Data4[[#This Row],[charging_speed_kw]]&gt;=250,"Ultra-Fast",IF(EV_Data4[[#This Row],[charging_speed_kw]]&gt;=150,"Fast-Charging","Standard-Charging"))</f>
        <v>Standard-Charging</v>
      </c>
      <c r="AF1109" t="str">
        <f>IF(EV_Data4[[#This Row],[acceleration_0_60_mph]]&lt;=3,"SportsPerformance",IF(EV_Data4[[#This Row],[acceleration_0_60_mph]]&lt;=5,"HighPerformance","Standard"))</f>
        <v>Standard</v>
      </c>
      <c r="AG1109" t="str">
        <f>IF(EV_Data4[[#This Row],[customer_rating]]&gt;=4.5,"Excellent",IF(EV_Data4[[#This Row],[customer_rating]]&gt;=3.5,"Good","Average"))</f>
        <v>Average</v>
      </c>
      <c r="AH110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10" spans="1:34" x14ac:dyDescent="0.3">
      <c r="A1110" t="s">
        <v>38</v>
      </c>
      <c r="B1110" t="s">
        <v>55</v>
      </c>
      <c r="C1110">
        <v>2025</v>
      </c>
      <c r="D1110" t="s">
        <v>33</v>
      </c>
      <c r="E1110" s="3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48</v>
      </c>
      <c r="N1110">
        <v>5</v>
      </c>
      <c r="O1110" t="s">
        <v>58</v>
      </c>
      <c r="P1110">
        <v>32.5</v>
      </c>
      <c r="Q1110">
        <v>1721</v>
      </c>
      <c r="R1110">
        <v>3</v>
      </c>
      <c r="S1110">
        <v>0</v>
      </c>
      <c r="T1110" t="s">
        <v>41</v>
      </c>
      <c r="U1110" t="s">
        <v>33</v>
      </c>
      <c r="V1110" s="3">
        <v>14992</v>
      </c>
      <c r="W1110">
        <v>3.62</v>
      </c>
      <c r="X1110">
        <v>4</v>
      </c>
      <c r="Y1110" s="1">
        <f>EV_Data4[[#This Row],[range_miles]]/EV_Data4[[#This Row],[battery_capacity_kwh]]</f>
        <v>3.3333333333333335</v>
      </c>
      <c r="Z1110" s="4">
        <f>EV_Data4[[#This Row],[price_usd]]/EV_Data4[[#This Row],[range_miles]]</f>
        <v>307.26183206106873</v>
      </c>
      <c r="AA1110" s="2">
        <f>(EV_Data4[[#This Row],[customer_rating]]*EV_Data4[[#This Row],[safety_rating]]*1000)/EV_Data4[[#This Row],[price_usd]]</f>
        <v>0.13490247519955875</v>
      </c>
      <c r="AB1110">
        <f>EV_Data4[[#This Row],[horsepower]]+EV_Data4[[#This Row],[torque_nm]]/EV_Data4[[#This Row],[acceleration_0_60_mph]]</f>
        <v>1156.6137566137565</v>
      </c>
      <c r="AC1110" t="str">
        <f>IF(EV_Data4[[#This Row],[price_usd]]&gt;=80000,"Luxury",IF(EV_Data4[[#This Row],[price_usd]]&gt;=40000,"Mid-Range","Budget"))</f>
        <v>Luxury</v>
      </c>
      <c r="AD1110" t="str">
        <f>IF(EV_Data4[[#This Row],[range_miles]]&gt;=350,"Long-Range",IF(EV_Data4[[#This Row],[range_miles]]&gt;=250,"Medium-Range","Short-Range"))</f>
        <v>Medium-Range</v>
      </c>
      <c r="AE1110" t="str">
        <f>IF(EV_Data4[[#This Row],[charging_speed_kw]]&gt;=250,"Ultra-Fast",IF(EV_Data4[[#This Row],[charging_speed_kw]]&gt;=150,"Fast-Charging","Standard-Charging"))</f>
        <v>Standard-Charging</v>
      </c>
      <c r="AF1110" t="str">
        <f>IF(EV_Data4[[#This Row],[acceleration_0_60_mph]]&lt;=3,"SportsPerformance",IF(EV_Data4[[#This Row],[acceleration_0_60_mph]]&lt;=5,"HighPerformance","Standard"))</f>
        <v>Standard</v>
      </c>
      <c r="AG1110" t="str">
        <f>IF(EV_Data4[[#This Row],[customer_rating]]&gt;=4.5,"Excellent",IF(EV_Data4[[#This Row],[customer_rating]]&gt;=3.5,"Good","Average"))</f>
        <v>Good</v>
      </c>
      <c r="AH111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11" spans="1:34" x14ac:dyDescent="0.3">
      <c r="A1111" t="s">
        <v>46</v>
      </c>
      <c r="B1111" t="s">
        <v>47</v>
      </c>
      <c r="C1111">
        <v>2025</v>
      </c>
      <c r="D1111" t="s">
        <v>44</v>
      </c>
      <c r="E1111" s="3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34</v>
      </c>
      <c r="N1111">
        <v>7</v>
      </c>
      <c r="O1111" t="s">
        <v>51</v>
      </c>
      <c r="P1111">
        <v>37.299999999999997</v>
      </c>
      <c r="Q1111">
        <v>1602</v>
      </c>
      <c r="R1111">
        <v>5</v>
      </c>
      <c r="S1111">
        <v>2</v>
      </c>
      <c r="T1111" t="s">
        <v>41</v>
      </c>
      <c r="U1111" t="s">
        <v>66</v>
      </c>
      <c r="V1111" s="3">
        <v>146342</v>
      </c>
      <c r="W1111">
        <v>4</v>
      </c>
      <c r="X1111">
        <v>4</v>
      </c>
      <c r="Y1111" s="1">
        <f>EV_Data4[[#This Row],[range_miles]]/EV_Data4[[#This Row],[battery_capacity_kwh]]</f>
        <v>3.7176165803108807</v>
      </c>
      <c r="Z1111" s="4">
        <f>EV_Data4[[#This Row],[price_usd]]/EV_Data4[[#This Row],[range_miles]]</f>
        <v>110.24264808362369</v>
      </c>
      <c r="AA1111" s="2">
        <f>(EV_Data4[[#This Row],[customer_rating]]*EV_Data4[[#This Row],[safety_rating]]*1000)/EV_Data4[[#This Row],[price_usd]]</f>
        <v>0.63211844382553029</v>
      </c>
      <c r="AB1111">
        <f>EV_Data4[[#This Row],[horsepower]]+EV_Data4[[#This Row],[torque_nm]]/EV_Data4[[#This Row],[acceleration_0_60_mph]]</f>
        <v>207.13894324853229</v>
      </c>
      <c r="AC1111" t="str">
        <f>IF(EV_Data4[[#This Row],[price_usd]]&gt;=80000,"Luxury",IF(EV_Data4[[#This Row],[price_usd]]&gt;=40000,"Mid-Range","Budget"))</f>
        <v>Budget</v>
      </c>
      <c r="AD1111" t="str">
        <f>IF(EV_Data4[[#This Row],[range_miles]]&gt;=350,"Long-Range",IF(EV_Data4[[#This Row],[range_miles]]&gt;=250,"Medium-Range","Short-Range"))</f>
        <v>Medium-Range</v>
      </c>
      <c r="AE1111" t="str">
        <f>IF(EV_Data4[[#This Row],[charging_speed_kw]]&gt;=250,"Ultra-Fast",IF(EV_Data4[[#This Row],[charging_speed_kw]]&gt;=150,"Fast-Charging","Standard-Charging"))</f>
        <v>Fast-Charging</v>
      </c>
      <c r="AF1111" t="str">
        <f>IF(EV_Data4[[#This Row],[acceleration_0_60_mph]]&lt;=3,"SportsPerformance",IF(EV_Data4[[#This Row],[acceleration_0_60_mph]]&lt;=5,"HighPerformance","Standard"))</f>
        <v>Standard</v>
      </c>
      <c r="AG1111" t="str">
        <f>IF(EV_Data4[[#This Row],[customer_rating]]&gt;=4.5,"Excellent",IF(EV_Data4[[#This Row],[customer_rating]]&gt;=3.5,"Good","Average"))</f>
        <v>Good</v>
      </c>
      <c r="AH111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12" spans="1:34" x14ac:dyDescent="0.3">
      <c r="A1112" t="s">
        <v>76</v>
      </c>
      <c r="B1112" t="s">
        <v>91</v>
      </c>
      <c r="C1112">
        <v>2023</v>
      </c>
      <c r="D1112" t="s">
        <v>26</v>
      </c>
      <c r="E1112" s="3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27</v>
      </c>
      <c r="N1112">
        <v>2</v>
      </c>
      <c r="O1112" t="s">
        <v>28</v>
      </c>
      <c r="P1112">
        <v>57.7</v>
      </c>
      <c r="Q1112">
        <v>2445</v>
      </c>
      <c r="R1112">
        <v>5</v>
      </c>
      <c r="S1112">
        <v>2</v>
      </c>
      <c r="T1112" t="s">
        <v>41</v>
      </c>
      <c r="U1112" t="s">
        <v>33</v>
      </c>
      <c r="V1112" s="3">
        <v>23821</v>
      </c>
      <c r="W1112">
        <v>3.84</v>
      </c>
      <c r="X1112">
        <v>3</v>
      </c>
      <c r="Y1112" s="1">
        <f>EV_Data4[[#This Row],[range_miles]]/EV_Data4[[#This Row],[battery_capacity_kwh]]</f>
        <v>3.6244541484716155</v>
      </c>
      <c r="Z1112" s="4">
        <f>EV_Data4[[#This Row],[price_usd]]/EV_Data4[[#This Row],[range_miles]]</f>
        <v>167.53325301204819</v>
      </c>
      <c r="AA1112" s="2">
        <f>(EV_Data4[[#This Row],[customer_rating]]*EV_Data4[[#This Row],[safety_rating]]*1000)/EV_Data4[[#This Row],[price_usd]]</f>
        <v>0.27615449117815849</v>
      </c>
      <c r="AB1112">
        <f>EV_Data4[[#This Row],[horsepower]]+EV_Data4[[#This Row],[torque_nm]]/EV_Data4[[#This Row],[acceleration_0_60_mph]]</f>
        <v>1096.2537313432836</v>
      </c>
      <c r="AC1112" t="str">
        <f>IF(EV_Data4[[#This Row],[price_usd]]&gt;=80000,"Luxury",IF(EV_Data4[[#This Row],[price_usd]]&gt;=40000,"Mid-Range","Budget"))</f>
        <v>Mid-Range</v>
      </c>
      <c r="AD1112" t="str">
        <f>IF(EV_Data4[[#This Row],[range_miles]]&gt;=350,"Long-Range",IF(EV_Data4[[#This Row],[range_miles]]&gt;=250,"Medium-Range","Short-Range"))</f>
        <v>Long-Range</v>
      </c>
      <c r="AE1112" t="str">
        <f>IF(EV_Data4[[#This Row],[charging_speed_kw]]&gt;=250,"Ultra-Fast",IF(EV_Data4[[#This Row],[charging_speed_kw]]&gt;=150,"Fast-Charging","Standard-Charging"))</f>
        <v>Fast-Charging</v>
      </c>
      <c r="AF1112" t="str">
        <f>IF(EV_Data4[[#This Row],[acceleration_0_60_mph]]&lt;=3,"SportsPerformance",IF(EV_Data4[[#This Row],[acceleration_0_60_mph]]&lt;=5,"HighPerformance","Standard"))</f>
        <v>SportsPerformance</v>
      </c>
      <c r="AG1112" t="str">
        <f>IF(EV_Data4[[#This Row],[customer_rating]]&gt;=4.5,"Excellent",IF(EV_Data4[[#This Row],[customer_rating]]&gt;=3.5,"Good","Average"))</f>
        <v>Good</v>
      </c>
      <c r="AH111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13" spans="1:34" x14ac:dyDescent="0.3">
      <c r="A1113" t="s">
        <v>63</v>
      </c>
      <c r="B1113" t="s">
        <v>67</v>
      </c>
      <c r="C1113">
        <v>2025</v>
      </c>
      <c r="D1113" t="s">
        <v>26</v>
      </c>
      <c r="E1113" s="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27</v>
      </c>
      <c r="N1113">
        <v>5</v>
      </c>
      <c r="O1113" t="s">
        <v>58</v>
      </c>
      <c r="P1113">
        <v>22.8</v>
      </c>
      <c r="Q1113">
        <v>1500</v>
      </c>
      <c r="R1113">
        <v>4</v>
      </c>
      <c r="S1113">
        <v>1</v>
      </c>
      <c r="T1113" t="s">
        <v>65</v>
      </c>
      <c r="U1113" t="s">
        <v>33</v>
      </c>
      <c r="V1113" s="3">
        <v>108251</v>
      </c>
      <c r="W1113">
        <v>3.65</v>
      </c>
      <c r="X1113">
        <v>4</v>
      </c>
      <c r="Y1113" s="1">
        <f>EV_Data4[[#This Row],[range_miles]]/EV_Data4[[#This Row],[battery_capacity_kwh]]</f>
        <v>3.4223300970873782</v>
      </c>
      <c r="Z1113" s="4">
        <f>EV_Data4[[#This Row],[price_usd]]/EV_Data4[[#This Row],[range_miles]]</f>
        <v>288.50361702127663</v>
      </c>
      <c r="AA1113" s="2">
        <f>(EV_Data4[[#This Row],[customer_rating]]*EV_Data4[[#This Row],[safety_rating]]*1000)/EV_Data4[[#This Row],[price_usd]]</f>
        <v>0.17945372810203591</v>
      </c>
      <c r="AB1113">
        <f>EV_Data4[[#This Row],[horsepower]]+EV_Data4[[#This Row],[torque_nm]]/EV_Data4[[#This Row],[acceleration_0_60_mph]]</f>
        <v>1102.1506849315069</v>
      </c>
      <c r="AC1113" t="str">
        <f>IF(EV_Data4[[#This Row],[price_usd]]&gt;=80000,"Luxury",IF(EV_Data4[[#This Row],[price_usd]]&gt;=40000,"Mid-Range","Budget"))</f>
        <v>Luxury</v>
      </c>
      <c r="AD1113" t="str">
        <f>IF(EV_Data4[[#This Row],[range_miles]]&gt;=350,"Long-Range",IF(EV_Data4[[#This Row],[range_miles]]&gt;=250,"Medium-Range","Short-Range"))</f>
        <v>Medium-Range</v>
      </c>
      <c r="AE1113" t="str">
        <f>IF(EV_Data4[[#This Row],[charging_speed_kw]]&gt;=250,"Ultra-Fast",IF(EV_Data4[[#This Row],[charging_speed_kw]]&gt;=150,"Fast-Charging","Standard-Charging"))</f>
        <v>Fast-Charging</v>
      </c>
      <c r="AF1113" t="str">
        <f>IF(EV_Data4[[#This Row],[acceleration_0_60_mph]]&lt;=3,"SportsPerformance",IF(EV_Data4[[#This Row],[acceleration_0_60_mph]]&lt;=5,"HighPerformance","Standard"))</f>
        <v>HighPerformance</v>
      </c>
      <c r="AG1113" t="str">
        <f>IF(EV_Data4[[#This Row],[customer_rating]]&gt;=4.5,"Excellent",IF(EV_Data4[[#This Row],[customer_rating]]&gt;=3.5,"Good","Average"))</f>
        <v>Good</v>
      </c>
      <c r="AH111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14" spans="1:34" x14ac:dyDescent="0.3">
      <c r="A1114" t="s">
        <v>63</v>
      </c>
      <c r="B1114" t="s">
        <v>107</v>
      </c>
      <c r="C1114">
        <v>2026</v>
      </c>
      <c r="D1114" t="s">
        <v>56</v>
      </c>
      <c r="E1114" s="3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27</v>
      </c>
      <c r="N1114">
        <v>5</v>
      </c>
      <c r="O1114" t="s">
        <v>35</v>
      </c>
      <c r="P1114">
        <v>49.5</v>
      </c>
      <c r="Q1114">
        <v>1873</v>
      </c>
      <c r="R1114">
        <v>5</v>
      </c>
      <c r="S1114">
        <v>1</v>
      </c>
      <c r="T1114" t="s">
        <v>65</v>
      </c>
      <c r="U1114" t="s">
        <v>37</v>
      </c>
      <c r="V1114" s="3">
        <v>119766</v>
      </c>
      <c r="W1114">
        <v>3.6</v>
      </c>
      <c r="X1114">
        <v>4</v>
      </c>
      <c r="Y1114" s="1">
        <f>EV_Data4[[#This Row],[range_miles]]/EV_Data4[[#This Row],[battery_capacity_kwh]]</f>
        <v>3.75</v>
      </c>
      <c r="Z1114" s="4">
        <f>EV_Data4[[#This Row],[price_usd]]/EV_Data4[[#This Row],[range_miles]]</f>
        <v>143.35955555555557</v>
      </c>
      <c r="AA1114" s="2">
        <f>(EV_Data4[[#This Row],[customer_rating]]*EV_Data4[[#This Row],[safety_rating]]*1000)/EV_Data4[[#This Row],[price_usd]]</f>
        <v>0.39859817450893809</v>
      </c>
      <c r="AB1114">
        <f>EV_Data4[[#This Row],[horsepower]]+EV_Data4[[#This Row],[torque_nm]]/EV_Data4[[#This Row],[acceleration_0_60_mph]]</f>
        <v>531.28813559322032</v>
      </c>
      <c r="AC1114" t="str">
        <f>IF(EV_Data4[[#This Row],[price_usd]]&gt;=80000,"Luxury",IF(EV_Data4[[#This Row],[price_usd]]&gt;=40000,"Mid-Range","Budget"))</f>
        <v>Mid-Range</v>
      </c>
      <c r="AD1114" t="str">
        <f>IF(EV_Data4[[#This Row],[range_miles]]&gt;=350,"Long-Range",IF(EV_Data4[[#This Row],[range_miles]]&gt;=250,"Medium-Range","Short-Range"))</f>
        <v>Medium-Range</v>
      </c>
      <c r="AE1114" t="str">
        <f>IF(EV_Data4[[#This Row],[charging_speed_kw]]&gt;=250,"Ultra-Fast",IF(EV_Data4[[#This Row],[charging_speed_kw]]&gt;=150,"Fast-Charging","Standard-Charging"))</f>
        <v>Standard-Charging</v>
      </c>
      <c r="AF1114" t="str">
        <f>IF(EV_Data4[[#This Row],[acceleration_0_60_mph]]&lt;=3,"SportsPerformance",IF(EV_Data4[[#This Row],[acceleration_0_60_mph]]&lt;=5,"HighPerformance","Standard"))</f>
        <v>Standard</v>
      </c>
      <c r="AG1114" t="str">
        <f>IF(EV_Data4[[#This Row],[customer_rating]]&gt;=4.5,"Excellent",IF(EV_Data4[[#This Row],[customer_rating]]&gt;=3.5,"Good","Average"))</f>
        <v>Good</v>
      </c>
      <c r="AH111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15" spans="1:34" x14ac:dyDescent="0.3">
      <c r="A1115" t="s">
        <v>68</v>
      </c>
      <c r="B1115" t="s">
        <v>90</v>
      </c>
      <c r="C1115">
        <v>2023</v>
      </c>
      <c r="D1115" t="s">
        <v>61</v>
      </c>
      <c r="E1115" s="3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48</v>
      </c>
      <c r="N1115">
        <v>5</v>
      </c>
      <c r="O1115" t="s">
        <v>28</v>
      </c>
      <c r="P1115">
        <v>66.3</v>
      </c>
      <c r="Q1115">
        <v>2647</v>
      </c>
      <c r="R1115">
        <v>5</v>
      </c>
      <c r="S1115">
        <v>1</v>
      </c>
      <c r="T1115" t="s">
        <v>45</v>
      </c>
      <c r="U1115" t="s">
        <v>33</v>
      </c>
      <c r="V1115" s="3">
        <v>142666</v>
      </c>
      <c r="W1115">
        <v>3.15</v>
      </c>
      <c r="X1115">
        <v>4</v>
      </c>
      <c r="Y1115" s="1">
        <f>EV_Data4[[#This Row],[range_miles]]/EV_Data4[[#This Row],[battery_capacity_kwh]]</f>
        <v>3.5227272727272725</v>
      </c>
      <c r="Z1115" s="4">
        <f>EV_Data4[[#This Row],[price_usd]]/EV_Data4[[#This Row],[range_miles]]</f>
        <v>338.57235023041471</v>
      </c>
      <c r="AA1115" s="2">
        <f>(EV_Data4[[#This Row],[customer_rating]]*EV_Data4[[#This Row],[safety_rating]]*1000)/EV_Data4[[#This Row],[price_usd]]</f>
        <v>0.21437262999147955</v>
      </c>
      <c r="AB1115">
        <f>EV_Data4[[#This Row],[horsepower]]+EV_Data4[[#This Row],[torque_nm]]/EV_Data4[[#This Row],[acceleration_0_60_mph]]</f>
        <v>1027.6451612903227</v>
      </c>
      <c r="AC1115" t="str">
        <f>IF(EV_Data4[[#This Row],[price_usd]]&gt;=80000,"Luxury",IF(EV_Data4[[#This Row],[price_usd]]&gt;=40000,"Mid-Range","Budget"))</f>
        <v>Mid-Range</v>
      </c>
      <c r="AD1115" t="str">
        <f>IF(EV_Data4[[#This Row],[range_miles]]&gt;=350,"Long-Range",IF(EV_Data4[[#This Row],[range_miles]]&gt;=250,"Medium-Range","Short-Range"))</f>
        <v>Short-Range</v>
      </c>
      <c r="AE1115" t="str">
        <f>IF(EV_Data4[[#This Row],[charging_speed_kw]]&gt;=250,"Ultra-Fast",IF(EV_Data4[[#This Row],[charging_speed_kw]]&gt;=150,"Fast-Charging","Standard-Charging"))</f>
        <v>Standard-Charging</v>
      </c>
      <c r="AF1115" t="str">
        <f>IF(EV_Data4[[#This Row],[acceleration_0_60_mph]]&lt;=3,"SportsPerformance",IF(EV_Data4[[#This Row],[acceleration_0_60_mph]]&lt;=5,"HighPerformance","Standard"))</f>
        <v>Standard</v>
      </c>
      <c r="AG1115" t="str">
        <f>IF(EV_Data4[[#This Row],[customer_rating]]&gt;=4.5,"Excellent",IF(EV_Data4[[#This Row],[customer_rating]]&gt;=3.5,"Good","Average"))</f>
        <v>Average</v>
      </c>
      <c r="AH111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16" spans="1:34" x14ac:dyDescent="0.3">
      <c r="A1116" t="s">
        <v>42</v>
      </c>
      <c r="B1116" t="s">
        <v>43</v>
      </c>
      <c r="C1116">
        <v>2024</v>
      </c>
      <c r="D1116" t="s">
        <v>61</v>
      </c>
      <c r="E1116" s="3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34</v>
      </c>
      <c r="N1116">
        <v>5</v>
      </c>
      <c r="O1116" t="s">
        <v>35</v>
      </c>
      <c r="P1116">
        <v>37.6</v>
      </c>
      <c r="Q1116">
        <v>2224</v>
      </c>
      <c r="R1116">
        <v>4</v>
      </c>
      <c r="S1116">
        <v>0</v>
      </c>
      <c r="T1116" t="s">
        <v>45</v>
      </c>
      <c r="U1116" t="s">
        <v>66</v>
      </c>
      <c r="V1116" s="3">
        <v>131619</v>
      </c>
      <c r="W1116">
        <v>3.27</v>
      </c>
      <c r="X1116">
        <v>3</v>
      </c>
      <c r="Y1116" s="1">
        <f>EV_Data4[[#This Row],[range_miles]]/EV_Data4[[#This Row],[battery_capacity_kwh]]</f>
        <v>3.2894736842105261</v>
      </c>
      <c r="Z1116" s="4">
        <f>EV_Data4[[#This Row],[price_usd]]/EV_Data4[[#This Row],[range_miles]]</f>
        <v>211.98226666666667</v>
      </c>
      <c r="AA1116" s="2">
        <f>(EV_Data4[[#This Row],[customer_rating]]*EV_Data4[[#This Row],[safety_rating]]*1000)/EV_Data4[[#This Row],[price_usd]]</f>
        <v>0.4113551636709234</v>
      </c>
      <c r="AB1116">
        <f>EV_Data4[[#This Row],[horsepower]]+EV_Data4[[#This Row],[torque_nm]]/EV_Data4[[#This Row],[acceleration_0_60_mph]]</f>
        <v>261.81844380403459</v>
      </c>
      <c r="AC1116" t="str">
        <f>IF(EV_Data4[[#This Row],[price_usd]]&gt;=80000,"Luxury",IF(EV_Data4[[#This Row],[price_usd]]&gt;=40000,"Mid-Range","Budget"))</f>
        <v>Budget</v>
      </c>
      <c r="AD1116" t="str">
        <f>IF(EV_Data4[[#This Row],[range_miles]]&gt;=350,"Long-Range",IF(EV_Data4[[#This Row],[range_miles]]&gt;=250,"Medium-Range","Short-Range"))</f>
        <v>Short-Range</v>
      </c>
      <c r="AE1116" t="str">
        <f>IF(EV_Data4[[#This Row],[charging_speed_kw]]&gt;=250,"Ultra-Fast",IF(EV_Data4[[#This Row],[charging_speed_kw]]&gt;=150,"Fast-Charging","Standard-Charging"))</f>
        <v>Standard-Charging</v>
      </c>
      <c r="AF1116" t="str">
        <f>IF(EV_Data4[[#This Row],[acceleration_0_60_mph]]&lt;=3,"SportsPerformance",IF(EV_Data4[[#This Row],[acceleration_0_60_mph]]&lt;=5,"HighPerformance","Standard"))</f>
        <v>Standard</v>
      </c>
      <c r="AG1116" t="str">
        <f>IF(EV_Data4[[#This Row],[customer_rating]]&gt;=4.5,"Excellent",IF(EV_Data4[[#This Row],[customer_rating]]&gt;=3.5,"Good","Average"))</f>
        <v>Average</v>
      </c>
      <c r="AH111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17" spans="1:34" x14ac:dyDescent="0.3">
      <c r="A1117" t="s">
        <v>42</v>
      </c>
      <c r="B1117" t="s">
        <v>80</v>
      </c>
      <c r="C1117">
        <v>2022</v>
      </c>
      <c r="D1117" t="s">
        <v>44</v>
      </c>
      <c r="E1117" s="3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27</v>
      </c>
      <c r="N1117">
        <v>5</v>
      </c>
      <c r="O1117" t="s">
        <v>35</v>
      </c>
      <c r="P1117">
        <v>43.9</v>
      </c>
      <c r="Q1117">
        <v>1945</v>
      </c>
      <c r="R1117">
        <v>5</v>
      </c>
      <c r="S1117">
        <v>2</v>
      </c>
      <c r="T1117" t="s">
        <v>45</v>
      </c>
      <c r="U1117" t="s">
        <v>33</v>
      </c>
      <c r="V1117" s="3">
        <v>89937</v>
      </c>
      <c r="W1117">
        <v>3.58</v>
      </c>
      <c r="X1117">
        <v>3</v>
      </c>
      <c r="Y1117" s="1">
        <f>EV_Data4[[#This Row],[range_miles]]/EV_Data4[[#This Row],[battery_capacity_kwh]]</f>
        <v>3.46875</v>
      </c>
      <c r="Z1117" s="4">
        <f>EV_Data4[[#This Row],[price_usd]]/EV_Data4[[#This Row],[range_miles]]</f>
        <v>221.24882882882883</v>
      </c>
      <c r="AA1117" s="2">
        <f>(EV_Data4[[#This Row],[customer_rating]]*EV_Data4[[#This Row],[safety_rating]]*1000)/EV_Data4[[#This Row],[price_usd]]</f>
        <v>0.24295610529690456</v>
      </c>
      <c r="AB1117">
        <f>EV_Data4[[#This Row],[horsepower]]+EV_Data4[[#This Row],[torque_nm]]/EV_Data4[[#This Row],[acceleration_0_60_mph]]</f>
        <v>1044.7857142857142</v>
      </c>
      <c r="AC1117" t="str">
        <f>IF(EV_Data4[[#This Row],[price_usd]]&gt;=80000,"Luxury",IF(EV_Data4[[#This Row],[price_usd]]&gt;=40000,"Mid-Range","Budget"))</f>
        <v>Mid-Range</v>
      </c>
      <c r="AD1117" t="str">
        <f>IF(EV_Data4[[#This Row],[range_miles]]&gt;=350,"Long-Range",IF(EV_Data4[[#This Row],[range_miles]]&gt;=250,"Medium-Range","Short-Range"))</f>
        <v>Medium-Range</v>
      </c>
      <c r="AE1117" t="str">
        <f>IF(EV_Data4[[#This Row],[charging_speed_kw]]&gt;=250,"Ultra-Fast",IF(EV_Data4[[#This Row],[charging_speed_kw]]&gt;=150,"Fast-Charging","Standard-Charging"))</f>
        <v>Standard-Charging</v>
      </c>
      <c r="AF1117" t="str">
        <f>IF(EV_Data4[[#This Row],[acceleration_0_60_mph]]&lt;=3,"SportsPerformance",IF(EV_Data4[[#This Row],[acceleration_0_60_mph]]&lt;=5,"HighPerformance","Standard"))</f>
        <v>HighPerformance</v>
      </c>
      <c r="AG1117" t="str">
        <f>IF(EV_Data4[[#This Row],[customer_rating]]&gt;=4.5,"Excellent",IF(EV_Data4[[#This Row],[customer_rating]]&gt;=3.5,"Good","Average"))</f>
        <v>Good</v>
      </c>
      <c r="AH111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18" spans="1:34" x14ac:dyDescent="0.3">
      <c r="A1118" t="s">
        <v>46</v>
      </c>
      <c r="B1118" t="s">
        <v>57</v>
      </c>
      <c r="C1118">
        <v>2023</v>
      </c>
      <c r="D1118" t="s">
        <v>26</v>
      </c>
      <c r="E1118" s="3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48</v>
      </c>
      <c r="N1118">
        <v>5</v>
      </c>
      <c r="O1118" t="s">
        <v>51</v>
      </c>
      <c r="P1118">
        <v>37.9</v>
      </c>
      <c r="Q1118">
        <v>1802</v>
      </c>
      <c r="R1118">
        <v>3</v>
      </c>
      <c r="S1118">
        <v>2</v>
      </c>
      <c r="T1118" t="s">
        <v>41</v>
      </c>
      <c r="U1118" t="s">
        <v>30</v>
      </c>
      <c r="V1118" s="3">
        <v>247669</v>
      </c>
      <c r="W1118">
        <v>4.2</v>
      </c>
      <c r="X1118">
        <v>5</v>
      </c>
      <c r="Y1118" s="1">
        <f>EV_Data4[[#This Row],[range_miles]]/EV_Data4[[#This Row],[battery_capacity_kwh]]</f>
        <v>3.4088927637314734</v>
      </c>
      <c r="Z1118" s="4">
        <f>EV_Data4[[#This Row],[price_usd]]/EV_Data4[[#This Row],[range_miles]]</f>
        <v>270.34828644501277</v>
      </c>
      <c r="AA1118" s="2">
        <f>(EV_Data4[[#This Row],[customer_rating]]*EV_Data4[[#This Row],[safety_rating]]*1000)/EV_Data4[[#This Row],[price_usd]]</f>
        <v>0.11919832880158948</v>
      </c>
      <c r="AB1118">
        <f>EV_Data4[[#This Row],[horsepower]]+EV_Data4[[#This Row],[torque_nm]]/EV_Data4[[#This Row],[acceleration_0_60_mph]]</f>
        <v>994.09125475285168</v>
      </c>
      <c r="AC1118" t="str">
        <f>IF(EV_Data4[[#This Row],[price_usd]]&gt;=80000,"Luxury",IF(EV_Data4[[#This Row],[price_usd]]&gt;=40000,"Mid-Range","Budget"))</f>
        <v>Luxury</v>
      </c>
      <c r="AD1118" t="str">
        <f>IF(EV_Data4[[#This Row],[range_miles]]&gt;=350,"Long-Range",IF(EV_Data4[[#This Row],[range_miles]]&gt;=250,"Medium-Range","Short-Range"))</f>
        <v>Long-Range</v>
      </c>
      <c r="AE1118" t="str">
        <f>IF(EV_Data4[[#This Row],[charging_speed_kw]]&gt;=250,"Ultra-Fast",IF(EV_Data4[[#This Row],[charging_speed_kw]]&gt;=150,"Fast-Charging","Standard-Charging"))</f>
        <v>Ultra-Fast</v>
      </c>
      <c r="AF1118" t="str">
        <f>IF(EV_Data4[[#This Row],[acceleration_0_60_mph]]&lt;=3,"SportsPerformance",IF(EV_Data4[[#This Row],[acceleration_0_60_mph]]&lt;=5,"HighPerformance","Standard"))</f>
        <v>SportsPerformance</v>
      </c>
      <c r="AG1118" t="str">
        <f>IF(EV_Data4[[#This Row],[customer_rating]]&gt;=4.5,"Excellent",IF(EV_Data4[[#This Row],[customer_rating]]&gt;=3.5,"Good","Average"))</f>
        <v>Good</v>
      </c>
      <c r="AH111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19" spans="1:34" x14ac:dyDescent="0.3">
      <c r="A1119" t="s">
        <v>86</v>
      </c>
      <c r="B1119" t="s">
        <v>108</v>
      </c>
      <c r="C1119">
        <v>2024</v>
      </c>
      <c r="D1119" t="s">
        <v>44</v>
      </c>
      <c r="E1119" s="3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34</v>
      </c>
      <c r="N1119">
        <v>5</v>
      </c>
      <c r="O1119" t="s">
        <v>51</v>
      </c>
      <c r="P1119">
        <v>33.700000000000003</v>
      </c>
      <c r="Q1119">
        <v>1758</v>
      </c>
      <c r="R1119">
        <v>5</v>
      </c>
      <c r="S1119">
        <v>1</v>
      </c>
      <c r="T1119" t="s">
        <v>29</v>
      </c>
      <c r="U1119" t="s">
        <v>30</v>
      </c>
      <c r="V1119" s="3">
        <v>45413</v>
      </c>
      <c r="W1119">
        <v>3.78</v>
      </c>
      <c r="X1119">
        <v>6</v>
      </c>
      <c r="Y1119" s="1">
        <f>EV_Data4[[#This Row],[range_miles]]/EV_Data4[[#This Row],[battery_capacity_kwh]]</f>
        <v>3.7943696450428397</v>
      </c>
      <c r="Z1119" s="4">
        <f>EV_Data4[[#This Row],[price_usd]]/EV_Data4[[#This Row],[range_miles]]</f>
        <v>399.149</v>
      </c>
      <c r="AA1119" s="2">
        <f>(EV_Data4[[#This Row],[customer_rating]]*EV_Data4[[#This Row],[safety_rating]]*1000)/EV_Data4[[#This Row],[price_usd]]</f>
        <v>0.15274431837605473</v>
      </c>
      <c r="AB1119">
        <f>EV_Data4[[#This Row],[horsepower]]+EV_Data4[[#This Row],[torque_nm]]/EV_Data4[[#This Row],[acceleration_0_60_mph]]</f>
        <v>1137.5</v>
      </c>
      <c r="AC1119" t="str">
        <f>IF(EV_Data4[[#This Row],[price_usd]]&gt;=80000,"Luxury",IF(EV_Data4[[#This Row],[price_usd]]&gt;=40000,"Mid-Range","Budget"))</f>
        <v>Luxury</v>
      </c>
      <c r="AD1119" t="str">
        <f>IF(EV_Data4[[#This Row],[range_miles]]&gt;=350,"Long-Range",IF(EV_Data4[[#This Row],[range_miles]]&gt;=250,"Medium-Range","Short-Range"))</f>
        <v>Medium-Range</v>
      </c>
      <c r="AE1119" t="str">
        <f>IF(EV_Data4[[#This Row],[charging_speed_kw]]&gt;=250,"Ultra-Fast",IF(EV_Data4[[#This Row],[charging_speed_kw]]&gt;=150,"Fast-Charging","Standard-Charging"))</f>
        <v>Standard-Charging</v>
      </c>
      <c r="AF1119" t="str">
        <f>IF(EV_Data4[[#This Row],[acceleration_0_60_mph]]&lt;=3,"SportsPerformance",IF(EV_Data4[[#This Row],[acceleration_0_60_mph]]&lt;=5,"HighPerformance","Standard"))</f>
        <v>Standard</v>
      </c>
      <c r="AG1119" t="str">
        <f>IF(EV_Data4[[#This Row],[customer_rating]]&gt;=4.5,"Excellent",IF(EV_Data4[[#This Row],[customer_rating]]&gt;=3.5,"Good","Average"))</f>
        <v>Good</v>
      </c>
      <c r="AH111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20" spans="1:34" x14ac:dyDescent="0.3">
      <c r="A1120" t="s">
        <v>63</v>
      </c>
      <c r="B1120" t="s">
        <v>96</v>
      </c>
      <c r="C1120">
        <v>2025</v>
      </c>
      <c r="D1120" t="s">
        <v>56</v>
      </c>
      <c r="E1120" s="3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27</v>
      </c>
      <c r="N1120">
        <v>5</v>
      </c>
      <c r="O1120" t="s">
        <v>50</v>
      </c>
      <c r="P1120">
        <v>34.9</v>
      </c>
      <c r="Q1120">
        <v>1500</v>
      </c>
      <c r="R1120">
        <v>4</v>
      </c>
      <c r="S1120">
        <v>0</v>
      </c>
      <c r="T1120" t="s">
        <v>65</v>
      </c>
      <c r="U1120" t="s">
        <v>33</v>
      </c>
      <c r="V1120" s="3">
        <v>205374</v>
      </c>
      <c r="W1120">
        <v>3.21</v>
      </c>
      <c r="X1120">
        <v>4</v>
      </c>
      <c r="Y1120" s="1">
        <f>EV_Data4[[#This Row],[range_miles]]/EV_Data4[[#This Row],[battery_capacity_kwh]]</f>
        <v>3.3477633477633479</v>
      </c>
      <c r="Z1120" s="4">
        <f>EV_Data4[[#This Row],[price_usd]]/EV_Data4[[#This Row],[range_miles]]</f>
        <v>315.5487931034483</v>
      </c>
      <c r="AA1120" s="2">
        <f>(EV_Data4[[#This Row],[customer_rating]]*EV_Data4[[#This Row],[safety_rating]]*1000)/EV_Data4[[#This Row],[price_usd]]</f>
        <v>0.17539229683589017</v>
      </c>
      <c r="AB1120">
        <f>EV_Data4[[#This Row],[horsepower]]+EV_Data4[[#This Row],[torque_nm]]/EV_Data4[[#This Row],[acceleration_0_60_mph]]</f>
        <v>925.04477611940297</v>
      </c>
      <c r="AC1120" t="str">
        <f>IF(EV_Data4[[#This Row],[price_usd]]&gt;=80000,"Luxury",IF(EV_Data4[[#This Row],[price_usd]]&gt;=40000,"Mid-Range","Budget"))</f>
        <v>Mid-Range</v>
      </c>
      <c r="AD1120" t="str">
        <f>IF(EV_Data4[[#This Row],[range_miles]]&gt;=350,"Long-Range",IF(EV_Data4[[#This Row],[range_miles]]&gt;=250,"Medium-Range","Short-Range"))</f>
        <v>Short-Range</v>
      </c>
      <c r="AE1120" t="str">
        <f>IF(EV_Data4[[#This Row],[charging_speed_kw]]&gt;=250,"Ultra-Fast",IF(EV_Data4[[#This Row],[charging_speed_kw]]&gt;=150,"Fast-Charging","Standard-Charging"))</f>
        <v>Standard-Charging</v>
      </c>
      <c r="AF1120" t="str">
        <f>IF(EV_Data4[[#This Row],[acceleration_0_60_mph]]&lt;=3,"SportsPerformance",IF(EV_Data4[[#This Row],[acceleration_0_60_mph]]&lt;=5,"HighPerformance","Standard"))</f>
        <v>Standard</v>
      </c>
      <c r="AG1120" t="str">
        <f>IF(EV_Data4[[#This Row],[customer_rating]]&gt;=4.5,"Excellent",IF(EV_Data4[[#This Row],[customer_rating]]&gt;=3.5,"Good","Average"))</f>
        <v>Average</v>
      </c>
      <c r="AH112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21" spans="1:34" x14ac:dyDescent="0.3">
      <c r="A1121" t="s">
        <v>46</v>
      </c>
      <c r="B1121" t="s">
        <v>57</v>
      </c>
      <c r="C1121">
        <v>2023</v>
      </c>
      <c r="D1121" t="s">
        <v>61</v>
      </c>
      <c r="E1121" s="3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27</v>
      </c>
      <c r="N1121">
        <v>7</v>
      </c>
      <c r="O1121" t="s">
        <v>50</v>
      </c>
      <c r="P1121">
        <v>36.4</v>
      </c>
      <c r="Q1121">
        <v>1713</v>
      </c>
      <c r="R1121">
        <v>3</v>
      </c>
      <c r="S1121">
        <v>3</v>
      </c>
      <c r="T1121" t="s">
        <v>41</v>
      </c>
      <c r="U1121" t="s">
        <v>33</v>
      </c>
      <c r="V1121" s="3">
        <v>116755</v>
      </c>
      <c r="W1121">
        <v>3.27</v>
      </c>
      <c r="X1121">
        <v>5</v>
      </c>
      <c r="Y1121" s="1">
        <f>EV_Data4[[#This Row],[range_miles]]/EV_Data4[[#This Row],[battery_capacity_kwh]]</f>
        <v>3.3112582781456954</v>
      </c>
      <c r="Z1121" s="4">
        <f>EV_Data4[[#This Row],[price_usd]]/EV_Data4[[#This Row],[range_miles]]</f>
        <v>634.16740000000004</v>
      </c>
      <c r="AA1121" s="2">
        <f>(EV_Data4[[#This Row],[customer_rating]]*EV_Data4[[#This Row],[safety_rating]]*1000)/EV_Data4[[#This Row],[price_usd]]</f>
        <v>0.10312734460964093</v>
      </c>
      <c r="AB1121">
        <f>EV_Data4[[#This Row],[horsepower]]+EV_Data4[[#This Row],[torque_nm]]/EV_Data4[[#This Row],[acceleration_0_60_mph]]</f>
        <v>821.78082191780823</v>
      </c>
      <c r="AC1121" t="str">
        <f>IF(EV_Data4[[#This Row],[price_usd]]&gt;=80000,"Luxury",IF(EV_Data4[[#This Row],[price_usd]]&gt;=40000,"Mid-Range","Budget"))</f>
        <v>Luxury</v>
      </c>
      <c r="AD1121" t="str">
        <f>IF(EV_Data4[[#This Row],[range_miles]]&gt;=350,"Long-Range",IF(EV_Data4[[#This Row],[range_miles]]&gt;=250,"Medium-Range","Short-Range"))</f>
        <v>Short-Range</v>
      </c>
      <c r="AE1121" t="str">
        <f>IF(EV_Data4[[#This Row],[charging_speed_kw]]&gt;=250,"Ultra-Fast",IF(EV_Data4[[#This Row],[charging_speed_kw]]&gt;=150,"Fast-Charging","Standard-Charging"))</f>
        <v>Ultra-Fast</v>
      </c>
      <c r="AF1121" t="str">
        <f>IF(EV_Data4[[#This Row],[acceleration_0_60_mph]]&lt;=3,"SportsPerformance",IF(EV_Data4[[#This Row],[acceleration_0_60_mph]]&lt;=5,"HighPerformance","Standard"))</f>
        <v>Standard</v>
      </c>
      <c r="AG1121" t="str">
        <f>IF(EV_Data4[[#This Row],[customer_rating]]&gt;=4.5,"Excellent",IF(EV_Data4[[#This Row],[customer_rating]]&gt;=3.5,"Good","Average"))</f>
        <v>Average</v>
      </c>
      <c r="AH1121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122" spans="1:34" x14ac:dyDescent="0.3">
      <c r="A1122" t="s">
        <v>86</v>
      </c>
      <c r="B1122" t="s">
        <v>87</v>
      </c>
      <c r="C1122">
        <v>2023</v>
      </c>
      <c r="D1122" t="s">
        <v>44</v>
      </c>
      <c r="E1122" s="3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34</v>
      </c>
      <c r="N1122">
        <v>5</v>
      </c>
      <c r="O1122" t="s">
        <v>35</v>
      </c>
      <c r="P1122">
        <v>53</v>
      </c>
      <c r="Q1122">
        <v>2231</v>
      </c>
      <c r="R1122">
        <v>5</v>
      </c>
      <c r="S1122">
        <v>2</v>
      </c>
      <c r="T1122" t="s">
        <v>29</v>
      </c>
      <c r="U1122" t="s">
        <v>37</v>
      </c>
      <c r="V1122" s="3">
        <v>67458</v>
      </c>
      <c r="W1122">
        <v>3.6</v>
      </c>
      <c r="X1122">
        <v>5</v>
      </c>
      <c r="Y1122" s="1">
        <f>EV_Data4[[#This Row],[range_miles]]/EV_Data4[[#This Row],[battery_capacity_kwh]]</f>
        <v>3.496420047732697</v>
      </c>
      <c r="Z1122" s="4">
        <f>EV_Data4[[#This Row],[price_usd]]/EV_Data4[[#This Row],[range_miles]]</f>
        <v>220.62556313993176</v>
      </c>
      <c r="AA1122" s="2">
        <f>(EV_Data4[[#This Row],[customer_rating]]*EV_Data4[[#This Row],[safety_rating]]*1000)/EV_Data4[[#This Row],[price_usd]]</f>
        <v>0.27845117412804948</v>
      </c>
      <c r="AB1122">
        <f>EV_Data4[[#This Row],[horsepower]]+EV_Data4[[#This Row],[torque_nm]]/EV_Data4[[#This Row],[acceleration_0_60_mph]]</f>
        <v>306.47680890538032</v>
      </c>
      <c r="AC1122" t="str">
        <f>IF(EV_Data4[[#This Row],[price_usd]]&gt;=80000,"Luxury",IF(EV_Data4[[#This Row],[price_usd]]&gt;=40000,"Mid-Range","Budget"))</f>
        <v>Mid-Range</v>
      </c>
      <c r="AD1122" t="str">
        <f>IF(EV_Data4[[#This Row],[range_miles]]&gt;=350,"Long-Range",IF(EV_Data4[[#This Row],[range_miles]]&gt;=250,"Medium-Range","Short-Range"))</f>
        <v>Medium-Range</v>
      </c>
      <c r="AE1122" t="str">
        <f>IF(EV_Data4[[#This Row],[charging_speed_kw]]&gt;=250,"Ultra-Fast",IF(EV_Data4[[#This Row],[charging_speed_kw]]&gt;=150,"Fast-Charging","Standard-Charging"))</f>
        <v>Standard-Charging</v>
      </c>
      <c r="AF1122" t="str">
        <f>IF(EV_Data4[[#This Row],[acceleration_0_60_mph]]&lt;=3,"SportsPerformance",IF(EV_Data4[[#This Row],[acceleration_0_60_mph]]&lt;=5,"HighPerformance","Standard"))</f>
        <v>Standard</v>
      </c>
      <c r="AG1122" t="str">
        <f>IF(EV_Data4[[#This Row],[customer_rating]]&gt;=4.5,"Excellent",IF(EV_Data4[[#This Row],[customer_rating]]&gt;=3.5,"Good","Average"))</f>
        <v>Good</v>
      </c>
      <c r="AH112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23" spans="1:34" x14ac:dyDescent="0.3">
      <c r="A1123" t="s">
        <v>31</v>
      </c>
      <c r="B1123" t="s">
        <v>112</v>
      </c>
      <c r="C1123">
        <v>2022</v>
      </c>
      <c r="D1123" t="s">
        <v>56</v>
      </c>
      <c r="E1123" s="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34</v>
      </c>
      <c r="N1123">
        <v>5</v>
      </c>
      <c r="O1123" t="s">
        <v>50</v>
      </c>
      <c r="P1123">
        <v>34.200000000000003</v>
      </c>
      <c r="Q1123">
        <v>1689</v>
      </c>
      <c r="R1123">
        <v>4</v>
      </c>
      <c r="S1123">
        <v>0</v>
      </c>
      <c r="T1123" t="s">
        <v>36</v>
      </c>
      <c r="U1123" t="s">
        <v>37</v>
      </c>
      <c r="V1123" s="3">
        <v>3528</v>
      </c>
      <c r="W1123">
        <v>3.67</v>
      </c>
      <c r="X1123">
        <v>3</v>
      </c>
      <c r="Y1123" s="1">
        <f>EV_Data4[[#This Row],[range_miles]]/EV_Data4[[#This Row],[battery_capacity_kwh]]</f>
        <v>3.8762214983713354</v>
      </c>
      <c r="Z1123" s="4">
        <f>EV_Data4[[#This Row],[price_usd]]/EV_Data4[[#This Row],[range_miles]]</f>
        <v>147.54504201680672</v>
      </c>
      <c r="AA1123" s="2">
        <f>(EV_Data4[[#This Row],[customer_rating]]*EV_Data4[[#This Row],[safety_rating]]*1000)/EV_Data4[[#This Row],[price_usd]]</f>
        <v>0.41804639061935794</v>
      </c>
      <c r="AB1123">
        <f>EV_Data4[[#This Row],[horsepower]]+EV_Data4[[#This Row],[torque_nm]]/EV_Data4[[#This Row],[acceleration_0_60_mph]]</f>
        <v>177.54820936639118</v>
      </c>
      <c r="AC1123" t="str">
        <f>IF(EV_Data4[[#This Row],[price_usd]]&gt;=80000,"Luxury",IF(EV_Data4[[#This Row],[price_usd]]&gt;=40000,"Mid-Range","Budget"))</f>
        <v>Budget</v>
      </c>
      <c r="AD1123" t="str">
        <f>IF(EV_Data4[[#This Row],[range_miles]]&gt;=350,"Long-Range",IF(EV_Data4[[#This Row],[range_miles]]&gt;=250,"Medium-Range","Short-Range"))</f>
        <v>Short-Range</v>
      </c>
      <c r="AE1123" t="str">
        <f>IF(EV_Data4[[#This Row],[charging_speed_kw]]&gt;=250,"Ultra-Fast",IF(EV_Data4[[#This Row],[charging_speed_kw]]&gt;=150,"Fast-Charging","Standard-Charging"))</f>
        <v>Standard-Charging</v>
      </c>
      <c r="AF1123" t="str">
        <f>IF(EV_Data4[[#This Row],[acceleration_0_60_mph]]&lt;=3,"SportsPerformance",IF(EV_Data4[[#This Row],[acceleration_0_60_mph]]&lt;=5,"HighPerformance","Standard"))</f>
        <v>Standard</v>
      </c>
      <c r="AG1123" t="str">
        <f>IF(EV_Data4[[#This Row],[customer_rating]]&gt;=4.5,"Excellent",IF(EV_Data4[[#This Row],[customer_rating]]&gt;=3.5,"Good","Average"))</f>
        <v>Good</v>
      </c>
      <c r="AH112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24" spans="1:34" x14ac:dyDescent="0.3">
      <c r="A1124" t="s">
        <v>52</v>
      </c>
      <c r="B1124" t="s">
        <v>126</v>
      </c>
      <c r="C1124">
        <v>2025</v>
      </c>
      <c r="D1124" t="s">
        <v>33</v>
      </c>
      <c r="E1124" s="3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48</v>
      </c>
      <c r="N1124">
        <v>7</v>
      </c>
      <c r="O1124" t="s">
        <v>35</v>
      </c>
      <c r="P1124">
        <v>69.599999999999994</v>
      </c>
      <c r="Q1124">
        <v>2158</v>
      </c>
      <c r="R1124">
        <v>4</v>
      </c>
      <c r="S1124">
        <v>2</v>
      </c>
      <c r="T1124" t="s">
        <v>29</v>
      </c>
      <c r="U1124" t="s">
        <v>30</v>
      </c>
      <c r="V1124" s="3">
        <v>79068</v>
      </c>
      <c r="W1124">
        <v>3.36</v>
      </c>
      <c r="X1124">
        <v>6</v>
      </c>
      <c r="Y1124" s="1">
        <f>EV_Data4[[#This Row],[range_miles]]/EV_Data4[[#This Row],[battery_capacity_kwh]]</f>
        <v>3.0612244897959187</v>
      </c>
      <c r="Z1124" s="4">
        <f>EV_Data4[[#This Row],[price_usd]]/EV_Data4[[#This Row],[range_miles]]</f>
        <v>682.73327272727272</v>
      </c>
      <c r="AA1124" s="2">
        <f>(EV_Data4[[#This Row],[customer_rating]]*EV_Data4[[#This Row],[safety_rating]]*1000)/EV_Data4[[#This Row],[price_usd]]</f>
        <v>0.11930654138059506</v>
      </c>
      <c r="AB1124">
        <f>EV_Data4[[#This Row],[horsepower]]+EV_Data4[[#This Row],[torque_nm]]/EV_Data4[[#This Row],[acceleration_0_60_mph]]</f>
        <v>673.57407407407402</v>
      </c>
      <c r="AC1124" t="str">
        <f>IF(EV_Data4[[#This Row],[price_usd]]&gt;=80000,"Luxury",IF(EV_Data4[[#This Row],[price_usd]]&gt;=40000,"Mid-Range","Budget"))</f>
        <v>Luxury</v>
      </c>
      <c r="AD1124" t="str">
        <f>IF(EV_Data4[[#This Row],[range_miles]]&gt;=350,"Long-Range",IF(EV_Data4[[#This Row],[range_miles]]&gt;=250,"Medium-Range","Short-Range"))</f>
        <v>Short-Range</v>
      </c>
      <c r="AE1124" t="str">
        <f>IF(EV_Data4[[#This Row],[charging_speed_kw]]&gt;=250,"Ultra-Fast",IF(EV_Data4[[#This Row],[charging_speed_kw]]&gt;=150,"Fast-Charging","Standard-Charging"))</f>
        <v>Standard-Charging</v>
      </c>
      <c r="AF1124" t="str">
        <f>IF(EV_Data4[[#This Row],[acceleration_0_60_mph]]&lt;=3,"SportsPerformance",IF(EV_Data4[[#This Row],[acceleration_0_60_mph]]&lt;=5,"HighPerformance","Standard"))</f>
        <v>Standard</v>
      </c>
      <c r="AG1124" t="str">
        <f>IF(EV_Data4[[#This Row],[customer_rating]]&gt;=4.5,"Excellent",IF(EV_Data4[[#This Row],[customer_rating]]&gt;=3.5,"Good","Average"))</f>
        <v>Average</v>
      </c>
      <c r="AH112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25" spans="1:34" x14ac:dyDescent="0.3">
      <c r="A1125" t="s">
        <v>76</v>
      </c>
      <c r="B1125" t="s">
        <v>98</v>
      </c>
      <c r="C1125">
        <v>2024</v>
      </c>
      <c r="D1125" t="s">
        <v>33</v>
      </c>
      <c r="E1125" s="3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48</v>
      </c>
      <c r="N1125">
        <v>7</v>
      </c>
      <c r="O1125" t="s">
        <v>51</v>
      </c>
      <c r="P1125">
        <v>30.1</v>
      </c>
      <c r="Q1125">
        <v>1500</v>
      </c>
      <c r="R1125">
        <v>5</v>
      </c>
      <c r="S1125">
        <v>0</v>
      </c>
      <c r="T1125" t="s">
        <v>41</v>
      </c>
      <c r="U1125" t="s">
        <v>33</v>
      </c>
      <c r="V1125" s="3">
        <v>37698</v>
      </c>
      <c r="W1125">
        <v>3.44</v>
      </c>
      <c r="X1125">
        <v>3</v>
      </c>
      <c r="Y1125" s="1">
        <f>EV_Data4[[#This Row],[range_miles]]/EV_Data4[[#This Row],[battery_capacity_kwh]]</f>
        <v>3.8199181446111869</v>
      </c>
      <c r="Z1125" s="4">
        <f>EV_Data4[[#This Row],[price_usd]]/EV_Data4[[#This Row],[range_miles]]</f>
        <v>287.64853571428569</v>
      </c>
      <c r="AA1125" s="2">
        <f>(EV_Data4[[#This Row],[customer_rating]]*EV_Data4[[#This Row],[safety_rating]]*1000)/EV_Data4[[#This Row],[price_usd]]</f>
        <v>0.21355426432480412</v>
      </c>
      <c r="AB1125">
        <f>EV_Data4[[#This Row],[horsepower]]+EV_Data4[[#This Row],[torque_nm]]/EV_Data4[[#This Row],[acceleration_0_60_mph]]</f>
        <v>1105.3483146067415</v>
      </c>
      <c r="AC1125" t="str">
        <f>IF(EV_Data4[[#This Row],[price_usd]]&gt;=80000,"Luxury",IF(EV_Data4[[#This Row],[price_usd]]&gt;=40000,"Mid-Range","Budget"))</f>
        <v>Luxury</v>
      </c>
      <c r="AD1125" t="str">
        <f>IF(EV_Data4[[#This Row],[range_miles]]&gt;=350,"Long-Range",IF(EV_Data4[[#This Row],[range_miles]]&gt;=250,"Medium-Range","Short-Range"))</f>
        <v>Medium-Range</v>
      </c>
      <c r="AE1125" t="str">
        <f>IF(EV_Data4[[#This Row],[charging_speed_kw]]&gt;=250,"Ultra-Fast",IF(EV_Data4[[#This Row],[charging_speed_kw]]&gt;=150,"Fast-Charging","Standard-Charging"))</f>
        <v>Standard-Charging</v>
      </c>
      <c r="AF1125" t="str">
        <f>IF(EV_Data4[[#This Row],[acceleration_0_60_mph]]&lt;=3,"SportsPerformance",IF(EV_Data4[[#This Row],[acceleration_0_60_mph]]&lt;=5,"HighPerformance","Standard"))</f>
        <v>Standard</v>
      </c>
      <c r="AG1125" t="str">
        <f>IF(EV_Data4[[#This Row],[customer_rating]]&gt;=4.5,"Excellent",IF(EV_Data4[[#This Row],[customer_rating]]&gt;=3.5,"Good","Average"))</f>
        <v>Average</v>
      </c>
      <c r="AH112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26" spans="1:34" x14ac:dyDescent="0.3">
      <c r="A1126" t="s">
        <v>83</v>
      </c>
      <c r="B1126" t="s">
        <v>116</v>
      </c>
      <c r="C1126">
        <v>2022</v>
      </c>
      <c r="D1126" t="s">
        <v>61</v>
      </c>
      <c r="E1126" s="3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27</v>
      </c>
      <c r="N1126">
        <v>5</v>
      </c>
      <c r="O1126" t="s">
        <v>51</v>
      </c>
      <c r="P1126">
        <v>37.700000000000003</v>
      </c>
      <c r="Q1126">
        <v>1807</v>
      </c>
      <c r="R1126">
        <v>4</v>
      </c>
      <c r="S1126">
        <v>2</v>
      </c>
      <c r="T1126" t="s">
        <v>29</v>
      </c>
      <c r="U1126" t="s">
        <v>33</v>
      </c>
      <c r="V1126" s="3">
        <v>76842</v>
      </c>
      <c r="W1126">
        <v>3.62</v>
      </c>
      <c r="X1126">
        <v>5</v>
      </c>
      <c r="Y1126" s="1">
        <f>EV_Data4[[#This Row],[range_miles]]/EV_Data4[[#This Row],[battery_capacity_kwh]]</f>
        <v>3.8142292490118574</v>
      </c>
      <c r="Z1126" s="4">
        <f>EV_Data4[[#This Row],[price_usd]]/EV_Data4[[#This Row],[range_miles]]</f>
        <v>517.459274611399</v>
      </c>
      <c r="AA1126" s="2">
        <f>(EV_Data4[[#This Row],[customer_rating]]*EV_Data4[[#This Row],[safety_rating]]*1000)/EV_Data4[[#This Row],[price_usd]]</f>
        <v>0.14498900767039913</v>
      </c>
      <c r="AB1126">
        <f>EV_Data4[[#This Row],[horsepower]]+EV_Data4[[#This Row],[torque_nm]]/EV_Data4[[#This Row],[acceleration_0_60_mph]]</f>
        <v>906.23076923076928</v>
      </c>
      <c r="AC1126" t="str">
        <f>IF(EV_Data4[[#This Row],[price_usd]]&gt;=80000,"Luxury",IF(EV_Data4[[#This Row],[price_usd]]&gt;=40000,"Mid-Range","Budget"))</f>
        <v>Luxury</v>
      </c>
      <c r="AD1126" t="str">
        <f>IF(EV_Data4[[#This Row],[range_miles]]&gt;=350,"Long-Range",IF(EV_Data4[[#This Row],[range_miles]]&gt;=250,"Medium-Range","Short-Range"))</f>
        <v>Short-Range</v>
      </c>
      <c r="AE1126" t="str">
        <f>IF(EV_Data4[[#This Row],[charging_speed_kw]]&gt;=250,"Ultra-Fast",IF(EV_Data4[[#This Row],[charging_speed_kw]]&gt;=150,"Fast-Charging","Standard-Charging"))</f>
        <v>Standard-Charging</v>
      </c>
      <c r="AF1126" t="str">
        <f>IF(EV_Data4[[#This Row],[acceleration_0_60_mph]]&lt;=3,"SportsPerformance",IF(EV_Data4[[#This Row],[acceleration_0_60_mph]]&lt;=5,"HighPerformance","Standard"))</f>
        <v>Standard</v>
      </c>
      <c r="AG1126" t="str">
        <f>IF(EV_Data4[[#This Row],[customer_rating]]&gt;=4.5,"Excellent",IF(EV_Data4[[#This Row],[customer_rating]]&gt;=3.5,"Good","Average"))</f>
        <v>Good</v>
      </c>
      <c r="AH112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27" spans="1:34" x14ac:dyDescent="0.3">
      <c r="A1127" t="s">
        <v>42</v>
      </c>
      <c r="B1127" t="s">
        <v>71</v>
      </c>
      <c r="C1127">
        <v>2021</v>
      </c>
      <c r="D1127" t="s">
        <v>26</v>
      </c>
      <c r="E1127" s="3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27</v>
      </c>
      <c r="N1127">
        <v>7</v>
      </c>
      <c r="O1127" t="s">
        <v>40</v>
      </c>
      <c r="P1127">
        <v>72.8</v>
      </c>
      <c r="Q1127">
        <v>1618</v>
      </c>
      <c r="R1127">
        <v>5</v>
      </c>
      <c r="S1127">
        <v>0</v>
      </c>
      <c r="T1127" t="s">
        <v>45</v>
      </c>
      <c r="U1127" t="s">
        <v>30</v>
      </c>
      <c r="V1127" s="3">
        <v>120403</v>
      </c>
      <c r="W1127">
        <v>3.37</v>
      </c>
      <c r="X1127">
        <v>3</v>
      </c>
      <c r="Y1127" s="1">
        <f>EV_Data4[[#This Row],[range_miles]]/EV_Data4[[#This Row],[battery_capacity_kwh]]</f>
        <v>3.6617842876165114</v>
      </c>
      <c r="Z1127" s="4">
        <f>EV_Data4[[#This Row],[price_usd]]/EV_Data4[[#This Row],[range_miles]]</f>
        <v>387.31</v>
      </c>
      <c r="AA1127" s="2">
        <f>(EV_Data4[[#This Row],[customer_rating]]*EV_Data4[[#This Row],[safety_rating]]*1000)/EV_Data4[[#This Row],[price_usd]]</f>
        <v>0.1582007365488298</v>
      </c>
      <c r="AB1127">
        <f>EV_Data4[[#This Row],[horsepower]]+EV_Data4[[#This Row],[torque_nm]]/EV_Data4[[#This Row],[acceleration_0_60_mph]]</f>
        <v>1259.0214067278287</v>
      </c>
      <c r="AC1127" t="str">
        <f>IF(EV_Data4[[#This Row],[price_usd]]&gt;=80000,"Luxury",IF(EV_Data4[[#This Row],[price_usd]]&gt;=40000,"Mid-Range","Budget"))</f>
        <v>Luxury</v>
      </c>
      <c r="AD1127" t="str">
        <f>IF(EV_Data4[[#This Row],[range_miles]]&gt;=350,"Long-Range",IF(EV_Data4[[#This Row],[range_miles]]&gt;=250,"Medium-Range","Short-Range"))</f>
        <v>Medium-Range</v>
      </c>
      <c r="AE1127" t="str">
        <f>IF(EV_Data4[[#This Row],[charging_speed_kw]]&gt;=250,"Ultra-Fast",IF(EV_Data4[[#This Row],[charging_speed_kw]]&gt;=150,"Fast-Charging","Standard-Charging"))</f>
        <v>Fast-Charging</v>
      </c>
      <c r="AF1127" t="str">
        <f>IF(EV_Data4[[#This Row],[acceleration_0_60_mph]]&lt;=3,"SportsPerformance",IF(EV_Data4[[#This Row],[acceleration_0_60_mph]]&lt;=5,"HighPerformance","Standard"))</f>
        <v>HighPerformance</v>
      </c>
      <c r="AG1127" t="str">
        <f>IF(EV_Data4[[#This Row],[customer_rating]]&gt;=4.5,"Excellent",IF(EV_Data4[[#This Row],[customer_rating]]&gt;=3.5,"Good","Average"))</f>
        <v>Average</v>
      </c>
      <c r="AH112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28" spans="1:34" x14ac:dyDescent="0.3">
      <c r="A1128" t="s">
        <v>46</v>
      </c>
      <c r="B1128" t="s">
        <v>57</v>
      </c>
      <c r="C1128">
        <v>2025</v>
      </c>
      <c r="D1128" t="s">
        <v>61</v>
      </c>
      <c r="E1128" s="3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34</v>
      </c>
      <c r="N1128">
        <v>5</v>
      </c>
      <c r="O1128" t="s">
        <v>58</v>
      </c>
      <c r="P1128">
        <v>17.7</v>
      </c>
      <c r="Q1128">
        <v>1837</v>
      </c>
      <c r="R1128">
        <v>5</v>
      </c>
      <c r="S1128">
        <v>2</v>
      </c>
      <c r="T1128" t="s">
        <v>41</v>
      </c>
      <c r="U1128" t="s">
        <v>37</v>
      </c>
      <c r="V1128" s="3">
        <v>150860</v>
      </c>
      <c r="W1128">
        <v>3.42</v>
      </c>
      <c r="X1128">
        <v>5</v>
      </c>
      <c r="Y1128" s="1">
        <f>EV_Data4[[#This Row],[range_miles]]/EV_Data4[[#This Row],[battery_capacity_kwh]]</f>
        <v>3.3333333333333335</v>
      </c>
      <c r="Z1128" s="4">
        <f>EV_Data4[[#This Row],[price_usd]]/EV_Data4[[#This Row],[range_miles]]</f>
        <v>392.20846666666665</v>
      </c>
      <c r="AA1128" s="2">
        <f>(EV_Data4[[#This Row],[customer_rating]]*EV_Data4[[#This Row],[safety_rating]]*1000)/EV_Data4[[#This Row],[price_usd]]</f>
        <v>0.29066175182007803</v>
      </c>
      <c r="AB1128">
        <f>EV_Data4[[#This Row],[horsepower]]+EV_Data4[[#This Row],[torque_nm]]/EV_Data4[[#This Row],[acceleration_0_60_mph]]</f>
        <v>480.45355191256829</v>
      </c>
      <c r="AC1128" t="str">
        <f>IF(EV_Data4[[#This Row],[price_usd]]&gt;=80000,"Luxury",IF(EV_Data4[[#This Row],[price_usd]]&gt;=40000,"Mid-Range","Budget"))</f>
        <v>Mid-Range</v>
      </c>
      <c r="AD1128" t="str">
        <f>IF(EV_Data4[[#This Row],[range_miles]]&gt;=350,"Long-Range",IF(EV_Data4[[#This Row],[range_miles]]&gt;=250,"Medium-Range","Short-Range"))</f>
        <v>Short-Range</v>
      </c>
      <c r="AE1128" t="str">
        <f>IF(EV_Data4[[#This Row],[charging_speed_kw]]&gt;=250,"Ultra-Fast",IF(EV_Data4[[#This Row],[charging_speed_kw]]&gt;=150,"Fast-Charging","Standard-Charging"))</f>
        <v>Fast-Charging</v>
      </c>
      <c r="AF1128" t="str">
        <f>IF(EV_Data4[[#This Row],[acceleration_0_60_mph]]&lt;=3,"SportsPerformance",IF(EV_Data4[[#This Row],[acceleration_0_60_mph]]&lt;=5,"HighPerformance","Standard"))</f>
        <v>Standard</v>
      </c>
      <c r="AG1128" t="str">
        <f>IF(EV_Data4[[#This Row],[customer_rating]]&gt;=4.5,"Excellent",IF(EV_Data4[[#This Row],[customer_rating]]&gt;=3.5,"Good","Average"))</f>
        <v>Average</v>
      </c>
      <c r="AH112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29" spans="1:34" x14ac:dyDescent="0.3">
      <c r="A1129" t="s">
        <v>24</v>
      </c>
      <c r="B1129" t="s">
        <v>85</v>
      </c>
      <c r="C1129">
        <v>2025</v>
      </c>
      <c r="D1129" t="s">
        <v>44</v>
      </c>
      <c r="E1129" s="3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34</v>
      </c>
      <c r="N1129">
        <v>7</v>
      </c>
      <c r="O1129" t="s">
        <v>28</v>
      </c>
      <c r="P1129">
        <v>78.900000000000006</v>
      </c>
      <c r="Q1129">
        <v>2795</v>
      </c>
      <c r="R1129">
        <v>5</v>
      </c>
      <c r="S1129">
        <v>2</v>
      </c>
      <c r="T1129" t="s">
        <v>29</v>
      </c>
      <c r="U1129" t="s">
        <v>33</v>
      </c>
      <c r="V1129" s="3">
        <v>251846</v>
      </c>
      <c r="W1129">
        <v>3.59</v>
      </c>
      <c r="X1129">
        <v>4</v>
      </c>
      <c r="Y1129" s="1">
        <f>EV_Data4[[#This Row],[range_miles]]/EV_Data4[[#This Row],[battery_capacity_kwh]]</f>
        <v>3.027624309392265</v>
      </c>
      <c r="Z1129" s="4">
        <f>EV_Data4[[#This Row],[price_usd]]/EV_Data4[[#This Row],[range_miles]]</f>
        <v>258.60620437956209</v>
      </c>
      <c r="AA1129" s="2">
        <f>(EV_Data4[[#This Row],[customer_rating]]*EV_Data4[[#This Row],[safety_rating]]*1000)/EV_Data4[[#This Row],[price_usd]]</f>
        <v>0.25332319099721834</v>
      </c>
      <c r="AB1129">
        <f>EV_Data4[[#This Row],[horsepower]]+EV_Data4[[#This Row],[torque_nm]]/EV_Data4[[#This Row],[acceleration_0_60_mph]]</f>
        <v>912.64359861591697</v>
      </c>
      <c r="AC1129" t="str">
        <f>IF(EV_Data4[[#This Row],[price_usd]]&gt;=80000,"Luxury",IF(EV_Data4[[#This Row],[price_usd]]&gt;=40000,"Mid-Range","Budget"))</f>
        <v>Mid-Range</v>
      </c>
      <c r="AD1129" t="str">
        <f>IF(EV_Data4[[#This Row],[range_miles]]&gt;=350,"Long-Range",IF(EV_Data4[[#This Row],[range_miles]]&gt;=250,"Medium-Range","Short-Range"))</f>
        <v>Medium-Range</v>
      </c>
      <c r="AE1129" t="str">
        <f>IF(EV_Data4[[#This Row],[charging_speed_kw]]&gt;=250,"Ultra-Fast",IF(EV_Data4[[#This Row],[charging_speed_kw]]&gt;=150,"Fast-Charging","Standard-Charging"))</f>
        <v>Standard-Charging</v>
      </c>
      <c r="AF1129" t="str">
        <f>IF(EV_Data4[[#This Row],[acceleration_0_60_mph]]&lt;=3,"SportsPerformance",IF(EV_Data4[[#This Row],[acceleration_0_60_mph]]&lt;=5,"HighPerformance","Standard"))</f>
        <v>Standard</v>
      </c>
      <c r="AG1129" t="str">
        <f>IF(EV_Data4[[#This Row],[customer_rating]]&gt;=4.5,"Excellent",IF(EV_Data4[[#This Row],[customer_rating]]&gt;=3.5,"Good","Average"))</f>
        <v>Good</v>
      </c>
      <c r="AH112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30" spans="1:34" x14ac:dyDescent="0.3">
      <c r="A1130" t="s">
        <v>24</v>
      </c>
      <c r="B1130" t="s">
        <v>25</v>
      </c>
      <c r="C1130">
        <v>2024</v>
      </c>
      <c r="D1130" t="s">
        <v>61</v>
      </c>
      <c r="E1130" s="3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27</v>
      </c>
      <c r="N1130">
        <v>5</v>
      </c>
      <c r="O1130" t="s">
        <v>58</v>
      </c>
      <c r="P1130">
        <v>18.7</v>
      </c>
      <c r="Q1130">
        <v>1533</v>
      </c>
      <c r="R1130">
        <v>5</v>
      </c>
      <c r="S1130">
        <v>0</v>
      </c>
      <c r="T1130" t="s">
        <v>29</v>
      </c>
      <c r="U1130" t="s">
        <v>37</v>
      </c>
      <c r="V1130" s="3">
        <v>274696</v>
      </c>
      <c r="W1130">
        <v>3.4</v>
      </c>
      <c r="X1130">
        <v>3</v>
      </c>
      <c r="Y1130" s="1">
        <f>EV_Data4[[#This Row],[range_miles]]/EV_Data4[[#This Row],[battery_capacity_kwh]]</f>
        <v>3.6893203883495147</v>
      </c>
      <c r="Z1130" s="4">
        <f>EV_Data4[[#This Row],[price_usd]]/EV_Data4[[#This Row],[range_miles]]</f>
        <v>243.01757894736841</v>
      </c>
      <c r="AA1130" s="2">
        <f>(EV_Data4[[#This Row],[customer_rating]]*EV_Data4[[#This Row],[safety_rating]]*1000)/EV_Data4[[#This Row],[price_usd]]</f>
        <v>0.36817782729167958</v>
      </c>
      <c r="AB1130">
        <f>EV_Data4[[#This Row],[horsepower]]+EV_Data4[[#This Row],[torque_nm]]/EV_Data4[[#This Row],[acceleration_0_60_mph]]</f>
        <v>449.3459119496855</v>
      </c>
      <c r="AC1130" t="str">
        <f>IF(EV_Data4[[#This Row],[price_usd]]&gt;=80000,"Luxury",IF(EV_Data4[[#This Row],[price_usd]]&gt;=40000,"Mid-Range","Budget"))</f>
        <v>Mid-Range</v>
      </c>
      <c r="AD1130" t="str">
        <f>IF(EV_Data4[[#This Row],[range_miles]]&gt;=350,"Long-Range",IF(EV_Data4[[#This Row],[range_miles]]&gt;=250,"Medium-Range","Short-Range"))</f>
        <v>Short-Range</v>
      </c>
      <c r="AE1130" t="str">
        <f>IF(EV_Data4[[#This Row],[charging_speed_kw]]&gt;=250,"Ultra-Fast",IF(EV_Data4[[#This Row],[charging_speed_kw]]&gt;=150,"Fast-Charging","Standard-Charging"))</f>
        <v>Standard-Charging</v>
      </c>
      <c r="AF1130" t="str">
        <f>IF(EV_Data4[[#This Row],[acceleration_0_60_mph]]&lt;=3,"SportsPerformance",IF(EV_Data4[[#This Row],[acceleration_0_60_mph]]&lt;=5,"HighPerformance","Standard"))</f>
        <v>Standard</v>
      </c>
      <c r="AG1130" t="str">
        <f>IF(EV_Data4[[#This Row],[customer_rating]]&gt;=4.5,"Excellent",IF(EV_Data4[[#This Row],[customer_rating]]&gt;=3.5,"Good","Average"))</f>
        <v>Average</v>
      </c>
      <c r="AH113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31" spans="1:34" x14ac:dyDescent="0.3">
      <c r="A1131" t="s">
        <v>63</v>
      </c>
      <c r="B1131" t="s">
        <v>73</v>
      </c>
      <c r="C1131">
        <v>2025</v>
      </c>
      <c r="D1131" t="s">
        <v>56</v>
      </c>
      <c r="E1131" s="3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27</v>
      </c>
      <c r="N1131">
        <v>7</v>
      </c>
      <c r="O1131" t="s">
        <v>58</v>
      </c>
      <c r="P1131">
        <v>29.9</v>
      </c>
      <c r="Q1131">
        <v>1812</v>
      </c>
      <c r="R1131">
        <v>4</v>
      </c>
      <c r="S1131">
        <v>0</v>
      </c>
      <c r="T1131" t="s">
        <v>65</v>
      </c>
      <c r="U1131" t="s">
        <v>33</v>
      </c>
      <c r="V1131" s="3">
        <v>243890</v>
      </c>
      <c r="W1131">
        <v>3.08</v>
      </c>
      <c r="X1131">
        <v>4</v>
      </c>
      <c r="Y1131" s="1">
        <f>EV_Data4[[#This Row],[range_miles]]/EV_Data4[[#This Row],[battery_capacity_kwh]]</f>
        <v>3.9229024943310655</v>
      </c>
      <c r="Z1131" s="4">
        <f>EV_Data4[[#This Row],[price_usd]]/EV_Data4[[#This Row],[range_miles]]</f>
        <v>426.08317919075142</v>
      </c>
      <c r="AA1131" s="2">
        <f>(EV_Data4[[#This Row],[customer_rating]]*EV_Data4[[#This Row],[safety_rating]]*1000)/EV_Data4[[#This Row],[price_usd]]</f>
        <v>0.16713608119340589</v>
      </c>
      <c r="AB1131">
        <f>EV_Data4[[#This Row],[horsepower]]+EV_Data4[[#This Row],[torque_nm]]/EV_Data4[[#This Row],[acceleration_0_60_mph]]</f>
        <v>871.42821158690174</v>
      </c>
      <c r="AC1131" t="str">
        <f>IF(EV_Data4[[#This Row],[price_usd]]&gt;=80000,"Luxury",IF(EV_Data4[[#This Row],[price_usd]]&gt;=40000,"Mid-Range","Budget"))</f>
        <v>Mid-Range</v>
      </c>
      <c r="AD1131" t="str">
        <f>IF(EV_Data4[[#This Row],[range_miles]]&gt;=350,"Long-Range",IF(EV_Data4[[#This Row],[range_miles]]&gt;=250,"Medium-Range","Short-Range"))</f>
        <v>Short-Range</v>
      </c>
      <c r="AE1131" t="str">
        <f>IF(EV_Data4[[#This Row],[charging_speed_kw]]&gt;=250,"Ultra-Fast",IF(EV_Data4[[#This Row],[charging_speed_kw]]&gt;=150,"Fast-Charging","Standard-Charging"))</f>
        <v>Standard-Charging</v>
      </c>
      <c r="AF1131" t="str">
        <f>IF(EV_Data4[[#This Row],[acceleration_0_60_mph]]&lt;=3,"SportsPerformance",IF(EV_Data4[[#This Row],[acceleration_0_60_mph]]&lt;=5,"HighPerformance","Standard"))</f>
        <v>Standard</v>
      </c>
      <c r="AG1131" t="str">
        <f>IF(EV_Data4[[#This Row],[customer_rating]]&gt;=4.5,"Excellent",IF(EV_Data4[[#This Row],[customer_rating]]&gt;=3.5,"Good","Average"))</f>
        <v>Average</v>
      </c>
      <c r="AH113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32" spans="1:34" x14ac:dyDescent="0.3">
      <c r="A1132" t="s">
        <v>38</v>
      </c>
      <c r="B1132" t="s">
        <v>118</v>
      </c>
      <c r="C1132">
        <v>2023</v>
      </c>
      <c r="D1132" t="s">
        <v>33</v>
      </c>
      <c r="E1132" s="3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27</v>
      </c>
      <c r="N1132">
        <v>5</v>
      </c>
      <c r="O1132" t="s">
        <v>35</v>
      </c>
      <c r="P1132">
        <v>65.5</v>
      </c>
      <c r="Q1132">
        <v>1762</v>
      </c>
      <c r="R1132">
        <v>5</v>
      </c>
      <c r="S1132">
        <v>1</v>
      </c>
      <c r="T1132" t="s">
        <v>41</v>
      </c>
      <c r="U1132" t="s">
        <v>33</v>
      </c>
      <c r="V1132" s="3">
        <v>7223</v>
      </c>
      <c r="W1132">
        <v>3.41</v>
      </c>
      <c r="X1132">
        <v>4</v>
      </c>
      <c r="Y1132" s="1">
        <f>EV_Data4[[#This Row],[range_miles]]/EV_Data4[[#This Row],[battery_capacity_kwh]]</f>
        <v>3.3333333333333335</v>
      </c>
      <c r="Z1132" s="4">
        <f>EV_Data4[[#This Row],[price_usd]]/EV_Data4[[#This Row],[range_miles]]</f>
        <v>492.608</v>
      </c>
      <c r="AA1132" s="2">
        <f>(EV_Data4[[#This Row],[customer_rating]]*EV_Data4[[#This Row],[safety_rating]]*1000)/EV_Data4[[#This Row],[price_usd]]</f>
        <v>0.2307446624225889</v>
      </c>
      <c r="AB1132">
        <f>EV_Data4[[#This Row],[horsepower]]+EV_Data4[[#This Row],[torque_nm]]/EV_Data4[[#This Row],[acceleration_0_60_mph]]</f>
        <v>1111.7721518987341</v>
      </c>
      <c r="AC1132" t="str">
        <f>IF(EV_Data4[[#This Row],[price_usd]]&gt;=80000,"Luxury",IF(EV_Data4[[#This Row],[price_usd]]&gt;=40000,"Mid-Range","Budget"))</f>
        <v>Mid-Range</v>
      </c>
      <c r="AD1132" t="str">
        <f>IF(EV_Data4[[#This Row],[range_miles]]&gt;=350,"Long-Range",IF(EV_Data4[[#This Row],[range_miles]]&gt;=250,"Medium-Range","Short-Range"))</f>
        <v>Short-Range</v>
      </c>
      <c r="AE1132" t="str">
        <f>IF(EV_Data4[[#This Row],[charging_speed_kw]]&gt;=250,"Ultra-Fast",IF(EV_Data4[[#This Row],[charging_speed_kw]]&gt;=150,"Fast-Charging","Standard-Charging"))</f>
        <v>Standard-Charging</v>
      </c>
      <c r="AF1132" t="str">
        <f>IF(EV_Data4[[#This Row],[acceleration_0_60_mph]]&lt;=3,"SportsPerformance",IF(EV_Data4[[#This Row],[acceleration_0_60_mph]]&lt;=5,"HighPerformance","Standard"))</f>
        <v>Standard</v>
      </c>
      <c r="AG1132" t="str">
        <f>IF(EV_Data4[[#This Row],[customer_rating]]&gt;=4.5,"Excellent",IF(EV_Data4[[#This Row],[customer_rating]]&gt;=3.5,"Good","Average"))</f>
        <v>Average</v>
      </c>
      <c r="AH113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33" spans="1:34" x14ac:dyDescent="0.3">
      <c r="A1133" t="s">
        <v>68</v>
      </c>
      <c r="B1133" t="s">
        <v>90</v>
      </c>
      <c r="C1133">
        <v>2025</v>
      </c>
      <c r="D1133" t="s">
        <v>61</v>
      </c>
      <c r="E1133" s="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48</v>
      </c>
      <c r="N1133">
        <v>5</v>
      </c>
      <c r="O1133" t="s">
        <v>40</v>
      </c>
      <c r="P1133">
        <v>68.8</v>
      </c>
      <c r="Q1133">
        <v>1742</v>
      </c>
      <c r="R1133">
        <v>5</v>
      </c>
      <c r="S1133">
        <v>2</v>
      </c>
      <c r="T1133" t="s">
        <v>45</v>
      </c>
      <c r="U1133" t="s">
        <v>33</v>
      </c>
      <c r="V1133" s="3">
        <v>99183</v>
      </c>
      <c r="W1133">
        <v>3.55</v>
      </c>
      <c r="X1133">
        <v>3</v>
      </c>
      <c r="Y1133" s="1">
        <f>EV_Data4[[#This Row],[range_miles]]/EV_Data4[[#This Row],[battery_capacity_kwh]]</f>
        <v>3.3811230585424132</v>
      </c>
      <c r="Z1133" s="4">
        <f>EV_Data4[[#This Row],[price_usd]]/EV_Data4[[#This Row],[range_miles]]</f>
        <v>230.71155477031803</v>
      </c>
      <c r="AA1133" s="2">
        <f>(EV_Data4[[#This Row],[customer_rating]]*EV_Data4[[#This Row],[safety_rating]]*1000)/EV_Data4[[#This Row],[price_usd]]</f>
        <v>0.271858286937462</v>
      </c>
      <c r="AB1133">
        <f>EV_Data4[[#This Row],[horsepower]]+EV_Data4[[#This Row],[torque_nm]]/EV_Data4[[#This Row],[acceleration_0_60_mph]]</f>
        <v>843.83799705449189</v>
      </c>
      <c r="AC1133" t="str">
        <f>IF(EV_Data4[[#This Row],[price_usd]]&gt;=80000,"Luxury",IF(EV_Data4[[#This Row],[price_usd]]&gt;=40000,"Mid-Range","Budget"))</f>
        <v>Mid-Range</v>
      </c>
      <c r="AD1133" t="str">
        <f>IF(EV_Data4[[#This Row],[range_miles]]&gt;=350,"Long-Range",IF(EV_Data4[[#This Row],[range_miles]]&gt;=250,"Medium-Range","Short-Range"))</f>
        <v>Medium-Range</v>
      </c>
      <c r="AE1133" t="str">
        <f>IF(EV_Data4[[#This Row],[charging_speed_kw]]&gt;=250,"Ultra-Fast",IF(EV_Data4[[#This Row],[charging_speed_kw]]&gt;=150,"Fast-Charging","Standard-Charging"))</f>
        <v>Standard-Charging</v>
      </c>
      <c r="AF1133" t="str">
        <f>IF(EV_Data4[[#This Row],[acceleration_0_60_mph]]&lt;=3,"SportsPerformance",IF(EV_Data4[[#This Row],[acceleration_0_60_mph]]&lt;=5,"HighPerformance","Standard"))</f>
        <v>Standard</v>
      </c>
      <c r="AG1133" t="str">
        <f>IF(EV_Data4[[#This Row],[customer_rating]]&gt;=4.5,"Excellent",IF(EV_Data4[[#This Row],[customer_rating]]&gt;=3.5,"Good","Average"))</f>
        <v>Good</v>
      </c>
      <c r="AH113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34" spans="1:34" x14ac:dyDescent="0.3">
      <c r="A1134" t="s">
        <v>46</v>
      </c>
      <c r="B1134" t="s">
        <v>49</v>
      </c>
      <c r="C1134">
        <v>2024</v>
      </c>
      <c r="D1134" t="s">
        <v>33</v>
      </c>
      <c r="E1134" s="3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48</v>
      </c>
      <c r="N1134">
        <v>5</v>
      </c>
      <c r="O1134" t="s">
        <v>50</v>
      </c>
      <c r="P1134">
        <v>30.3</v>
      </c>
      <c r="Q1134">
        <v>1769</v>
      </c>
      <c r="R1134">
        <v>4</v>
      </c>
      <c r="S1134">
        <v>3</v>
      </c>
      <c r="T1134" t="s">
        <v>41</v>
      </c>
      <c r="U1134" t="s">
        <v>30</v>
      </c>
      <c r="V1134" s="3">
        <v>429314</v>
      </c>
      <c r="W1134">
        <v>3.65</v>
      </c>
      <c r="X1134">
        <v>4</v>
      </c>
      <c r="Y1134" s="1">
        <f>EV_Data4[[#This Row],[range_miles]]/EV_Data4[[#This Row],[battery_capacity_kwh]]</f>
        <v>3.8290598290598292</v>
      </c>
      <c r="Z1134" s="4">
        <f>EV_Data4[[#This Row],[price_usd]]/EV_Data4[[#This Row],[range_miles]]</f>
        <v>611.76352678571425</v>
      </c>
      <c r="AA1134" s="2">
        <f>(EV_Data4[[#This Row],[customer_rating]]*EV_Data4[[#This Row],[safety_rating]]*1000)/EV_Data4[[#This Row],[price_usd]]</f>
        <v>0.10654210095039203</v>
      </c>
      <c r="AB1134">
        <f>EV_Data4[[#This Row],[horsepower]]+EV_Data4[[#This Row],[torque_nm]]/EV_Data4[[#This Row],[acceleration_0_60_mph]]</f>
        <v>1113.2867981790591</v>
      </c>
      <c r="AC1134" t="str">
        <f>IF(EV_Data4[[#This Row],[price_usd]]&gt;=80000,"Luxury",IF(EV_Data4[[#This Row],[price_usd]]&gt;=40000,"Mid-Range","Budget"))</f>
        <v>Luxury</v>
      </c>
      <c r="AD1134" t="str">
        <f>IF(EV_Data4[[#This Row],[range_miles]]&gt;=350,"Long-Range",IF(EV_Data4[[#This Row],[range_miles]]&gt;=250,"Medium-Range","Short-Range"))</f>
        <v>Short-Range</v>
      </c>
      <c r="AE1134" t="str">
        <f>IF(EV_Data4[[#This Row],[charging_speed_kw]]&gt;=250,"Ultra-Fast",IF(EV_Data4[[#This Row],[charging_speed_kw]]&gt;=150,"Fast-Charging","Standard-Charging"))</f>
        <v>Fast-Charging</v>
      </c>
      <c r="AF1134" t="str">
        <f>IF(EV_Data4[[#This Row],[acceleration_0_60_mph]]&lt;=3,"SportsPerformance",IF(EV_Data4[[#This Row],[acceleration_0_60_mph]]&lt;=5,"HighPerformance","Standard"))</f>
        <v>Standard</v>
      </c>
      <c r="AG1134" t="str">
        <f>IF(EV_Data4[[#This Row],[customer_rating]]&gt;=4.5,"Excellent",IF(EV_Data4[[#This Row],[customer_rating]]&gt;=3.5,"Good","Average"))</f>
        <v>Good</v>
      </c>
      <c r="AH113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135" spans="1:34" x14ac:dyDescent="0.3">
      <c r="A1135" t="s">
        <v>63</v>
      </c>
      <c r="B1135" t="s">
        <v>73</v>
      </c>
      <c r="C1135">
        <v>2023</v>
      </c>
      <c r="D1135" t="s">
        <v>56</v>
      </c>
      <c r="E1135" s="3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48</v>
      </c>
      <c r="N1135">
        <v>5</v>
      </c>
      <c r="O1135" t="s">
        <v>35</v>
      </c>
      <c r="P1135">
        <v>36.200000000000003</v>
      </c>
      <c r="Q1135">
        <v>2000</v>
      </c>
      <c r="R1135">
        <v>5</v>
      </c>
      <c r="S1135">
        <v>2</v>
      </c>
      <c r="T1135" t="s">
        <v>65</v>
      </c>
      <c r="U1135" t="s">
        <v>37</v>
      </c>
      <c r="V1135" s="3">
        <v>143487</v>
      </c>
      <c r="W1135">
        <v>3.37</v>
      </c>
      <c r="X1135">
        <v>4</v>
      </c>
      <c r="Y1135" s="1">
        <f>EV_Data4[[#This Row],[range_miles]]/EV_Data4[[#This Row],[battery_capacity_kwh]]</f>
        <v>3.3969465648854964</v>
      </c>
      <c r="Z1135" s="4">
        <f>EV_Data4[[#This Row],[price_usd]]/EV_Data4[[#This Row],[range_miles]]</f>
        <v>202.33516853932585</v>
      </c>
      <c r="AA1135" s="2">
        <f>(EV_Data4[[#This Row],[customer_rating]]*EV_Data4[[#This Row],[safety_rating]]*1000)/EV_Data4[[#This Row],[price_usd]]</f>
        <v>0.46785203991819108</v>
      </c>
      <c r="AB1135">
        <f>EV_Data4[[#This Row],[horsepower]]+EV_Data4[[#This Row],[torque_nm]]/EV_Data4[[#This Row],[acceleration_0_60_mph]]</f>
        <v>442.28239202657807</v>
      </c>
      <c r="AC1135" t="str">
        <f>IF(EV_Data4[[#This Row],[price_usd]]&gt;=80000,"Luxury",IF(EV_Data4[[#This Row],[price_usd]]&gt;=40000,"Mid-Range","Budget"))</f>
        <v>Budget</v>
      </c>
      <c r="AD1135" t="str">
        <f>IF(EV_Data4[[#This Row],[range_miles]]&gt;=350,"Long-Range",IF(EV_Data4[[#This Row],[range_miles]]&gt;=250,"Medium-Range","Short-Range"))</f>
        <v>Short-Range</v>
      </c>
      <c r="AE1135" t="str">
        <f>IF(EV_Data4[[#This Row],[charging_speed_kw]]&gt;=250,"Ultra-Fast",IF(EV_Data4[[#This Row],[charging_speed_kw]]&gt;=150,"Fast-Charging","Standard-Charging"))</f>
        <v>Standard-Charging</v>
      </c>
      <c r="AF1135" t="str">
        <f>IF(EV_Data4[[#This Row],[acceleration_0_60_mph]]&lt;=3,"SportsPerformance",IF(EV_Data4[[#This Row],[acceleration_0_60_mph]]&lt;=5,"HighPerformance","Standard"))</f>
        <v>Standard</v>
      </c>
      <c r="AG1135" t="str">
        <f>IF(EV_Data4[[#This Row],[customer_rating]]&gt;=4.5,"Excellent",IF(EV_Data4[[#This Row],[customer_rating]]&gt;=3.5,"Good","Average"))</f>
        <v>Average</v>
      </c>
      <c r="AH113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36" spans="1:34" x14ac:dyDescent="0.3">
      <c r="A1136" t="s">
        <v>83</v>
      </c>
      <c r="B1136" t="s">
        <v>116</v>
      </c>
      <c r="C1136">
        <v>2024</v>
      </c>
      <c r="D1136" t="s">
        <v>61</v>
      </c>
      <c r="E1136" s="3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27</v>
      </c>
      <c r="N1136">
        <v>7</v>
      </c>
      <c r="O1136" t="s">
        <v>28</v>
      </c>
      <c r="P1136">
        <v>50.7</v>
      </c>
      <c r="Q1136">
        <v>2534</v>
      </c>
      <c r="R1136">
        <v>4</v>
      </c>
      <c r="S1136">
        <v>2</v>
      </c>
      <c r="T1136" t="s">
        <v>29</v>
      </c>
      <c r="U1136" t="s">
        <v>33</v>
      </c>
      <c r="V1136" s="3">
        <v>64056</v>
      </c>
      <c r="W1136">
        <v>3.51</v>
      </c>
      <c r="X1136">
        <v>5</v>
      </c>
      <c r="Y1136" s="1">
        <f>EV_Data4[[#This Row],[range_miles]]/EV_Data4[[#This Row],[battery_capacity_kwh]]</f>
        <v>3.5555555555555554</v>
      </c>
      <c r="Z1136" s="4">
        <f>EV_Data4[[#This Row],[price_usd]]/EV_Data4[[#This Row],[range_miles]]</f>
        <v>334.92788194444444</v>
      </c>
      <c r="AA1136" s="2">
        <f>(EV_Data4[[#This Row],[customer_rating]]*EV_Data4[[#This Row],[safety_rating]]*1000)/EV_Data4[[#This Row],[price_usd]]</f>
        <v>0.14555372254163754</v>
      </c>
      <c r="AB1136">
        <f>EV_Data4[[#This Row],[horsepower]]+EV_Data4[[#This Row],[torque_nm]]/EV_Data4[[#This Row],[acceleration_0_60_mph]]</f>
        <v>881.05912596401026</v>
      </c>
      <c r="AC1136" t="str">
        <f>IF(EV_Data4[[#This Row],[price_usd]]&gt;=80000,"Luxury",IF(EV_Data4[[#This Row],[price_usd]]&gt;=40000,"Mid-Range","Budget"))</f>
        <v>Luxury</v>
      </c>
      <c r="AD1136" t="str">
        <f>IF(EV_Data4[[#This Row],[range_miles]]&gt;=350,"Long-Range",IF(EV_Data4[[#This Row],[range_miles]]&gt;=250,"Medium-Range","Short-Range"))</f>
        <v>Medium-Range</v>
      </c>
      <c r="AE1136" t="str">
        <f>IF(EV_Data4[[#This Row],[charging_speed_kw]]&gt;=250,"Ultra-Fast",IF(EV_Data4[[#This Row],[charging_speed_kw]]&gt;=150,"Fast-Charging","Standard-Charging"))</f>
        <v>Standard-Charging</v>
      </c>
      <c r="AF1136" t="str">
        <f>IF(EV_Data4[[#This Row],[acceleration_0_60_mph]]&lt;=3,"SportsPerformance",IF(EV_Data4[[#This Row],[acceleration_0_60_mph]]&lt;=5,"HighPerformance","Standard"))</f>
        <v>Standard</v>
      </c>
      <c r="AG1136" t="str">
        <f>IF(EV_Data4[[#This Row],[customer_rating]]&gt;=4.5,"Excellent",IF(EV_Data4[[#This Row],[customer_rating]]&gt;=3.5,"Good","Average"))</f>
        <v>Good</v>
      </c>
      <c r="AH113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37" spans="1:34" x14ac:dyDescent="0.3">
      <c r="A1137" t="s">
        <v>46</v>
      </c>
      <c r="B1137" t="s">
        <v>72</v>
      </c>
      <c r="C1137">
        <v>2025</v>
      </c>
      <c r="D1137" t="s">
        <v>56</v>
      </c>
      <c r="E1137" s="3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48</v>
      </c>
      <c r="N1137">
        <v>5</v>
      </c>
      <c r="O1137" t="s">
        <v>28</v>
      </c>
      <c r="P1137">
        <v>76.7</v>
      </c>
      <c r="Q1137">
        <v>2349</v>
      </c>
      <c r="R1137">
        <v>5</v>
      </c>
      <c r="S1137">
        <v>2</v>
      </c>
      <c r="T1137" t="s">
        <v>41</v>
      </c>
      <c r="U1137" t="s">
        <v>37</v>
      </c>
      <c r="V1137" s="3">
        <v>237113</v>
      </c>
      <c r="W1137">
        <v>3.85</v>
      </c>
      <c r="X1137">
        <v>5</v>
      </c>
      <c r="Y1137" s="1">
        <f>EV_Data4[[#This Row],[range_miles]]/EV_Data4[[#This Row],[battery_capacity_kwh]]</f>
        <v>3.4801762114537449</v>
      </c>
      <c r="Z1137" s="4">
        <f>EV_Data4[[#This Row],[price_usd]]/EV_Data4[[#This Row],[range_miles]]</f>
        <v>273.67949367088607</v>
      </c>
      <c r="AA1137" s="2">
        <f>(EV_Data4[[#This Row],[customer_rating]]*EV_Data4[[#This Row],[safety_rating]]*1000)/EV_Data4[[#This Row],[price_usd]]</f>
        <v>0.29678375826600584</v>
      </c>
      <c r="AB1137">
        <f>EV_Data4[[#This Row],[horsepower]]+EV_Data4[[#This Row],[torque_nm]]/EV_Data4[[#This Row],[acceleration_0_60_mph]]</f>
        <v>499.76190476190476</v>
      </c>
      <c r="AC1137" t="str">
        <f>IF(EV_Data4[[#This Row],[price_usd]]&gt;=80000,"Luxury",IF(EV_Data4[[#This Row],[price_usd]]&gt;=40000,"Mid-Range","Budget"))</f>
        <v>Mid-Range</v>
      </c>
      <c r="AD1137" t="str">
        <f>IF(EV_Data4[[#This Row],[range_miles]]&gt;=350,"Long-Range",IF(EV_Data4[[#This Row],[range_miles]]&gt;=250,"Medium-Range","Short-Range"))</f>
        <v>Short-Range</v>
      </c>
      <c r="AE1137" t="str">
        <f>IF(EV_Data4[[#This Row],[charging_speed_kw]]&gt;=250,"Ultra-Fast",IF(EV_Data4[[#This Row],[charging_speed_kw]]&gt;=150,"Fast-Charging","Standard-Charging"))</f>
        <v>Ultra-Fast</v>
      </c>
      <c r="AF1137" t="str">
        <f>IF(EV_Data4[[#This Row],[acceleration_0_60_mph]]&lt;=3,"SportsPerformance",IF(EV_Data4[[#This Row],[acceleration_0_60_mph]]&lt;=5,"HighPerformance","Standard"))</f>
        <v>Standard</v>
      </c>
      <c r="AG1137" t="str">
        <f>IF(EV_Data4[[#This Row],[customer_rating]]&gt;=4.5,"Excellent",IF(EV_Data4[[#This Row],[customer_rating]]&gt;=3.5,"Good","Average"))</f>
        <v>Good</v>
      </c>
      <c r="AH113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38" spans="1:34" x14ac:dyDescent="0.3">
      <c r="A1138" t="s">
        <v>52</v>
      </c>
      <c r="B1138" t="s">
        <v>53</v>
      </c>
      <c r="C1138">
        <v>2025</v>
      </c>
      <c r="D1138" t="s">
        <v>61</v>
      </c>
      <c r="E1138" s="3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48</v>
      </c>
      <c r="N1138">
        <v>5</v>
      </c>
      <c r="O1138" t="s">
        <v>51</v>
      </c>
      <c r="P1138">
        <v>26.2</v>
      </c>
      <c r="Q1138">
        <v>1776</v>
      </c>
      <c r="R1138">
        <v>4</v>
      </c>
      <c r="S1138">
        <v>1</v>
      </c>
      <c r="T1138" t="s">
        <v>29</v>
      </c>
      <c r="U1138" t="s">
        <v>30</v>
      </c>
      <c r="V1138" s="3">
        <v>62952</v>
      </c>
      <c r="W1138">
        <v>3.64</v>
      </c>
      <c r="X1138">
        <v>6</v>
      </c>
      <c r="Y1138" s="1">
        <f>EV_Data4[[#This Row],[range_miles]]/EV_Data4[[#This Row],[battery_capacity_kwh]]</f>
        <v>3.3404255319148937</v>
      </c>
      <c r="Z1138" s="4">
        <f>EV_Data4[[#This Row],[price_usd]]/EV_Data4[[#This Row],[range_miles]]</f>
        <v>840.53987261146506</v>
      </c>
      <c r="AA1138" s="2">
        <f>(EV_Data4[[#This Row],[customer_rating]]*EV_Data4[[#This Row],[safety_rating]]*1000)/EV_Data4[[#This Row],[price_usd]]</f>
        <v>0.11033248573331243</v>
      </c>
      <c r="AB1138">
        <f>EV_Data4[[#This Row],[horsepower]]+EV_Data4[[#This Row],[torque_nm]]/EV_Data4[[#This Row],[acceleration_0_60_mph]]</f>
        <v>944.67402376910013</v>
      </c>
      <c r="AC1138" t="str">
        <f>IF(EV_Data4[[#This Row],[price_usd]]&gt;=80000,"Luxury",IF(EV_Data4[[#This Row],[price_usd]]&gt;=40000,"Mid-Range","Budget"))</f>
        <v>Luxury</v>
      </c>
      <c r="AD1138" t="str">
        <f>IF(EV_Data4[[#This Row],[range_miles]]&gt;=350,"Long-Range",IF(EV_Data4[[#This Row],[range_miles]]&gt;=250,"Medium-Range","Short-Range"))</f>
        <v>Short-Range</v>
      </c>
      <c r="AE1138" t="str">
        <f>IF(EV_Data4[[#This Row],[charging_speed_kw]]&gt;=250,"Ultra-Fast",IF(EV_Data4[[#This Row],[charging_speed_kw]]&gt;=150,"Fast-Charging","Standard-Charging"))</f>
        <v>Standard-Charging</v>
      </c>
      <c r="AF1138" t="str">
        <f>IF(EV_Data4[[#This Row],[acceleration_0_60_mph]]&lt;=3,"SportsPerformance",IF(EV_Data4[[#This Row],[acceleration_0_60_mph]]&lt;=5,"HighPerformance","Standard"))</f>
        <v>Standard</v>
      </c>
      <c r="AG1138" t="str">
        <f>IF(EV_Data4[[#This Row],[customer_rating]]&gt;=4.5,"Excellent",IF(EV_Data4[[#This Row],[customer_rating]]&gt;=3.5,"Good","Average"))</f>
        <v>Good</v>
      </c>
      <c r="AH113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39" spans="1:34" x14ac:dyDescent="0.3">
      <c r="A1139" t="s">
        <v>68</v>
      </c>
      <c r="B1139" t="s">
        <v>69</v>
      </c>
      <c r="C1139">
        <v>2024</v>
      </c>
      <c r="D1139" t="s">
        <v>33</v>
      </c>
      <c r="E1139" s="3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27</v>
      </c>
      <c r="N1139">
        <v>5</v>
      </c>
      <c r="O1139" t="s">
        <v>35</v>
      </c>
      <c r="P1139">
        <v>69.3</v>
      </c>
      <c r="Q1139">
        <v>2108</v>
      </c>
      <c r="R1139">
        <v>5</v>
      </c>
      <c r="S1139">
        <v>1</v>
      </c>
      <c r="T1139" t="s">
        <v>45</v>
      </c>
      <c r="U1139" t="s">
        <v>33</v>
      </c>
      <c r="V1139" s="3">
        <v>59030</v>
      </c>
      <c r="W1139">
        <v>3.11</v>
      </c>
      <c r="X1139">
        <v>4</v>
      </c>
      <c r="Y1139" s="1">
        <f>EV_Data4[[#This Row],[range_miles]]/EV_Data4[[#This Row],[battery_capacity_kwh]]</f>
        <v>3.2289950576606259</v>
      </c>
      <c r="Z1139" s="4">
        <f>EV_Data4[[#This Row],[price_usd]]/EV_Data4[[#This Row],[range_miles]]</f>
        <v>496.1817346938775</v>
      </c>
      <c r="AA1139" s="2">
        <f>(EV_Data4[[#This Row],[customer_rating]]*EV_Data4[[#This Row],[safety_rating]]*1000)/EV_Data4[[#This Row],[price_usd]]</f>
        <v>0.15989450869815844</v>
      </c>
      <c r="AB1139">
        <f>EV_Data4[[#This Row],[horsepower]]+EV_Data4[[#This Row],[torque_nm]]/EV_Data4[[#This Row],[acceleration_0_60_mph]]</f>
        <v>1136.2445414847161</v>
      </c>
      <c r="AC1139" t="str">
        <f>IF(EV_Data4[[#This Row],[price_usd]]&gt;=80000,"Luxury",IF(EV_Data4[[#This Row],[price_usd]]&gt;=40000,"Mid-Range","Budget"))</f>
        <v>Luxury</v>
      </c>
      <c r="AD1139" t="str">
        <f>IF(EV_Data4[[#This Row],[range_miles]]&gt;=350,"Long-Range",IF(EV_Data4[[#This Row],[range_miles]]&gt;=250,"Medium-Range","Short-Range"))</f>
        <v>Short-Range</v>
      </c>
      <c r="AE1139" t="str">
        <f>IF(EV_Data4[[#This Row],[charging_speed_kw]]&gt;=250,"Ultra-Fast",IF(EV_Data4[[#This Row],[charging_speed_kw]]&gt;=150,"Fast-Charging","Standard-Charging"))</f>
        <v>Standard-Charging</v>
      </c>
      <c r="AF1139" t="str">
        <f>IF(EV_Data4[[#This Row],[acceleration_0_60_mph]]&lt;=3,"SportsPerformance",IF(EV_Data4[[#This Row],[acceleration_0_60_mph]]&lt;=5,"HighPerformance","Standard"))</f>
        <v>Standard</v>
      </c>
      <c r="AG1139" t="str">
        <f>IF(EV_Data4[[#This Row],[customer_rating]]&gt;=4.5,"Excellent",IF(EV_Data4[[#This Row],[customer_rating]]&gt;=3.5,"Good","Average"))</f>
        <v>Average</v>
      </c>
      <c r="AH113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40" spans="1:34" x14ac:dyDescent="0.3">
      <c r="A1140" t="s">
        <v>68</v>
      </c>
      <c r="B1140" t="s">
        <v>109</v>
      </c>
      <c r="C1140">
        <v>2024</v>
      </c>
      <c r="D1140" t="s">
        <v>44</v>
      </c>
      <c r="E1140" s="3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34</v>
      </c>
      <c r="N1140">
        <v>7</v>
      </c>
      <c r="O1140" t="s">
        <v>58</v>
      </c>
      <c r="P1140">
        <v>33</v>
      </c>
      <c r="Q1140">
        <v>1930</v>
      </c>
      <c r="R1140">
        <v>5</v>
      </c>
      <c r="S1140">
        <v>1</v>
      </c>
      <c r="T1140" t="s">
        <v>45</v>
      </c>
      <c r="U1140" t="s">
        <v>37</v>
      </c>
      <c r="V1140" s="3">
        <v>132537</v>
      </c>
      <c r="W1140">
        <v>3.75</v>
      </c>
      <c r="X1140">
        <v>3</v>
      </c>
      <c r="Y1140" s="1">
        <f>EV_Data4[[#This Row],[range_miles]]/EV_Data4[[#This Row],[battery_capacity_kwh]]</f>
        <v>3.4371957156767281</v>
      </c>
      <c r="Z1140" s="4">
        <f>EV_Data4[[#This Row],[price_usd]]/EV_Data4[[#This Row],[range_miles]]</f>
        <v>179.37796033994334</v>
      </c>
      <c r="AA1140" s="2">
        <f>(EV_Data4[[#This Row],[customer_rating]]*EV_Data4[[#This Row],[safety_rating]]*1000)/EV_Data4[[#This Row],[price_usd]]</f>
        <v>0.29611300746267949</v>
      </c>
      <c r="AB1140">
        <f>EV_Data4[[#This Row],[horsepower]]+EV_Data4[[#This Row],[torque_nm]]/EV_Data4[[#This Row],[acceleration_0_60_mph]]</f>
        <v>831.37606837606836</v>
      </c>
      <c r="AC1140" t="str">
        <f>IF(EV_Data4[[#This Row],[price_usd]]&gt;=80000,"Luxury",IF(EV_Data4[[#This Row],[price_usd]]&gt;=40000,"Mid-Range","Budget"))</f>
        <v>Mid-Range</v>
      </c>
      <c r="AD1140" t="str">
        <f>IF(EV_Data4[[#This Row],[range_miles]]&gt;=350,"Long-Range",IF(EV_Data4[[#This Row],[range_miles]]&gt;=250,"Medium-Range","Short-Range"))</f>
        <v>Long-Range</v>
      </c>
      <c r="AE1140" t="str">
        <f>IF(EV_Data4[[#This Row],[charging_speed_kw]]&gt;=250,"Ultra-Fast",IF(EV_Data4[[#This Row],[charging_speed_kw]]&gt;=150,"Fast-Charging","Standard-Charging"))</f>
        <v>Standard-Charging</v>
      </c>
      <c r="AF1140" t="str">
        <f>IF(EV_Data4[[#This Row],[acceleration_0_60_mph]]&lt;=3,"SportsPerformance",IF(EV_Data4[[#This Row],[acceleration_0_60_mph]]&lt;=5,"HighPerformance","Standard"))</f>
        <v>Standard</v>
      </c>
      <c r="AG1140" t="str">
        <f>IF(EV_Data4[[#This Row],[customer_rating]]&gt;=4.5,"Excellent",IF(EV_Data4[[#This Row],[customer_rating]]&gt;=3.5,"Good","Average"))</f>
        <v>Good</v>
      </c>
      <c r="AH114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41" spans="1:34" x14ac:dyDescent="0.3">
      <c r="A1141" t="s">
        <v>42</v>
      </c>
      <c r="B1141" t="s">
        <v>80</v>
      </c>
      <c r="C1141">
        <v>2023</v>
      </c>
      <c r="D1141" t="s">
        <v>61</v>
      </c>
      <c r="E1141" s="3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48</v>
      </c>
      <c r="N1141">
        <v>5</v>
      </c>
      <c r="O1141" t="s">
        <v>35</v>
      </c>
      <c r="P1141">
        <v>69.599999999999994</v>
      </c>
      <c r="Q1141">
        <v>2057</v>
      </c>
      <c r="R1141">
        <v>5</v>
      </c>
      <c r="S1141">
        <v>0</v>
      </c>
      <c r="T1141" t="s">
        <v>45</v>
      </c>
      <c r="U1141" t="s">
        <v>37</v>
      </c>
      <c r="V1141" s="3">
        <v>97503</v>
      </c>
      <c r="W1141">
        <v>3.22</v>
      </c>
      <c r="X1141">
        <v>5</v>
      </c>
      <c r="Y1141" s="1">
        <f>EV_Data4[[#This Row],[range_miles]]/EV_Data4[[#This Row],[battery_capacity_kwh]]</f>
        <v>3.5562805872756935</v>
      </c>
      <c r="Z1141" s="4">
        <f>EV_Data4[[#This Row],[price_usd]]/EV_Data4[[#This Row],[range_miles]]</f>
        <v>290.76408256880734</v>
      </c>
      <c r="AA1141" s="2">
        <f>(EV_Data4[[#This Row],[customer_rating]]*EV_Data4[[#This Row],[safety_rating]]*1000)/EV_Data4[[#This Row],[price_usd]]</f>
        <v>0.25399702176659822</v>
      </c>
      <c r="AB1141">
        <f>EV_Data4[[#This Row],[horsepower]]+EV_Data4[[#This Row],[torque_nm]]/EV_Data4[[#This Row],[acceleration_0_60_mph]]</f>
        <v>848.23049001814888</v>
      </c>
      <c r="AC1141" t="str">
        <f>IF(EV_Data4[[#This Row],[price_usd]]&gt;=80000,"Luxury",IF(EV_Data4[[#This Row],[price_usd]]&gt;=40000,"Mid-Range","Budget"))</f>
        <v>Mid-Range</v>
      </c>
      <c r="AD1141" t="str">
        <f>IF(EV_Data4[[#This Row],[range_miles]]&gt;=350,"Long-Range",IF(EV_Data4[[#This Row],[range_miles]]&gt;=250,"Medium-Range","Short-Range"))</f>
        <v>Short-Range</v>
      </c>
      <c r="AE1141" t="str">
        <f>IF(EV_Data4[[#This Row],[charging_speed_kw]]&gt;=250,"Ultra-Fast",IF(EV_Data4[[#This Row],[charging_speed_kw]]&gt;=150,"Fast-Charging","Standard-Charging"))</f>
        <v>Standard-Charging</v>
      </c>
      <c r="AF1141" t="str">
        <f>IF(EV_Data4[[#This Row],[acceleration_0_60_mph]]&lt;=3,"SportsPerformance",IF(EV_Data4[[#This Row],[acceleration_0_60_mph]]&lt;=5,"HighPerformance","Standard"))</f>
        <v>Standard</v>
      </c>
      <c r="AG1141" t="str">
        <f>IF(EV_Data4[[#This Row],[customer_rating]]&gt;=4.5,"Excellent",IF(EV_Data4[[#This Row],[customer_rating]]&gt;=3.5,"Good","Average"))</f>
        <v>Average</v>
      </c>
      <c r="AH114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42" spans="1:34" x14ac:dyDescent="0.3">
      <c r="A1142" t="s">
        <v>52</v>
      </c>
      <c r="B1142" t="s">
        <v>126</v>
      </c>
      <c r="C1142">
        <v>2021</v>
      </c>
      <c r="D1142" t="s">
        <v>61</v>
      </c>
      <c r="E1142" s="3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48</v>
      </c>
      <c r="N1142">
        <v>7</v>
      </c>
      <c r="O1142" t="s">
        <v>50</v>
      </c>
      <c r="P1142">
        <v>39.799999999999997</v>
      </c>
      <c r="Q1142">
        <v>1500</v>
      </c>
      <c r="R1142">
        <v>4</v>
      </c>
      <c r="S1142">
        <v>1</v>
      </c>
      <c r="T1142" t="s">
        <v>29</v>
      </c>
      <c r="U1142" t="s">
        <v>30</v>
      </c>
      <c r="V1142" s="3">
        <v>25083</v>
      </c>
      <c r="W1142">
        <v>3.26</v>
      </c>
      <c r="X1142">
        <v>7</v>
      </c>
      <c r="Y1142" s="1">
        <f>EV_Data4[[#This Row],[range_miles]]/EV_Data4[[#This Row],[battery_capacity_kwh]]</f>
        <v>2.8222996515679442</v>
      </c>
      <c r="Z1142" s="4">
        <f>EV_Data4[[#This Row],[price_usd]]/EV_Data4[[#This Row],[range_miles]]</f>
        <v>713.98530864197528</v>
      </c>
      <c r="AA1142" s="2">
        <f>(EV_Data4[[#This Row],[customer_rating]]*EV_Data4[[#This Row],[safety_rating]]*1000)/EV_Data4[[#This Row],[price_usd]]</f>
        <v>0.11273877233355944</v>
      </c>
      <c r="AB1142">
        <f>EV_Data4[[#This Row],[horsepower]]+EV_Data4[[#This Row],[torque_nm]]/EV_Data4[[#This Row],[acceleration_0_60_mph]]</f>
        <v>721.95348837209303</v>
      </c>
      <c r="AC1142" t="str">
        <f>IF(EV_Data4[[#This Row],[price_usd]]&gt;=80000,"Luxury",IF(EV_Data4[[#This Row],[price_usd]]&gt;=40000,"Mid-Range","Budget"))</f>
        <v>Luxury</v>
      </c>
      <c r="AD1142" t="str">
        <f>IF(EV_Data4[[#This Row],[range_miles]]&gt;=350,"Long-Range",IF(EV_Data4[[#This Row],[range_miles]]&gt;=250,"Medium-Range","Short-Range"))</f>
        <v>Short-Range</v>
      </c>
      <c r="AE1142" t="str">
        <f>IF(EV_Data4[[#This Row],[charging_speed_kw]]&gt;=250,"Ultra-Fast",IF(EV_Data4[[#This Row],[charging_speed_kw]]&gt;=150,"Fast-Charging","Standard-Charging"))</f>
        <v>Standard-Charging</v>
      </c>
      <c r="AF1142" t="str">
        <f>IF(EV_Data4[[#This Row],[acceleration_0_60_mph]]&lt;=3,"SportsPerformance",IF(EV_Data4[[#This Row],[acceleration_0_60_mph]]&lt;=5,"HighPerformance","Standard"))</f>
        <v>Standard</v>
      </c>
      <c r="AG1142" t="str">
        <f>IF(EV_Data4[[#This Row],[customer_rating]]&gt;=4.5,"Excellent",IF(EV_Data4[[#This Row],[customer_rating]]&gt;=3.5,"Good","Average"))</f>
        <v>Average</v>
      </c>
      <c r="AH114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43" spans="1:34" x14ac:dyDescent="0.3">
      <c r="A1143" t="s">
        <v>63</v>
      </c>
      <c r="B1143" t="s">
        <v>96</v>
      </c>
      <c r="C1143">
        <v>2022</v>
      </c>
      <c r="D1143" t="s">
        <v>61</v>
      </c>
      <c r="E1143" s="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48</v>
      </c>
      <c r="N1143">
        <v>7</v>
      </c>
      <c r="O1143" t="s">
        <v>28</v>
      </c>
      <c r="P1143">
        <v>68.099999999999994</v>
      </c>
      <c r="Q1143">
        <v>2193</v>
      </c>
      <c r="R1143">
        <v>5</v>
      </c>
      <c r="S1143">
        <v>1</v>
      </c>
      <c r="T1143" t="s">
        <v>65</v>
      </c>
      <c r="U1143" t="s">
        <v>66</v>
      </c>
      <c r="V1143" s="3">
        <v>133529</v>
      </c>
      <c r="W1143">
        <v>3.4</v>
      </c>
      <c r="X1143">
        <v>3</v>
      </c>
      <c r="Y1143" s="1">
        <f>EV_Data4[[#This Row],[range_miles]]/EV_Data4[[#This Row],[battery_capacity_kwh]]</f>
        <v>3.75</v>
      </c>
      <c r="Z1143" s="4">
        <f>EV_Data4[[#This Row],[price_usd]]/EV_Data4[[#This Row],[range_miles]]</f>
        <v>205.369</v>
      </c>
      <c r="AA1143" s="2">
        <f>(EV_Data4[[#This Row],[customer_rating]]*EV_Data4[[#This Row],[safety_rating]]*1000)/EV_Data4[[#This Row],[price_usd]]</f>
        <v>0.55185219450517531</v>
      </c>
      <c r="AB1143">
        <f>EV_Data4[[#This Row],[horsepower]]+EV_Data4[[#This Row],[torque_nm]]/EV_Data4[[#This Row],[acceleration_0_60_mph]]</f>
        <v>431.59610027855155</v>
      </c>
      <c r="AC1143" t="str">
        <f>IF(EV_Data4[[#This Row],[price_usd]]&gt;=80000,"Luxury",IF(EV_Data4[[#This Row],[price_usd]]&gt;=40000,"Mid-Range","Budget"))</f>
        <v>Budget</v>
      </c>
      <c r="AD1143" t="str">
        <f>IF(EV_Data4[[#This Row],[range_miles]]&gt;=350,"Long-Range",IF(EV_Data4[[#This Row],[range_miles]]&gt;=250,"Medium-Range","Short-Range"))</f>
        <v>Short-Range</v>
      </c>
      <c r="AE1143" t="str">
        <f>IF(EV_Data4[[#This Row],[charging_speed_kw]]&gt;=250,"Ultra-Fast",IF(EV_Data4[[#This Row],[charging_speed_kw]]&gt;=150,"Fast-Charging","Standard-Charging"))</f>
        <v>Standard-Charging</v>
      </c>
      <c r="AF1143" t="str">
        <f>IF(EV_Data4[[#This Row],[acceleration_0_60_mph]]&lt;=3,"SportsPerformance",IF(EV_Data4[[#This Row],[acceleration_0_60_mph]]&lt;=5,"HighPerformance","Standard"))</f>
        <v>Standard</v>
      </c>
      <c r="AG1143" t="str">
        <f>IF(EV_Data4[[#This Row],[customer_rating]]&gt;=4.5,"Excellent",IF(EV_Data4[[#This Row],[customer_rating]]&gt;=3.5,"Good","Average"))</f>
        <v>Average</v>
      </c>
      <c r="AH114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44" spans="1:34" x14ac:dyDescent="0.3">
      <c r="A1144" t="s">
        <v>83</v>
      </c>
      <c r="B1144" t="s">
        <v>116</v>
      </c>
      <c r="C1144">
        <v>2026</v>
      </c>
      <c r="D1144" t="s">
        <v>33</v>
      </c>
      <c r="E1144" s="3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27</v>
      </c>
      <c r="N1144">
        <v>5</v>
      </c>
      <c r="O1144" t="s">
        <v>58</v>
      </c>
      <c r="P1144">
        <v>35.200000000000003</v>
      </c>
      <c r="Q1144">
        <v>1837</v>
      </c>
      <c r="R1144">
        <v>5</v>
      </c>
      <c r="S1144">
        <v>2</v>
      </c>
      <c r="T1144" t="s">
        <v>29</v>
      </c>
      <c r="U1144" t="s">
        <v>30</v>
      </c>
      <c r="V1144" s="3">
        <v>42817</v>
      </c>
      <c r="W1144">
        <v>3.39</v>
      </c>
      <c r="X1144">
        <v>7</v>
      </c>
      <c r="Y1144" s="1">
        <f>EV_Data4[[#This Row],[range_miles]]/EV_Data4[[#This Row],[battery_capacity_kwh]]</f>
        <v>3.1404958677685952</v>
      </c>
      <c r="Z1144" s="4">
        <f>EV_Data4[[#This Row],[price_usd]]/EV_Data4[[#This Row],[range_miles]]</f>
        <v>680.86282894736837</v>
      </c>
      <c r="AA1144" s="2">
        <f>(EV_Data4[[#This Row],[customer_rating]]*EV_Data4[[#This Row],[safety_rating]]*1000)/EV_Data4[[#This Row],[price_usd]]</f>
        <v>0.16378212050015872</v>
      </c>
      <c r="AB1144">
        <f>EV_Data4[[#This Row],[horsepower]]+EV_Data4[[#This Row],[torque_nm]]/EV_Data4[[#This Row],[acceleration_0_60_mph]]</f>
        <v>1001.0825035561877</v>
      </c>
      <c r="AC1144" t="str">
        <f>IF(EV_Data4[[#This Row],[price_usd]]&gt;=80000,"Luxury",IF(EV_Data4[[#This Row],[price_usd]]&gt;=40000,"Mid-Range","Budget"))</f>
        <v>Luxury</v>
      </c>
      <c r="AD1144" t="str">
        <f>IF(EV_Data4[[#This Row],[range_miles]]&gt;=350,"Long-Range",IF(EV_Data4[[#This Row],[range_miles]]&gt;=250,"Medium-Range","Short-Range"))</f>
        <v>Short-Range</v>
      </c>
      <c r="AE1144" t="str">
        <f>IF(EV_Data4[[#This Row],[charging_speed_kw]]&gt;=250,"Ultra-Fast",IF(EV_Data4[[#This Row],[charging_speed_kw]]&gt;=150,"Fast-Charging","Standard-Charging"))</f>
        <v>Standard-Charging</v>
      </c>
      <c r="AF1144" t="str">
        <f>IF(EV_Data4[[#This Row],[acceleration_0_60_mph]]&lt;=3,"SportsPerformance",IF(EV_Data4[[#This Row],[acceleration_0_60_mph]]&lt;=5,"HighPerformance","Standard"))</f>
        <v>Standard</v>
      </c>
      <c r="AG1144" t="str">
        <f>IF(EV_Data4[[#This Row],[customer_rating]]&gt;=4.5,"Excellent",IF(EV_Data4[[#This Row],[customer_rating]]&gt;=3.5,"Good","Average"))</f>
        <v>Average</v>
      </c>
      <c r="AH114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45" spans="1:34" x14ac:dyDescent="0.3">
      <c r="A1145" t="s">
        <v>42</v>
      </c>
      <c r="B1145" t="s">
        <v>54</v>
      </c>
      <c r="C1145">
        <v>2026</v>
      </c>
      <c r="D1145" t="s">
        <v>44</v>
      </c>
      <c r="E1145" s="3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34</v>
      </c>
      <c r="N1145">
        <v>5</v>
      </c>
      <c r="O1145" t="s">
        <v>35</v>
      </c>
      <c r="P1145">
        <v>53.4</v>
      </c>
      <c r="Q1145">
        <v>2072</v>
      </c>
      <c r="R1145">
        <v>3</v>
      </c>
      <c r="S1145">
        <v>1</v>
      </c>
      <c r="T1145" t="s">
        <v>45</v>
      </c>
      <c r="U1145" t="s">
        <v>33</v>
      </c>
      <c r="V1145" s="3">
        <v>128059</v>
      </c>
      <c r="W1145">
        <v>3.95</v>
      </c>
      <c r="X1145">
        <v>4</v>
      </c>
      <c r="Y1145" s="1">
        <f>EV_Data4[[#This Row],[range_miles]]/EV_Data4[[#This Row],[battery_capacity_kwh]]</f>
        <v>3.722772277227723</v>
      </c>
      <c r="Z1145" s="4">
        <f>EV_Data4[[#This Row],[price_usd]]/EV_Data4[[#This Row],[range_miles]]</f>
        <v>179.15917553191491</v>
      </c>
      <c r="AA1145" s="2">
        <f>(EV_Data4[[#This Row],[customer_rating]]*EV_Data4[[#This Row],[safety_rating]]*1000)/EV_Data4[[#This Row],[price_usd]]</f>
        <v>0.17591037329368794</v>
      </c>
      <c r="AB1145">
        <f>EV_Data4[[#This Row],[horsepower]]+EV_Data4[[#This Row],[torque_nm]]/EV_Data4[[#This Row],[acceleration_0_60_mph]]</f>
        <v>850.21775544388606</v>
      </c>
      <c r="AC1145" t="str">
        <f>IF(EV_Data4[[#This Row],[price_usd]]&gt;=80000,"Luxury",IF(EV_Data4[[#This Row],[price_usd]]&gt;=40000,"Mid-Range","Budget"))</f>
        <v>Mid-Range</v>
      </c>
      <c r="AD1145" t="str">
        <f>IF(EV_Data4[[#This Row],[range_miles]]&gt;=350,"Long-Range",IF(EV_Data4[[#This Row],[range_miles]]&gt;=250,"Medium-Range","Short-Range"))</f>
        <v>Long-Range</v>
      </c>
      <c r="AE1145" t="str">
        <f>IF(EV_Data4[[#This Row],[charging_speed_kw]]&gt;=250,"Ultra-Fast",IF(EV_Data4[[#This Row],[charging_speed_kw]]&gt;=150,"Fast-Charging","Standard-Charging"))</f>
        <v>Standard-Charging</v>
      </c>
      <c r="AF1145" t="str">
        <f>IF(EV_Data4[[#This Row],[acceleration_0_60_mph]]&lt;=3,"SportsPerformance",IF(EV_Data4[[#This Row],[acceleration_0_60_mph]]&lt;=5,"HighPerformance","Standard"))</f>
        <v>Standard</v>
      </c>
      <c r="AG1145" t="str">
        <f>IF(EV_Data4[[#This Row],[customer_rating]]&gt;=4.5,"Excellent",IF(EV_Data4[[#This Row],[customer_rating]]&gt;=3.5,"Good","Average"))</f>
        <v>Good</v>
      </c>
      <c r="AH114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46" spans="1:34" x14ac:dyDescent="0.3">
      <c r="A1146" t="s">
        <v>63</v>
      </c>
      <c r="B1146" t="s">
        <v>64</v>
      </c>
      <c r="C1146">
        <v>2025</v>
      </c>
      <c r="D1146" t="s">
        <v>61</v>
      </c>
      <c r="E1146" s="3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27</v>
      </c>
      <c r="N1146">
        <v>5</v>
      </c>
      <c r="O1146" t="s">
        <v>50</v>
      </c>
      <c r="P1146">
        <v>19</v>
      </c>
      <c r="Q1146">
        <v>1783</v>
      </c>
      <c r="R1146">
        <v>5</v>
      </c>
      <c r="S1146">
        <v>0</v>
      </c>
      <c r="T1146" t="s">
        <v>65</v>
      </c>
      <c r="U1146" t="s">
        <v>37</v>
      </c>
      <c r="V1146" s="3">
        <v>163441</v>
      </c>
      <c r="W1146">
        <v>3.69</v>
      </c>
      <c r="X1146">
        <v>4</v>
      </c>
      <c r="Y1146" s="1">
        <f>EV_Data4[[#This Row],[range_miles]]/EV_Data4[[#This Row],[battery_capacity_kwh]]</f>
        <v>3.1684698608964448</v>
      </c>
      <c r="Z1146" s="4">
        <f>EV_Data4[[#This Row],[price_usd]]/EV_Data4[[#This Row],[range_miles]]</f>
        <v>180.97195121951219</v>
      </c>
      <c r="AA1146" s="2">
        <f>(EV_Data4[[#This Row],[customer_rating]]*EV_Data4[[#This Row],[safety_rating]]*1000)/EV_Data4[[#This Row],[price_usd]]</f>
        <v>0.49731463574061469</v>
      </c>
      <c r="AB1146">
        <f>EV_Data4[[#This Row],[horsepower]]+EV_Data4[[#This Row],[torque_nm]]/EV_Data4[[#This Row],[acceleration_0_60_mph]]</f>
        <v>456.75227686703096</v>
      </c>
      <c r="AC1146" t="str">
        <f>IF(EV_Data4[[#This Row],[price_usd]]&gt;=80000,"Luxury",IF(EV_Data4[[#This Row],[price_usd]]&gt;=40000,"Mid-Range","Budget"))</f>
        <v>Budget</v>
      </c>
      <c r="AD1146" t="str">
        <f>IF(EV_Data4[[#This Row],[range_miles]]&gt;=350,"Long-Range",IF(EV_Data4[[#This Row],[range_miles]]&gt;=250,"Medium-Range","Short-Range"))</f>
        <v>Short-Range</v>
      </c>
      <c r="AE1146" t="str">
        <f>IF(EV_Data4[[#This Row],[charging_speed_kw]]&gt;=250,"Ultra-Fast",IF(EV_Data4[[#This Row],[charging_speed_kw]]&gt;=150,"Fast-Charging","Standard-Charging"))</f>
        <v>Standard-Charging</v>
      </c>
      <c r="AF1146" t="str">
        <f>IF(EV_Data4[[#This Row],[acceleration_0_60_mph]]&lt;=3,"SportsPerformance",IF(EV_Data4[[#This Row],[acceleration_0_60_mph]]&lt;=5,"HighPerformance","Standard"))</f>
        <v>Standard</v>
      </c>
      <c r="AG1146" t="str">
        <f>IF(EV_Data4[[#This Row],[customer_rating]]&gt;=4.5,"Excellent",IF(EV_Data4[[#This Row],[customer_rating]]&gt;=3.5,"Good","Average"))</f>
        <v>Good</v>
      </c>
      <c r="AH114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47" spans="1:34" x14ac:dyDescent="0.3">
      <c r="A1147" t="s">
        <v>86</v>
      </c>
      <c r="B1147" t="s">
        <v>117</v>
      </c>
      <c r="C1147">
        <v>2025</v>
      </c>
      <c r="D1147" t="s">
        <v>61</v>
      </c>
      <c r="E1147" s="3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34</v>
      </c>
      <c r="N1147">
        <v>5</v>
      </c>
      <c r="O1147" t="s">
        <v>50</v>
      </c>
      <c r="P1147">
        <v>31.1</v>
      </c>
      <c r="Q1147">
        <v>1500</v>
      </c>
      <c r="R1147">
        <v>4</v>
      </c>
      <c r="S1147">
        <v>1</v>
      </c>
      <c r="T1147" t="s">
        <v>29</v>
      </c>
      <c r="U1147" t="s">
        <v>37</v>
      </c>
      <c r="V1147" s="3">
        <v>48087</v>
      </c>
      <c r="W1147">
        <v>3.24</v>
      </c>
      <c r="X1147">
        <v>7</v>
      </c>
      <c r="Y1147" s="1">
        <f>EV_Data4[[#This Row],[range_miles]]/EV_Data4[[#This Row],[battery_capacity_kwh]]</f>
        <v>3.4097859327217122</v>
      </c>
      <c r="Z1147" s="4">
        <f>EV_Data4[[#This Row],[price_usd]]/EV_Data4[[#This Row],[range_miles]]</f>
        <v>247.55358744394618</v>
      </c>
      <c r="AA1147" s="2">
        <f>(EV_Data4[[#This Row],[customer_rating]]*EV_Data4[[#This Row],[safety_rating]]*1000)/EV_Data4[[#This Row],[price_usd]]</f>
        <v>0.23476368300019293</v>
      </c>
      <c r="AB1147">
        <f>EV_Data4[[#This Row],[horsepower]]+EV_Data4[[#This Row],[torque_nm]]/EV_Data4[[#This Row],[acceleration_0_60_mph]]</f>
        <v>279.56307129798904</v>
      </c>
      <c r="AC1147" t="str">
        <f>IF(EV_Data4[[#This Row],[price_usd]]&gt;=80000,"Luxury",IF(EV_Data4[[#This Row],[price_usd]]&gt;=40000,"Mid-Range","Budget"))</f>
        <v>Mid-Range</v>
      </c>
      <c r="AD1147" t="str">
        <f>IF(EV_Data4[[#This Row],[range_miles]]&gt;=350,"Long-Range",IF(EV_Data4[[#This Row],[range_miles]]&gt;=250,"Medium-Range","Short-Range"))</f>
        <v>Short-Range</v>
      </c>
      <c r="AE1147" t="str">
        <f>IF(EV_Data4[[#This Row],[charging_speed_kw]]&gt;=250,"Ultra-Fast",IF(EV_Data4[[#This Row],[charging_speed_kw]]&gt;=150,"Fast-Charging","Standard-Charging"))</f>
        <v>Standard-Charging</v>
      </c>
      <c r="AF1147" t="str">
        <f>IF(EV_Data4[[#This Row],[acceleration_0_60_mph]]&lt;=3,"SportsPerformance",IF(EV_Data4[[#This Row],[acceleration_0_60_mph]]&lt;=5,"HighPerformance","Standard"))</f>
        <v>Standard</v>
      </c>
      <c r="AG1147" t="str">
        <f>IF(EV_Data4[[#This Row],[customer_rating]]&gt;=4.5,"Excellent",IF(EV_Data4[[#This Row],[customer_rating]]&gt;=3.5,"Good","Average"))</f>
        <v>Average</v>
      </c>
      <c r="AH114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48" spans="1:34" x14ac:dyDescent="0.3">
      <c r="A1148" t="s">
        <v>76</v>
      </c>
      <c r="B1148" t="s">
        <v>81</v>
      </c>
      <c r="C1148">
        <v>2025</v>
      </c>
      <c r="D1148" t="s">
        <v>61</v>
      </c>
      <c r="E1148" s="3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34</v>
      </c>
      <c r="N1148">
        <v>5</v>
      </c>
      <c r="O1148" t="s">
        <v>50</v>
      </c>
      <c r="P1148">
        <v>15.9</v>
      </c>
      <c r="Q1148">
        <v>1508</v>
      </c>
      <c r="R1148">
        <v>4</v>
      </c>
      <c r="S1148">
        <v>1</v>
      </c>
      <c r="T1148" t="s">
        <v>41</v>
      </c>
      <c r="U1148" t="s">
        <v>37</v>
      </c>
      <c r="V1148" s="3">
        <v>36824</v>
      </c>
      <c r="W1148">
        <v>3.23</v>
      </c>
      <c r="X1148">
        <v>4</v>
      </c>
      <c r="Y1148" s="1">
        <f>EV_Data4[[#This Row],[range_miles]]/EV_Data4[[#This Row],[battery_capacity_kwh]]</f>
        <v>3.75</v>
      </c>
      <c r="Z1148" s="4">
        <f>EV_Data4[[#This Row],[price_usd]]/EV_Data4[[#This Row],[range_miles]]</f>
        <v>424.02673333333337</v>
      </c>
      <c r="AA1148" s="2">
        <f>(EV_Data4[[#This Row],[customer_rating]]*EV_Data4[[#This Row],[safety_rating]]*1000)/EV_Data4[[#This Row],[price_usd]]</f>
        <v>0.20313184656124669</v>
      </c>
      <c r="AB1148">
        <f>EV_Data4[[#This Row],[horsepower]]+EV_Data4[[#This Row],[torque_nm]]/EV_Data4[[#This Row],[acceleration_0_60_mph]]</f>
        <v>804.70501474926255</v>
      </c>
      <c r="AC1148" t="str">
        <f>IF(EV_Data4[[#This Row],[price_usd]]&gt;=80000,"Luxury",IF(EV_Data4[[#This Row],[price_usd]]&gt;=40000,"Mid-Range","Budget"))</f>
        <v>Mid-Range</v>
      </c>
      <c r="AD1148" t="str">
        <f>IF(EV_Data4[[#This Row],[range_miles]]&gt;=350,"Long-Range",IF(EV_Data4[[#This Row],[range_miles]]&gt;=250,"Medium-Range","Short-Range"))</f>
        <v>Short-Range</v>
      </c>
      <c r="AE1148" t="str">
        <f>IF(EV_Data4[[#This Row],[charging_speed_kw]]&gt;=250,"Ultra-Fast",IF(EV_Data4[[#This Row],[charging_speed_kw]]&gt;=150,"Fast-Charging","Standard-Charging"))</f>
        <v>Standard-Charging</v>
      </c>
      <c r="AF1148" t="str">
        <f>IF(EV_Data4[[#This Row],[acceleration_0_60_mph]]&lt;=3,"SportsPerformance",IF(EV_Data4[[#This Row],[acceleration_0_60_mph]]&lt;=5,"HighPerformance","Standard"))</f>
        <v>Standard</v>
      </c>
      <c r="AG1148" t="str">
        <f>IF(EV_Data4[[#This Row],[customer_rating]]&gt;=4.5,"Excellent",IF(EV_Data4[[#This Row],[customer_rating]]&gt;=3.5,"Good","Average"))</f>
        <v>Average</v>
      </c>
      <c r="AH114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49" spans="1:34" x14ac:dyDescent="0.3">
      <c r="A1149" t="s">
        <v>83</v>
      </c>
      <c r="B1149" t="s">
        <v>104</v>
      </c>
      <c r="C1149">
        <v>2023</v>
      </c>
      <c r="D1149" t="s">
        <v>26</v>
      </c>
      <c r="E1149" s="3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48</v>
      </c>
      <c r="N1149">
        <v>7</v>
      </c>
      <c r="O1149" t="s">
        <v>40</v>
      </c>
      <c r="P1149">
        <v>78</v>
      </c>
      <c r="Q1149">
        <v>1688</v>
      </c>
      <c r="R1149">
        <v>5</v>
      </c>
      <c r="S1149">
        <v>2</v>
      </c>
      <c r="T1149" t="s">
        <v>29</v>
      </c>
      <c r="U1149" t="s">
        <v>30</v>
      </c>
      <c r="V1149" s="3">
        <v>73116</v>
      </c>
      <c r="W1149">
        <v>3.97</v>
      </c>
      <c r="X1149">
        <v>5</v>
      </c>
      <c r="Y1149" s="1">
        <f>EV_Data4[[#This Row],[range_miles]]/EV_Data4[[#This Row],[battery_capacity_kwh]]</f>
        <v>3.6597938144329896</v>
      </c>
      <c r="Z1149" s="4">
        <f>EV_Data4[[#This Row],[price_usd]]/EV_Data4[[#This Row],[range_miles]]</f>
        <v>238.47619718309861</v>
      </c>
      <c r="AA1149" s="2">
        <f>(EV_Data4[[#This Row],[customer_rating]]*EV_Data4[[#This Row],[safety_rating]]*1000)/EV_Data4[[#This Row],[price_usd]]</f>
        <v>0.19539159329884598</v>
      </c>
      <c r="AB1149">
        <f>EV_Data4[[#This Row],[horsepower]]+EV_Data4[[#This Row],[torque_nm]]/EV_Data4[[#This Row],[acceleration_0_60_mph]]</f>
        <v>993.86206896551721</v>
      </c>
      <c r="AC1149" t="str">
        <f>IF(EV_Data4[[#This Row],[price_usd]]&gt;=80000,"Luxury",IF(EV_Data4[[#This Row],[price_usd]]&gt;=40000,"Mid-Range","Budget"))</f>
        <v>Luxury</v>
      </c>
      <c r="AD1149" t="str">
        <f>IF(EV_Data4[[#This Row],[range_miles]]&gt;=350,"Long-Range",IF(EV_Data4[[#This Row],[range_miles]]&gt;=250,"Medium-Range","Short-Range"))</f>
        <v>Long-Range</v>
      </c>
      <c r="AE1149" t="str">
        <f>IF(EV_Data4[[#This Row],[charging_speed_kw]]&gt;=250,"Ultra-Fast",IF(EV_Data4[[#This Row],[charging_speed_kw]]&gt;=150,"Fast-Charging","Standard-Charging"))</f>
        <v>Fast-Charging</v>
      </c>
      <c r="AF1149" t="str">
        <f>IF(EV_Data4[[#This Row],[acceleration_0_60_mph]]&lt;=3,"SportsPerformance",IF(EV_Data4[[#This Row],[acceleration_0_60_mph]]&lt;=5,"HighPerformance","Standard"))</f>
        <v>HighPerformance</v>
      </c>
      <c r="AG1149" t="str">
        <f>IF(EV_Data4[[#This Row],[customer_rating]]&gt;=4.5,"Excellent",IF(EV_Data4[[#This Row],[customer_rating]]&gt;=3.5,"Good","Average"))</f>
        <v>Good</v>
      </c>
      <c r="AH114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50" spans="1:34" x14ac:dyDescent="0.3">
      <c r="A1150" t="s">
        <v>52</v>
      </c>
      <c r="B1150" t="s">
        <v>103</v>
      </c>
      <c r="C1150">
        <v>2024</v>
      </c>
      <c r="D1150" t="s">
        <v>56</v>
      </c>
      <c r="E1150" s="3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27</v>
      </c>
      <c r="N1150">
        <v>5</v>
      </c>
      <c r="O1150" t="s">
        <v>40</v>
      </c>
      <c r="P1150">
        <v>75.3</v>
      </c>
      <c r="Q1150">
        <v>1500</v>
      </c>
      <c r="R1150">
        <v>3</v>
      </c>
      <c r="S1150">
        <v>2</v>
      </c>
      <c r="T1150" t="s">
        <v>29</v>
      </c>
      <c r="U1150" t="s">
        <v>37</v>
      </c>
      <c r="V1150" s="3">
        <v>69358</v>
      </c>
      <c r="W1150">
        <v>3.66</v>
      </c>
      <c r="X1150">
        <v>7</v>
      </c>
      <c r="Y1150" s="1">
        <f>EV_Data4[[#This Row],[range_miles]]/EV_Data4[[#This Row],[battery_capacity_kwh]]</f>
        <v>3.2021466905187834</v>
      </c>
      <c r="Z1150" s="4">
        <f>EV_Data4[[#This Row],[price_usd]]/EV_Data4[[#This Row],[range_miles]]</f>
        <v>349.72525139664805</v>
      </c>
      <c r="AA1150" s="2">
        <f>(EV_Data4[[#This Row],[customer_rating]]*EV_Data4[[#This Row],[safety_rating]]*1000)/EV_Data4[[#This Row],[price_usd]]</f>
        <v>0.17539706348894471</v>
      </c>
      <c r="AB1150">
        <f>EV_Data4[[#This Row],[horsepower]]+EV_Data4[[#This Row],[torque_nm]]/EV_Data4[[#This Row],[acceleration_0_60_mph]]</f>
        <v>187.4798927613941</v>
      </c>
      <c r="AC1150" t="str">
        <f>IF(EV_Data4[[#This Row],[price_usd]]&gt;=80000,"Luxury",IF(EV_Data4[[#This Row],[price_usd]]&gt;=40000,"Mid-Range","Budget"))</f>
        <v>Mid-Range</v>
      </c>
      <c r="AD1150" t="str">
        <f>IF(EV_Data4[[#This Row],[range_miles]]&gt;=350,"Long-Range",IF(EV_Data4[[#This Row],[range_miles]]&gt;=250,"Medium-Range","Short-Range"))</f>
        <v>Short-Range</v>
      </c>
      <c r="AE1150" t="str">
        <f>IF(EV_Data4[[#This Row],[charging_speed_kw]]&gt;=250,"Ultra-Fast",IF(EV_Data4[[#This Row],[charging_speed_kw]]&gt;=150,"Fast-Charging","Standard-Charging"))</f>
        <v>Standard-Charging</v>
      </c>
      <c r="AF1150" t="str">
        <f>IF(EV_Data4[[#This Row],[acceleration_0_60_mph]]&lt;=3,"SportsPerformance",IF(EV_Data4[[#This Row],[acceleration_0_60_mph]]&lt;=5,"HighPerformance","Standard"))</f>
        <v>Standard</v>
      </c>
      <c r="AG1150" t="str">
        <f>IF(EV_Data4[[#This Row],[customer_rating]]&gt;=4.5,"Excellent",IF(EV_Data4[[#This Row],[customer_rating]]&gt;=3.5,"Good","Average"))</f>
        <v>Good</v>
      </c>
      <c r="AH115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51" spans="1:34" x14ac:dyDescent="0.3">
      <c r="A1151" t="s">
        <v>52</v>
      </c>
      <c r="B1151" t="s">
        <v>53</v>
      </c>
      <c r="C1151">
        <v>2025</v>
      </c>
      <c r="D1151" t="s">
        <v>61</v>
      </c>
      <c r="E1151" s="3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34</v>
      </c>
      <c r="N1151">
        <v>7</v>
      </c>
      <c r="O1151" t="s">
        <v>51</v>
      </c>
      <c r="P1151">
        <v>25.6</v>
      </c>
      <c r="Q1151">
        <v>1578</v>
      </c>
      <c r="R1151">
        <v>4</v>
      </c>
      <c r="S1151">
        <v>1</v>
      </c>
      <c r="T1151" t="s">
        <v>29</v>
      </c>
      <c r="U1151" t="s">
        <v>33</v>
      </c>
      <c r="V1151" s="3">
        <v>79812</v>
      </c>
      <c r="W1151">
        <v>3.77</v>
      </c>
      <c r="X1151">
        <v>7</v>
      </c>
      <c r="Y1151" s="1">
        <f>EV_Data4[[#This Row],[range_miles]]/EV_Data4[[#This Row],[battery_capacity_kwh]]</f>
        <v>3.8650306748466257</v>
      </c>
      <c r="Z1151" s="4">
        <f>EV_Data4[[#This Row],[price_usd]]/EV_Data4[[#This Row],[range_miles]]</f>
        <v>525.6524338624339</v>
      </c>
      <c r="AA1151" s="2">
        <f>(EV_Data4[[#This Row],[customer_rating]]*EV_Data4[[#This Row],[safety_rating]]*1000)/EV_Data4[[#This Row],[price_usd]]</f>
        <v>0.15178919500492763</v>
      </c>
      <c r="AB1151">
        <f>EV_Data4[[#This Row],[horsepower]]+EV_Data4[[#This Row],[torque_nm]]/EV_Data4[[#This Row],[acceleration_0_60_mph]]</f>
        <v>613.35051546391753</v>
      </c>
      <c r="AC1151" t="str">
        <f>IF(EV_Data4[[#This Row],[price_usd]]&gt;=80000,"Luxury",IF(EV_Data4[[#This Row],[price_usd]]&gt;=40000,"Mid-Range","Budget"))</f>
        <v>Luxury</v>
      </c>
      <c r="AD1151" t="str">
        <f>IF(EV_Data4[[#This Row],[range_miles]]&gt;=350,"Long-Range",IF(EV_Data4[[#This Row],[range_miles]]&gt;=250,"Medium-Range","Short-Range"))</f>
        <v>Short-Range</v>
      </c>
      <c r="AE1151" t="str">
        <f>IF(EV_Data4[[#This Row],[charging_speed_kw]]&gt;=250,"Ultra-Fast",IF(EV_Data4[[#This Row],[charging_speed_kw]]&gt;=150,"Fast-Charging","Standard-Charging"))</f>
        <v>Standard-Charging</v>
      </c>
      <c r="AF1151" t="str">
        <f>IF(EV_Data4[[#This Row],[acceleration_0_60_mph]]&lt;=3,"SportsPerformance",IF(EV_Data4[[#This Row],[acceleration_0_60_mph]]&lt;=5,"HighPerformance","Standard"))</f>
        <v>Standard</v>
      </c>
      <c r="AG1151" t="str">
        <f>IF(EV_Data4[[#This Row],[customer_rating]]&gt;=4.5,"Excellent",IF(EV_Data4[[#This Row],[customer_rating]]&gt;=3.5,"Good","Average"))</f>
        <v>Good</v>
      </c>
      <c r="AH115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52" spans="1:34" x14ac:dyDescent="0.3">
      <c r="A1152" t="s">
        <v>38</v>
      </c>
      <c r="B1152" t="s">
        <v>101</v>
      </c>
      <c r="C1152">
        <v>2021</v>
      </c>
      <c r="D1152" t="s">
        <v>56</v>
      </c>
      <c r="E1152" s="3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27</v>
      </c>
      <c r="N1152">
        <v>5</v>
      </c>
      <c r="O1152" t="s">
        <v>35</v>
      </c>
      <c r="P1152">
        <v>46.1</v>
      </c>
      <c r="Q1152">
        <v>1980</v>
      </c>
      <c r="R1152">
        <v>5</v>
      </c>
      <c r="S1152">
        <v>1</v>
      </c>
      <c r="T1152" t="s">
        <v>41</v>
      </c>
      <c r="U1152" t="s">
        <v>37</v>
      </c>
      <c r="V1152" s="3">
        <v>25340</v>
      </c>
      <c r="W1152">
        <v>3.36</v>
      </c>
      <c r="X1152">
        <v>4</v>
      </c>
      <c r="Y1152" s="1">
        <f>EV_Data4[[#This Row],[range_miles]]/EV_Data4[[#This Row],[battery_capacity_kwh]]</f>
        <v>3.5696202531645569</v>
      </c>
      <c r="Z1152" s="4">
        <f>EV_Data4[[#This Row],[price_usd]]/EV_Data4[[#This Row],[range_miles]]</f>
        <v>142.2682269503546</v>
      </c>
      <c r="AA1152" s="2">
        <f>(EV_Data4[[#This Row],[customer_rating]]*EV_Data4[[#This Row],[safety_rating]]*1000)/EV_Data4[[#This Row],[price_usd]]</f>
        <v>0.41874752614928751</v>
      </c>
      <c r="AB1152">
        <f>EV_Data4[[#This Row],[horsepower]]+EV_Data4[[#This Row],[torque_nm]]/EV_Data4[[#This Row],[acceleration_0_60_mph]]</f>
        <v>506.81061692969871</v>
      </c>
      <c r="AC1152" t="str">
        <f>IF(EV_Data4[[#This Row],[price_usd]]&gt;=80000,"Luxury",IF(EV_Data4[[#This Row],[price_usd]]&gt;=40000,"Mid-Range","Budget"))</f>
        <v>Mid-Range</v>
      </c>
      <c r="AD1152" t="str">
        <f>IF(EV_Data4[[#This Row],[range_miles]]&gt;=350,"Long-Range",IF(EV_Data4[[#This Row],[range_miles]]&gt;=250,"Medium-Range","Short-Range"))</f>
        <v>Medium-Range</v>
      </c>
      <c r="AE1152" t="str">
        <f>IF(EV_Data4[[#This Row],[charging_speed_kw]]&gt;=250,"Ultra-Fast",IF(EV_Data4[[#This Row],[charging_speed_kw]]&gt;=150,"Fast-Charging","Standard-Charging"))</f>
        <v>Standard-Charging</v>
      </c>
      <c r="AF1152" t="str">
        <f>IF(EV_Data4[[#This Row],[acceleration_0_60_mph]]&lt;=3,"SportsPerformance",IF(EV_Data4[[#This Row],[acceleration_0_60_mph]]&lt;=5,"HighPerformance","Standard"))</f>
        <v>Standard</v>
      </c>
      <c r="AG1152" t="str">
        <f>IF(EV_Data4[[#This Row],[customer_rating]]&gt;=4.5,"Excellent",IF(EV_Data4[[#This Row],[customer_rating]]&gt;=3.5,"Good","Average"))</f>
        <v>Average</v>
      </c>
      <c r="AH115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53" spans="1:34" x14ac:dyDescent="0.3">
      <c r="A1153" t="s">
        <v>52</v>
      </c>
      <c r="B1153" t="s">
        <v>97</v>
      </c>
      <c r="C1153">
        <v>2025</v>
      </c>
      <c r="D1153" t="s">
        <v>56</v>
      </c>
      <c r="E1153" s="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34</v>
      </c>
      <c r="N1153">
        <v>5</v>
      </c>
      <c r="O1153" t="s">
        <v>35</v>
      </c>
      <c r="P1153">
        <v>63.1</v>
      </c>
      <c r="Q1153">
        <v>1728</v>
      </c>
      <c r="R1153">
        <v>4</v>
      </c>
      <c r="S1153">
        <v>2</v>
      </c>
      <c r="T1153" t="s">
        <v>29</v>
      </c>
      <c r="U1153" t="s">
        <v>30</v>
      </c>
      <c r="V1153" s="3">
        <v>40173</v>
      </c>
      <c r="W1153">
        <v>3.67</v>
      </c>
      <c r="X1153">
        <v>8</v>
      </c>
      <c r="Y1153" s="1">
        <f>EV_Data4[[#This Row],[range_miles]]/EV_Data4[[#This Row],[battery_capacity_kwh]]</f>
        <v>3.4097035040431267</v>
      </c>
      <c r="Z1153" s="4">
        <f>EV_Data4[[#This Row],[price_usd]]/EV_Data4[[#This Row],[range_miles]]</f>
        <v>491.0125296442688</v>
      </c>
      <c r="AA1153" s="2">
        <f>(EV_Data4[[#This Row],[customer_rating]]*EV_Data4[[#This Row],[safety_rating]]*1000)/EV_Data4[[#This Row],[price_usd]]</f>
        <v>0.11817155757116234</v>
      </c>
      <c r="AB1153">
        <f>EV_Data4[[#This Row],[horsepower]]+EV_Data4[[#This Row],[torque_nm]]/EV_Data4[[#This Row],[acceleration_0_60_mph]]</f>
        <v>792.09337860780988</v>
      </c>
      <c r="AC1153" t="str">
        <f>IF(EV_Data4[[#This Row],[price_usd]]&gt;=80000,"Luxury",IF(EV_Data4[[#This Row],[price_usd]]&gt;=40000,"Mid-Range","Budget"))</f>
        <v>Luxury</v>
      </c>
      <c r="AD1153" t="str">
        <f>IF(EV_Data4[[#This Row],[range_miles]]&gt;=350,"Long-Range",IF(EV_Data4[[#This Row],[range_miles]]&gt;=250,"Medium-Range","Short-Range"))</f>
        <v>Medium-Range</v>
      </c>
      <c r="AE1153" t="str">
        <f>IF(EV_Data4[[#This Row],[charging_speed_kw]]&gt;=250,"Ultra-Fast",IF(EV_Data4[[#This Row],[charging_speed_kw]]&gt;=150,"Fast-Charging","Standard-Charging"))</f>
        <v>Standard-Charging</v>
      </c>
      <c r="AF1153" t="str">
        <f>IF(EV_Data4[[#This Row],[acceleration_0_60_mph]]&lt;=3,"SportsPerformance",IF(EV_Data4[[#This Row],[acceleration_0_60_mph]]&lt;=5,"HighPerformance","Standard"))</f>
        <v>Standard</v>
      </c>
      <c r="AG1153" t="str">
        <f>IF(EV_Data4[[#This Row],[customer_rating]]&gt;=4.5,"Excellent",IF(EV_Data4[[#This Row],[customer_rating]]&gt;=3.5,"Good","Average"))</f>
        <v>Good</v>
      </c>
      <c r="AH115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54" spans="1:34" x14ac:dyDescent="0.3">
      <c r="A1154" t="s">
        <v>38</v>
      </c>
      <c r="B1154" t="s">
        <v>55</v>
      </c>
      <c r="C1154">
        <v>2025</v>
      </c>
      <c r="D1154" t="s">
        <v>56</v>
      </c>
      <c r="E1154" s="3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48</v>
      </c>
      <c r="N1154">
        <v>5</v>
      </c>
      <c r="O1154" t="s">
        <v>51</v>
      </c>
      <c r="P1154">
        <v>15</v>
      </c>
      <c r="Q1154">
        <v>1685</v>
      </c>
      <c r="R1154">
        <v>4</v>
      </c>
      <c r="S1154">
        <v>0</v>
      </c>
      <c r="T1154" t="s">
        <v>41</v>
      </c>
      <c r="U1154" t="s">
        <v>66</v>
      </c>
      <c r="V1154" s="3">
        <v>24423</v>
      </c>
      <c r="W1154">
        <v>3.83</v>
      </c>
      <c r="X1154">
        <v>4</v>
      </c>
      <c r="Y1154" s="1">
        <f>EV_Data4[[#This Row],[range_miles]]/EV_Data4[[#This Row],[battery_capacity_kwh]]</f>
        <v>3.8836265223274693</v>
      </c>
      <c r="Z1154" s="4">
        <f>EV_Data4[[#This Row],[price_usd]]/EV_Data4[[#This Row],[range_miles]]</f>
        <v>120.61536585365855</v>
      </c>
      <c r="AA1154" s="2">
        <f>(EV_Data4[[#This Row],[customer_rating]]*EV_Data4[[#This Row],[safety_rating]]*1000)/EV_Data4[[#This Row],[price_usd]]</f>
        <v>0.44256211107904558</v>
      </c>
      <c r="AB1154">
        <f>EV_Data4[[#This Row],[horsepower]]+EV_Data4[[#This Row],[torque_nm]]/EV_Data4[[#This Row],[acceleration_0_60_mph]]</f>
        <v>362.84803001876173</v>
      </c>
      <c r="AC1154" t="str">
        <f>IF(EV_Data4[[#This Row],[price_usd]]&gt;=80000,"Luxury",IF(EV_Data4[[#This Row],[price_usd]]&gt;=40000,"Mid-Range","Budget"))</f>
        <v>Budget</v>
      </c>
      <c r="AD1154" t="str">
        <f>IF(EV_Data4[[#This Row],[range_miles]]&gt;=350,"Long-Range",IF(EV_Data4[[#This Row],[range_miles]]&gt;=250,"Medium-Range","Short-Range"))</f>
        <v>Medium-Range</v>
      </c>
      <c r="AE1154" t="str">
        <f>IF(EV_Data4[[#This Row],[charging_speed_kw]]&gt;=250,"Ultra-Fast",IF(EV_Data4[[#This Row],[charging_speed_kw]]&gt;=150,"Fast-Charging","Standard-Charging"))</f>
        <v>Standard-Charging</v>
      </c>
      <c r="AF1154" t="str">
        <f>IF(EV_Data4[[#This Row],[acceleration_0_60_mph]]&lt;=3,"SportsPerformance",IF(EV_Data4[[#This Row],[acceleration_0_60_mph]]&lt;=5,"HighPerformance","Standard"))</f>
        <v>Standard</v>
      </c>
      <c r="AG1154" t="str">
        <f>IF(EV_Data4[[#This Row],[customer_rating]]&gt;=4.5,"Excellent",IF(EV_Data4[[#This Row],[customer_rating]]&gt;=3.5,"Good","Average"))</f>
        <v>Good</v>
      </c>
      <c r="AH115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55" spans="1:34" x14ac:dyDescent="0.3">
      <c r="A1155" t="s">
        <v>83</v>
      </c>
      <c r="B1155" t="s">
        <v>84</v>
      </c>
      <c r="C1155">
        <v>2021</v>
      </c>
      <c r="D1155" t="s">
        <v>44</v>
      </c>
      <c r="E1155" s="3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34</v>
      </c>
      <c r="N1155">
        <v>7</v>
      </c>
      <c r="O1155" t="s">
        <v>35</v>
      </c>
      <c r="P1155">
        <v>36.9</v>
      </c>
      <c r="Q1155">
        <v>2165</v>
      </c>
      <c r="R1155">
        <v>4</v>
      </c>
      <c r="S1155">
        <v>1</v>
      </c>
      <c r="T1155" t="s">
        <v>29</v>
      </c>
      <c r="U1155" t="s">
        <v>33</v>
      </c>
      <c r="V1155" s="3">
        <v>62356</v>
      </c>
      <c r="W1155">
        <v>3.91</v>
      </c>
      <c r="X1155">
        <v>7</v>
      </c>
      <c r="Y1155" s="1">
        <f>EV_Data4[[#This Row],[range_miles]]/EV_Data4[[#This Row],[battery_capacity_kwh]]</f>
        <v>3.3577981651376145</v>
      </c>
      <c r="Z1155" s="4">
        <f>EV_Data4[[#This Row],[price_usd]]/EV_Data4[[#This Row],[range_miles]]</f>
        <v>205.95789617486338</v>
      </c>
      <c r="AA1155" s="2">
        <f>(EV_Data4[[#This Row],[customer_rating]]*EV_Data4[[#This Row],[safety_rating]]*1000)/EV_Data4[[#This Row],[price_usd]]</f>
        <v>0.20748046678859905</v>
      </c>
      <c r="AB1155">
        <f>EV_Data4[[#This Row],[horsepower]]+EV_Data4[[#This Row],[torque_nm]]/EV_Data4[[#This Row],[acceleration_0_60_mph]]</f>
        <v>576.84978540772534</v>
      </c>
      <c r="AC1155" t="str">
        <f>IF(EV_Data4[[#This Row],[price_usd]]&gt;=80000,"Luxury",IF(EV_Data4[[#This Row],[price_usd]]&gt;=40000,"Mid-Range","Budget"))</f>
        <v>Mid-Range</v>
      </c>
      <c r="AD1155" t="str">
        <f>IF(EV_Data4[[#This Row],[range_miles]]&gt;=350,"Long-Range",IF(EV_Data4[[#This Row],[range_miles]]&gt;=250,"Medium-Range","Short-Range"))</f>
        <v>Long-Range</v>
      </c>
      <c r="AE1155" t="str">
        <f>IF(EV_Data4[[#This Row],[charging_speed_kw]]&gt;=250,"Ultra-Fast",IF(EV_Data4[[#This Row],[charging_speed_kw]]&gt;=150,"Fast-Charging","Standard-Charging"))</f>
        <v>Standard-Charging</v>
      </c>
      <c r="AF1155" t="str">
        <f>IF(EV_Data4[[#This Row],[acceleration_0_60_mph]]&lt;=3,"SportsPerformance",IF(EV_Data4[[#This Row],[acceleration_0_60_mph]]&lt;=5,"HighPerformance","Standard"))</f>
        <v>HighPerformance</v>
      </c>
      <c r="AG1155" t="str">
        <f>IF(EV_Data4[[#This Row],[customer_rating]]&gt;=4.5,"Excellent",IF(EV_Data4[[#This Row],[customer_rating]]&gt;=3.5,"Good","Average"))</f>
        <v>Good</v>
      </c>
      <c r="AH115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56" spans="1:34" x14ac:dyDescent="0.3">
      <c r="A1156" t="s">
        <v>42</v>
      </c>
      <c r="B1156" t="s">
        <v>80</v>
      </c>
      <c r="C1156">
        <v>2021</v>
      </c>
      <c r="D1156" t="s">
        <v>61</v>
      </c>
      <c r="E1156" s="3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48</v>
      </c>
      <c r="N1156">
        <v>7</v>
      </c>
      <c r="O1156" t="s">
        <v>35</v>
      </c>
      <c r="P1156">
        <v>48.2</v>
      </c>
      <c r="Q1156">
        <v>1957</v>
      </c>
      <c r="R1156">
        <v>5</v>
      </c>
      <c r="S1156">
        <v>0</v>
      </c>
      <c r="T1156" t="s">
        <v>45</v>
      </c>
      <c r="U1156" t="s">
        <v>66</v>
      </c>
      <c r="V1156" s="3">
        <v>60096</v>
      </c>
      <c r="W1156">
        <v>3.21</v>
      </c>
      <c r="X1156">
        <v>5</v>
      </c>
      <c r="Y1156" s="1">
        <f>EV_Data4[[#This Row],[range_miles]]/EV_Data4[[#This Row],[battery_capacity_kwh]]</f>
        <v>3.4571062740076828</v>
      </c>
      <c r="Z1156" s="4">
        <f>EV_Data4[[#This Row],[price_usd]]/EV_Data4[[#This Row],[range_miles]]</f>
        <v>119.29862962962963</v>
      </c>
      <c r="AA1156" s="2">
        <f>(EV_Data4[[#This Row],[customer_rating]]*EV_Data4[[#This Row],[safety_rating]]*1000)/EV_Data4[[#This Row],[price_usd]]</f>
        <v>0.49828270977624467</v>
      </c>
      <c r="AB1156">
        <f>EV_Data4[[#This Row],[horsepower]]+EV_Data4[[#This Row],[torque_nm]]/EV_Data4[[#This Row],[acceleration_0_60_mph]]</f>
        <v>236.35046113306981</v>
      </c>
      <c r="AC1156" t="str">
        <f>IF(EV_Data4[[#This Row],[price_usd]]&gt;=80000,"Luxury",IF(EV_Data4[[#This Row],[price_usd]]&gt;=40000,"Mid-Range","Budget"))</f>
        <v>Budget</v>
      </c>
      <c r="AD1156" t="str">
        <f>IF(EV_Data4[[#This Row],[range_miles]]&gt;=350,"Long-Range",IF(EV_Data4[[#This Row],[range_miles]]&gt;=250,"Medium-Range","Short-Range"))</f>
        <v>Medium-Range</v>
      </c>
      <c r="AE1156" t="str">
        <f>IF(EV_Data4[[#This Row],[charging_speed_kw]]&gt;=250,"Ultra-Fast",IF(EV_Data4[[#This Row],[charging_speed_kw]]&gt;=150,"Fast-Charging","Standard-Charging"))</f>
        <v>Standard-Charging</v>
      </c>
      <c r="AF1156" t="str">
        <f>IF(EV_Data4[[#This Row],[acceleration_0_60_mph]]&lt;=3,"SportsPerformance",IF(EV_Data4[[#This Row],[acceleration_0_60_mph]]&lt;=5,"HighPerformance","Standard"))</f>
        <v>Standard</v>
      </c>
      <c r="AG1156" t="str">
        <f>IF(EV_Data4[[#This Row],[customer_rating]]&gt;=4.5,"Excellent",IF(EV_Data4[[#This Row],[customer_rating]]&gt;=3.5,"Good","Average"))</f>
        <v>Average</v>
      </c>
      <c r="AH115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57" spans="1:34" x14ac:dyDescent="0.3">
      <c r="A1157" t="s">
        <v>38</v>
      </c>
      <c r="B1157" t="s">
        <v>118</v>
      </c>
      <c r="C1157">
        <v>2026</v>
      </c>
      <c r="D1157" t="s">
        <v>33</v>
      </c>
      <c r="E1157" s="3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27</v>
      </c>
      <c r="N1157">
        <v>7</v>
      </c>
      <c r="O1157" t="s">
        <v>51</v>
      </c>
      <c r="P1157">
        <v>34.1</v>
      </c>
      <c r="Q1157">
        <v>1500</v>
      </c>
      <c r="R1157">
        <v>4</v>
      </c>
      <c r="S1157">
        <v>1</v>
      </c>
      <c r="T1157" t="s">
        <v>41</v>
      </c>
      <c r="U1157" t="s">
        <v>33</v>
      </c>
      <c r="V1157" s="3">
        <v>27929</v>
      </c>
      <c r="W1157">
        <v>3</v>
      </c>
      <c r="X1157">
        <v>5</v>
      </c>
      <c r="Y1157" s="1">
        <f>EV_Data4[[#This Row],[range_miles]]/EV_Data4[[#This Row],[battery_capacity_kwh]]</f>
        <v>3.5869565217391304</v>
      </c>
      <c r="Z1157" s="4">
        <f>EV_Data4[[#This Row],[price_usd]]/EV_Data4[[#This Row],[range_miles]]</f>
        <v>414.51521212121207</v>
      </c>
      <c r="AA1157" s="2">
        <f>(EV_Data4[[#This Row],[customer_rating]]*EV_Data4[[#This Row],[safety_rating]]*1000)/EV_Data4[[#This Row],[price_usd]]</f>
        <v>0.17545139623490077</v>
      </c>
      <c r="AB1157">
        <f>EV_Data4[[#This Row],[horsepower]]+EV_Data4[[#This Row],[torque_nm]]/EV_Data4[[#This Row],[acceleration_0_60_mph]]</f>
        <v>1014.2056737588653</v>
      </c>
      <c r="AC1157" t="str">
        <f>IF(EV_Data4[[#This Row],[price_usd]]&gt;=80000,"Luxury",IF(EV_Data4[[#This Row],[price_usd]]&gt;=40000,"Mid-Range","Budget"))</f>
        <v>Mid-Range</v>
      </c>
      <c r="AD1157" t="str">
        <f>IF(EV_Data4[[#This Row],[range_miles]]&gt;=350,"Long-Range",IF(EV_Data4[[#This Row],[range_miles]]&gt;=250,"Medium-Range","Short-Range"))</f>
        <v>Short-Range</v>
      </c>
      <c r="AE1157" t="str">
        <f>IF(EV_Data4[[#This Row],[charging_speed_kw]]&gt;=250,"Ultra-Fast",IF(EV_Data4[[#This Row],[charging_speed_kw]]&gt;=150,"Fast-Charging","Standard-Charging"))</f>
        <v>Standard-Charging</v>
      </c>
      <c r="AF1157" t="str">
        <f>IF(EV_Data4[[#This Row],[acceleration_0_60_mph]]&lt;=3,"SportsPerformance",IF(EV_Data4[[#This Row],[acceleration_0_60_mph]]&lt;=5,"HighPerformance","Standard"))</f>
        <v>Standard</v>
      </c>
      <c r="AG1157" t="str">
        <f>IF(EV_Data4[[#This Row],[customer_rating]]&gt;=4.5,"Excellent",IF(EV_Data4[[#This Row],[customer_rating]]&gt;=3.5,"Good","Average"))</f>
        <v>Average</v>
      </c>
      <c r="AH115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58" spans="1:34" x14ac:dyDescent="0.3">
      <c r="A1158" t="s">
        <v>46</v>
      </c>
      <c r="B1158" t="s">
        <v>57</v>
      </c>
      <c r="C1158">
        <v>2024</v>
      </c>
      <c r="D1158" t="s">
        <v>44</v>
      </c>
      <c r="E1158" s="3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27</v>
      </c>
      <c r="N1158">
        <v>7</v>
      </c>
      <c r="O1158" t="s">
        <v>58</v>
      </c>
      <c r="P1158">
        <v>26.1</v>
      </c>
      <c r="Q1158">
        <v>1500</v>
      </c>
      <c r="R1158">
        <v>5</v>
      </c>
      <c r="S1158">
        <v>2</v>
      </c>
      <c r="T1158" t="s">
        <v>41</v>
      </c>
      <c r="U1158" t="s">
        <v>30</v>
      </c>
      <c r="V1158" s="3">
        <v>132013</v>
      </c>
      <c r="W1158">
        <v>3.89</v>
      </c>
      <c r="X1158">
        <v>5</v>
      </c>
      <c r="Y1158" s="1">
        <f>EV_Data4[[#This Row],[range_miles]]/EV_Data4[[#This Row],[battery_capacity_kwh]]</f>
        <v>3.4338521400778212</v>
      </c>
      <c r="Z1158" s="4">
        <f>EV_Data4[[#This Row],[price_usd]]/EV_Data4[[#This Row],[range_miles]]</f>
        <v>443.91640226628891</v>
      </c>
      <c r="AA1158" s="2">
        <f>(EV_Data4[[#This Row],[customer_rating]]*EV_Data4[[#This Row],[safety_rating]]*1000)/EV_Data4[[#This Row],[price_usd]]</f>
        <v>0.12412055481696559</v>
      </c>
      <c r="AB1158">
        <f>EV_Data4[[#This Row],[horsepower]]+EV_Data4[[#This Row],[torque_nm]]/EV_Data4[[#This Row],[acceleration_0_60_mph]]</f>
        <v>1162.3595505617977</v>
      </c>
      <c r="AC1158" t="str">
        <f>IF(EV_Data4[[#This Row],[price_usd]]&gt;=80000,"Luxury",IF(EV_Data4[[#This Row],[price_usd]]&gt;=40000,"Mid-Range","Budget"))</f>
        <v>Luxury</v>
      </c>
      <c r="AD1158" t="str">
        <f>IF(EV_Data4[[#This Row],[range_miles]]&gt;=350,"Long-Range",IF(EV_Data4[[#This Row],[range_miles]]&gt;=250,"Medium-Range","Short-Range"))</f>
        <v>Long-Range</v>
      </c>
      <c r="AE1158" t="str">
        <f>IF(EV_Data4[[#This Row],[charging_speed_kw]]&gt;=250,"Ultra-Fast",IF(EV_Data4[[#This Row],[charging_speed_kw]]&gt;=150,"Fast-Charging","Standard-Charging"))</f>
        <v>Ultra-Fast</v>
      </c>
      <c r="AF1158" t="str">
        <f>IF(EV_Data4[[#This Row],[acceleration_0_60_mph]]&lt;=3,"SportsPerformance",IF(EV_Data4[[#This Row],[acceleration_0_60_mph]]&lt;=5,"HighPerformance","Standard"))</f>
        <v>Standard</v>
      </c>
      <c r="AG1158" t="str">
        <f>IF(EV_Data4[[#This Row],[customer_rating]]&gt;=4.5,"Excellent",IF(EV_Data4[[#This Row],[customer_rating]]&gt;=3.5,"Good","Average"))</f>
        <v>Good</v>
      </c>
      <c r="AH115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59" spans="1:34" x14ac:dyDescent="0.3">
      <c r="A1159" t="s">
        <v>86</v>
      </c>
      <c r="B1159" t="s">
        <v>108</v>
      </c>
      <c r="C1159">
        <v>2026</v>
      </c>
      <c r="D1159" t="s">
        <v>56</v>
      </c>
      <c r="E1159" s="3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27</v>
      </c>
      <c r="N1159">
        <v>7</v>
      </c>
      <c r="O1159" t="s">
        <v>51</v>
      </c>
      <c r="P1159">
        <v>35.1</v>
      </c>
      <c r="Q1159">
        <v>1509</v>
      </c>
      <c r="R1159">
        <v>5</v>
      </c>
      <c r="S1159">
        <v>1</v>
      </c>
      <c r="T1159" t="s">
        <v>29</v>
      </c>
      <c r="U1159" t="s">
        <v>33</v>
      </c>
      <c r="V1159" s="3">
        <v>24216</v>
      </c>
      <c r="W1159">
        <v>3.41</v>
      </c>
      <c r="X1159">
        <v>7</v>
      </c>
      <c r="Y1159" s="1">
        <f>EV_Data4[[#This Row],[range_miles]]/EV_Data4[[#This Row],[battery_capacity_kwh]]</f>
        <v>3.9808153477218222</v>
      </c>
      <c r="Z1159" s="4">
        <f>EV_Data4[[#This Row],[price_usd]]/EV_Data4[[#This Row],[range_miles]]</f>
        <v>589.53632530120478</v>
      </c>
      <c r="AA1159" s="2">
        <f>(EV_Data4[[#This Row],[customer_rating]]*EV_Data4[[#This Row],[safety_rating]]*1000)/EV_Data4[[#This Row],[price_usd]]</f>
        <v>0.17422309527918767</v>
      </c>
      <c r="AB1159">
        <f>EV_Data4[[#This Row],[horsepower]]+EV_Data4[[#This Row],[torque_nm]]/EV_Data4[[#This Row],[acceleration_0_60_mph]]</f>
        <v>782.13362701908954</v>
      </c>
      <c r="AC1159" t="str">
        <f>IF(EV_Data4[[#This Row],[price_usd]]&gt;=80000,"Luxury",IF(EV_Data4[[#This Row],[price_usd]]&gt;=40000,"Mid-Range","Budget"))</f>
        <v>Luxury</v>
      </c>
      <c r="AD1159" t="str">
        <f>IF(EV_Data4[[#This Row],[range_miles]]&gt;=350,"Long-Range",IF(EV_Data4[[#This Row],[range_miles]]&gt;=250,"Medium-Range","Short-Range"))</f>
        <v>Short-Range</v>
      </c>
      <c r="AE1159" t="str">
        <f>IF(EV_Data4[[#This Row],[charging_speed_kw]]&gt;=250,"Ultra-Fast",IF(EV_Data4[[#This Row],[charging_speed_kw]]&gt;=150,"Fast-Charging","Standard-Charging"))</f>
        <v>Standard-Charging</v>
      </c>
      <c r="AF1159" t="str">
        <f>IF(EV_Data4[[#This Row],[acceleration_0_60_mph]]&lt;=3,"SportsPerformance",IF(EV_Data4[[#This Row],[acceleration_0_60_mph]]&lt;=5,"HighPerformance","Standard"))</f>
        <v>Standard</v>
      </c>
      <c r="AG1159" t="str">
        <f>IF(EV_Data4[[#This Row],[customer_rating]]&gt;=4.5,"Excellent",IF(EV_Data4[[#This Row],[customer_rating]]&gt;=3.5,"Good","Average"))</f>
        <v>Average</v>
      </c>
      <c r="AH115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60" spans="1:34" x14ac:dyDescent="0.3">
      <c r="A1160" t="s">
        <v>52</v>
      </c>
      <c r="B1160" t="s">
        <v>53</v>
      </c>
      <c r="C1160">
        <v>2025</v>
      </c>
      <c r="D1160" t="s">
        <v>44</v>
      </c>
      <c r="E1160" s="3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34</v>
      </c>
      <c r="N1160">
        <v>5</v>
      </c>
      <c r="O1160" t="s">
        <v>50</v>
      </c>
      <c r="P1160">
        <v>25.9</v>
      </c>
      <c r="Q1160">
        <v>1663</v>
      </c>
      <c r="R1160">
        <v>5</v>
      </c>
      <c r="S1160">
        <v>1</v>
      </c>
      <c r="T1160" t="s">
        <v>29</v>
      </c>
      <c r="U1160" t="s">
        <v>30</v>
      </c>
      <c r="V1160" s="3">
        <v>50432</v>
      </c>
      <c r="W1160">
        <v>4.09</v>
      </c>
      <c r="X1160">
        <v>5</v>
      </c>
      <c r="Y1160" s="1">
        <f>EV_Data4[[#This Row],[range_miles]]/EV_Data4[[#This Row],[battery_capacity_kwh]]</f>
        <v>3.6282306163021869</v>
      </c>
      <c r="Z1160" s="4">
        <f>EV_Data4[[#This Row],[price_usd]]/EV_Data4[[#This Row],[range_miles]]</f>
        <v>504.07241095890407</v>
      </c>
      <c r="AA1160" s="2">
        <f>(EV_Data4[[#This Row],[customer_rating]]*EV_Data4[[#This Row],[safety_rating]]*1000)/EV_Data4[[#This Row],[price_usd]]</f>
        <v>0.11114950162357083</v>
      </c>
      <c r="AB1160">
        <f>EV_Data4[[#This Row],[horsepower]]+EV_Data4[[#This Row],[torque_nm]]/EV_Data4[[#This Row],[acceleration_0_60_mph]]</f>
        <v>1210.1485148514851</v>
      </c>
      <c r="AC1160" t="str">
        <f>IF(EV_Data4[[#This Row],[price_usd]]&gt;=80000,"Luxury",IF(EV_Data4[[#This Row],[price_usd]]&gt;=40000,"Mid-Range","Budget"))</f>
        <v>Luxury</v>
      </c>
      <c r="AD1160" t="str">
        <f>IF(EV_Data4[[#This Row],[range_miles]]&gt;=350,"Long-Range",IF(EV_Data4[[#This Row],[range_miles]]&gt;=250,"Medium-Range","Short-Range"))</f>
        <v>Long-Range</v>
      </c>
      <c r="AE1160" t="str">
        <f>IF(EV_Data4[[#This Row],[charging_speed_kw]]&gt;=250,"Ultra-Fast",IF(EV_Data4[[#This Row],[charging_speed_kw]]&gt;=150,"Fast-Charging","Standard-Charging"))</f>
        <v>Standard-Charging</v>
      </c>
      <c r="AF1160" t="str">
        <f>IF(EV_Data4[[#This Row],[acceleration_0_60_mph]]&lt;=3,"SportsPerformance",IF(EV_Data4[[#This Row],[acceleration_0_60_mph]]&lt;=5,"HighPerformance","Standard"))</f>
        <v>HighPerformance</v>
      </c>
      <c r="AG1160" t="str">
        <f>IF(EV_Data4[[#This Row],[customer_rating]]&gt;=4.5,"Excellent",IF(EV_Data4[[#This Row],[customer_rating]]&gt;=3.5,"Good","Average"))</f>
        <v>Good</v>
      </c>
      <c r="AH116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61" spans="1:34" x14ac:dyDescent="0.3">
      <c r="A1161" t="s">
        <v>46</v>
      </c>
      <c r="B1161" t="s">
        <v>72</v>
      </c>
      <c r="C1161">
        <v>2025</v>
      </c>
      <c r="D1161" t="s">
        <v>26</v>
      </c>
      <c r="E1161" s="3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27</v>
      </c>
      <c r="N1161">
        <v>7</v>
      </c>
      <c r="O1161" t="s">
        <v>28</v>
      </c>
      <c r="P1161">
        <v>63.9</v>
      </c>
      <c r="Q1161">
        <v>2480</v>
      </c>
      <c r="R1161">
        <v>4</v>
      </c>
      <c r="S1161">
        <v>3</v>
      </c>
      <c r="T1161" t="s">
        <v>41</v>
      </c>
      <c r="U1161" t="s">
        <v>37</v>
      </c>
      <c r="V1161" s="3">
        <v>197115</v>
      </c>
      <c r="W1161">
        <v>3.86</v>
      </c>
      <c r="X1161">
        <v>5</v>
      </c>
      <c r="Y1161" s="1">
        <f>EV_Data4[[#This Row],[range_miles]]/EV_Data4[[#This Row],[battery_capacity_kwh]]</f>
        <v>3.5826296743063928</v>
      </c>
      <c r="Z1161" s="4">
        <f>EV_Data4[[#This Row],[price_usd]]/EV_Data4[[#This Row],[range_miles]]</f>
        <v>189.73986531986532</v>
      </c>
      <c r="AA1161" s="2">
        <f>(EV_Data4[[#This Row],[customer_rating]]*EV_Data4[[#This Row],[safety_rating]]*1000)/EV_Data4[[#This Row],[price_usd]]</f>
        <v>0.27398845202558031</v>
      </c>
      <c r="AB1161">
        <f>EV_Data4[[#This Row],[horsepower]]+EV_Data4[[#This Row],[torque_nm]]/EV_Data4[[#This Row],[acceleration_0_60_mph]]</f>
        <v>414.12408759124088</v>
      </c>
      <c r="AC1161" t="str">
        <f>IF(EV_Data4[[#This Row],[price_usd]]&gt;=80000,"Luxury",IF(EV_Data4[[#This Row],[price_usd]]&gt;=40000,"Mid-Range","Budget"))</f>
        <v>Mid-Range</v>
      </c>
      <c r="AD1161" t="str">
        <f>IF(EV_Data4[[#This Row],[range_miles]]&gt;=350,"Long-Range",IF(EV_Data4[[#This Row],[range_miles]]&gt;=250,"Medium-Range","Short-Range"))</f>
        <v>Medium-Range</v>
      </c>
      <c r="AE1161" t="str">
        <f>IF(EV_Data4[[#This Row],[charging_speed_kw]]&gt;=250,"Ultra-Fast",IF(EV_Data4[[#This Row],[charging_speed_kw]]&gt;=150,"Fast-Charging","Standard-Charging"))</f>
        <v>Ultra-Fast</v>
      </c>
      <c r="AF1161" t="str">
        <f>IF(EV_Data4[[#This Row],[acceleration_0_60_mph]]&lt;=3,"SportsPerformance",IF(EV_Data4[[#This Row],[acceleration_0_60_mph]]&lt;=5,"HighPerformance","Standard"))</f>
        <v>SportsPerformance</v>
      </c>
      <c r="AG1161" t="str">
        <f>IF(EV_Data4[[#This Row],[customer_rating]]&gt;=4.5,"Excellent",IF(EV_Data4[[#This Row],[customer_rating]]&gt;=3.5,"Good","Average"))</f>
        <v>Good</v>
      </c>
      <c r="AH1161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162" spans="1:34" x14ac:dyDescent="0.3">
      <c r="A1162" t="s">
        <v>52</v>
      </c>
      <c r="B1162" t="s">
        <v>62</v>
      </c>
      <c r="C1162">
        <v>2022</v>
      </c>
      <c r="D1162" t="s">
        <v>61</v>
      </c>
      <c r="E1162" s="3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34</v>
      </c>
      <c r="N1162">
        <v>7</v>
      </c>
      <c r="O1162" t="s">
        <v>35</v>
      </c>
      <c r="P1162">
        <v>42.5</v>
      </c>
      <c r="Q1162">
        <v>2048</v>
      </c>
      <c r="R1162">
        <v>4</v>
      </c>
      <c r="S1162">
        <v>1</v>
      </c>
      <c r="T1162" t="s">
        <v>29</v>
      </c>
      <c r="U1162" t="s">
        <v>30</v>
      </c>
      <c r="V1162" s="3">
        <v>37272</v>
      </c>
      <c r="W1162">
        <v>3.78</v>
      </c>
      <c r="X1162">
        <v>7</v>
      </c>
      <c r="Y1162" s="1">
        <f>EV_Data4[[#This Row],[range_miles]]/EV_Data4[[#This Row],[battery_capacity_kwh]]</f>
        <v>3.4668721109399074</v>
      </c>
      <c r="Z1162" s="4">
        <f>EV_Data4[[#This Row],[price_usd]]/EV_Data4[[#This Row],[range_miles]]</f>
        <v>561.79346666666663</v>
      </c>
      <c r="AA1162" s="2">
        <f>(EV_Data4[[#This Row],[customer_rating]]*EV_Data4[[#This Row],[safety_rating]]*1000)/EV_Data4[[#This Row],[price_usd]]</f>
        <v>0.11961691259729851</v>
      </c>
      <c r="AB1162">
        <f>EV_Data4[[#This Row],[horsepower]]+EV_Data4[[#This Row],[torque_nm]]/EV_Data4[[#This Row],[acceleration_0_60_mph]]</f>
        <v>786.98318240620961</v>
      </c>
      <c r="AC1162" t="str">
        <f>IF(EV_Data4[[#This Row],[price_usd]]&gt;=80000,"Luxury",IF(EV_Data4[[#This Row],[price_usd]]&gt;=40000,"Mid-Range","Budget"))</f>
        <v>Luxury</v>
      </c>
      <c r="AD1162" t="str">
        <f>IF(EV_Data4[[#This Row],[range_miles]]&gt;=350,"Long-Range",IF(EV_Data4[[#This Row],[range_miles]]&gt;=250,"Medium-Range","Short-Range"))</f>
        <v>Short-Range</v>
      </c>
      <c r="AE1162" t="str">
        <f>IF(EV_Data4[[#This Row],[charging_speed_kw]]&gt;=250,"Ultra-Fast",IF(EV_Data4[[#This Row],[charging_speed_kw]]&gt;=150,"Fast-Charging","Standard-Charging"))</f>
        <v>Standard-Charging</v>
      </c>
      <c r="AF1162" t="str">
        <f>IF(EV_Data4[[#This Row],[acceleration_0_60_mph]]&lt;=3,"SportsPerformance",IF(EV_Data4[[#This Row],[acceleration_0_60_mph]]&lt;=5,"HighPerformance","Standard"))</f>
        <v>Standard</v>
      </c>
      <c r="AG1162" t="str">
        <f>IF(EV_Data4[[#This Row],[customer_rating]]&gt;=4.5,"Excellent",IF(EV_Data4[[#This Row],[customer_rating]]&gt;=3.5,"Good","Average"))</f>
        <v>Good</v>
      </c>
      <c r="AH116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63" spans="1:34" x14ac:dyDescent="0.3">
      <c r="A1163" t="s">
        <v>46</v>
      </c>
      <c r="B1163" t="s">
        <v>47</v>
      </c>
      <c r="C1163">
        <v>2023</v>
      </c>
      <c r="D1163" t="s">
        <v>33</v>
      </c>
      <c r="E1163" s="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48</v>
      </c>
      <c r="N1163">
        <v>7</v>
      </c>
      <c r="O1163" t="s">
        <v>58</v>
      </c>
      <c r="P1163">
        <v>30.9</v>
      </c>
      <c r="Q1163">
        <v>1618</v>
      </c>
      <c r="R1163">
        <v>5</v>
      </c>
      <c r="S1163">
        <v>2</v>
      </c>
      <c r="T1163" t="s">
        <v>41</v>
      </c>
      <c r="U1163" t="s">
        <v>33</v>
      </c>
      <c r="V1163" s="3">
        <v>194039</v>
      </c>
      <c r="W1163">
        <v>3.62</v>
      </c>
      <c r="X1163">
        <v>4</v>
      </c>
      <c r="Y1163" s="1">
        <f>EV_Data4[[#This Row],[range_miles]]/EV_Data4[[#This Row],[battery_capacity_kwh]]</f>
        <v>3.1531531531531534</v>
      </c>
      <c r="Z1163" s="4">
        <f>EV_Data4[[#This Row],[price_usd]]/EV_Data4[[#This Row],[range_miles]]</f>
        <v>387.49102857142856</v>
      </c>
      <c r="AA1163" s="2">
        <f>(EV_Data4[[#This Row],[customer_rating]]*EV_Data4[[#This Row],[safety_rating]]*1000)/EV_Data4[[#This Row],[price_usd]]</f>
        <v>0.26691862211593326</v>
      </c>
      <c r="AB1163">
        <f>EV_Data4[[#This Row],[horsepower]]+EV_Data4[[#This Row],[torque_nm]]/EV_Data4[[#This Row],[acceleration_0_60_mph]]</f>
        <v>555.49488054607514</v>
      </c>
      <c r="AC1163" t="str">
        <f>IF(EV_Data4[[#This Row],[price_usd]]&gt;=80000,"Luxury",IF(EV_Data4[[#This Row],[price_usd]]&gt;=40000,"Mid-Range","Budget"))</f>
        <v>Mid-Range</v>
      </c>
      <c r="AD1163" t="str">
        <f>IF(EV_Data4[[#This Row],[range_miles]]&gt;=350,"Long-Range",IF(EV_Data4[[#This Row],[range_miles]]&gt;=250,"Medium-Range","Short-Range"))</f>
        <v>Short-Range</v>
      </c>
      <c r="AE1163" t="str">
        <f>IF(EV_Data4[[#This Row],[charging_speed_kw]]&gt;=250,"Ultra-Fast",IF(EV_Data4[[#This Row],[charging_speed_kw]]&gt;=150,"Fast-Charging","Standard-Charging"))</f>
        <v>Fast-Charging</v>
      </c>
      <c r="AF1163" t="str">
        <f>IF(EV_Data4[[#This Row],[acceleration_0_60_mph]]&lt;=3,"SportsPerformance",IF(EV_Data4[[#This Row],[acceleration_0_60_mph]]&lt;=5,"HighPerformance","Standard"))</f>
        <v>Standard</v>
      </c>
      <c r="AG1163" t="str">
        <f>IF(EV_Data4[[#This Row],[customer_rating]]&gt;=4.5,"Excellent",IF(EV_Data4[[#This Row],[customer_rating]]&gt;=3.5,"Good","Average"))</f>
        <v>Good</v>
      </c>
      <c r="AH116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64" spans="1:34" x14ac:dyDescent="0.3">
      <c r="A1164" t="s">
        <v>63</v>
      </c>
      <c r="B1164" t="s">
        <v>64</v>
      </c>
      <c r="C1164">
        <v>2022</v>
      </c>
      <c r="D1164" t="s">
        <v>44</v>
      </c>
      <c r="E1164" s="3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34</v>
      </c>
      <c r="N1164">
        <v>5</v>
      </c>
      <c r="O1164" t="s">
        <v>28</v>
      </c>
      <c r="P1164">
        <v>73.8</v>
      </c>
      <c r="Q1164">
        <v>2247</v>
      </c>
      <c r="R1164">
        <v>5</v>
      </c>
      <c r="S1164">
        <v>0</v>
      </c>
      <c r="T1164" t="s">
        <v>65</v>
      </c>
      <c r="U1164" t="s">
        <v>37</v>
      </c>
      <c r="V1164" s="3">
        <v>163016</v>
      </c>
      <c r="W1164">
        <v>3.81</v>
      </c>
      <c r="X1164">
        <v>3</v>
      </c>
      <c r="Y1164" s="1">
        <f>EV_Data4[[#This Row],[range_miles]]/EV_Data4[[#This Row],[battery_capacity_kwh]]</f>
        <v>3.650485436893204</v>
      </c>
      <c r="Z1164" s="4">
        <f>EV_Data4[[#This Row],[price_usd]]/EV_Data4[[#This Row],[range_miles]]</f>
        <v>141.58845744680852</v>
      </c>
      <c r="AA1164" s="2">
        <f>(EV_Data4[[#This Row],[customer_rating]]*EV_Data4[[#This Row],[safety_rating]]*1000)/EV_Data4[[#This Row],[price_usd]]</f>
        <v>0.35783208978072872</v>
      </c>
      <c r="AB1164">
        <f>EV_Data4[[#This Row],[horsepower]]+EV_Data4[[#This Row],[torque_nm]]/EV_Data4[[#This Row],[acceleration_0_60_mph]]</f>
        <v>742.55813953488371</v>
      </c>
      <c r="AC1164" t="str">
        <f>IF(EV_Data4[[#This Row],[price_usd]]&gt;=80000,"Luxury",IF(EV_Data4[[#This Row],[price_usd]]&gt;=40000,"Mid-Range","Budget"))</f>
        <v>Mid-Range</v>
      </c>
      <c r="AD1164" t="str">
        <f>IF(EV_Data4[[#This Row],[range_miles]]&gt;=350,"Long-Range",IF(EV_Data4[[#This Row],[range_miles]]&gt;=250,"Medium-Range","Short-Range"))</f>
        <v>Long-Range</v>
      </c>
      <c r="AE1164" t="str">
        <f>IF(EV_Data4[[#This Row],[charging_speed_kw]]&gt;=250,"Ultra-Fast",IF(EV_Data4[[#This Row],[charging_speed_kw]]&gt;=150,"Fast-Charging","Standard-Charging"))</f>
        <v>Standard-Charging</v>
      </c>
      <c r="AF1164" t="str">
        <f>IF(EV_Data4[[#This Row],[acceleration_0_60_mph]]&lt;=3,"SportsPerformance",IF(EV_Data4[[#This Row],[acceleration_0_60_mph]]&lt;=5,"HighPerformance","Standard"))</f>
        <v>HighPerformance</v>
      </c>
      <c r="AG1164" t="str">
        <f>IF(EV_Data4[[#This Row],[customer_rating]]&gt;=4.5,"Excellent",IF(EV_Data4[[#This Row],[customer_rating]]&gt;=3.5,"Good","Average"))</f>
        <v>Good</v>
      </c>
      <c r="AH116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65" spans="1:34" x14ac:dyDescent="0.3">
      <c r="A1165" t="s">
        <v>38</v>
      </c>
      <c r="B1165" t="s">
        <v>55</v>
      </c>
      <c r="C1165">
        <v>2025</v>
      </c>
      <c r="D1165" t="s">
        <v>56</v>
      </c>
      <c r="E1165" s="3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27</v>
      </c>
      <c r="N1165">
        <v>5</v>
      </c>
      <c r="O1165" t="s">
        <v>28</v>
      </c>
      <c r="P1165">
        <v>56</v>
      </c>
      <c r="Q1165">
        <v>2127</v>
      </c>
      <c r="R1165">
        <v>5</v>
      </c>
      <c r="S1165">
        <v>0</v>
      </c>
      <c r="T1165" t="s">
        <v>41</v>
      </c>
      <c r="U1165" t="s">
        <v>37</v>
      </c>
      <c r="V1165" s="3">
        <v>13397</v>
      </c>
      <c r="W1165">
        <v>3.49</v>
      </c>
      <c r="X1165">
        <v>4</v>
      </c>
      <c r="Y1165" s="1">
        <f>EV_Data4[[#This Row],[range_miles]]/EV_Data4[[#This Row],[battery_capacity_kwh]]</f>
        <v>3.5227272727272729</v>
      </c>
      <c r="Z1165" s="4">
        <f>EV_Data4[[#This Row],[price_usd]]/EV_Data4[[#This Row],[range_miles]]</f>
        <v>341.05768817204302</v>
      </c>
      <c r="AA1165" s="2">
        <f>(EV_Data4[[#This Row],[customer_rating]]*EV_Data4[[#This Row],[safety_rating]]*1000)/EV_Data4[[#This Row],[price_usd]]</f>
        <v>0.27507723049406868</v>
      </c>
      <c r="AB1165">
        <f>EV_Data4[[#This Row],[horsepower]]+EV_Data4[[#This Row],[torque_nm]]/EV_Data4[[#This Row],[acceleration_0_60_mph]]</f>
        <v>954.9677419354839</v>
      </c>
      <c r="AC1165" t="str">
        <f>IF(EV_Data4[[#This Row],[price_usd]]&gt;=80000,"Luxury",IF(EV_Data4[[#This Row],[price_usd]]&gt;=40000,"Mid-Range","Budget"))</f>
        <v>Mid-Range</v>
      </c>
      <c r="AD1165" t="str">
        <f>IF(EV_Data4[[#This Row],[range_miles]]&gt;=350,"Long-Range",IF(EV_Data4[[#This Row],[range_miles]]&gt;=250,"Medium-Range","Short-Range"))</f>
        <v>Short-Range</v>
      </c>
      <c r="AE1165" t="str">
        <f>IF(EV_Data4[[#This Row],[charging_speed_kw]]&gt;=250,"Ultra-Fast",IF(EV_Data4[[#This Row],[charging_speed_kw]]&gt;=150,"Fast-Charging","Standard-Charging"))</f>
        <v>Standard-Charging</v>
      </c>
      <c r="AF1165" t="str">
        <f>IF(EV_Data4[[#This Row],[acceleration_0_60_mph]]&lt;=3,"SportsPerformance",IF(EV_Data4[[#This Row],[acceleration_0_60_mph]]&lt;=5,"HighPerformance","Standard"))</f>
        <v>Standard</v>
      </c>
      <c r="AG1165" t="str">
        <f>IF(EV_Data4[[#This Row],[customer_rating]]&gt;=4.5,"Excellent",IF(EV_Data4[[#This Row],[customer_rating]]&gt;=3.5,"Good","Average"))</f>
        <v>Average</v>
      </c>
      <c r="AH116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66" spans="1:34" x14ac:dyDescent="0.3">
      <c r="A1166" t="s">
        <v>46</v>
      </c>
      <c r="B1166" t="s">
        <v>72</v>
      </c>
      <c r="C1166">
        <v>2024</v>
      </c>
      <c r="D1166" t="s">
        <v>61</v>
      </c>
      <c r="E1166" s="3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27</v>
      </c>
      <c r="N1166">
        <v>5</v>
      </c>
      <c r="O1166" t="s">
        <v>28</v>
      </c>
      <c r="P1166">
        <v>67</v>
      </c>
      <c r="Q1166">
        <v>2359</v>
      </c>
      <c r="R1166">
        <v>5</v>
      </c>
      <c r="S1166">
        <v>2</v>
      </c>
      <c r="T1166" t="s">
        <v>41</v>
      </c>
      <c r="U1166" t="s">
        <v>30</v>
      </c>
      <c r="V1166" s="3">
        <v>248389</v>
      </c>
      <c r="W1166">
        <v>3.58</v>
      </c>
      <c r="X1166">
        <v>5</v>
      </c>
      <c r="Y1166" s="1">
        <f>EV_Data4[[#This Row],[range_miles]]/EV_Data4[[#This Row],[battery_capacity_kwh]]</f>
        <v>3.282442748091603</v>
      </c>
      <c r="Z1166" s="4">
        <f>EV_Data4[[#This Row],[price_usd]]/EV_Data4[[#This Row],[range_miles]]</f>
        <v>588.42337209302332</v>
      </c>
      <c r="AA1166" s="2">
        <f>(EV_Data4[[#This Row],[customer_rating]]*EV_Data4[[#This Row],[safety_rating]]*1000)/EV_Data4[[#This Row],[price_usd]]</f>
        <v>0.17686205609353017</v>
      </c>
      <c r="AB1166">
        <f>EV_Data4[[#This Row],[horsepower]]+EV_Data4[[#This Row],[torque_nm]]/EV_Data4[[#This Row],[acceleration_0_60_mph]]</f>
        <v>843.69465648854964</v>
      </c>
      <c r="AC1166" t="str">
        <f>IF(EV_Data4[[#This Row],[price_usd]]&gt;=80000,"Luxury",IF(EV_Data4[[#This Row],[price_usd]]&gt;=40000,"Mid-Range","Budget"))</f>
        <v>Luxury</v>
      </c>
      <c r="AD1166" t="str">
        <f>IF(EV_Data4[[#This Row],[range_miles]]&gt;=350,"Long-Range",IF(EV_Data4[[#This Row],[range_miles]]&gt;=250,"Medium-Range","Short-Range"))</f>
        <v>Short-Range</v>
      </c>
      <c r="AE1166" t="str">
        <f>IF(EV_Data4[[#This Row],[charging_speed_kw]]&gt;=250,"Ultra-Fast",IF(EV_Data4[[#This Row],[charging_speed_kw]]&gt;=150,"Fast-Charging","Standard-Charging"))</f>
        <v>Ultra-Fast</v>
      </c>
      <c r="AF1166" t="str">
        <f>IF(EV_Data4[[#This Row],[acceleration_0_60_mph]]&lt;=3,"SportsPerformance",IF(EV_Data4[[#This Row],[acceleration_0_60_mph]]&lt;=5,"HighPerformance","Standard"))</f>
        <v>Standard</v>
      </c>
      <c r="AG1166" t="str">
        <f>IF(EV_Data4[[#This Row],[customer_rating]]&gt;=4.5,"Excellent",IF(EV_Data4[[#This Row],[customer_rating]]&gt;=3.5,"Good","Average"))</f>
        <v>Good</v>
      </c>
      <c r="AH116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67" spans="1:34" x14ac:dyDescent="0.3">
      <c r="A1167" t="s">
        <v>76</v>
      </c>
      <c r="B1167" t="s">
        <v>98</v>
      </c>
      <c r="C1167">
        <v>2023</v>
      </c>
      <c r="D1167" t="s">
        <v>61</v>
      </c>
      <c r="E1167" s="3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48</v>
      </c>
      <c r="N1167">
        <v>5</v>
      </c>
      <c r="O1167" t="s">
        <v>35</v>
      </c>
      <c r="P1167">
        <v>65.900000000000006</v>
      </c>
      <c r="Q1167">
        <v>2136</v>
      </c>
      <c r="R1167">
        <v>4</v>
      </c>
      <c r="S1167">
        <v>0</v>
      </c>
      <c r="T1167" t="s">
        <v>41</v>
      </c>
      <c r="U1167" t="s">
        <v>37</v>
      </c>
      <c r="V1167" s="3">
        <v>60230</v>
      </c>
      <c r="W1167">
        <v>3.57</v>
      </c>
      <c r="X1167">
        <v>4</v>
      </c>
      <c r="Y1167" s="1">
        <f>EV_Data4[[#This Row],[range_miles]]/EV_Data4[[#This Row],[battery_capacity_kwh]]</f>
        <v>3.6038514442916094</v>
      </c>
      <c r="Z1167" s="4">
        <f>EV_Data4[[#This Row],[price_usd]]/EV_Data4[[#This Row],[range_miles]]</f>
        <v>142.36007633587784</v>
      </c>
      <c r="AA1167" s="2">
        <f>(EV_Data4[[#This Row],[customer_rating]]*EV_Data4[[#This Row],[safety_rating]]*1000)/EV_Data4[[#This Row],[price_usd]]</f>
        <v>0.38285886181529799</v>
      </c>
      <c r="AB1167">
        <f>EV_Data4[[#This Row],[horsepower]]+EV_Data4[[#This Row],[torque_nm]]/EV_Data4[[#This Row],[acceleration_0_60_mph]]</f>
        <v>278.4563552833078</v>
      </c>
      <c r="AC1167" t="str">
        <f>IF(EV_Data4[[#This Row],[price_usd]]&gt;=80000,"Luxury",IF(EV_Data4[[#This Row],[price_usd]]&gt;=40000,"Mid-Range","Budget"))</f>
        <v>Budget</v>
      </c>
      <c r="AD1167" t="str">
        <f>IF(EV_Data4[[#This Row],[range_miles]]&gt;=350,"Long-Range",IF(EV_Data4[[#This Row],[range_miles]]&gt;=250,"Medium-Range","Short-Range"))</f>
        <v>Medium-Range</v>
      </c>
      <c r="AE1167" t="str">
        <f>IF(EV_Data4[[#This Row],[charging_speed_kw]]&gt;=250,"Ultra-Fast",IF(EV_Data4[[#This Row],[charging_speed_kw]]&gt;=150,"Fast-Charging","Standard-Charging"))</f>
        <v>Standard-Charging</v>
      </c>
      <c r="AF1167" t="str">
        <f>IF(EV_Data4[[#This Row],[acceleration_0_60_mph]]&lt;=3,"SportsPerformance",IF(EV_Data4[[#This Row],[acceleration_0_60_mph]]&lt;=5,"HighPerformance","Standard"))</f>
        <v>Standard</v>
      </c>
      <c r="AG1167" t="str">
        <f>IF(EV_Data4[[#This Row],[customer_rating]]&gt;=4.5,"Excellent",IF(EV_Data4[[#This Row],[customer_rating]]&gt;=3.5,"Good","Average"))</f>
        <v>Good</v>
      </c>
      <c r="AH116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68" spans="1:34" x14ac:dyDescent="0.3">
      <c r="A1168" t="s">
        <v>52</v>
      </c>
      <c r="B1168" t="s">
        <v>97</v>
      </c>
      <c r="C1168">
        <v>2022</v>
      </c>
      <c r="D1168" t="s">
        <v>33</v>
      </c>
      <c r="E1168" s="3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34</v>
      </c>
      <c r="N1168">
        <v>5</v>
      </c>
      <c r="O1168" t="s">
        <v>58</v>
      </c>
      <c r="P1168">
        <v>23.7</v>
      </c>
      <c r="Q1168">
        <v>1500</v>
      </c>
      <c r="R1168">
        <v>5</v>
      </c>
      <c r="S1168">
        <v>2</v>
      </c>
      <c r="T1168" t="s">
        <v>29</v>
      </c>
      <c r="U1168" t="s">
        <v>30</v>
      </c>
      <c r="V1168" s="3">
        <v>41853</v>
      </c>
      <c r="W1168">
        <v>3.77</v>
      </c>
      <c r="X1168">
        <v>5</v>
      </c>
      <c r="Y1168" s="1">
        <f>EV_Data4[[#This Row],[range_miles]]/EV_Data4[[#This Row],[battery_capacity_kwh]]</f>
        <v>3.6451169188445665</v>
      </c>
      <c r="Z1168" s="4">
        <f>EV_Data4[[#This Row],[price_usd]]/EV_Data4[[#This Row],[range_miles]]</f>
        <v>586.58984905660373</v>
      </c>
      <c r="AA1168" s="2">
        <f>(EV_Data4[[#This Row],[customer_rating]]*EV_Data4[[#This Row],[safety_rating]]*1000)/EV_Data4[[#This Row],[price_usd]]</f>
        <v>0.12126373408284828</v>
      </c>
      <c r="AB1168">
        <f>EV_Data4[[#This Row],[horsepower]]+EV_Data4[[#This Row],[torque_nm]]/EV_Data4[[#This Row],[acceleration_0_60_mph]]</f>
        <v>1158.6945996275606</v>
      </c>
      <c r="AC1168" t="str">
        <f>IF(EV_Data4[[#This Row],[price_usd]]&gt;=80000,"Luxury",IF(EV_Data4[[#This Row],[price_usd]]&gt;=40000,"Mid-Range","Budget"))</f>
        <v>Luxury</v>
      </c>
      <c r="AD1168" t="str">
        <f>IF(EV_Data4[[#This Row],[range_miles]]&gt;=350,"Long-Range",IF(EV_Data4[[#This Row],[range_miles]]&gt;=250,"Medium-Range","Short-Range"))</f>
        <v>Medium-Range</v>
      </c>
      <c r="AE1168" t="str">
        <f>IF(EV_Data4[[#This Row],[charging_speed_kw]]&gt;=250,"Ultra-Fast",IF(EV_Data4[[#This Row],[charging_speed_kw]]&gt;=150,"Fast-Charging","Standard-Charging"))</f>
        <v>Standard-Charging</v>
      </c>
      <c r="AF1168" t="str">
        <f>IF(EV_Data4[[#This Row],[acceleration_0_60_mph]]&lt;=3,"SportsPerformance",IF(EV_Data4[[#This Row],[acceleration_0_60_mph]]&lt;=5,"HighPerformance","Standard"))</f>
        <v>Standard</v>
      </c>
      <c r="AG1168" t="str">
        <f>IF(EV_Data4[[#This Row],[customer_rating]]&gt;=4.5,"Excellent",IF(EV_Data4[[#This Row],[customer_rating]]&gt;=3.5,"Good","Average"))</f>
        <v>Good</v>
      </c>
      <c r="AH116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69" spans="1:34" x14ac:dyDescent="0.3">
      <c r="A1169" t="s">
        <v>68</v>
      </c>
      <c r="B1169" t="s">
        <v>106</v>
      </c>
      <c r="C1169">
        <v>2022</v>
      </c>
      <c r="D1169" t="s">
        <v>33</v>
      </c>
      <c r="E1169" s="3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27</v>
      </c>
      <c r="N1169">
        <v>5</v>
      </c>
      <c r="O1169" t="s">
        <v>58</v>
      </c>
      <c r="P1169">
        <v>26.6</v>
      </c>
      <c r="Q1169">
        <v>1768</v>
      </c>
      <c r="R1169">
        <v>3</v>
      </c>
      <c r="S1169">
        <v>0</v>
      </c>
      <c r="T1169" t="s">
        <v>45</v>
      </c>
      <c r="U1169" t="s">
        <v>37</v>
      </c>
      <c r="V1169" s="3">
        <v>52238</v>
      </c>
      <c r="W1169">
        <v>3.21</v>
      </c>
      <c r="X1169">
        <v>4</v>
      </c>
      <c r="Y1169" s="1">
        <f>EV_Data4[[#This Row],[range_miles]]/EV_Data4[[#This Row],[battery_capacity_kwh]]</f>
        <v>3.7378640776699026</v>
      </c>
      <c r="Z1169" s="4">
        <f>EV_Data4[[#This Row],[price_usd]]/EV_Data4[[#This Row],[range_miles]]</f>
        <v>360.30824675324675</v>
      </c>
      <c r="AA1169" s="2">
        <f>(EV_Data4[[#This Row],[customer_rating]]*EV_Data4[[#This Row],[safety_rating]]*1000)/EV_Data4[[#This Row],[price_usd]]</f>
        <v>0.17355269577077487</v>
      </c>
      <c r="AB1169">
        <f>EV_Data4[[#This Row],[horsepower]]+EV_Data4[[#This Row],[torque_nm]]/EV_Data4[[#This Row],[acceleration_0_60_mph]]</f>
        <v>713.34126984126988</v>
      </c>
      <c r="AC1169" t="str">
        <f>IF(EV_Data4[[#This Row],[price_usd]]&gt;=80000,"Luxury",IF(EV_Data4[[#This Row],[price_usd]]&gt;=40000,"Mid-Range","Budget"))</f>
        <v>Mid-Range</v>
      </c>
      <c r="AD1169" t="str">
        <f>IF(EV_Data4[[#This Row],[range_miles]]&gt;=350,"Long-Range",IF(EV_Data4[[#This Row],[range_miles]]&gt;=250,"Medium-Range","Short-Range"))</f>
        <v>Short-Range</v>
      </c>
      <c r="AE1169" t="str">
        <f>IF(EV_Data4[[#This Row],[charging_speed_kw]]&gt;=250,"Ultra-Fast",IF(EV_Data4[[#This Row],[charging_speed_kw]]&gt;=150,"Fast-Charging","Standard-Charging"))</f>
        <v>Standard-Charging</v>
      </c>
      <c r="AF1169" t="str">
        <f>IF(EV_Data4[[#This Row],[acceleration_0_60_mph]]&lt;=3,"SportsPerformance",IF(EV_Data4[[#This Row],[acceleration_0_60_mph]]&lt;=5,"HighPerformance","Standard"))</f>
        <v>Standard</v>
      </c>
      <c r="AG1169" t="str">
        <f>IF(EV_Data4[[#This Row],[customer_rating]]&gt;=4.5,"Excellent",IF(EV_Data4[[#This Row],[customer_rating]]&gt;=3.5,"Good","Average"))</f>
        <v>Average</v>
      </c>
      <c r="AH116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70" spans="1:34" x14ac:dyDescent="0.3">
      <c r="A1170" t="s">
        <v>46</v>
      </c>
      <c r="B1170" t="s">
        <v>47</v>
      </c>
      <c r="C1170">
        <v>2020</v>
      </c>
      <c r="D1170" t="s">
        <v>44</v>
      </c>
      <c r="E1170" s="3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48</v>
      </c>
      <c r="N1170">
        <v>5</v>
      </c>
      <c r="O1170" t="s">
        <v>51</v>
      </c>
      <c r="P1170">
        <v>39</v>
      </c>
      <c r="Q1170">
        <v>1684</v>
      </c>
      <c r="R1170">
        <v>3</v>
      </c>
      <c r="S1170">
        <v>2</v>
      </c>
      <c r="T1170" t="s">
        <v>41</v>
      </c>
      <c r="U1170" t="s">
        <v>33</v>
      </c>
      <c r="V1170" s="3">
        <v>120134</v>
      </c>
      <c r="W1170">
        <v>4.09</v>
      </c>
      <c r="X1170">
        <v>4</v>
      </c>
      <c r="Y1170" s="1">
        <f>EV_Data4[[#This Row],[range_miles]]/EV_Data4[[#This Row],[battery_capacity_kwh]]</f>
        <v>3.4939759036144578</v>
      </c>
      <c r="Z1170" s="4">
        <f>EV_Data4[[#This Row],[price_usd]]/EV_Data4[[#This Row],[range_miles]]</f>
        <v>206.06614420062698</v>
      </c>
      <c r="AA1170" s="2">
        <f>(EV_Data4[[#This Row],[customer_rating]]*EV_Data4[[#This Row],[safety_rating]]*1000)/EV_Data4[[#This Row],[price_usd]]</f>
        <v>0.1866582693264329</v>
      </c>
      <c r="AB1170">
        <f>EV_Data4[[#This Row],[horsepower]]+EV_Data4[[#This Row],[torque_nm]]/EV_Data4[[#This Row],[acceleration_0_60_mph]]</f>
        <v>477.7032967032967</v>
      </c>
      <c r="AC1170" t="str">
        <f>IF(EV_Data4[[#This Row],[price_usd]]&gt;=80000,"Luxury",IF(EV_Data4[[#This Row],[price_usd]]&gt;=40000,"Mid-Range","Budget"))</f>
        <v>Mid-Range</v>
      </c>
      <c r="AD1170" t="str">
        <f>IF(EV_Data4[[#This Row],[range_miles]]&gt;=350,"Long-Range",IF(EV_Data4[[#This Row],[range_miles]]&gt;=250,"Medium-Range","Short-Range"))</f>
        <v>Medium-Range</v>
      </c>
      <c r="AE1170" t="str">
        <f>IF(EV_Data4[[#This Row],[charging_speed_kw]]&gt;=250,"Ultra-Fast",IF(EV_Data4[[#This Row],[charging_speed_kw]]&gt;=150,"Fast-Charging","Standard-Charging"))</f>
        <v>Fast-Charging</v>
      </c>
      <c r="AF1170" t="str">
        <f>IF(EV_Data4[[#This Row],[acceleration_0_60_mph]]&lt;=3,"SportsPerformance",IF(EV_Data4[[#This Row],[acceleration_0_60_mph]]&lt;=5,"HighPerformance","Standard"))</f>
        <v>HighPerformance</v>
      </c>
      <c r="AG1170" t="str">
        <f>IF(EV_Data4[[#This Row],[customer_rating]]&gt;=4.5,"Excellent",IF(EV_Data4[[#This Row],[customer_rating]]&gt;=3.5,"Good","Average"))</f>
        <v>Good</v>
      </c>
      <c r="AH117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71" spans="1:34" x14ac:dyDescent="0.3">
      <c r="A1171" t="s">
        <v>63</v>
      </c>
      <c r="B1171" t="s">
        <v>64</v>
      </c>
      <c r="C1171">
        <v>2023</v>
      </c>
      <c r="D1171" t="s">
        <v>61</v>
      </c>
      <c r="E1171" s="3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27</v>
      </c>
      <c r="N1171">
        <v>5</v>
      </c>
      <c r="O1171" t="s">
        <v>50</v>
      </c>
      <c r="P1171">
        <v>25.4</v>
      </c>
      <c r="Q1171">
        <v>1783</v>
      </c>
      <c r="R1171">
        <v>5</v>
      </c>
      <c r="S1171">
        <v>1</v>
      </c>
      <c r="T1171" t="s">
        <v>65</v>
      </c>
      <c r="U1171" t="s">
        <v>37</v>
      </c>
      <c r="V1171" s="3">
        <v>196923</v>
      </c>
      <c r="W1171">
        <v>3.56</v>
      </c>
      <c r="X1171">
        <v>3</v>
      </c>
      <c r="Y1171" s="1">
        <f>EV_Data4[[#This Row],[range_miles]]/EV_Data4[[#This Row],[battery_capacity_kwh]]</f>
        <v>3.4814814814814814</v>
      </c>
      <c r="Z1171" s="4">
        <f>EV_Data4[[#This Row],[price_usd]]/EV_Data4[[#This Row],[range_miles]]</f>
        <v>334.63941489361702</v>
      </c>
      <c r="AA1171" s="2">
        <f>(EV_Data4[[#This Row],[customer_rating]]*EV_Data4[[#This Row],[safety_rating]]*1000)/EV_Data4[[#This Row],[price_usd]]</f>
        <v>0.28293394875176059</v>
      </c>
      <c r="AB1171">
        <f>EV_Data4[[#This Row],[horsepower]]+EV_Data4[[#This Row],[torque_nm]]/EV_Data4[[#This Row],[acceleration_0_60_mph]]</f>
        <v>805.17647058823525</v>
      </c>
      <c r="AC1171" t="str">
        <f>IF(EV_Data4[[#This Row],[price_usd]]&gt;=80000,"Luxury",IF(EV_Data4[[#This Row],[price_usd]]&gt;=40000,"Mid-Range","Budget"))</f>
        <v>Mid-Range</v>
      </c>
      <c r="AD1171" t="str">
        <f>IF(EV_Data4[[#This Row],[range_miles]]&gt;=350,"Long-Range",IF(EV_Data4[[#This Row],[range_miles]]&gt;=250,"Medium-Range","Short-Range"))</f>
        <v>Short-Range</v>
      </c>
      <c r="AE1171" t="str">
        <f>IF(EV_Data4[[#This Row],[charging_speed_kw]]&gt;=250,"Ultra-Fast",IF(EV_Data4[[#This Row],[charging_speed_kw]]&gt;=150,"Fast-Charging","Standard-Charging"))</f>
        <v>Standard-Charging</v>
      </c>
      <c r="AF1171" t="str">
        <f>IF(EV_Data4[[#This Row],[acceleration_0_60_mph]]&lt;=3,"SportsPerformance",IF(EV_Data4[[#This Row],[acceleration_0_60_mph]]&lt;=5,"HighPerformance","Standard"))</f>
        <v>Standard</v>
      </c>
      <c r="AG1171" t="str">
        <f>IF(EV_Data4[[#This Row],[customer_rating]]&gt;=4.5,"Excellent",IF(EV_Data4[[#This Row],[customer_rating]]&gt;=3.5,"Good","Average"))</f>
        <v>Good</v>
      </c>
      <c r="AH117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72" spans="1:34" x14ac:dyDescent="0.3">
      <c r="A1172" t="s">
        <v>42</v>
      </c>
      <c r="B1172" t="s">
        <v>71</v>
      </c>
      <c r="C1172">
        <v>2026</v>
      </c>
      <c r="D1172" t="s">
        <v>33</v>
      </c>
      <c r="E1172" s="3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27</v>
      </c>
      <c r="N1172">
        <v>5</v>
      </c>
      <c r="O1172" t="s">
        <v>28</v>
      </c>
      <c r="P1172">
        <v>57.7</v>
      </c>
      <c r="Q1172">
        <v>2301</v>
      </c>
      <c r="R1172">
        <v>4</v>
      </c>
      <c r="S1172">
        <v>2</v>
      </c>
      <c r="T1172" t="s">
        <v>45</v>
      </c>
      <c r="U1172" t="s">
        <v>33</v>
      </c>
      <c r="V1172" s="3">
        <v>93712</v>
      </c>
      <c r="W1172">
        <v>3.12</v>
      </c>
      <c r="X1172">
        <v>4</v>
      </c>
      <c r="Y1172" s="1">
        <f>EV_Data4[[#This Row],[range_miles]]/EV_Data4[[#This Row],[battery_capacity_kwh]]</f>
        <v>3.4815950920245395</v>
      </c>
      <c r="Z1172" s="4">
        <f>EV_Data4[[#This Row],[price_usd]]/EV_Data4[[#This Row],[range_miles]]</f>
        <v>428.0822026431718</v>
      </c>
      <c r="AA1172" s="2">
        <f>(EV_Data4[[#This Row],[customer_rating]]*EV_Data4[[#This Row],[safety_rating]]*1000)/EV_Data4[[#This Row],[price_usd]]</f>
        <v>0.12842854299670303</v>
      </c>
      <c r="AB1172">
        <f>EV_Data4[[#This Row],[horsepower]]+EV_Data4[[#This Row],[torque_nm]]/EV_Data4[[#This Row],[acceleration_0_60_mph]]</f>
        <v>1136.7883211678832</v>
      </c>
      <c r="AC1172" t="str">
        <f>IF(EV_Data4[[#This Row],[price_usd]]&gt;=80000,"Luxury",IF(EV_Data4[[#This Row],[price_usd]]&gt;=40000,"Mid-Range","Budget"))</f>
        <v>Luxury</v>
      </c>
      <c r="AD1172" t="str">
        <f>IF(EV_Data4[[#This Row],[range_miles]]&gt;=350,"Long-Range",IF(EV_Data4[[#This Row],[range_miles]]&gt;=250,"Medium-Range","Short-Range"))</f>
        <v>Short-Range</v>
      </c>
      <c r="AE1172" t="str">
        <f>IF(EV_Data4[[#This Row],[charging_speed_kw]]&gt;=250,"Ultra-Fast",IF(EV_Data4[[#This Row],[charging_speed_kw]]&gt;=150,"Fast-Charging","Standard-Charging"))</f>
        <v>Standard-Charging</v>
      </c>
      <c r="AF1172" t="str">
        <f>IF(EV_Data4[[#This Row],[acceleration_0_60_mph]]&lt;=3,"SportsPerformance",IF(EV_Data4[[#This Row],[acceleration_0_60_mph]]&lt;=5,"HighPerformance","Standard"))</f>
        <v>Standard</v>
      </c>
      <c r="AG1172" t="str">
        <f>IF(EV_Data4[[#This Row],[customer_rating]]&gt;=4.5,"Excellent",IF(EV_Data4[[#This Row],[customer_rating]]&gt;=3.5,"Good","Average"))</f>
        <v>Average</v>
      </c>
      <c r="AH117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73" spans="1:34" x14ac:dyDescent="0.3">
      <c r="A1173" t="s">
        <v>134</v>
      </c>
      <c r="B1173">
        <v>2</v>
      </c>
      <c r="C1173">
        <v>2020</v>
      </c>
      <c r="D1173" t="s">
        <v>56</v>
      </c>
      <c r="E1173" s="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34</v>
      </c>
      <c r="N1173">
        <v>5</v>
      </c>
      <c r="O1173" t="s">
        <v>40</v>
      </c>
      <c r="P1173">
        <v>75.3</v>
      </c>
      <c r="Q1173">
        <v>1643</v>
      </c>
      <c r="R1173">
        <v>4</v>
      </c>
      <c r="S1173">
        <v>0</v>
      </c>
      <c r="T1173" t="s">
        <v>123</v>
      </c>
      <c r="U1173" t="s">
        <v>33</v>
      </c>
      <c r="V1173" s="3">
        <v>12945</v>
      </c>
      <c r="W1173">
        <v>3.41</v>
      </c>
      <c r="X1173">
        <v>3</v>
      </c>
      <c r="Y1173" s="1">
        <f>EV_Data4[[#This Row],[range_miles]]/EV_Data4[[#This Row],[battery_capacity_kwh]]</f>
        <v>3.5602094240837698</v>
      </c>
      <c r="Z1173" s="4">
        <f>EV_Data4[[#This Row],[price_usd]]/EV_Data4[[#This Row],[range_miles]]</f>
        <v>404.19254901960784</v>
      </c>
      <c r="AA1173" s="2">
        <f>(EV_Data4[[#This Row],[customer_rating]]*EV_Data4[[#This Row],[safety_rating]]*1000)/EV_Data4[[#This Row],[price_usd]]</f>
        <v>0.16542300262639337</v>
      </c>
      <c r="AB1173">
        <f>EV_Data4[[#This Row],[horsepower]]+EV_Data4[[#This Row],[torque_nm]]/EV_Data4[[#This Row],[acceleration_0_60_mph]]</f>
        <v>523.57725947521863</v>
      </c>
      <c r="AC1173" t="str">
        <f>IF(EV_Data4[[#This Row],[price_usd]]&gt;=80000,"Luxury",IF(EV_Data4[[#This Row],[price_usd]]&gt;=40000,"Mid-Range","Budget"))</f>
        <v>Luxury</v>
      </c>
      <c r="AD1173" t="str">
        <f>IF(EV_Data4[[#This Row],[range_miles]]&gt;=350,"Long-Range",IF(EV_Data4[[#This Row],[range_miles]]&gt;=250,"Medium-Range","Short-Range"))</f>
        <v>Short-Range</v>
      </c>
      <c r="AE1173" t="str">
        <f>IF(EV_Data4[[#This Row],[charging_speed_kw]]&gt;=250,"Ultra-Fast",IF(EV_Data4[[#This Row],[charging_speed_kw]]&gt;=150,"Fast-Charging","Standard-Charging"))</f>
        <v>Standard-Charging</v>
      </c>
      <c r="AF1173" t="str">
        <f>IF(EV_Data4[[#This Row],[acceleration_0_60_mph]]&lt;=3,"SportsPerformance",IF(EV_Data4[[#This Row],[acceleration_0_60_mph]]&lt;=5,"HighPerformance","Standard"))</f>
        <v>Standard</v>
      </c>
      <c r="AG1173" t="str">
        <f>IF(EV_Data4[[#This Row],[customer_rating]]&gt;=4.5,"Excellent",IF(EV_Data4[[#This Row],[customer_rating]]&gt;=3.5,"Good","Average"))</f>
        <v>Average</v>
      </c>
      <c r="AH117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74" spans="1:34" x14ac:dyDescent="0.3">
      <c r="A1174" t="s">
        <v>83</v>
      </c>
      <c r="B1174" t="s">
        <v>114</v>
      </c>
      <c r="C1174">
        <v>2025</v>
      </c>
      <c r="D1174" t="s">
        <v>56</v>
      </c>
      <c r="E1174" s="3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27</v>
      </c>
      <c r="N1174">
        <v>5</v>
      </c>
      <c r="O1174" t="s">
        <v>28</v>
      </c>
      <c r="P1174">
        <v>78.2</v>
      </c>
      <c r="Q1174">
        <v>2318</v>
      </c>
      <c r="R1174">
        <v>3</v>
      </c>
      <c r="S1174">
        <v>2</v>
      </c>
      <c r="T1174" t="s">
        <v>29</v>
      </c>
      <c r="U1174" t="s">
        <v>33</v>
      </c>
      <c r="V1174" s="3">
        <v>39763</v>
      </c>
      <c r="W1174">
        <v>3.26</v>
      </c>
      <c r="X1174">
        <v>6</v>
      </c>
      <c r="Y1174" s="1">
        <f>EV_Data4[[#This Row],[range_miles]]/EV_Data4[[#This Row],[battery_capacity_kwh]]</f>
        <v>3.2950191570881229</v>
      </c>
      <c r="Z1174" s="4">
        <f>EV_Data4[[#This Row],[price_usd]]/EV_Data4[[#This Row],[range_miles]]</f>
        <v>328.16767441860463</v>
      </c>
      <c r="AA1174" s="2">
        <f>(EV_Data4[[#This Row],[customer_rating]]*EV_Data4[[#This Row],[safety_rating]]*1000)/EV_Data4[[#This Row],[price_usd]]</f>
        <v>0.11551100153707584</v>
      </c>
      <c r="AB1174">
        <f>EV_Data4[[#This Row],[horsepower]]+EV_Data4[[#This Row],[torque_nm]]/EV_Data4[[#This Row],[acceleration_0_60_mph]]</f>
        <v>684.97966963151202</v>
      </c>
      <c r="AC1174" t="str">
        <f>IF(EV_Data4[[#This Row],[price_usd]]&gt;=80000,"Luxury",IF(EV_Data4[[#This Row],[price_usd]]&gt;=40000,"Mid-Range","Budget"))</f>
        <v>Luxury</v>
      </c>
      <c r="AD1174" t="str">
        <f>IF(EV_Data4[[#This Row],[range_miles]]&gt;=350,"Long-Range",IF(EV_Data4[[#This Row],[range_miles]]&gt;=250,"Medium-Range","Short-Range"))</f>
        <v>Medium-Range</v>
      </c>
      <c r="AE1174" t="str">
        <f>IF(EV_Data4[[#This Row],[charging_speed_kw]]&gt;=250,"Ultra-Fast",IF(EV_Data4[[#This Row],[charging_speed_kw]]&gt;=150,"Fast-Charging","Standard-Charging"))</f>
        <v>Standard-Charging</v>
      </c>
      <c r="AF1174" t="str">
        <f>IF(EV_Data4[[#This Row],[acceleration_0_60_mph]]&lt;=3,"SportsPerformance",IF(EV_Data4[[#This Row],[acceleration_0_60_mph]]&lt;=5,"HighPerformance","Standard"))</f>
        <v>Standard</v>
      </c>
      <c r="AG1174" t="str">
        <f>IF(EV_Data4[[#This Row],[customer_rating]]&gt;=4.5,"Excellent",IF(EV_Data4[[#This Row],[customer_rating]]&gt;=3.5,"Good","Average"))</f>
        <v>Average</v>
      </c>
      <c r="AH117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75" spans="1:34" x14ac:dyDescent="0.3">
      <c r="A1175" t="s">
        <v>63</v>
      </c>
      <c r="B1175" t="s">
        <v>96</v>
      </c>
      <c r="C1175">
        <v>2024</v>
      </c>
      <c r="D1175" t="s">
        <v>61</v>
      </c>
      <c r="E1175" s="3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34</v>
      </c>
      <c r="N1175">
        <v>5</v>
      </c>
      <c r="O1175" t="s">
        <v>58</v>
      </c>
      <c r="P1175">
        <v>34.6</v>
      </c>
      <c r="Q1175">
        <v>1500</v>
      </c>
      <c r="R1175">
        <v>5</v>
      </c>
      <c r="S1175">
        <v>0</v>
      </c>
      <c r="T1175" t="s">
        <v>65</v>
      </c>
      <c r="U1175" t="s">
        <v>37</v>
      </c>
      <c r="V1175" s="3">
        <v>181198</v>
      </c>
      <c r="W1175">
        <v>3.34</v>
      </c>
      <c r="X1175">
        <v>4</v>
      </c>
      <c r="Y1175" s="1">
        <f>EV_Data4[[#This Row],[range_miles]]/EV_Data4[[#This Row],[battery_capacity_kwh]]</f>
        <v>3.757828810020877</v>
      </c>
      <c r="Z1175" s="4">
        <f>EV_Data4[[#This Row],[price_usd]]/EV_Data4[[#This Row],[range_miles]]</f>
        <v>318.82205555555555</v>
      </c>
      <c r="AA1175" s="2">
        <f>(EV_Data4[[#This Row],[customer_rating]]*EV_Data4[[#This Row],[safety_rating]]*1000)/EV_Data4[[#This Row],[price_usd]]</f>
        <v>0.29100175524591654</v>
      </c>
      <c r="AB1175">
        <f>EV_Data4[[#This Row],[horsepower]]+EV_Data4[[#This Row],[torque_nm]]/EV_Data4[[#This Row],[acceleration_0_60_mph]]</f>
        <v>714.66724436741765</v>
      </c>
      <c r="AC1175" t="str">
        <f>IF(EV_Data4[[#This Row],[price_usd]]&gt;=80000,"Luxury",IF(EV_Data4[[#This Row],[price_usd]]&gt;=40000,"Mid-Range","Budget"))</f>
        <v>Mid-Range</v>
      </c>
      <c r="AD1175" t="str">
        <f>IF(EV_Data4[[#This Row],[range_miles]]&gt;=350,"Long-Range",IF(EV_Data4[[#This Row],[range_miles]]&gt;=250,"Medium-Range","Short-Range"))</f>
        <v>Short-Range</v>
      </c>
      <c r="AE1175" t="str">
        <f>IF(EV_Data4[[#This Row],[charging_speed_kw]]&gt;=250,"Ultra-Fast",IF(EV_Data4[[#This Row],[charging_speed_kw]]&gt;=150,"Fast-Charging","Standard-Charging"))</f>
        <v>Standard-Charging</v>
      </c>
      <c r="AF1175" t="str">
        <f>IF(EV_Data4[[#This Row],[acceleration_0_60_mph]]&lt;=3,"SportsPerformance",IF(EV_Data4[[#This Row],[acceleration_0_60_mph]]&lt;=5,"HighPerformance","Standard"))</f>
        <v>Standard</v>
      </c>
      <c r="AG1175" t="str">
        <f>IF(EV_Data4[[#This Row],[customer_rating]]&gt;=4.5,"Excellent",IF(EV_Data4[[#This Row],[customer_rating]]&gt;=3.5,"Good","Average"))</f>
        <v>Average</v>
      </c>
      <c r="AH117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76" spans="1:34" x14ac:dyDescent="0.3">
      <c r="A1176" t="s">
        <v>83</v>
      </c>
      <c r="B1176" t="s">
        <v>104</v>
      </c>
      <c r="C1176">
        <v>2025</v>
      </c>
      <c r="D1176" t="s">
        <v>61</v>
      </c>
      <c r="E1176" s="3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34</v>
      </c>
      <c r="N1176">
        <v>7</v>
      </c>
      <c r="O1176" t="s">
        <v>58</v>
      </c>
      <c r="P1176">
        <v>35.1</v>
      </c>
      <c r="Q1176">
        <v>1684</v>
      </c>
      <c r="R1176">
        <v>5</v>
      </c>
      <c r="S1176">
        <v>1</v>
      </c>
      <c r="T1176" t="s">
        <v>29</v>
      </c>
      <c r="U1176" t="s">
        <v>33</v>
      </c>
      <c r="V1176" s="3">
        <v>29936</v>
      </c>
      <c r="W1176">
        <v>3.7</v>
      </c>
      <c r="X1176">
        <v>7</v>
      </c>
      <c r="Y1176" s="1">
        <f>EV_Data4[[#This Row],[range_miles]]/EV_Data4[[#This Row],[battery_capacity_kwh]]</f>
        <v>3.4450402144772121</v>
      </c>
      <c r="Z1176" s="4">
        <f>EV_Data4[[#This Row],[price_usd]]/EV_Data4[[#This Row],[range_miles]]</f>
        <v>358.10112840466928</v>
      </c>
      <c r="AA1176" s="2">
        <f>(EV_Data4[[#This Row],[customer_rating]]*EV_Data4[[#This Row],[safety_rating]]*1000)/EV_Data4[[#This Row],[price_usd]]</f>
        <v>0.20101705939423889</v>
      </c>
      <c r="AB1176">
        <f>EV_Data4[[#This Row],[horsepower]]+EV_Data4[[#This Row],[torque_nm]]/EV_Data4[[#This Row],[acceleration_0_60_mph]]</f>
        <v>815.0055452865065</v>
      </c>
      <c r="AC1176" t="str">
        <f>IF(EV_Data4[[#This Row],[price_usd]]&gt;=80000,"Luxury",IF(EV_Data4[[#This Row],[price_usd]]&gt;=40000,"Mid-Range","Budget"))</f>
        <v>Luxury</v>
      </c>
      <c r="AD1176" t="str">
        <f>IF(EV_Data4[[#This Row],[range_miles]]&gt;=350,"Long-Range",IF(EV_Data4[[#This Row],[range_miles]]&gt;=250,"Medium-Range","Short-Range"))</f>
        <v>Medium-Range</v>
      </c>
      <c r="AE1176" t="str">
        <f>IF(EV_Data4[[#This Row],[charging_speed_kw]]&gt;=250,"Ultra-Fast",IF(EV_Data4[[#This Row],[charging_speed_kw]]&gt;=150,"Fast-Charging","Standard-Charging"))</f>
        <v>Standard-Charging</v>
      </c>
      <c r="AF1176" t="str">
        <f>IF(EV_Data4[[#This Row],[acceleration_0_60_mph]]&lt;=3,"SportsPerformance",IF(EV_Data4[[#This Row],[acceleration_0_60_mph]]&lt;=5,"HighPerformance","Standard"))</f>
        <v>Standard</v>
      </c>
      <c r="AG1176" t="str">
        <f>IF(EV_Data4[[#This Row],[customer_rating]]&gt;=4.5,"Excellent",IF(EV_Data4[[#This Row],[customer_rating]]&gt;=3.5,"Good","Average"))</f>
        <v>Good</v>
      </c>
      <c r="AH117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77" spans="1:34" x14ac:dyDescent="0.3">
      <c r="A1177" t="s">
        <v>42</v>
      </c>
      <c r="B1177" t="s">
        <v>115</v>
      </c>
      <c r="C1177">
        <v>2024</v>
      </c>
      <c r="D1177" t="s">
        <v>56</v>
      </c>
      <c r="E1177" s="3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48</v>
      </c>
      <c r="N1177">
        <v>7</v>
      </c>
      <c r="O1177" t="s">
        <v>28</v>
      </c>
      <c r="P1177">
        <v>59.5</v>
      </c>
      <c r="Q1177">
        <v>2444</v>
      </c>
      <c r="R1177">
        <v>5</v>
      </c>
      <c r="S1177">
        <v>1</v>
      </c>
      <c r="T1177" t="s">
        <v>45</v>
      </c>
      <c r="U1177" t="s">
        <v>33</v>
      </c>
      <c r="V1177" s="3">
        <v>68801</v>
      </c>
      <c r="W1177">
        <v>3.48</v>
      </c>
      <c r="X1177">
        <v>3</v>
      </c>
      <c r="Y1177" s="1">
        <f>EV_Data4[[#This Row],[range_miles]]/EV_Data4[[#This Row],[battery_capacity_kwh]]</f>
        <v>3.5250917992656059</v>
      </c>
      <c r="Z1177" s="4">
        <f>EV_Data4[[#This Row],[price_usd]]/EV_Data4[[#This Row],[range_miles]]</f>
        <v>253.02249999999998</v>
      </c>
      <c r="AA1177" s="2">
        <f>(EV_Data4[[#This Row],[customer_rating]]*EV_Data4[[#This Row],[safety_rating]]*1000)/EV_Data4[[#This Row],[price_usd]]</f>
        <v>0.23877981865907844</v>
      </c>
      <c r="AB1177">
        <f>EV_Data4[[#This Row],[horsepower]]+EV_Data4[[#This Row],[torque_nm]]/EV_Data4[[#This Row],[acceleration_0_60_mph]]</f>
        <v>962.18181818181824</v>
      </c>
      <c r="AC1177" t="str">
        <f>IF(EV_Data4[[#This Row],[price_usd]]&gt;=80000,"Luxury",IF(EV_Data4[[#This Row],[price_usd]]&gt;=40000,"Mid-Range","Budget"))</f>
        <v>Mid-Range</v>
      </c>
      <c r="AD1177" t="str">
        <f>IF(EV_Data4[[#This Row],[range_miles]]&gt;=350,"Long-Range",IF(EV_Data4[[#This Row],[range_miles]]&gt;=250,"Medium-Range","Short-Range"))</f>
        <v>Medium-Range</v>
      </c>
      <c r="AE1177" t="str">
        <f>IF(EV_Data4[[#This Row],[charging_speed_kw]]&gt;=250,"Ultra-Fast",IF(EV_Data4[[#This Row],[charging_speed_kw]]&gt;=150,"Fast-Charging","Standard-Charging"))</f>
        <v>Standard-Charging</v>
      </c>
      <c r="AF1177" t="str">
        <f>IF(EV_Data4[[#This Row],[acceleration_0_60_mph]]&lt;=3,"SportsPerformance",IF(EV_Data4[[#This Row],[acceleration_0_60_mph]]&lt;=5,"HighPerformance","Standard"))</f>
        <v>Standard</v>
      </c>
      <c r="AG1177" t="str">
        <f>IF(EV_Data4[[#This Row],[customer_rating]]&gt;=4.5,"Excellent",IF(EV_Data4[[#This Row],[customer_rating]]&gt;=3.5,"Good","Average"))</f>
        <v>Average</v>
      </c>
      <c r="AH117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78" spans="1:34" x14ac:dyDescent="0.3">
      <c r="A1178" t="s">
        <v>76</v>
      </c>
      <c r="B1178" t="s">
        <v>98</v>
      </c>
      <c r="C1178">
        <v>2025</v>
      </c>
      <c r="D1178" t="s">
        <v>33</v>
      </c>
      <c r="E1178" s="3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27</v>
      </c>
      <c r="N1178">
        <v>5</v>
      </c>
      <c r="O1178" t="s">
        <v>40</v>
      </c>
      <c r="P1178">
        <v>75.900000000000006</v>
      </c>
      <c r="Q1178">
        <v>1938</v>
      </c>
      <c r="R1178">
        <v>5</v>
      </c>
      <c r="S1178">
        <v>1</v>
      </c>
      <c r="T1178" t="s">
        <v>41</v>
      </c>
      <c r="U1178" t="s">
        <v>33</v>
      </c>
      <c r="V1178" s="3">
        <v>56669</v>
      </c>
      <c r="W1178">
        <v>3.69</v>
      </c>
      <c r="X1178">
        <v>4</v>
      </c>
      <c r="Y1178" s="1">
        <f>EV_Data4[[#This Row],[range_miles]]/EV_Data4[[#This Row],[battery_capacity_kwh]]</f>
        <v>3.3761232349165593</v>
      </c>
      <c r="Z1178" s="4">
        <f>EV_Data4[[#This Row],[price_usd]]/EV_Data4[[#This Row],[range_miles]]</f>
        <v>252.55813688212925</v>
      </c>
      <c r="AA1178" s="2">
        <f>(EV_Data4[[#This Row],[customer_rating]]*EV_Data4[[#This Row],[safety_rating]]*1000)/EV_Data4[[#This Row],[price_usd]]</f>
        <v>0.27776611009564639</v>
      </c>
      <c r="AB1178">
        <f>EV_Data4[[#This Row],[horsepower]]+EV_Data4[[#This Row],[torque_nm]]/EV_Data4[[#This Row],[acceleration_0_60_mph]]</f>
        <v>820.77134986225894</v>
      </c>
      <c r="AC1178" t="str">
        <f>IF(EV_Data4[[#This Row],[price_usd]]&gt;=80000,"Luxury",IF(EV_Data4[[#This Row],[price_usd]]&gt;=40000,"Mid-Range","Budget"))</f>
        <v>Mid-Range</v>
      </c>
      <c r="AD1178" t="str">
        <f>IF(EV_Data4[[#This Row],[range_miles]]&gt;=350,"Long-Range",IF(EV_Data4[[#This Row],[range_miles]]&gt;=250,"Medium-Range","Short-Range"))</f>
        <v>Medium-Range</v>
      </c>
      <c r="AE1178" t="str">
        <f>IF(EV_Data4[[#This Row],[charging_speed_kw]]&gt;=250,"Ultra-Fast",IF(EV_Data4[[#This Row],[charging_speed_kw]]&gt;=150,"Fast-Charging","Standard-Charging"))</f>
        <v>Standard-Charging</v>
      </c>
      <c r="AF1178" t="str">
        <f>IF(EV_Data4[[#This Row],[acceleration_0_60_mph]]&lt;=3,"SportsPerformance",IF(EV_Data4[[#This Row],[acceleration_0_60_mph]]&lt;=5,"HighPerformance","Standard"))</f>
        <v>Standard</v>
      </c>
      <c r="AG1178" t="str">
        <f>IF(EV_Data4[[#This Row],[customer_rating]]&gt;=4.5,"Excellent",IF(EV_Data4[[#This Row],[customer_rating]]&gt;=3.5,"Good","Average"))</f>
        <v>Good</v>
      </c>
      <c r="AH117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79" spans="1:34" x14ac:dyDescent="0.3">
      <c r="A1179" t="s">
        <v>46</v>
      </c>
      <c r="B1179" t="s">
        <v>72</v>
      </c>
      <c r="C1179">
        <v>2025</v>
      </c>
      <c r="D1179" t="s">
        <v>33</v>
      </c>
      <c r="E1179" s="3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27</v>
      </c>
      <c r="N1179">
        <v>5</v>
      </c>
      <c r="O1179" t="s">
        <v>28</v>
      </c>
      <c r="P1179">
        <v>68</v>
      </c>
      <c r="Q1179">
        <v>2532</v>
      </c>
      <c r="R1179">
        <v>5</v>
      </c>
      <c r="S1179">
        <v>2</v>
      </c>
      <c r="T1179" t="s">
        <v>41</v>
      </c>
      <c r="U1179" t="s">
        <v>37</v>
      </c>
      <c r="V1179" s="3">
        <v>119997</v>
      </c>
      <c r="W1179">
        <v>3.75</v>
      </c>
      <c r="X1179">
        <v>5</v>
      </c>
      <c r="Y1179" s="1">
        <f>EV_Data4[[#This Row],[range_miles]]/EV_Data4[[#This Row],[battery_capacity_kwh]]</f>
        <v>3.0535455861070915</v>
      </c>
      <c r="Z1179" s="4">
        <f>EV_Data4[[#This Row],[price_usd]]/EV_Data4[[#This Row],[range_miles]]</f>
        <v>247.48909952606633</v>
      </c>
      <c r="AA1179" s="2">
        <f>(EV_Data4[[#This Row],[customer_rating]]*EV_Data4[[#This Row],[safety_rating]]*1000)/EV_Data4[[#This Row],[price_usd]]</f>
        <v>0.35905645707982736</v>
      </c>
      <c r="AB1179">
        <f>EV_Data4[[#This Row],[horsepower]]+EV_Data4[[#This Row],[torque_nm]]/EV_Data4[[#This Row],[acceleration_0_60_mph]]</f>
        <v>395.99099099099101</v>
      </c>
      <c r="AC1179" t="str">
        <f>IF(EV_Data4[[#This Row],[price_usd]]&gt;=80000,"Luxury",IF(EV_Data4[[#This Row],[price_usd]]&gt;=40000,"Mid-Range","Budget"))</f>
        <v>Mid-Range</v>
      </c>
      <c r="AD1179" t="str">
        <f>IF(EV_Data4[[#This Row],[range_miles]]&gt;=350,"Long-Range",IF(EV_Data4[[#This Row],[range_miles]]&gt;=250,"Medium-Range","Short-Range"))</f>
        <v>Short-Range</v>
      </c>
      <c r="AE1179" t="str">
        <f>IF(EV_Data4[[#This Row],[charging_speed_kw]]&gt;=250,"Ultra-Fast",IF(EV_Data4[[#This Row],[charging_speed_kw]]&gt;=150,"Fast-Charging","Standard-Charging"))</f>
        <v>Fast-Charging</v>
      </c>
      <c r="AF1179" t="str">
        <f>IF(EV_Data4[[#This Row],[acceleration_0_60_mph]]&lt;=3,"SportsPerformance",IF(EV_Data4[[#This Row],[acceleration_0_60_mph]]&lt;=5,"HighPerformance","Standard"))</f>
        <v>Standard</v>
      </c>
      <c r="AG1179" t="str">
        <f>IF(EV_Data4[[#This Row],[customer_rating]]&gt;=4.5,"Excellent",IF(EV_Data4[[#This Row],[customer_rating]]&gt;=3.5,"Good","Average"))</f>
        <v>Good</v>
      </c>
      <c r="AH117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80" spans="1:34" x14ac:dyDescent="0.3">
      <c r="A1180" t="s">
        <v>38</v>
      </c>
      <c r="B1180" t="s">
        <v>102</v>
      </c>
      <c r="C1180">
        <v>2025</v>
      </c>
      <c r="D1180" t="s">
        <v>44</v>
      </c>
      <c r="E1180" s="3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48</v>
      </c>
      <c r="N1180">
        <v>5</v>
      </c>
      <c r="O1180" t="s">
        <v>35</v>
      </c>
      <c r="P1180">
        <v>57.6</v>
      </c>
      <c r="Q1180">
        <v>2312</v>
      </c>
      <c r="R1180">
        <v>4</v>
      </c>
      <c r="S1180">
        <v>0</v>
      </c>
      <c r="T1180" t="s">
        <v>41</v>
      </c>
      <c r="U1180" t="s">
        <v>33</v>
      </c>
      <c r="V1180" s="3">
        <v>6773</v>
      </c>
      <c r="W1180">
        <v>3.64</v>
      </c>
      <c r="X1180">
        <v>4</v>
      </c>
      <c r="Y1180" s="1">
        <f>EV_Data4[[#This Row],[range_miles]]/EV_Data4[[#This Row],[battery_capacity_kwh]]</f>
        <v>3.1812255541069101</v>
      </c>
      <c r="Z1180" s="4">
        <f>EV_Data4[[#This Row],[price_usd]]/EV_Data4[[#This Row],[range_miles]]</f>
        <v>345.76524590163933</v>
      </c>
      <c r="AA1180" s="2">
        <f>(EV_Data4[[#This Row],[customer_rating]]*EV_Data4[[#This Row],[safety_rating]]*1000)/EV_Data4[[#This Row],[price_usd]]</f>
        <v>0.17257989880369889</v>
      </c>
      <c r="AB1180">
        <f>EV_Data4[[#This Row],[horsepower]]+EV_Data4[[#This Row],[torque_nm]]/EV_Data4[[#This Row],[acceleration_0_60_mph]]</f>
        <v>1203.3412887828163</v>
      </c>
      <c r="AC1180" t="str">
        <f>IF(EV_Data4[[#This Row],[price_usd]]&gt;=80000,"Luxury",IF(EV_Data4[[#This Row],[price_usd]]&gt;=40000,"Mid-Range","Budget"))</f>
        <v>Luxury</v>
      </c>
      <c r="AD1180" t="str">
        <f>IF(EV_Data4[[#This Row],[range_miles]]&gt;=350,"Long-Range",IF(EV_Data4[[#This Row],[range_miles]]&gt;=250,"Medium-Range","Short-Range"))</f>
        <v>Short-Range</v>
      </c>
      <c r="AE1180" t="str">
        <f>IF(EV_Data4[[#This Row],[charging_speed_kw]]&gt;=250,"Ultra-Fast",IF(EV_Data4[[#This Row],[charging_speed_kw]]&gt;=150,"Fast-Charging","Standard-Charging"))</f>
        <v>Standard-Charging</v>
      </c>
      <c r="AF1180" t="str">
        <f>IF(EV_Data4[[#This Row],[acceleration_0_60_mph]]&lt;=3,"SportsPerformance",IF(EV_Data4[[#This Row],[acceleration_0_60_mph]]&lt;=5,"HighPerformance","Standard"))</f>
        <v>HighPerformance</v>
      </c>
      <c r="AG1180" t="str">
        <f>IF(EV_Data4[[#This Row],[customer_rating]]&gt;=4.5,"Excellent",IF(EV_Data4[[#This Row],[customer_rating]]&gt;=3.5,"Good","Average"))</f>
        <v>Good</v>
      </c>
      <c r="AH118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81" spans="1:34" x14ac:dyDescent="0.3">
      <c r="A1181" t="s">
        <v>42</v>
      </c>
      <c r="B1181" t="s">
        <v>80</v>
      </c>
      <c r="C1181">
        <v>2025</v>
      </c>
      <c r="D1181" t="s">
        <v>44</v>
      </c>
      <c r="E1181" s="3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34</v>
      </c>
      <c r="N1181">
        <v>5</v>
      </c>
      <c r="O1181" t="s">
        <v>35</v>
      </c>
      <c r="P1181">
        <v>36.1</v>
      </c>
      <c r="Q1181">
        <v>1814</v>
      </c>
      <c r="R1181">
        <v>5</v>
      </c>
      <c r="S1181">
        <v>1</v>
      </c>
      <c r="T1181" t="s">
        <v>45</v>
      </c>
      <c r="U1181" t="s">
        <v>33</v>
      </c>
      <c r="V1181" s="3">
        <v>120989</v>
      </c>
      <c r="W1181">
        <v>3.34</v>
      </c>
      <c r="X1181">
        <v>4</v>
      </c>
      <c r="Y1181" s="1">
        <f>EV_Data4[[#This Row],[range_miles]]/EV_Data4[[#This Row],[battery_capacity_kwh]]</f>
        <v>3.4663341645885284</v>
      </c>
      <c r="Z1181" s="4">
        <f>EV_Data4[[#This Row],[price_usd]]/EV_Data4[[#This Row],[range_miles]]</f>
        <v>336.38151079136691</v>
      </c>
      <c r="AA1181" s="2">
        <f>(EV_Data4[[#This Row],[customer_rating]]*EV_Data4[[#This Row],[safety_rating]]*1000)/EV_Data4[[#This Row],[price_usd]]</f>
        <v>0.1785827714035729</v>
      </c>
      <c r="AB1181">
        <f>EV_Data4[[#This Row],[horsepower]]+EV_Data4[[#This Row],[torque_nm]]/EV_Data4[[#This Row],[acceleration_0_60_mph]]</f>
        <v>1188.4381338742394</v>
      </c>
      <c r="AC1181" t="str">
        <f>IF(EV_Data4[[#This Row],[price_usd]]&gt;=80000,"Luxury",IF(EV_Data4[[#This Row],[price_usd]]&gt;=40000,"Mid-Range","Budget"))</f>
        <v>Luxury</v>
      </c>
      <c r="AD1181" t="str">
        <f>IF(EV_Data4[[#This Row],[range_miles]]&gt;=350,"Long-Range",IF(EV_Data4[[#This Row],[range_miles]]&gt;=250,"Medium-Range","Short-Range"))</f>
        <v>Medium-Range</v>
      </c>
      <c r="AE1181" t="str">
        <f>IF(EV_Data4[[#This Row],[charging_speed_kw]]&gt;=250,"Ultra-Fast",IF(EV_Data4[[#This Row],[charging_speed_kw]]&gt;=150,"Fast-Charging","Standard-Charging"))</f>
        <v>Standard-Charging</v>
      </c>
      <c r="AF1181" t="str">
        <f>IF(EV_Data4[[#This Row],[acceleration_0_60_mph]]&lt;=3,"SportsPerformance",IF(EV_Data4[[#This Row],[acceleration_0_60_mph]]&lt;=5,"HighPerformance","Standard"))</f>
        <v>HighPerformance</v>
      </c>
      <c r="AG1181" t="str">
        <f>IF(EV_Data4[[#This Row],[customer_rating]]&gt;=4.5,"Excellent",IF(EV_Data4[[#This Row],[customer_rating]]&gt;=3.5,"Good","Average"))</f>
        <v>Average</v>
      </c>
      <c r="AH118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82" spans="1:34" x14ac:dyDescent="0.3">
      <c r="A1182" t="s">
        <v>31</v>
      </c>
      <c r="B1182" t="s">
        <v>32</v>
      </c>
      <c r="C1182">
        <v>2020</v>
      </c>
      <c r="D1182" t="s">
        <v>56</v>
      </c>
      <c r="E1182" s="3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48</v>
      </c>
      <c r="N1182">
        <v>5</v>
      </c>
      <c r="O1182" t="s">
        <v>35</v>
      </c>
      <c r="P1182">
        <v>44.1</v>
      </c>
      <c r="Q1182">
        <v>2421</v>
      </c>
      <c r="R1182">
        <v>4</v>
      </c>
      <c r="S1182">
        <v>2</v>
      </c>
      <c r="T1182" t="s">
        <v>36</v>
      </c>
      <c r="U1182" t="s">
        <v>66</v>
      </c>
      <c r="V1182" s="3">
        <v>15941</v>
      </c>
      <c r="W1182">
        <v>3.54</v>
      </c>
      <c r="X1182">
        <v>3</v>
      </c>
      <c r="Y1182" s="1">
        <f>EV_Data4[[#This Row],[range_miles]]/EV_Data4[[#This Row],[battery_capacity_kwh]]</f>
        <v>3.5595567867036011</v>
      </c>
      <c r="Z1182" s="4">
        <f>EV_Data4[[#This Row],[price_usd]]/EV_Data4[[#This Row],[range_miles]]</f>
        <v>118.35221789883269</v>
      </c>
      <c r="AA1182" s="2">
        <f>(EV_Data4[[#This Row],[customer_rating]]*EV_Data4[[#This Row],[safety_rating]]*1000)/EV_Data4[[#This Row],[price_usd]]</f>
        <v>0.46553649135404052</v>
      </c>
      <c r="AB1182">
        <f>EV_Data4[[#This Row],[horsepower]]+EV_Data4[[#This Row],[torque_nm]]/EV_Data4[[#This Row],[acceleration_0_60_mph]]</f>
        <v>181.69572107765453</v>
      </c>
      <c r="AC1182" t="str">
        <f>IF(EV_Data4[[#This Row],[price_usd]]&gt;=80000,"Luxury",IF(EV_Data4[[#This Row],[price_usd]]&gt;=40000,"Mid-Range","Budget"))</f>
        <v>Budget</v>
      </c>
      <c r="AD1182" t="str">
        <f>IF(EV_Data4[[#This Row],[range_miles]]&gt;=350,"Long-Range",IF(EV_Data4[[#This Row],[range_miles]]&gt;=250,"Medium-Range","Short-Range"))</f>
        <v>Medium-Range</v>
      </c>
      <c r="AE1182" t="str">
        <f>IF(EV_Data4[[#This Row],[charging_speed_kw]]&gt;=250,"Ultra-Fast",IF(EV_Data4[[#This Row],[charging_speed_kw]]&gt;=150,"Fast-Charging","Standard-Charging"))</f>
        <v>Standard-Charging</v>
      </c>
      <c r="AF1182" t="str">
        <f>IF(EV_Data4[[#This Row],[acceleration_0_60_mph]]&lt;=3,"SportsPerformance",IF(EV_Data4[[#This Row],[acceleration_0_60_mph]]&lt;=5,"HighPerformance","Standard"))</f>
        <v>Standard</v>
      </c>
      <c r="AG1182" t="str">
        <f>IF(EV_Data4[[#This Row],[customer_rating]]&gt;=4.5,"Excellent",IF(EV_Data4[[#This Row],[customer_rating]]&gt;=3.5,"Good","Average"))</f>
        <v>Good</v>
      </c>
      <c r="AH118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83" spans="1:34" x14ac:dyDescent="0.3">
      <c r="A1183" t="s">
        <v>63</v>
      </c>
      <c r="B1183" t="s">
        <v>64</v>
      </c>
      <c r="C1183">
        <v>2021</v>
      </c>
      <c r="D1183" t="s">
        <v>26</v>
      </c>
      <c r="E1183" s="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48</v>
      </c>
      <c r="N1183">
        <v>7</v>
      </c>
      <c r="O1183" t="s">
        <v>40</v>
      </c>
      <c r="P1183">
        <v>78.400000000000006</v>
      </c>
      <c r="Q1183">
        <v>1515</v>
      </c>
      <c r="R1183">
        <v>5</v>
      </c>
      <c r="S1183">
        <v>1</v>
      </c>
      <c r="T1183" t="s">
        <v>65</v>
      </c>
      <c r="U1183" t="s">
        <v>30</v>
      </c>
      <c r="V1183" s="3">
        <v>180190</v>
      </c>
      <c r="W1183">
        <v>3.58</v>
      </c>
      <c r="X1183">
        <v>3</v>
      </c>
      <c r="Y1183" s="1">
        <f>EV_Data4[[#This Row],[range_miles]]/EV_Data4[[#This Row],[battery_capacity_kwh]]</f>
        <v>3.6382754994742377</v>
      </c>
      <c r="Z1183" s="4">
        <f>EV_Data4[[#This Row],[price_usd]]/EV_Data4[[#This Row],[range_miles]]</f>
        <v>307.54780346820809</v>
      </c>
      <c r="AA1183" s="2">
        <f>(EV_Data4[[#This Row],[customer_rating]]*EV_Data4[[#This Row],[safety_rating]]*1000)/EV_Data4[[#This Row],[price_usd]]</f>
        <v>0.16821483835305834</v>
      </c>
      <c r="AB1183">
        <f>EV_Data4[[#This Row],[horsepower]]+EV_Data4[[#This Row],[torque_nm]]/EV_Data4[[#This Row],[acceleration_0_60_mph]]</f>
        <v>1293.6170212765958</v>
      </c>
      <c r="AC1183" t="str">
        <f>IF(EV_Data4[[#This Row],[price_usd]]&gt;=80000,"Luxury",IF(EV_Data4[[#This Row],[price_usd]]&gt;=40000,"Mid-Range","Budget"))</f>
        <v>Luxury</v>
      </c>
      <c r="AD1183" t="str">
        <f>IF(EV_Data4[[#This Row],[range_miles]]&gt;=350,"Long-Range",IF(EV_Data4[[#This Row],[range_miles]]&gt;=250,"Medium-Range","Short-Range"))</f>
        <v>Medium-Range</v>
      </c>
      <c r="AE1183" t="str">
        <f>IF(EV_Data4[[#This Row],[charging_speed_kw]]&gt;=250,"Ultra-Fast",IF(EV_Data4[[#This Row],[charging_speed_kw]]&gt;=150,"Fast-Charging","Standard-Charging"))</f>
        <v>Fast-Charging</v>
      </c>
      <c r="AF1183" t="str">
        <f>IF(EV_Data4[[#This Row],[acceleration_0_60_mph]]&lt;=3,"SportsPerformance",IF(EV_Data4[[#This Row],[acceleration_0_60_mph]]&lt;=5,"HighPerformance","Standard"))</f>
        <v>SportsPerformance</v>
      </c>
      <c r="AG1183" t="str">
        <f>IF(EV_Data4[[#This Row],[customer_rating]]&gt;=4.5,"Excellent",IF(EV_Data4[[#This Row],[customer_rating]]&gt;=3.5,"Good","Average"))</f>
        <v>Good</v>
      </c>
      <c r="AH118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84" spans="1:34" x14ac:dyDescent="0.3">
      <c r="A1184" t="s">
        <v>83</v>
      </c>
      <c r="B1184" t="s">
        <v>104</v>
      </c>
      <c r="C1184">
        <v>2026</v>
      </c>
      <c r="D1184" t="s">
        <v>44</v>
      </c>
      <c r="E1184" s="3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27</v>
      </c>
      <c r="N1184">
        <v>5</v>
      </c>
      <c r="O1184" t="s">
        <v>28</v>
      </c>
      <c r="P1184">
        <v>70.8</v>
      </c>
      <c r="Q1184">
        <v>2691</v>
      </c>
      <c r="R1184">
        <v>5</v>
      </c>
      <c r="S1184">
        <v>2</v>
      </c>
      <c r="T1184" t="s">
        <v>29</v>
      </c>
      <c r="U1184" t="s">
        <v>33</v>
      </c>
      <c r="V1184" s="3">
        <v>38573</v>
      </c>
      <c r="W1184">
        <v>3.54</v>
      </c>
      <c r="X1184">
        <v>6</v>
      </c>
      <c r="Y1184" s="1">
        <f>EV_Data4[[#This Row],[range_miles]]/EV_Data4[[#This Row],[battery_capacity_kwh]]</f>
        <v>3.6591809775429325</v>
      </c>
      <c r="Z1184" s="4">
        <f>EV_Data4[[#This Row],[price_usd]]/EV_Data4[[#This Row],[range_miles]]</f>
        <v>295.21122743682309</v>
      </c>
      <c r="AA1184" s="2">
        <f>(EV_Data4[[#This Row],[customer_rating]]*EV_Data4[[#This Row],[safety_rating]]*1000)/EV_Data4[[#This Row],[price_usd]]</f>
        <v>0.21645151345466276</v>
      </c>
      <c r="AB1184">
        <f>EV_Data4[[#This Row],[horsepower]]+EV_Data4[[#This Row],[torque_nm]]/EV_Data4[[#This Row],[acceleration_0_60_mph]]</f>
        <v>767.66348448687347</v>
      </c>
      <c r="AC1184" t="str">
        <f>IF(EV_Data4[[#This Row],[price_usd]]&gt;=80000,"Luxury",IF(EV_Data4[[#This Row],[price_usd]]&gt;=40000,"Mid-Range","Budget"))</f>
        <v>Luxury</v>
      </c>
      <c r="AD1184" t="str">
        <f>IF(EV_Data4[[#This Row],[range_miles]]&gt;=350,"Long-Range",IF(EV_Data4[[#This Row],[range_miles]]&gt;=250,"Medium-Range","Short-Range"))</f>
        <v>Medium-Range</v>
      </c>
      <c r="AE1184" t="str">
        <f>IF(EV_Data4[[#This Row],[charging_speed_kw]]&gt;=250,"Ultra-Fast",IF(EV_Data4[[#This Row],[charging_speed_kw]]&gt;=150,"Fast-Charging","Standard-Charging"))</f>
        <v>Standard-Charging</v>
      </c>
      <c r="AF1184" t="str">
        <f>IF(EV_Data4[[#This Row],[acceleration_0_60_mph]]&lt;=3,"SportsPerformance",IF(EV_Data4[[#This Row],[acceleration_0_60_mph]]&lt;=5,"HighPerformance","Standard"))</f>
        <v>HighPerformance</v>
      </c>
      <c r="AG1184" t="str">
        <f>IF(EV_Data4[[#This Row],[customer_rating]]&gt;=4.5,"Excellent",IF(EV_Data4[[#This Row],[customer_rating]]&gt;=3.5,"Good","Average"))</f>
        <v>Good</v>
      </c>
      <c r="AH118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85" spans="1:34" x14ac:dyDescent="0.3">
      <c r="A1185" t="s">
        <v>94</v>
      </c>
      <c r="B1185" t="s">
        <v>133</v>
      </c>
      <c r="C1185">
        <v>2021</v>
      </c>
      <c r="D1185" t="s">
        <v>61</v>
      </c>
      <c r="E1185" s="3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34</v>
      </c>
      <c r="N1185">
        <v>4</v>
      </c>
      <c r="O1185" t="s">
        <v>28</v>
      </c>
      <c r="P1185">
        <v>53.8</v>
      </c>
      <c r="Q1185">
        <v>2477</v>
      </c>
      <c r="R1185">
        <v>5</v>
      </c>
      <c r="S1185">
        <v>1</v>
      </c>
      <c r="T1185" t="s">
        <v>41</v>
      </c>
      <c r="U1185" t="s">
        <v>33</v>
      </c>
      <c r="V1185" s="3">
        <v>1899</v>
      </c>
      <c r="W1185">
        <v>3.57</v>
      </c>
      <c r="X1185">
        <v>4</v>
      </c>
      <c r="Y1185" s="1">
        <f>EV_Data4[[#This Row],[range_miles]]/EV_Data4[[#This Row],[battery_capacity_kwh]]</f>
        <v>3.8060781476121566</v>
      </c>
      <c r="Z1185" s="4">
        <f>EV_Data4[[#This Row],[price_usd]]/EV_Data4[[#This Row],[range_miles]]</f>
        <v>285.20882129277567</v>
      </c>
      <c r="AA1185" s="2">
        <f>(EV_Data4[[#This Row],[customer_rating]]*EV_Data4[[#This Row],[safety_rating]]*1000)/EV_Data4[[#This Row],[price_usd]]</f>
        <v>0.23796852469646676</v>
      </c>
      <c r="AB1185">
        <f>EV_Data4[[#This Row],[horsepower]]+EV_Data4[[#This Row],[torque_nm]]/EV_Data4[[#This Row],[acceleration_0_60_mph]]</f>
        <v>501.70629370629371</v>
      </c>
      <c r="AC1185" t="str">
        <f>IF(EV_Data4[[#This Row],[price_usd]]&gt;=80000,"Luxury",IF(EV_Data4[[#This Row],[price_usd]]&gt;=40000,"Mid-Range","Budget"))</f>
        <v>Mid-Range</v>
      </c>
      <c r="AD1185" t="str">
        <f>IF(EV_Data4[[#This Row],[range_miles]]&gt;=350,"Long-Range",IF(EV_Data4[[#This Row],[range_miles]]&gt;=250,"Medium-Range","Short-Range"))</f>
        <v>Medium-Range</v>
      </c>
      <c r="AE1185" t="str">
        <f>IF(EV_Data4[[#This Row],[charging_speed_kw]]&gt;=250,"Ultra-Fast",IF(EV_Data4[[#This Row],[charging_speed_kw]]&gt;=150,"Fast-Charging","Standard-Charging"))</f>
        <v>Standard-Charging</v>
      </c>
      <c r="AF1185" t="str">
        <f>IF(EV_Data4[[#This Row],[acceleration_0_60_mph]]&lt;=3,"SportsPerformance",IF(EV_Data4[[#This Row],[acceleration_0_60_mph]]&lt;=5,"HighPerformance","Standard"))</f>
        <v>Standard</v>
      </c>
      <c r="AG1185" t="str">
        <f>IF(EV_Data4[[#This Row],[customer_rating]]&gt;=4.5,"Excellent",IF(EV_Data4[[#This Row],[customer_rating]]&gt;=3.5,"Good","Average"))</f>
        <v>Good</v>
      </c>
      <c r="AH118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86" spans="1:34" x14ac:dyDescent="0.3">
      <c r="A1186" t="s">
        <v>46</v>
      </c>
      <c r="B1186" t="s">
        <v>57</v>
      </c>
      <c r="C1186">
        <v>2025</v>
      </c>
      <c r="D1186" t="s">
        <v>61</v>
      </c>
      <c r="E1186" s="3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48</v>
      </c>
      <c r="N1186">
        <v>5</v>
      </c>
      <c r="O1186" t="s">
        <v>28</v>
      </c>
      <c r="P1186">
        <v>57.7</v>
      </c>
      <c r="Q1186">
        <v>2729</v>
      </c>
      <c r="R1186">
        <v>5</v>
      </c>
      <c r="S1186">
        <v>3</v>
      </c>
      <c r="T1186" t="s">
        <v>41</v>
      </c>
      <c r="U1186" t="s">
        <v>33</v>
      </c>
      <c r="V1186" s="3">
        <v>149284</v>
      </c>
      <c r="W1186">
        <v>3.76</v>
      </c>
      <c r="X1186">
        <v>5</v>
      </c>
      <c r="Y1186" s="1">
        <f>EV_Data4[[#This Row],[range_miles]]/EV_Data4[[#This Row],[battery_capacity_kwh]]</f>
        <v>3.3603238866396765</v>
      </c>
      <c r="Z1186" s="4">
        <f>EV_Data4[[#This Row],[price_usd]]/EV_Data4[[#This Row],[range_miles]]</f>
        <v>270.1071887550201</v>
      </c>
      <c r="AA1186" s="2">
        <f>(EV_Data4[[#This Row],[customer_rating]]*EV_Data4[[#This Row],[safety_rating]]*1000)/EV_Data4[[#This Row],[price_usd]]</f>
        <v>0.27952609621436908</v>
      </c>
      <c r="AB1186">
        <f>EV_Data4[[#This Row],[horsepower]]+EV_Data4[[#This Row],[torque_nm]]/EV_Data4[[#This Row],[acceleration_0_60_mph]]</f>
        <v>536.58441558441564</v>
      </c>
      <c r="AC1186" t="str">
        <f>IF(EV_Data4[[#This Row],[price_usd]]&gt;=80000,"Luxury",IF(EV_Data4[[#This Row],[price_usd]]&gt;=40000,"Mid-Range","Budget"))</f>
        <v>Mid-Range</v>
      </c>
      <c r="AD1186" t="str">
        <f>IF(EV_Data4[[#This Row],[range_miles]]&gt;=350,"Long-Range",IF(EV_Data4[[#This Row],[range_miles]]&gt;=250,"Medium-Range","Short-Range"))</f>
        <v>Short-Range</v>
      </c>
      <c r="AE1186" t="str">
        <f>IF(EV_Data4[[#This Row],[charging_speed_kw]]&gt;=250,"Ultra-Fast",IF(EV_Data4[[#This Row],[charging_speed_kw]]&gt;=150,"Fast-Charging","Standard-Charging"))</f>
        <v>Fast-Charging</v>
      </c>
      <c r="AF1186" t="str">
        <f>IF(EV_Data4[[#This Row],[acceleration_0_60_mph]]&lt;=3,"SportsPerformance",IF(EV_Data4[[#This Row],[acceleration_0_60_mph]]&lt;=5,"HighPerformance","Standard"))</f>
        <v>Standard</v>
      </c>
      <c r="AG1186" t="str">
        <f>IF(EV_Data4[[#This Row],[customer_rating]]&gt;=4.5,"Excellent",IF(EV_Data4[[#This Row],[customer_rating]]&gt;=3.5,"Good","Average"))</f>
        <v>Good</v>
      </c>
      <c r="AH1186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187" spans="1:34" x14ac:dyDescent="0.3">
      <c r="A1187" t="s">
        <v>92</v>
      </c>
      <c r="B1187" t="s">
        <v>119</v>
      </c>
      <c r="C1187">
        <v>2025</v>
      </c>
      <c r="D1187" t="s">
        <v>61</v>
      </c>
      <c r="E1187" s="3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34</v>
      </c>
      <c r="N1187">
        <v>7</v>
      </c>
      <c r="O1187" t="s">
        <v>58</v>
      </c>
      <c r="P1187">
        <v>32.1</v>
      </c>
      <c r="Q1187">
        <v>1784</v>
      </c>
      <c r="R1187">
        <v>5</v>
      </c>
      <c r="S1187">
        <v>0</v>
      </c>
      <c r="T1187" t="s">
        <v>65</v>
      </c>
      <c r="U1187" t="s">
        <v>33</v>
      </c>
      <c r="V1187" s="3">
        <v>19253</v>
      </c>
      <c r="W1187">
        <v>3.04</v>
      </c>
      <c r="X1187">
        <v>4</v>
      </c>
      <c r="Y1187" s="1">
        <f>EV_Data4[[#This Row],[range_miles]]/EV_Data4[[#This Row],[battery_capacity_kwh]]</f>
        <v>3.7254901960784315</v>
      </c>
      <c r="Z1187" s="4">
        <f>EV_Data4[[#This Row],[price_usd]]/EV_Data4[[#This Row],[range_miles]]</f>
        <v>381.91842105263157</v>
      </c>
      <c r="AA1187" s="2">
        <f>(EV_Data4[[#This Row],[customer_rating]]*EV_Data4[[#This Row],[safety_rating]]*1000)/EV_Data4[[#This Row],[price_usd]]</f>
        <v>0.23274313044104056</v>
      </c>
      <c r="AB1187">
        <f>EV_Data4[[#This Row],[horsepower]]+EV_Data4[[#This Row],[torque_nm]]/EV_Data4[[#This Row],[acceleration_0_60_mph]]</f>
        <v>538.58762886597935</v>
      </c>
      <c r="AC1187" t="str">
        <f>IF(EV_Data4[[#This Row],[price_usd]]&gt;=80000,"Luxury",IF(EV_Data4[[#This Row],[price_usd]]&gt;=40000,"Mid-Range","Budget"))</f>
        <v>Mid-Range</v>
      </c>
      <c r="AD1187" t="str">
        <f>IF(EV_Data4[[#This Row],[range_miles]]&gt;=350,"Long-Range",IF(EV_Data4[[#This Row],[range_miles]]&gt;=250,"Medium-Range","Short-Range"))</f>
        <v>Short-Range</v>
      </c>
      <c r="AE1187" t="str">
        <f>IF(EV_Data4[[#This Row],[charging_speed_kw]]&gt;=250,"Ultra-Fast",IF(EV_Data4[[#This Row],[charging_speed_kw]]&gt;=150,"Fast-Charging","Standard-Charging"))</f>
        <v>Standard-Charging</v>
      </c>
      <c r="AF1187" t="str">
        <f>IF(EV_Data4[[#This Row],[acceleration_0_60_mph]]&lt;=3,"SportsPerformance",IF(EV_Data4[[#This Row],[acceleration_0_60_mph]]&lt;=5,"HighPerformance","Standard"))</f>
        <v>Standard</v>
      </c>
      <c r="AG1187" t="str">
        <f>IF(EV_Data4[[#This Row],[customer_rating]]&gt;=4.5,"Excellent",IF(EV_Data4[[#This Row],[customer_rating]]&gt;=3.5,"Good","Average"))</f>
        <v>Average</v>
      </c>
      <c r="AH118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88" spans="1:34" x14ac:dyDescent="0.3">
      <c r="A1188" t="s">
        <v>83</v>
      </c>
      <c r="B1188" t="s">
        <v>116</v>
      </c>
      <c r="C1188">
        <v>2023</v>
      </c>
      <c r="D1188" t="s">
        <v>56</v>
      </c>
      <c r="E1188" s="3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34</v>
      </c>
      <c r="N1188">
        <v>5</v>
      </c>
      <c r="O1188" t="s">
        <v>58</v>
      </c>
      <c r="P1188">
        <v>20.9</v>
      </c>
      <c r="Q1188">
        <v>1500</v>
      </c>
      <c r="R1188">
        <v>5</v>
      </c>
      <c r="S1188">
        <v>2</v>
      </c>
      <c r="T1188" t="s">
        <v>29</v>
      </c>
      <c r="U1188" t="s">
        <v>37</v>
      </c>
      <c r="V1188" s="3">
        <v>28907</v>
      </c>
      <c r="W1188">
        <v>3.44</v>
      </c>
      <c r="X1188">
        <v>7</v>
      </c>
      <c r="Y1188" s="1">
        <f>EV_Data4[[#This Row],[range_miles]]/EV_Data4[[#This Row],[battery_capacity_kwh]]</f>
        <v>3.6604774535809015</v>
      </c>
      <c r="Z1188" s="4">
        <f>EV_Data4[[#This Row],[price_usd]]/EV_Data4[[#This Row],[range_miles]]</f>
        <v>230.92601449275364</v>
      </c>
      <c r="AA1188" s="2">
        <f>(EV_Data4[[#This Row],[customer_rating]]*EV_Data4[[#This Row],[safety_rating]]*1000)/EV_Data4[[#This Row],[price_usd]]</f>
        <v>0.26986496396518239</v>
      </c>
      <c r="AB1188">
        <f>EV_Data4[[#This Row],[horsepower]]+EV_Data4[[#This Row],[torque_nm]]/EV_Data4[[#This Row],[acceleration_0_60_mph]]</f>
        <v>358.90909090909093</v>
      </c>
      <c r="AC1188" t="str">
        <f>IF(EV_Data4[[#This Row],[price_usd]]&gt;=80000,"Luxury",IF(EV_Data4[[#This Row],[price_usd]]&gt;=40000,"Mid-Range","Budget"))</f>
        <v>Mid-Range</v>
      </c>
      <c r="AD1188" t="str">
        <f>IF(EV_Data4[[#This Row],[range_miles]]&gt;=350,"Long-Range",IF(EV_Data4[[#This Row],[range_miles]]&gt;=250,"Medium-Range","Short-Range"))</f>
        <v>Medium-Range</v>
      </c>
      <c r="AE1188" t="str">
        <f>IF(EV_Data4[[#This Row],[charging_speed_kw]]&gt;=250,"Ultra-Fast",IF(EV_Data4[[#This Row],[charging_speed_kw]]&gt;=150,"Fast-Charging","Standard-Charging"))</f>
        <v>Standard-Charging</v>
      </c>
      <c r="AF1188" t="str">
        <f>IF(EV_Data4[[#This Row],[acceleration_0_60_mph]]&lt;=3,"SportsPerformance",IF(EV_Data4[[#This Row],[acceleration_0_60_mph]]&lt;=5,"HighPerformance","Standard"))</f>
        <v>Standard</v>
      </c>
      <c r="AG1188" t="str">
        <f>IF(EV_Data4[[#This Row],[customer_rating]]&gt;=4.5,"Excellent",IF(EV_Data4[[#This Row],[customer_rating]]&gt;=3.5,"Good","Average"))</f>
        <v>Average</v>
      </c>
      <c r="AH118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89" spans="1:34" x14ac:dyDescent="0.3">
      <c r="A1189" t="s">
        <v>46</v>
      </c>
      <c r="B1189" t="s">
        <v>49</v>
      </c>
      <c r="C1189">
        <v>2025</v>
      </c>
      <c r="D1189" t="s">
        <v>33</v>
      </c>
      <c r="E1189" s="3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48</v>
      </c>
      <c r="N1189">
        <v>7</v>
      </c>
      <c r="O1189" t="s">
        <v>50</v>
      </c>
      <c r="P1189">
        <v>36.299999999999997</v>
      </c>
      <c r="Q1189">
        <v>1611</v>
      </c>
      <c r="R1189">
        <v>5</v>
      </c>
      <c r="S1189">
        <v>2</v>
      </c>
      <c r="T1189" t="s">
        <v>41</v>
      </c>
      <c r="U1189" t="s">
        <v>30</v>
      </c>
      <c r="V1189" s="3">
        <v>428866</v>
      </c>
      <c r="W1189">
        <v>3.69</v>
      </c>
      <c r="X1189">
        <v>6</v>
      </c>
      <c r="Y1189" s="1">
        <f>EV_Data4[[#This Row],[range_miles]]/EV_Data4[[#This Row],[battery_capacity_kwh]]</f>
        <v>3.4367245657568239</v>
      </c>
      <c r="Z1189" s="4">
        <f>EV_Data4[[#This Row],[price_usd]]/EV_Data4[[#This Row],[range_miles]]</f>
        <v>556.08014440433215</v>
      </c>
      <c r="AA1189" s="2">
        <f>(EV_Data4[[#This Row],[customer_rating]]*EV_Data4[[#This Row],[safety_rating]]*1000)/EV_Data4[[#This Row],[price_usd]]</f>
        <v>0.11977859462379133</v>
      </c>
      <c r="AB1189">
        <f>EV_Data4[[#This Row],[horsepower]]+EV_Data4[[#This Row],[torque_nm]]/EV_Data4[[#This Row],[acceleration_0_60_mph]]</f>
        <v>1128.2051282051282</v>
      </c>
      <c r="AC1189" t="str">
        <f>IF(EV_Data4[[#This Row],[price_usd]]&gt;=80000,"Luxury",IF(EV_Data4[[#This Row],[price_usd]]&gt;=40000,"Mid-Range","Budget"))</f>
        <v>Luxury</v>
      </c>
      <c r="AD1189" t="str">
        <f>IF(EV_Data4[[#This Row],[range_miles]]&gt;=350,"Long-Range",IF(EV_Data4[[#This Row],[range_miles]]&gt;=250,"Medium-Range","Short-Range"))</f>
        <v>Medium-Range</v>
      </c>
      <c r="AE1189" t="str">
        <f>IF(EV_Data4[[#This Row],[charging_speed_kw]]&gt;=250,"Ultra-Fast",IF(EV_Data4[[#This Row],[charging_speed_kw]]&gt;=150,"Fast-Charging","Standard-Charging"))</f>
        <v>Ultra-Fast</v>
      </c>
      <c r="AF1189" t="str">
        <f>IF(EV_Data4[[#This Row],[acceleration_0_60_mph]]&lt;=3,"SportsPerformance",IF(EV_Data4[[#This Row],[acceleration_0_60_mph]]&lt;=5,"HighPerformance","Standard"))</f>
        <v>Standard</v>
      </c>
      <c r="AG1189" t="str">
        <f>IF(EV_Data4[[#This Row],[customer_rating]]&gt;=4.5,"Excellent",IF(EV_Data4[[#This Row],[customer_rating]]&gt;=3.5,"Good","Average"))</f>
        <v>Good</v>
      </c>
      <c r="AH118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90" spans="1:34" x14ac:dyDescent="0.3">
      <c r="A1190" t="s">
        <v>63</v>
      </c>
      <c r="B1190" t="s">
        <v>64</v>
      </c>
      <c r="C1190">
        <v>2025</v>
      </c>
      <c r="D1190" t="s">
        <v>61</v>
      </c>
      <c r="E1190" s="3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48</v>
      </c>
      <c r="N1190">
        <v>7</v>
      </c>
      <c r="O1190" t="s">
        <v>40</v>
      </c>
      <c r="P1190">
        <v>68.900000000000006</v>
      </c>
      <c r="Q1190">
        <v>1750</v>
      </c>
      <c r="R1190">
        <v>5</v>
      </c>
      <c r="S1190">
        <v>0</v>
      </c>
      <c r="T1190" t="s">
        <v>65</v>
      </c>
      <c r="U1190" t="s">
        <v>66</v>
      </c>
      <c r="V1190" s="3">
        <v>131090</v>
      </c>
      <c r="W1190">
        <v>3.27</v>
      </c>
      <c r="X1190">
        <v>3</v>
      </c>
      <c r="Y1190" s="1">
        <f>EV_Data4[[#This Row],[range_miles]]/EV_Data4[[#This Row],[battery_capacity_kwh]]</f>
        <v>2.9590017825311943</v>
      </c>
      <c r="Z1190" s="4">
        <f>EV_Data4[[#This Row],[price_usd]]/EV_Data4[[#This Row],[range_miles]]</f>
        <v>162.43927710843371</v>
      </c>
      <c r="AA1190" s="2">
        <f>(EV_Data4[[#This Row],[customer_rating]]*EV_Data4[[#This Row],[safety_rating]]*1000)/EV_Data4[[#This Row],[price_usd]]</f>
        <v>0.60634335277093365</v>
      </c>
      <c r="AB1190">
        <f>EV_Data4[[#This Row],[horsepower]]+EV_Data4[[#This Row],[torque_nm]]/EV_Data4[[#This Row],[acceleration_0_60_mph]]</f>
        <v>313.89726027397262</v>
      </c>
      <c r="AC1190" t="str">
        <f>IF(EV_Data4[[#This Row],[price_usd]]&gt;=80000,"Luxury",IF(EV_Data4[[#This Row],[price_usd]]&gt;=40000,"Mid-Range","Budget"))</f>
        <v>Budget</v>
      </c>
      <c r="AD1190" t="str">
        <f>IF(EV_Data4[[#This Row],[range_miles]]&gt;=350,"Long-Range",IF(EV_Data4[[#This Row],[range_miles]]&gt;=250,"Medium-Range","Short-Range"))</f>
        <v>Short-Range</v>
      </c>
      <c r="AE1190" t="str">
        <f>IF(EV_Data4[[#This Row],[charging_speed_kw]]&gt;=250,"Ultra-Fast",IF(EV_Data4[[#This Row],[charging_speed_kw]]&gt;=150,"Fast-Charging","Standard-Charging"))</f>
        <v>Standard-Charging</v>
      </c>
      <c r="AF1190" t="str">
        <f>IF(EV_Data4[[#This Row],[acceleration_0_60_mph]]&lt;=3,"SportsPerformance",IF(EV_Data4[[#This Row],[acceleration_0_60_mph]]&lt;=5,"HighPerformance","Standard"))</f>
        <v>Standard</v>
      </c>
      <c r="AG1190" t="str">
        <f>IF(EV_Data4[[#This Row],[customer_rating]]&gt;=4.5,"Excellent",IF(EV_Data4[[#This Row],[customer_rating]]&gt;=3.5,"Good","Average"))</f>
        <v>Average</v>
      </c>
      <c r="AH119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91" spans="1:34" x14ac:dyDescent="0.3">
      <c r="A1191" t="s">
        <v>38</v>
      </c>
      <c r="B1191" t="s">
        <v>101</v>
      </c>
      <c r="C1191">
        <v>2024</v>
      </c>
      <c r="D1191" t="s">
        <v>44</v>
      </c>
      <c r="E1191" s="3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34</v>
      </c>
      <c r="N1191">
        <v>5</v>
      </c>
      <c r="O1191" t="s">
        <v>51</v>
      </c>
      <c r="P1191">
        <v>30.1</v>
      </c>
      <c r="Q1191">
        <v>1597</v>
      </c>
      <c r="R1191">
        <v>5</v>
      </c>
      <c r="S1191">
        <v>2</v>
      </c>
      <c r="T1191" t="s">
        <v>41</v>
      </c>
      <c r="U1191" t="s">
        <v>37</v>
      </c>
      <c r="V1191" s="3">
        <v>10777</v>
      </c>
      <c r="W1191">
        <v>3.75</v>
      </c>
      <c r="X1191">
        <v>4</v>
      </c>
      <c r="Y1191" s="1">
        <f>EV_Data4[[#This Row],[range_miles]]/EV_Data4[[#This Row],[battery_capacity_kwh]]</f>
        <v>3.5496183206106875</v>
      </c>
      <c r="Z1191" s="4">
        <f>EV_Data4[[#This Row],[price_usd]]/EV_Data4[[#This Row],[range_miles]]</f>
        <v>221.25752688172042</v>
      </c>
      <c r="AA1191" s="2">
        <f>(EV_Data4[[#This Row],[customer_rating]]*EV_Data4[[#This Row],[safety_rating]]*1000)/EV_Data4[[#This Row],[price_usd]]</f>
        <v>0.30373792034290797</v>
      </c>
      <c r="AB1191">
        <f>EV_Data4[[#This Row],[horsepower]]+EV_Data4[[#This Row],[torque_nm]]/EV_Data4[[#This Row],[acceleration_0_60_mph]]</f>
        <v>1038.6818181818182</v>
      </c>
      <c r="AC1191" t="str">
        <f>IF(EV_Data4[[#This Row],[price_usd]]&gt;=80000,"Luxury",IF(EV_Data4[[#This Row],[price_usd]]&gt;=40000,"Mid-Range","Budget"))</f>
        <v>Mid-Range</v>
      </c>
      <c r="AD1191" t="str">
        <f>IF(EV_Data4[[#This Row],[range_miles]]&gt;=350,"Long-Range",IF(EV_Data4[[#This Row],[range_miles]]&gt;=250,"Medium-Range","Short-Range"))</f>
        <v>Medium-Range</v>
      </c>
      <c r="AE1191" t="str">
        <f>IF(EV_Data4[[#This Row],[charging_speed_kw]]&gt;=250,"Ultra-Fast",IF(EV_Data4[[#This Row],[charging_speed_kw]]&gt;=150,"Fast-Charging","Standard-Charging"))</f>
        <v>Standard-Charging</v>
      </c>
      <c r="AF1191" t="str">
        <f>IF(EV_Data4[[#This Row],[acceleration_0_60_mph]]&lt;=3,"SportsPerformance",IF(EV_Data4[[#This Row],[acceleration_0_60_mph]]&lt;=5,"HighPerformance","Standard"))</f>
        <v>HighPerformance</v>
      </c>
      <c r="AG1191" t="str">
        <f>IF(EV_Data4[[#This Row],[customer_rating]]&gt;=4.5,"Excellent",IF(EV_Data4[[#This Row],[customer_rating]]&gt;=3.5,"Good","Average"))</f>
        <v>Good</v>
      </c>
      <c r="AH119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92" spans="1:34" x14ac:dyDescent="0.3">
      <c r="A1192" t="s">
        <v>46</v>
      </c>
      <c r="B1192" t="s">
        <v>47</v>
      </c>
      <c r="C1192">
        <v>2024</v>
      </c>
      <c r="D1192" t="s">
        <v>56</v>
      </c>
      <c r="E1192" s="3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34</v>
      </c>
      <c r="N1192">
        <v>5</v>
      </c>
      <c r="O1192" t="s">
        <v>58</v>
      </c>
      <c r="P1192">
        <v>19.7</v>
      </c>
      <c r="Q1192">
        <v>1735</v>
      </c>
      <c r="R1192">
        <v>3</v>
      </c>
      <c r="S1192">
        <v>2</v>
      </c>
      <c r="T1192" t="s">
        <v>41</v>
      </c>
      <c r="U1192" t="s">
        <v>33</v>
      </c>
      <c r="V1192" s="3">
        <v>108761</v>
      </c>
      <c r="W1192">
        <v>3.42</v>
      </c>
      <c r="X1192">
        <v>5</v>
      </c>
      <c r="Y1192" s="1">
        <f>EV_Data4[[#This Row],[range_miles]]/EV_Data4[[#This Row],[battery_capacity_kwh]]</f>
        <v>3.5497835497835495</v>
      </c>
      <c r="Z1192" s="4">
        <f>EV_Data4[[#This Row],[price_usd]]/EV_Data4[[#This Row],[range_miles]]</f>
        <v>536.84689024390241</v>
      </c>
      <c r="AA1192" s="2">
        <f>(EV_Data4[[#This Row],[customer_rating]]*EV_Data4[[#This Row],[safety_rating]]*1000)/EV_Data4[[#This Row],[price_usd]]</f>
        <v>0.11653411195384432</v>
      </c>
      <c r="AB1192">
        <f>EV_Data4[[#This Row],[horsepower]]+EV_Data4[[#This Row],[torque_nm]]/EV_Data4[[#This Row],[acceleration_0_60_mph]]</f>
        <v>769.70481144343307</v>
      </c>
      <c r="AC1192" t="str">
        <f>IF(EV_Data4[[#This Row],[price_usd]]&gt;=80000,"Luxury",IF(EV_Data4[[#This Row],[price_usd]]&gt;=40000,"Mid-Range","Budget"))</f>
        <v>Luxury</v>
      </c>
      <c r="AD1192" t="str">
        <f>IF(EV_Data4[[#This Row],[range_miles]]&gt;=350,"Long-Range",IF(EV_Data4[[#This Row],[range_miles]]&gt;=250,"Medium-Range","Short-Range"))</f>
        <v>Short-Range</v>
      </c>
      <c r="AE1192" t="str">
        <f>IF(EV_Data4[[#This Row],[charging_speed_kw]]&gt;=250,"Ultra-Fast",IF(EV_Data4[[#This Row],[charging_speed_kw]]&gt;=150,"Fast-Charging","Standard-Charging"))</f>
        <v>Ultra-Fast</v>
      </c>
      <c r="AF1192" t="str">
        <f>IF(EV_Data4[[#This Row],[acceleration_0_60_mph]]&lt;=3,"SportsPerformance",IF(EV_Data4[[#This Row],[acceleration_0_60_mph]]&lt;=5,"HighPerformance","Standard"))</f>
        <v>Standard</v>
      </c>
      <c r="AG1192" t="str">
        <f>IF(EV_Data4[[#This Row],[customer_rating]]&gt;=4.5,"Excellent",IF(EV_Data4[[#This Row],[customer_rating]]&gt;=3.5,"Good","Average"))</f>
        <v>Average</v>
      </c>
      <c r="AH119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93" spans="1:34" x14ac:dyDescent="0.3">
      <c r="A1193" t="s">
        <v>42</v>
      </c>
      <c r="B1193" t="s">
        <v>80</v>
      </c>
      <c r="C1193">
        <v>2025</v>
      </c>
      <c r="D1193" t="s">
        <v>44</v>
      </c>
      <c r="E1193" s="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48</v>
      </c>
      <c r="N1193">
        <v>5</v>
      </c>
      <c r="O1193" t="s">
        <v>35</v>
      </c>
      <c r="P1193">
        <v>62.3</v>
      </c>
      <c r="Q1193">
        <v>1873</v>
      </c>
      <c r="R1193">
        <v>5</v>
      </c>
      <c r="S1193">
        <v>0</v>
      </c>
      <c r="T1193" t="s">
        <v>45</v>
      </c>
      <c r="U1193" t="s">
        <v>33</v>
      </c>
      <c r="V1193" s="3">
        <v>137133</v>
      </c>
      <c r="W1193">
        <v>3.72</v>
      </c>
      <c r="X1193">
        <v>3</v>
      </c>
      <c r="Y1193" s="1">
        <f>EV_Data4[[#This Row],[range_miles]]/EV_Data4[[#This Row],[battery_capacity_kwh]]</f>
        <v>3.6054421768707483</v>
      </c>
      <c r="Z1193" s="4">
        <f>EV_Data4[[#This Row],[price_usd]]/EV_Data4[[#This Row],[range_miles]]</f>
        <v>199.46245283018871</v>
      </c>
      <c r="AA1193" s="2">
        <f>(EV_Data4[[#This Row],[customer_rating]]*EV_Data4[[#This Row],[safety_rating]]*1000)/EV_Data4[[#This Row],[price_usd]]</f>
        <v>0.25134941528153093</v>
      </c>
      <c r="AB1193">
        <f>EV_Data4[[#This Row],[horsepower]]+EV_Data4[[#This Row],[torque_nm]]/EV_Data4[[#This Row],[acceleration_0_60_mph]]</f>
        <v>1029.1053864168618</v>
      </c>
      <c r="AC1193" t="str">
        <f>IF(EV_Data4[[#This Row],[price_usd]]&gt;=80000,"Luxury",IF(EV_Data4[[#This Row],[price_usd]]&gt;=40000,"Mid-Range","Budget"))</f>
        <v>Mid-Range</v>
      </c>
      <c r="AD1193" t="str">
        <f>IF(EV_Data4[[#This Row],[range_miles]]&gt;=350,"Long-Range",IF(EV_Data4[[#This Row],[range_miles]]&gt;=250,"Medium-Range","Short-Range"))</f>
        <v>Long-Range</v>
      </c>
      <c r="AE1193" t="str">
        <f>IF(EV_Data4[[#This Row],[charging_speed_kw]]&gt;=250,"Ultra-Fast",IF(EV_Data4[[#This Row],[charging_speed_kw]]&gt;=150,"Fast-Charging","Standard-Charging"))</f>
        <v>Standard-Charging</v>
      </c>
      <c r="AF1193" t="str">
        <f>IF(EV_Data4[[#This Row],[acceleration_0_60_mph]]&lt;=3,"SportsPerformance",IF(EV_Data4[[#This Row],[acceleration_0_60_mph]]&lt;=5,"HighPerformance","Standard"))</f>
        <v>HighPerformance</v>
      </c>
      <c r="AG1193" t="str">
        <f>IF(EV_Data4[[#This Row],[customer_rating]]&gt;=4.5,"Excellent",IF(EV_Data4[[#This Row],[customer_rating]]&gt;=3.5,"Good","Average"))</f>
        <v>Good</v>
      </c>
      <c r="AH119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194" spans="1:34" x14ac:dyDescent="0.3">
      <c r="A1194" t="s">
        <v>63</v>
      </c>
      <c r="B1194" t="s">
        <v>67</v>
      </c>
      <c r="C1194">
        <v>2025</v>
      </c>
      <c r="D1194" t="s">
        <v>33</v>
      </c>
      <c r="E1194" s="3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27</v>
      </c>
      <c r="N1194">
        <v>7</v>
      </c>
      <c r="O1194" t="s">
        <v>40</v>
      </c>
      <c r="P1194">
        <v>66</v>
      </c>
      <c r="Q1194">
        <v>1569</v>
      </c>
      <c r="R1194">
        <v>4</v>
      </c>
      <c r="S1194">
        <v>2</v>
      </c>
      <c r="T1194" t="s">
        <v>65</v>
      </c>
      <c r="U1194" t="s">
        <v>33</v>
      </c>
      <c r="V1194" s="3">
        <v>230802</v>
      </c>
      <c r="W1194">
        <v>3.44</v>
      </c>
      <c r="X1194">
        <v>4</v>
      </c>
      <c r="Y1194" s="1">
        <f>EV_Data4[[#This Row],[range_miles]]/EV_Data4[[#This Row],[battery_capacity_kwh]]</f>
        <v>3.3205619412515968</v>
      </c>
      <c r="Z1194" s="4">
        <f>EV_Data4[[#This Row],[price_usd]]/EV_Data4[[#This Row],[range_miles]]</f>
        <v>311.76423076923078</v>
      </c>
      <c r="AA1194" s="2">
        <f>(EV_Data4[[#This Row],[customer_rating]]*EV_Data4[[#This Row],[safety_rating]]*1000)/EV_Data4[[#This Row],[price_usd]]</f>
        <v>0.16975352429782367</v>
      </c>
      <c r="AB1194">
        <f>EV_Data4[[#This Row],[horsepower]]+EV_Data4[[#This Row],[torque_nm]]/EV_Data4[[#This Row],[acceleration_0_60_mph]]</f>
        <v>1077.8898450946645</v>
      </c>
      <c r="AC1194" t="str">
        <f>IF(EV_Data4[[#This Row],[price_usd]]&gt;=80000,"Luxury",IF(EV_Data4[[#This Row],[price_usd]]&gt;=40000,"Mid-Range","Budget"))</f>
        <v>Luxury</v>
      </c>
      <c r="AD1194" t="str">
        <f>IF(EV_Data4[[#This Row],[range_miles]]&gt;=350,"Long-Range",IF(EV_Data4[[#This Row],[range_miles]]&gt;=250,"Medium-Range","Short-Range"))</f>
        <v>Medium-Range</v>
      </c>
      <c r="AE1194" t="str">
        <f>IF(EV_Data4[[#This Row],[charging_speed_kw]]&gt;=250,"Ultra-Fast",IF(EV_Data4[[#This Row],[charging_speed_kw]]&gt;=150,"Fast-Charging","Standard-Charging"))</f>
        <v>Standard-Charging</v>
      </c>
      <c r="AF1194" t="str">
        <f>IF(EV_Data4[[#This Row],[acceleration_0_60_mph]]&lt;=3,"SportsPerformance",IF(EV_Data4[[#This Row],[acceleration_0_60_mph]]&lt;=5,"HighPerformance","Standard"))</f>
        <v>Standard</v>
      </c>
      <c r="AG1194" t="str">
        <f>IF(EV_Data4[[#This Row],[customer_rating]]&gt;=4.5,"Excellent",IF(EV_Data4[[#This Row],[customer_rating]]&gt;=3.5,"Good","Average"))</f>
        <v>Average</v>
      </c>
      <c r="AH119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95" spans="1:34" x14ac:dyDescent="0.3">
      <c r="A1195" t="s">
        <v>83</v>
      </c>
      <c r="B1195" t="s">
        <v>104</v>
      </c>
      <c r="C1195">
        <v>2022</v>
      </c>
      <c r="D1195" t="s">
        <v>56</v>
      </c>
      <c r="E1195" s="3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48</v>
      </c>
      <c r="N1195">
        <v>7</v>
      </c>
      <c r="O1195" t="s">
        <v>51</v>
      </c>
      <c r="P1195">
        <v>30.1</v>
      </c>
      <c r="Q1195">
        <v>1582</v>
      </c>
      <c r="R1195">
        <v>4</v>
      </c>
      <c r="S1195">
        <v>1</v>
      </c>
      <c r="T1195" t="s">
        <v>29</v>
      </c>
      <c r="U1195" t="s">
        <v>37</v>
      </c>
      <c r="V1195" s="3">
        <v>44259</v>
      </c>
      <c r="W1195">
        <v>3.39</v>
      </c>
      <c r="X1195">
        <v>8</v>
      </c>
      <c r="Y1195" s="1">
        <f>EV_Data4[[#This Row],[range_miles]]/EV_Data4[[#This Row],[battery_capacity_kwh]]</f>
        <v>3.4605263157894739</v>
      </c>
      <c r="Z1195" s="4">
        <f>EV_Data4[[#This Row],[price_usd]]/EV_Data4[[#This Row],[range_miles]]</f>
        <v>194.08247148288973</v>
      </c>
      <c r="AA1195" s="2">
        <f>(EV_Data4[[#This Row],[customer_rating]]*EV_Data4[[#This Row],[safety_rating]]*1000)/EV_Data4[[#This Row],[price_usd]]</f>
        <v>0.26565477535029303</v>
      </c>
      <c r="AB1195">
        <f>EV_Data4[[#This Row],[horsepower]]+EV_Data4[[#This Row],[torque_nm]]/EV_Data4[[#This Row],[acceleration_0_60_mph]]</f>
        <v>214.76470588235293</v>
      </c>
      <c r="AC1195" t="str">
        <f>IF(EV_Data4[[#This Row],[price_usd]]&gt;=80000,"Luxury",IF(EV_Data4[[#This Row],[price_usd]]&gt;=40000,"Mid-Range","Budget"))</f>
        <v>Mid-Range</v>
      </c>
      <c r="AD1195" t="str">
        <f>IF(EV_Data4[[#This Row],[range_miles]]&gt;=350,"Long-Range",IF(EV_Data4[[#This Row],[range_miles]]&gt;=250,"Medium-Range","Short-Range"))</f>
        <v>Medium-Range</v>
      </c>
      <c r="AE1195" t="str">
        <f>IF(EV_Data4[[#This Row],[charging_speed_kw]]&gt;=250,"Ultra-Fast",IF(EV_Data4[[#This Row],[charging_speed_kw]]&gt;=150,"Fast-Charging","Standard-Charging"))</f>
        <v>Standard-Charging</v>
      </c>
      <c r="AF1195" t="str">
        <f>IF(EV_Data4[[#This Row],[acceleration_0_60_mph]]&lt;=3,"SportsPerformance",IF(EV_Data4[[#This Row],[acceleration_0_60_mph]]&lt;=5,"HighPerformance","Standard"))</f>
        <v>Standard</v>
      </c>
      <c r="AG1195" t="str">
        <f>IF(EV_Data4[[#This Row],[customer_rating]]&gt;=4.5,"Excellent",IF(EV_Data4[[#This Row],[customer_rating]]&gt;=3.5,"Good","Average"))</f>
        <v>Average</v>
      </c>
      <c r="AH119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96" spans="1:34" x14ac:dyDescent="0.3">
      <c r="A1196" t="s">
        <v>46</v>
      </c>
      <c r="B1196" t="s">
        <v>49</v>
      </c>
      <c r="C1196">
        <v>2023</v>
      </c>
      <c r="D1196" t="s">
        <v>33</v>
      </c>
      <c r="E1196" s="3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27</v>
      </c>
      <c r="N1196">
        <v>5</v>
      </c>
      <c r="O1196" t="s">
        <v>50</v>
      </c>
      <c r="P1196">
        <v>39.799999999999997</v>
      </c>
      <c r="Q1196">
        <v>1572</v>
      </c>
      <c r="R1196">
        <v>5</v>
      </c>
      <c r="S1196">
        <v>2</v>
      </c>
      <c r="T1196" t="s">
        <v>41</v>
      </c>
      <c r="U1196" t="s">
        <v>30</v>
      </c>
      <c r="V1196" s="3">
        <v>416711</v>
      </c>
      <c r="W1196">
        <v>3.88</v>
      </c>
      <c r="X1196">
        <v>5</v>
      </c>
      <c r="Y1196" s="1">
        <f>EV_Data4[[#This Row],[range_miles]]/EV_Data4[[#This Row],[battery_capacity_kwh]]</f>
        <v>3.3973412112259971</v>
      </c>
      <c r="Z1196" s="4">
        <f>EV_Data4[[#This Row],[price_usd]]/EV_Data4[[#This Row],[range_miles]]</f>
        <v>629.93873913043478</v>
      </c>
      <c r="AA1196" s="2">
        <f>(EV_Data4[[#This Row],[customer_rating]]*EV_Data4[[#This Row],[safety_rating]]*1000)/EV_Data4[[#This Row],[price_usd]]</f>
        <v>0.13389845844913423</v>
      </c>
      <c r="AB1196">
        <f>EV_Data4[[#This Row],[horsepower]]+EV_Data4[[#This Row],[torque_nm]]/EV_Data4[[#This Row],[acceleration_0_60_mph]]</f>
        <v>1143.6102236421725</v>
      </c>
      <c r="AC1196" t="str">
        <f>IF(EV_Data4[[#This Row],[price_usd]]&gt;=80000,"Luxury",IF(EV_Data4[[#This Row],[price_usd]]&gt;=40000,"Mid-Range","Budget"))</f>
        <v>Luxury</v>
      </c>
      <c r="AD1196" t="str">
        <f>IF(EV_Data4[[#This Row],[range_miles]]&gt;=350,"Long-Range",IF(EV_Data4[[#This Row],[range_miles]]&gt;=250,"Medium-Range","Short-Range"))</f>
        <v>Short-Range</v>
      </c>
      <c r="AE1196" t="str">
        <f>IF(EV_Data4[[#This Row],[charging_speed_kw]]&gt;=250,"Ultra-Fast",IF(EV_Data4[[#This Row],[charging_speed_kw]]&gt;=150,"Fast-Charging","Standard-Charging"))</f>
        <v>Fast-Charging</v>
      </c>
      <c r="AF1196" t="str">
        <f>IF(EV_Data4[[#This Row],[acceleration_0_60_mph]]&lt;=3,"SportsPerformance",IF(EV_Data4[[#This Row],[acceleration_0_60_mph]]&lt;=5,"HighPerformance","Standard"))</f>
        <v>Standard</v>
      </c>
      <c r="AG1196" t="str">
        <f>IF(EV_Data4[[#This Row],[customer_rating]]&gt;=4.5,"Excellent",IF(EV_Data4[[#This Row],[customer_rating]]&gt;=3.5,"Good","Average"))</f>
        <v>Good</v>
      </c>
      <c r="AH119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97" spans="1:34" x14ac:dyDescent="0.3">
      <c r="A1197" t="s">
        <v>52</v>
      </c>
      <c r="B1197" t="s">
        <v>62</v>
      </c>
      <c r="C1197">
        <v>2026</v>
      </c>
      <c r="D1197" t="s">
        <v>44</v>
      </c>
      <c r="E1197" s="3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34</v>
      </c>
      <c r="N1197">
        <v>5</v>
      </c>
      <c r="O1197" t="s">
        <v>35</v>
      </c>
      <c r="P1197">
        <v>48.3</v>
      </c>
      <c r="Q1197">
        <v>1890</v>
      </c>
      <c r="R1197">
        <v>5</v>
      </c>
      <c r="S1197">
        <v>2</v>
      </c>
      <c r="T1197" t="s">
        <v>29</v>
      </c>
      <c r="U1197" t="s">
        <v>30</v>
      </c>
      <c r="V1197" s="3">
        <v>24079</v>
      </c>
      <c r="W1197">
        <v>4</v>
      </c>
      <c r="X1197">
        <v>5</v>
      </c>
      <c r="Y1197" s="1">
        <f>EV_Data4[[#This Row],[range_miles]]/EV_Data4[[#This Row],[battery_capacity_kwh]]</f>
        <v>3.4390485629335976</v>
      </c>
      <c r="Z1197" s="4">
        <f>EV_Data4[[#This Row],[price_usd]]/EV_Data4[[#This Row],[range_miles]]</f>
        <v>359.28847262247842</v>
      </c>
      <c r="AA1197" s="2">
        <f>(EV_Data4[[#This Row],[customer_rating]]*EV_Data4[[#This Row],[safety_rating]]*1000)/EV_Data4[[#This Row],[price_usd]]</f>
        <v>0.16041952915263999</v>
      </c>
      <c r="AB1197">
        <f>EV_Data4[[#This Row],[horsepower]]+EV_Data4[[#This Row],[torque_nm]]/EV_Data4[[#This Row],[acceleration_0_60_mph]]</f>
        <v>905.88135593220341</v>
      </c>
      <c r="AC1197" t="str">
        <f>IF(EV_Data4[[#This Row],[price_usd]]&gt;=80000,"Luxury",IF(EV_Data4[[#This Row],[price_usd]]&gt;=40000,"Mid-Range","Budget"))</f>
        <v>Luxury</v>
      </c>
      <c r="AD1197" t="str">
        <f>IF(EV_Data4[[#This Row],[range_miles]]&gt;=350,"Long-Range",IF(EV_Data4[[#This Row],[range_miles]]&gt;=250,"Medium-Range","Short-Range"))</f>
        <v>Medium-Range</v>
      </c>
      <c r="AE1197" t="str">
        <f>IF(EV_Data4[[#This Row],[charging_speed_kw]]&gt;=250,"Ultra-Fast",IF(EV_Data4[[#This Row],[charging_speed_kw]]&gt;=150,"Fast-Charging","Standard-Charging"))</f>
        <v>Standard-Charging</v>
      </c>
      <c r="AF1197" t="str">
        <f>IF(EV_Data4[[#This Row],[acceleration_0_60_mph]]&lt;=3,"SportsPerformance",IF(EV_Data4[[#This Row],[acceleration_0_60_mph]]&lt;=5,"HighPerformance","Standard"))</f>
        <v>HighPerformance</v>
      </c>
      <c r="AG1197" t="str">
        <f>IF(EV_Data4[[#This Row],[customer_rating]]&gt;=4.5,"Excellent",IF(EV_Data4[[#This Row],[customer_rating]]&gt;=3.5,"Good","Average"))</f>
        <v>Good</v>
      </c>
      <c r="AH119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198" spans="1:34" x14ac:dyDescent="0.3">
      <c r="A1198" t="s">
        <v>59</v>
      </c>
      <c r="B1198" t="s">
        <v>60</v>
      </c>
      <c r="C1198">
        <v>2024</v>
      </c>
      <c r="D1198" t="s">
        <v>26</v>
      </c>
      <c r="E1198" s="3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48</v>
      </c>
      <c r="N1198">
        <v>7</v>
      </c>
      <c r="O1198" t="s">
        <v>40</v>
      </c>
      <c r="P1198">
        <v>62.3</v>
      </c>
      <c r="Q1198">
        <v>1803</v>
      </c>
      <c r="R1198">
        <v>5</v>
      </c>
      <c r="S1198">
        <v>1</v>
      </c>
      <c r="T1198" t="s">
        <v>41</v>
      </c>
      <c r="U1198" t="s">
        <v>30</v>
      </c>
      <c r="V1198" s="3">
        <v>23252</v>
      </c>
      <c r="W1198">
        <v>3.93</v>
      </c>
      <c r="X1198">
        <v>3</v>
      </c>
      <c r="Y1198" s="1">
        <f>EV_Data4[[#This Row],[range_miles]]/EV_Data4[[#This Row],[battery_capacity_kwh]]</f>
        <v>3.6645396536007291</v>
      </c>
      <c r="Z1198" s="4">
        <f>EV_Data4[[#This Row],[price_usd]]/EV_Data4[[#This Row],[range_miles]]</f>
        <v>395.6894527363184</v>
      </c>
      <c r="AA1198" s="2">
        <f>(EV_Data4[[#This Row],[customer_rating]]*EV_Data4[[#This Row],[safety_rating]]*1000)/EV_Data4[[#This Row],[price_usd]]</f>
        <v>0.12353272667972448</v>
      </c>
      <c r="AB1198">
        <f>EV_Data4[[#This Row],[horsepower]]+EV_Data4[[#This Row],[torque_nm]]/EV_Data4[[#This Row],[acceleration_0_60_mph]]</f>
        <v>1228.433734939759</v>
      </c>
      <c r="AC1198" t="str">
        <f>IF(EV_Data4[[#This Row],[price_usd]]&gt;=80000,"Luxury",IF(EV_Data4[[#This Row],[price_usd]]&gt;=40000,"Mid-Range","Budget"))</f>
        <v>Luxury</v>
      </c>
      <c r="AD1198" t="str">
        <f>IF(EV_Data4[[#This Row],[range_miles]]&gt;=350,"Long-Range",IF(EV_Data4[[#This Row],[range_miles]]&gt;=250,"Medium-Range","Short-Range"))</f>
        <v>Long-Range</v>
      </c>
      <c r="AE1198" t="str">
        <f>IF(EV_Data4[[#This Row],[charging_speed_kw]]&gt;=250,"Ultra-Fast",IF(EV_Data4[[#This Row],[charging_speed_kw]]&gt;=150,"Fast-Charging","Standard-Charging"))</f>
        <v>Fast-Charging</v>
      </c>
      <c r="AF1198" t="str">
        <f>IF(EV_Data4[[#This Row],[acceleration_0_60_mph]]&lt;=3,"SportsPerformance",IF(EV_Data4[[#This Row],[acceleration_0_60_mph]]&lt;=5,"HighPerformance","Standard"))</f>
        <v>HighPerformance</v>
      </c>
      <c r="AG1198" t="str">
        <f>IF(EV_Data4[[#This Row],[customer_rating]]&gt;=4.5,"Excellent",IF(EV_Data4[[#This Row],[customer_rating]]&gt;=3.5,"Good","Average"))</f>
        <v>Good</v>
      </c>
      <c r="AH119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199" spans="1:34" x14ac:dyDescent="0.3">
      <c r="A1199" t="s">
        <v>59</v>
      </c>
      <c r="B1199" t="s">
        <v>111</v>
      </c>
      <c r="C1199">
        <v>2024</v>
      </c>
      <c r="D1199" t="s">
        <v>44</v>
      </c>
      <c r="E1199" s="3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27</v>
      </c>
      <c r="N1199">
        <v>5</v>
      </c>
      <c r="O1199" t="s">
        <v>58</v>
      </c>
      <c r="P1199">
        <v>21.4</v>
      </c>
      <c r="Q1199">
        <v>1655</v>
      </c>
      <c r="R1199">
        <v>5</v>
      </c>
      <c r="S1199">
        <v>0</v>
      </c>
      <c r="T1199" t="s">
        <v>41</v>
      </c>
      <c r="U1199" t="s">
        <v>33</v>
      </c>
      <c r="V1199" s="3">
        <v>1655</v>
      </c>
      <c r="W1199">
        <v>3.46</v>
      </c>
      <c r="X1199">
        <v>5</v>
      </c>
      <c r="Y1199" s="1">
        <f>EV_Data4[[#This Row],[range_miles]]/EV_Data4[[#This Row],[battery_capacity_kwh]]</f>
        <v>3.7395459976105134</v>
      </c>
      <c r="Z1199" s="4">
        <f>EV_Data4[[#This Row],[price_usd]]/EV_Data4[[#This Row],[range_miles]]</f>
        <v>297.18440894568693</v>
      </c>
      <c r="AA1199" s="2">
        <f>(EV_Data4[[#This Row],[customer_rating]]*EV_Data4[[#This Row],[safety_rating]]*1000)/EV_Data4[[#This Row],[price_usd]]</f>
        <v>0.18598406858318411</v>
      </c>
      <c r="AB1199">
        <f>EV_Data4[[#This Row],[horsepower]]+EV_Data4[[#This Row],[torque_nm]]/EV_Data4[[#This Row],[acceleration_0_60_mph]]</f>
        <v>924.96353166986569</v>
      </c>
      <c r="AC1199" t="str">
        <f>IF(EV_Data4[[#This Row],[price_usd]]&gt;=80000,"Luxury",IF(EV_Data4[[#This Row],[price_usd]]&gt;=40000,"Mid-Range","Budget"))</f>
        <v>Luxury</v>
      </c>
      <c r="AD1199" t="str">
        <f>IF(EV_Data4[[#This Row],[range_miles]]&gt;=350,"Long-Range",IF(EV_Data4[[#This Row],[range_miles]]&gt;=250,"Medium-Range","Short-Range"))</f>
        <v>Medium-Range</v>
      </c>
      <c r="AE1199" t="str">
        <f>IF(EV_Data4[[#This Row],[charging_speed_kw]]&gt;=250,"Ultra-Fast",IF(EV_Data4[[#This Row],[charging_speed_kw]]&gt;=150,"Fast-Charging","Standard-Charging"))</f>
        <v>Standard-Charging</v>
      </c>
      <c r="AF1199" t="str">
        <f>IF(EV_Data4[[#This Row],[acceleration_0_60_mph]]&lt;=3,"SportsPerformance",IF(EV_Data4[[#This Row],[acceleration_0_60_mph]]&lt;=5,"HighPerformance","Standard"))</f>
        <v>Standard</v>
      </c>
      <c r="AG1199" t="str">
        <f>IF(EV_Data4[[#This Row],[customer_rating]]&gt;=4.5,"Excellent",IF(EV_Data4[[#This Row],[customer_rating]]&gt;=3.5,"Good","Average"))</f>
        <v>Average</v>
      </c>
      <c r="AH119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00" spans="1:34" x14ac:dyDescent="0.3">
      <c r="A1200" t="s">
        <v>38</v>
      </c>
      <c r="B1200" t="s">
        <v>39</v>
      </c>
      <c r="C1200">
        <v>2026</v>
      </c>
      <c r="D1200" t="s">
        <v>33</v>
      </c>
      <c r="E1200" s="3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34</v>
      </c>
      <c r="N1200">
        <v>5</v>
      </c>
      <c r="O1200" t="s">
        <v>40</v>
      </c>
      <c r="P1200">
        <v>78.599999999999994</v>
      </c>
      <c r="Q1200">
        <v>1868</v>
      </c>
      <c r="R1200">
        <v>5</v>
      </c>
      <c r="S1200">
        <v>2</v>
      </c>
      <c r="T1200" t="s">
        <v>41</v>
      </c>
      <c r="U1200" t="s">
        <v>33</v>
      </c>
      <c r="V1200" s="3">
        <v>15428</v>
      </c>
      <c r="W1200">
        <v>3.23</v>
      </c>
      <c r="X1200">
        <v>5</v>
      </c>
      <c r="Y1200" s="1">
        <f>EV_Data4[[#This Row],[range_miles]]/EV_Data4[[#This Row],[battery_capacity_kwh]]</f>
        <v>3.6319612590799033</v>
      </c>
      <c r="Z1200" s="4">
        <f>EV_Data4[[#This Row],[price_usd]]/EV_Data4[[#This Row],[range_miles]]</f>
        <v>451.40799999999996</v>
      </c>
      <c r="AA1200" s="2">
        <f>(EV_Data4[[#This Row],[customer_rating]]*EV_Data4[[#This Row],[safety_rating]]*1000)/EV_Data4[[#This Row],[price_usd]]</f>
        <v>0.23851297865050389</v>
      </c>
      <c r="AB1200">
        <f>EV_Data4[[#This Row],[horsepower]]+EV_Data4[[#This Row],[torque_nm]]/EV_Data4[[#This Row],[acceleration_0_60_mph]]</f>
        <v>1033.1530249110319</v>
      </c>
      <c r="AC1200" t="str">
        <f>IF(EV_Data4[[#This Row],[price_usd]]&gt;=80000,"Luxury",IF(EV_Data4[[#This Row],[price_usd]]&gt;=40000,"Mid-Range","Budget"))</f>
        <v>Mid-Range</v>
      </c>
      <c r="AD1200" t="str">
        <f>IF(EV_Data4[[#This Row],[range_miles]]&gt;=350,"Long-Range",IF(EV_Data4[[#This Row],[range_miles]]&gt;=250,"Medium-Range","Short-Range"))</f>
        <v>Short-Range</v>
      </c>
      <c r="AE1200" t="str">
        <f>IF(EV_Data4[[#This Row],[charging_speed_kw]]&gt;=250,"Ultra-Fast",IF(EV_Data4[[#This Row],[charging_speed_kw]]&gt;=150,"Fast-Charging","Standard-Charging"))</f>
        <v>Standard-Charging</v>
      </c>
      <c r="AF1200" t="str">
        <f>IF(EV_Data4[[#This Row],[acceleration_0_60_mph]]&lt;=3,"SportsPerformance",IF(EV_Data4[[#This Row],[acceleration_0_60_mph]]&lt;=5,"HighPerformance","Standard"))</f>
        <v>Standard</v>
      </c>
      <c r="AG1200" t="str">
        <f>IF(EV_Data4[[#This Row],[customer_rating]]&gt;=4.5,"Excellent",IF(EV_Data4[[#This Row],[customer_rating]]&gt;=3.5,"Good","Average"))</f>
        <v>Average</v>
      </c>
      <c r="AH120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01" spans="1:34" x14ac:dyDescent="0.3">
      <c r="A1201" t="s">
        <v>46</v>
      </c>
      <c r="B1201" t="s">
        <v>47</v>
      </c>
      <c r="C1201">
        <v>2025</v>
      </c>
      <c r="D1201" t="s">
        <v>26</v>
      </c>
      <c r="E1201" s="3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48</v>
      </c>
      <c r="N1201">
        <v>7</v>
      </c>
      <c r="O1201" t="s">
        <v>28</v>
      </c>
      <c r="P1201">
        <v>78.599999999999994</v>
      </c>
      <c r="Q1201">
        <v>2220</v>
      </c>
      <c r="R1201">
        <v>5</v>
      </c>
      <c r="S1201">
        <v>2</v>
      </c>
      <c r="T1201" t="s">
        <v>41</v>
      </c>
      <c r="U1201" t="s">
        <v>30</v>
      </c>
      <c r="V1201" s="3">
        <v>126461</v>
      </c>
      <c r="W1201">
        <v>4.1399999999999997</v>
      </c>
      <c r="X1201">
        <v>5</v>
      </c>
      <c r="Y1201" s="1">
        <f>EV_Data4[[#This Row],[range_miles]]/EV_Data4[[#This Row],[battery_capacity_kwh]]</f>
        <v>3.347969264544457</v>
      </c>
      <c r="Z1201" s="4">
        <f>EV_Data4[[#This Row],[price_usd]]/EV_Data4[[#This Row],[range_miles]]</f>
        <v>369.29711475409835</v>
      </c>
      <c r="AA1201" s="2">
        <f>(EV_Data4[[#This Row],[customer_rating]]*EV_Data4[[#This Row],[safety_rating]]*1000)/EV_Data4[[#This Row],[price_usd]]</f>
        <v>0.18377845303288606</v>
      </c>
      <c r="AB1201">
        <f>EV_Data4[[#This Row],[horsepower]]+EV_Data4[[#This Row],[torque_nm]]/EV_Data4[[#This Row],[acceleration_0_60_mph]]</f>
        <v>998.5852417302799</v>
      </c>
      <c r="AC1201" t="str">
        <f>IF(EV_Data4[[#This Row],[price_usd]]&gt;=80000,"Luxury",IF(EV_Data4[[#This Row],[price_usd]]&gt;=40000,"Mid-Range","Budget"))</f>
        <v>Luxury</v>
      </c>
      <c r="AD1201" t="str">
        <f>IF(EV_Data4[[#This Row],[range_miles]]&gt;=350,"Long-Range",IF(EV_Data4[[#This Row],[range_miles]]&gt;=250,"Medium-Range","Short-Range"))</f>
        <v>Medium-Range</v>
      </c>
      <c r="AE1201" t="str">
        <f>IF(EV_Data4[[#This Row],[charging_speed_kw]]&gt;=250,"Ultra-Fast",IF(EV_Data4[[#This Row],[charging_speed_kw]]&gt;=150,"Fast-Charging","Standard-Charging"))</f>
        <v>Ultra-Fast</v>
      </c>
      <c r="AF1201" t="str">
        <f>IF(EV_Data4[[#This Row],[acceleration_0_60_mph]]&lt;=3,"SportsPerformance",IF(EV_Data4[[#This Row],[acceleration_0_60_mph]]&lt;=5,"HighPerformance","Standard"))</f>
        <v>HighPerformance</v>
      </c>
      <c r="AG1201" t="str">
        <f>IF(EV_Data4[[#This Row],[customer_rating]]&gt;=4.5,"Excellent",IF(EV_Data4[[#This Row],[customer_rating]]&gt;=3.5,"Good","Average"))</f>
        <v>Good</v>
      </c>
      <c r="AH120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02" spans="1:34" x14ac:dyDescent="0.3">
      <c r="A1202" t="s">
        <v>38</v>
      </c>
      <c r="B1202" t="s">
        <v>55</v>
      </c>
      <c r="C1202">
        <v>2023</v>
      </c>
      <c r="D1202" t="s">
        <v>61</v>
      </c>
      <c r="E1202" s="3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27</v>
      </c>
      <c r="N1202">
        <v>5</v>
      </c>
      <c r="O1202" t="s">
        <v>50</v>
      </c>
      <c r="P1202">
        <v>20.5</v>
      </c>
      <c r="Q1202">
        <v>1571</v>
      </c>
      <c r="R1202">
        <v>4</v>
      </c>
      <c r="S1202">
        <v>0</v>
      </c>
      <c r="T1202" t="s">
        <v>41</v>
      </c>
      <c r="U1202" t="s">
        <v>37</v>
      </c>
      <c r="V1202" s="3">
        <v>6024</v>
      </c>
      <c r="W1202">
        <v>3.32</v>
      </c>
      <c r="X1202">
        <v>4</v>
      </c>
      <c r="Y1202" s="1">
        <f>EV_Data4[[#This Row],[range_miles]]/EV_Data4[[#This Row],[battery_capacity_kwh]]</f>
        <v>3.1111111111111112</v>
      </c>
      <c r="Z1202" s="4">
        <f>EV_Data4[[#This Row],[price_usd]]/EV_Data4[[#This Row],[range_miles]]</f>
        <v>371.79410714285717</v>
      </c>
      <c r="AA1202" s="2">
        <f>(EV_Data4[[#This Row],[customer_rating]]*EV_Data4[[#This Row],[safety_rating]]*1000)/EV_Data4[[#This Row],[price_usd]]</f>
        <v>0.21261127470545413</v>
      </c>
      <c r="AB1202">
        <f>EV_Data4[[#This Row],[horsepower]]+EV_Data4[[#This Row],[torque_nm]]/EV_Data4[[#This Row],[acceleration_0_60_mph]]</f>
        <v>924.16908850726554</v>
      </c>
      <c r="AC1202" t="str">
        <f>IF(EV_Data4[[#This Row],[price_usd]]&gt;=80000,"Luxury",IF(EV_Data4[[#This Row],[price_usd]]&gt;=40000,"Mid-Range","Budget"))</f>
        <v>Mid-Range</v>
      </c>
      <c r="AD1202" t="str">
        <f>IF(EV_Data4[[#This Row],[range_miles]]&gt;=350,"Long-Range",IF(EV_Data4[[#This Row],[range_miles]]&gt;=250,"Medium-Range","Short-Range"))</f>
        <v>Short-Range</v>
      </c>
      <c r="AE1202" t="str">
        <f>IF(EV_Data4[[#This Row],[charging_speed_kw]]&gt;=250,"Ultra-Fast",IF(EV_Data4[[#This Row],[charging_speed_kw]]&gt;=150,"Fast-Charging","Standard-Charging"))</f>
        <v>Standard-Charging</v>
      </c>
      <c r="AF1202" t="str">
        <f>IF(EV_Data4[[#This Row],[acceleration_0_60_mph]]&lt;=3,"SportsPerformance",IF(EV_Data4[[#This Row],[acceleration_0_60_mph]]&lt;=5,"HighPerformance","Standard"))</f>
        <v>Standard</v>
      </c>
      <c r="AG1202" t="str">
        <f>IF(EV_Data4[[#This Row],[customer_rating]]&gt;=4.5,"Excellent",IF(EV_Data4[[#This Row],[customer_rating]]&gt;=3.5,"Good","Average"))</f>
        <v>Average</v>
      </c>
      <c r="AH120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03" spans="1:34" x14ac:dyDescent="0.3">
      <c r="A1203" t="s">
        <v>46</v>
      </c>
      <c r="B1203" t="s">
        <v>49</v>
      </c>
      <c r="C1203">
        <v>2026</v>
      </c>
      <c r="D1203" t="s">
        <v>44</v>
      </c>
      <c r="E1203" s="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27</v>
      </c>
      <c r="N1203">
        <v>7</v>
      </c>
      <c r="O1203" t="s">
        <v>50</v>
      </c>
      <c r="P1203">
        <v>23.4</v>
      </c>
      <c r="Q1203">
        <v>1738</v>
      </c>
      <c r="R1203">
        <v>4</v>
      </c>
      <c r="S1203">
        <v>2</v>
      </c>
      <c r="T1203" t="s">
        <v>41</v>
      </c>
      <c r="U1203" t="s">
        <v>33</v>
      </c>
      <c r="V1203" s="3">
        <v>490450</v>
      </c>
      <c r="W1203">
        <v>3.83</v>
      </c>
      <c r="X1203">
        <v>6</v>
      </c>
      <c r="Y1203" s="1">
        <f>EV_Data4[[#This Row],[range_miles]]/EV_Data4[[#This Row],[battery_capacity_kwh]]</f>
        <v>3.3898305084745766</v>
      </c>
      <c r="Z1203" s="4">
        <f>EV_Data4[[#This Row],[price_usd]]/EV_Data4[[#This Row],[range_miles]]</f>
        <v>299.03014285714289</v>
      </c>
      <c r="AA1203" s="2">
        <f>(EV_Data4[[#This Row],[customer_rating]]*EV_Data4[[#This Row],[safety_rating]]*1000)/EV_Data4[[#This Row],[price_usd]]</f>
        <v>0.18297247625776855</v>
      </c>
      <c r="AB1203">
        <f>EV_Data4[[#This Row],[horsepower]]+EV_Data4[[#This Row],[torque_nm]]/EV_Data4[[#This Row],[acceleration_0_60_mph]]</f>
        <v>669.46887966804979</v>
      </c>
      <c r="AC1203" t="str">
        <f>IF(EV_Data4[[#This Row],[price_usd]]&gt;=80000,"Luxury",IF(EV_Data4[[#This Row],[price_usd]]&gt;=40000,"Mid-Range","Budget"))</f>
        <v>Luxury</v>
      </c>
      <c r="AD1203" t="str">
        <f>IF(EV_Data4[[#This Row],[range_miles]]&gt;=350,"Long-Range",IF(EV_Data4[[#This Row],[range_miles]]&gt;=250,"Medium-Range","Short-Range"))</f>
        <v>Medium-Range</v>
      </c>
      <c r="AE1203" t="str">
        <f>IF(EV_Data4[[#This Row],[charging_speed_kw]]&gt;=250,"Ultra-Fast",IF(EV_Data4[[#This Row],[charging_speed_kw]]&gt;=150,"Fast-Charging","Standard-Charging"))</f>
        <v>Ultra-Fast</v>
      </c>
      <c r="AF1203" t="str">
        <f>IF(EV_Data4[[#This Row],[acceleration_0_60_mph]]&lt;=3,"SportsPerformance",IF(EV_Data4[[#This Row],[acceleration_0_60_mph]]&lt;=5,"HighPerformance","Standard"))</f>
        <v>HighPerformance</v>
      </c>
      <c r="AG1203" t="str">
        <f>IF(EV_Data4[[#This Row],[customer_rating]]&gt;=4.5,"Excellent",IF(EV_Data4[[#This Row],[customer_rating]]&gt;=3.5,"Good","Average"))</f>
        <v>Good</v>
      </c>
      <c r="AH120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04" spans="1:34" x14ac:dyDescent="0.3">
      <c r="A1204" t="s">
        <v>46</v>
      </c>
      <c r="B1204" t="s">
        <v>78</v>
      </c>
      <c r="C1204">
        <v>2025</v>
      </c>
      <c r="D1204" t="s">
        <v>26</v>
      </c>
      <c r="E1204" s="3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27</v>
      </c>
      <c r="N1204">
        <v>7</v>
      </c>
      <c r="O1204" t="s">
        <v>58</v>
      </c>
      <c r="P1204">
        <v>37.1</v>
      </c>
      <c r="Q1204">
        <v>1630</v>
      </c>
      <c r="R1204">
        <v>4</v>
      </c>
      <c r="S1204">
        <v>2</v>
      </c>
      <c r="T1204" t="s">
        <v>41</v>
      </c>
      <c r="U1204" t="s">
        <v>33</v>
      </c>
      <c r="V1204" s="3">
        <v>139912</v>
      </c>
      <c r="W1204">
        <v>4.17</v>
      </c>
      <c r="X1204">
        <v>6</v>
      </c>
      <c r="Y1204" s="1">
        <f>EV_Data4[[#This Row],[range_miles]]/EV_Data4[[#This Row],[battery_capacity_kwh]]</f>
        <v>3.4602076124567476</v>
      </c>
      <c r="Z1204" s="4">
        <f>EV_Data4[[#This Row],[price_usd]]/EV_Data4[[#This Row],[range_miles]]</f>
        <v>230.40022499999998</v>
      </c>
      <c r="AA1204" s="2">
        <f>(EV_Data4[[#This Row],[customer_rating]]*EV_Data4[[#This Row],[safety_rating]]*1000)/EV_Data4[[#This Row],[price_usd]]</f>
        <v>0.18098940658586596</v>
      </c>
      <c r="AB1204">
        <f>EV_Data4[[#This Row],[horsepower]]+EV_Data4[[#This Row],[torque_nm]]/EV_Data4[[#This Row],[acceleration_0_60_mph]]</f>
        <v>908.01219512195121</v>
      </c>
      <c r="AC1204" t="str">
        <f>IF(EV_Data4[[#This Row],[price_usd]]&gt;=80000,"Luxury",IF(EV_Data4[[#This Row],[price_usd]]&gt;=40000,"Mid-Range","Budget"))</f>
        <v>Luxury</v>
      </c>
      <c r="AD1204" t="str">
        <f>IF(EV_Data4[[#This Row],[range_miles]]&gt;=350,"Long-Range",IF(EV_Data4[[#This Row],[range_miles]]&gt;=250,"Medium-Range","Short-Range"))</f>
        <v>Long-Range</v>
      </c>
      <c r="AE1204" t="str">
        <f>IF(EV_Data4[[#This Row],[charging_speed_kw]]&gt;=250,"Ultra-Fast",IF(EV_Data4[[#This Row],[charging_speed_kw]]&gt;=150,"Fast-Charging","Standard-Charging"))</f>
        <v>Ultra-Fast</v>
      </c>
      <c r="AF1204" t="str">
        <f>IF(EV_Data4[[#This Row],[acceleration_0_60_mph]]&lt;=3,"SportsPerformance",IF(EV_Data4[[#This Row],[acceleration_0_60_mph]]&lt;=5,"HighPerformance","Standard"))</f>
        <v>HighPerformance</v>
      </c>
      <c r="AG1204" t="str">
        <f>IF(EV_Data4[[#This Row],[customer_rating]]&gt;=4.5,"Excellent",IF(EV_Data4[[#This Row],[customer_rating]]&gt;=3.5,"Good","Average"))</f>
        <v>Good</v>
      </c>
      <c r="AH120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05" spans="1:34" x14ac:dyDescent="0.3">
      <c r="A1205" t="s">
        <v>63</v>
      </c>
      <c r="B1205" t="s">
        <v>96</v>
      </c>
      <c r="C1205">
        <v>2023</v>
      </c>
      <c r="D1205" t="s">
        <v>61</v>
      </c>
      <c r="E1205" s="3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27</v>
      </c>
      <c r="N1205">
        <v>5</v>
      </c>
      <c r="O1205" t="s">
        <v>50</v>
      </c>
      <c r="P1205">
        <v>28.6</v>
      </c>
      <c r="Q1205">
        <v>1694</v>
      </c>
      <c r="R1205">
        <v>3</v>
      </c>
      <c r="S1205">
        <v>0</v>
      </c>
      <c r="T1205" t="s">
        <v>65</v>
      </c>
      <c r="U1205" t="s">
        <v>66</v>
      </c>
      <c r="V1205" s="3">
        <v>178149</v>
      </c>
      <c r="W1205">
        <v>3.42</v>
      </c>
      <c r="X1205">
        <v>4</v>
      </c>
      <c r="Y1205" s="1">
        <f>EV_Data4[[#This Row],[range_miles]]/EV_Data4[[#This Row],[battery_capacity_kwh]]</f>
        <v>3.4569536423841059</v>
      </c>
      <c r="Z1205" s="4">
        <f>EV_Data4[[#This Row],[price_usd]]/EV_Data4[[#This Row],[range_miles]]</f>
        <v>90.059731800766286</v>
      </c>
      <c r="AA1205" s="2">
        <f>(EV_Data4[[#This Row],[customer_rating]]*EV_Data4[[#This Row],[safety_rating]]*1000)/EV_Data4[[#This Row],[price_usd]]</f>
        <v>0.4364919153273753</v>
      </c>
      <c r="AB1205">
        <f>EV_Data4[[#This Row],[horsepower]]+EV_Data4[[#This Row],[torque_nm]]/EV_Data4[[#This Row],[acceleration_0_60_mph]]</f>
        <v>253.83154121863799</v>
      </c>
      <c r="AC1205" t="str">
        <f>IF(EV_Data4[[#This Row],[price_usd]]&gt;=80000,"Luxury",IF(EV_Data4[[#This Row],[price_usd]]&gt;=40000,"Mid-Range","Budget"))</f>
        <v>Budget</v>
      </c>
      <c r="AD1205" t="str">
        <f>IF(EV_Data4[[#This Row],[range_miles]]&gt;=350,"Long-Range",IF(EV_Data4[[#This Row],[range_miles]]&gt;=250,"Medium-Range","Short-Range"))</f>
        <v>Medium-Range</v>
      </c>
      <c r="AE1205" t="str">
        <f>IF(EV_Data4[[#This Row],[charging_speed_kw]]&gt;=250,"Ultra-Fast",IF(EV_Data4[[#This Row],[charging_speed_kw]]&gt;=150,"Fast-Charging","Standard-Charging"))</f>
        <v>Standard-Charging</v>
      </c>
      <c r="AF1205" t="str">
        <f>IF(EV_Data4[[#This Row],[acceleration_0_60_mph]]&lt;=3,"SportsPerformance",IF(EV_Data4[[#This Row],[acceleration_0_60_mph]]&lt;=5,"HighPerformance","Standard"))</f>
        <v>Standard</v>
      </c>
      <c r="AG1205" t="str">
        <f>IF(EV_Data4[[#This Row],[customer_rating]]&gt;=4.5,"Excellent",IF(EV_Data4[[#This Row],[customer_rating]]&gt;=3.5,"Good","Average"))</f>
        <v>Average</v>
      </c>
      <c r="AH120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06" spans="1:34" x14ac:dyDescent="0.3">
      <c r="A1206" t="s">
        <v>68</v>
      </c>
      <c r="B1206" t="s">
        <v>69</v>
      </c>
      <c r="C1206">
        <v>2026</v>
      </c>
      <c r="D1206" t="s">
        <v>26</v>
      </c>
      <c r="E1206" s="3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48</v>
      </c>
      <c r="N1206">
        <v>5</v>
      </c>
      <c r="O1206" t="s">
        <v>50</v>
      </c>
      <c r="P1206">
        <v>17.8</v>
      </c>
      <c r="Q1206">
        <v>1720</v>
      </c>
      <c r="R1206">
        <v>4</v>
      </c>
      <c r="S1206">
        <v>0</v>
      </c>
      <c r="T1206" t="s">
        <v>45</v>
      </c>
      <c r="U1206" t="s">
        <v>33</v>
      </c>
      <c r="V1206" s="3">
        <v>58908</v>
      </c>
      <c r="W1206">
        <v>3.8</v>
      </c>
      <c r="X1206">
        <v>3</v>
      </c>
      <c r="Y1206" s="1">
        <f>EV_Data4[[#This Row],[range_miles]]/EV_Data4[[#This Row],[battery_capacity_kwh]]</f>
        <v>3.3981481481481484</v>
      </c>
      <c r="Z1206" s="4">
        <f>EV_Data4[[#This Row],[price_usd]]/EV_Data4[[#This Row],[range_miles]]</f>
        <v>211.98836512261579</v>
      </c>
      <c r="AA1206" s="2">
        <f>(EV_Data4[[#This Row],[customer_rating]]*EV_Data4[[#This Row],[safety_rating]]*1000)/EV_Data4[[#This Row],[price_usd]]</f>
        <v>0.19537342867385274</v>
      </c>
      <c r="AB1206">
        <f>EV_Data4[[#This Row],[horsepower]]+EV_Data4[[#This Row],[torque_nm]]/EV_Data4[[#This Row],[acceleration_0_60_mph]]</f>
        <v>1288.2097378277153</v>
      </c>
      <c r="AC1206" t="str">
        <f>IF(EV_Data4[[#This Row],[price_usd]]&gt;=80000,"Luxury",IF(EV_Data4[[#This Row],[price_usd]]&gt;=40000,"Mid-Range","Budget"))</f>
        <v>Mid-Range</v>
      </c>
      <c r="AD1206" t="str">
        <f>IF(EV_Data4[[#This Row],[range_miles]]&gt;=350,"Long-Range",IF(EV_Data4[[#This Row],[range_miles]]&gt;=250,"Medium-Range","Short-Range"))</f>
        <v>Long-Range</v>
      </c>
      <c r="AE1206" t="str">
        <f>IF(EV_Data4[[#This Row],[charging_speed_kw]]&gt;=250,"Ultra-Fast",IF(EV_Data4[[#This Row],[charging_speed_kw]]&gt;=150,"Fast-Charging","Standard-Charging"))</f>
        <v>Fast-Charging</v>
      </c>
      <c r="AF1206" t="str">
        <f>IF(EV_Data4[[#This Row],[acceleration_0_60_mph]]&lt;=3,"SportsPerformance",IF(EV_Data4[[#This Row],[acceleration_0_60_mph]]&lt;=5,"HighPerformance","Standard"))</f>
        <v>SportsPerformance</v>
      </c>
      <c r="AG1206" t="str">
        <f>IF(EV_Data4[[#This Row],[customer_rating]]&gt;=4.5,"Excellent",IF(EV_Data4[[#This Row],[customer_rating]]&gt;=3.5,"Good","Average"))</f>
        <v>Good</v>
      </c>
      <c r="AH120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07" spans="1:34" x14ac:dyDescent="0.3">
      <c r="A1207" t="s">
        <v>76</v>
      </c>
      <c r="B1207" t="s">
        <v>77</v>
      </c>
      <c r="C1207">
        <v>2022</v>
      </c>
      <c r="D1207" t="s">
        <v>61</v>
      </c>
      <c r="E1207" s="3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48</v>
      </c>
      <c r="N1207">
        <v>5</v>
      </c>
      <c r="O1207" t="s">
        <v>28</v>
      </c>
      <c r="P1207">
        <v>63.1</v>
      </c>
      <c r="Q1207">
        <v>2216</v>
      </c>
      <c r="R1207">
        <v>3</v>
      </c>
      <c r="S1207">
        <v>1</v>
      </c>
      <c r="T1207" t="s">
        <v>41</v>
      </c>
      <c r="U1207" t="s">
        <v>37</v>
      </c>
      <c r="V1207" s="3">
        <v>39584</v>
      </c>
      <c r="W1207">
        <v>3.23</v>
      </c>
      <c r="X1207">
        <v>4</v>
      </c>
      <c r="Y1207" s="1">
        <f>EV_Data4[[#This Row],[range_miles]]/EV_Data4[[#This Row],[battery_capacity_kwh]]</f>
        <v>3.61376673040153</v>
      </c>
      <c r="Z1207" s="4">
        <f>EV_Data4[[#This Row],[price_usd]]/EV_Data4[[#This Row],[range_miles]]</f>
        <v>299.01460317460317</v>
      </c>
      <c r="AA1207" s="2">
        <f>(EV_Data4[[#This Row],[customer_rating]]*EV_Data4[[#This Row],[safety_rating]]*1000)/EV_Data4[[#This Row],[price_usd]]</f>
        <v>0.17146266679123809</v>
      </c>
      <c r="AB1207">
        <f>EV_Data4[[#This Row],[horsepower]]+EV_Data4[[#This Row],[torque_nm]]/EV_Data4[[#This Row],[acceleration_0_60_mph]]</f>
        <v>592.82287822878232</v>
      </c>
      <c r="AC1207" t="str">
        <f>IF(EV_Data4[[#This Row],[price_usd]]&gt;=80000,"Luxury",IF(EV_Data4[[#This Row],[price_usd]]&gt;=40000,"Mid-Range","Budget"))</f>
        <v>Mid-Range</v>
      </c>
      <c r="AD1207" t="str">
        <f>IF(EV_Data4[[#This Row],[range_miles]]&gt;=350,"Long-Range",IF(EV_Data4[[#This Row],[range_miles]]&gt;=250,"Medium-Range","Short-Range"))</f>
        <v>Short-Range</v>
      </c>
      <c r="AE1207" t="str">
        <f>IF(EV_Data4[[#This Row],[charging_speed_kw]]&gt;=250,"Ultra-Fast",IF(EV_Data4[[#This Row],[charging_speed_kw]]&gt;=150,"Fast-Charging","Standard-Charging"))</f>
        <v>Standard-Charging</v>
      </c>
      <c r="AF1207" t="str">
        <f>IF(EV_Data4[[#This Row],[acceleration_0_60_mph]]&lt;=3,"SportsPerformance",IF(EV_Data4[[#This Row],[acceleration_0_60_mph]]&lt;=5,"HighPerformance","Standard"))</f>
        <v>Standard</v>
      </c>
      <c r="AG1207" t="str">
        <f>IF(EV_Data4[[#This Row],[customer_rating]]&gt;=4.5,"Excellent",IF(EV_Data4[[#This Row],[customer_rating]]&gt;=3.5,"Good","Average"))</f>
        <v>Average</v>
      </c>
      <c r="AH120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08" spans="1:34" x14ac:dyDescent="0.3">
      <c r="A1208" t="s">
        <v>83</v>
      </c>
      <c r="B1208" t="s">
        <v>89</v>
      </c>
      <c r="C1208">
        <v>2025</v>
      </c>
      <c r="D1208" t="s">
        <v>61</v>
      </c>
      <c r="E1208" s="3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34</v>
      </c>
      <c r="N1208">
        <v>5</v>
      </c>
      <c r="O1208" t="s">
        <v>40</v>
      </c>
      <c r="P1208">
        <v>73.599999999999994</v>
      </c>
      <c r="Q1208">
        <v>1576</v>
      </c>
      <c r="R1208">
        <v>4</v>
      </c>
      <c r="S1208">
        <v>2</v>
      </c>
      <c r="T1208" t="s">
        <v>29</v>
      </c>
      <c r="U1208" t="s">
        <v>33</v>
      </c>
      <c r="V1208" s="3">
        <v>73019</v>
      </c>
      <c r="W1208">
        <v>3.53</v>
      </c>
      <c r="X1208">
        <v>5</v>
      </c>
      <c r="Y1208" s="1">
        <f>EV_Data4[[#This Row],[range_miles]]/EV_Data4[[#This Row],[battery_capacity_kwh]]</f>
        <v>3.7073170731707319</v>
      </c>
      <c r="Z1208" s="4">
        <f>EV_Data4[[#This Row],[price_usd]]/EV_Data4[[#This Row],[range_miles]]</f>
        <v>227.20641447368422</v>
      </c>
      <c r="AA1208" s="2">
        <f>(EV_Data4[[#This Row],[customer_rating]]*EV_Data4[[#This Row],[safety_rating]]*1000)/EV_Data4[[#This Row],[price_usd]]</f>
        <v>0.20442806832125032</v>
      </c>
      <c r="AB1208">
        <f>EV_Data4[[#This Row],[horsepower]]+EV_Data4[[#This Row],[torque_nm]]/EV_Data4[[#This Row],[acceleration_0_60_mph]]</f>
        <v>422.54111405835545</v>
      </c>
      <c r="AC1208" t="str">
        <f>IF(EV_Data4[[#This Row],[price_usd]]&gt;=80000,"Luxury",IF(EV_Data4[[#This Row],[price_usd]]&gt;=40000,"Mid-Range","Budget"))</f>
        <v>Mid-Range</v>
      </c>
      <c r="AD1208" t="str">
        <f>IF(EV_Data4[[#This Row],[range_miles]]&gt;=350,"Long-Range",IF(EV_Data4[[#This Row],[range_miles]]&gt;=250,"Medium-Range","Short-Range"))</f>
        <v>Medium-Range</v>
      </c>
      <c r="AE1208" t="str">
        <f>IF(EV_Data4[[#This Row],[charging_speed_kw]]&gt;=250,"Ultra-Fast",IF(EV_Data4[[#This Row],[charging_speed_kw]]&gt;=150,"Fast-Charging","Standard-Charging"))</f>
        <v>Standard-Charging</v>
      </c>
      <c r="AF1208" t="str">
        <f>IF(EV_Data4[[#This Row],[acceleration_0_60_mph]]&lt;=3,"SportsPerformance",IF(EV_Data4[[#This Row],[acceleration_0_60_mph]]&lt;=5,"HighPerformance","Standard"))</f>
        <v>Standard</v>
      </c>
      <c r="AG1208" t="str">
        <f>IF(EV_Data4[[#This Row],[customer_rating]]&gt;=4.5,"Excellent",IF(EV_Data4[[#This Row],[customer_rating]]&gt;=3.5,"Good","Average"))</f>
        <v>Good</v>
      </c>
      <c r="AH120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09" spans="1:34" x14ac:dyDescent="0.3">
      <c r="A1209" t="s">
        <v>24</v>
      </c>
      <c r="B1209" t="s">
        <v>70</v>
      </c>
      <c r="C1209">
        <v>2024</v>
      </c>
      <c r="D1209" t="s">
        <v>33</v>
      </c>
      <c r="E1209" s="3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27</v>
      </c>
      <c r="N1209">
        <v>5</v>
      </c>
      <c r="O1209" t="s">
        <v>58</v>
      </c>
      <c r="P1209">
        <v>37.9</v>
      </c>
      <c r="Q1209">
        <v>1541</v>
      </c>
      <c r="R1209">
        <v>5</v>
      </c>
      <c r="S1209">
        <v>0</v>
      </c>
      <c r="T1209" t="s">
        <v>29</v>
      </c>
      <c r="U1209" t="s">
        <v>30</v>
      </c>
      <c r="V1209" s="3">
        <v>244997</v>
      </c>
      <c r="W1209">
        <v>3.38</v>
      </c>
      <c r="X1209">
        <v>3</v>
      </c>
      <c r="Y1209" s="1">
        <f>EV_Data4[[#This Row],[range_miles]]/EV_Data4[[#This Row],[battery_capacity_kwh]]</f>
        <v>3.2223903177004543</v>
      </c>
      <c r="Z1209" s="4">
        <f>EV_Data4[[#This Row],[price_usd]]/EV_Data4[[#This Row],[range_miles]]</f>
        <v>529.65863849765253</v>
      </c>
      <c r="AA1209" s="2">
        <f>(EV_Data4[[#This Row],[customer_rating]]*EV_Data4[[#This Row],[safety_rating]]*1000)/EV_Data4[[#This Row],[price_usd]]</f>
        <v>0.14979973371102959</v>
      </c>
      <c r="AB1209">
        <f>EV_Data4[[#This Row],[horsepower]]+EV_Data4[[#This Row],[torque_nm]]/EV_Data4[[#This Row],[acceleration_0_60_mph]]</f>
        <v>1130.9941520467837</v>
      </c>
      <c r="AC1209" t="str">
        <f>IF(EV_Data4[[#This Row],[price_usd]]&gt;=80000,"Luxury",IF(EV_Data4[[#This Row],[price_usd]]&gt;=40000,"Mid-Range","Budget"))</f>
        <v>Luxury</v>
      </c>
      <c r="AD1209" t="str">
        <f>IF(EV_Data4[[#This Row],[range_miles]]&gt;=350,"Long-Range",IF(EV_Data4[[#This Row],[range_miles]]&gt;=250,"Medium-Range","Short-Range"))</f>
        <v>Short-Range</v>
      </c>
      <c r="AE1209" t="str">
        <f>IF(EV_Data4[[#This Row],[charging_speed_kw]]&gt;=250,"Ultra-Fast",IF(EV_Data4[[#This Row],[charging_speed_kw]]&gt;=150,"Fast-Charging","Standard-Charging"))</f>
        <v>Standard-Charging</v>
      </c>
      <c r="AF1209" t="str">
        <f>IF(EV_Data4[[#This Row],[acceleration_0_60_mph]]&lt;=3,"SportsPerformance",IF(EV_Data4[[#This Row],[acceleration_0_60_mph]]&lt;=5,"HighPerformance","Standard"))</f>
        <v>Standard</v>
      </c>
      <c r="AG1209" t="str">
        <f>IF(EV_Data4[[#This Row],[customer_rating]]&gt;=4.5,"Excellent",IF(EV_Data4[[#This Row],[customer_rating]]&gt;=3.5,"Good","Average"))</f>
        <v>Average</v>
      </c>
      <c r="AH120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10" spans="1:34" x14ac:dyDescent="0.3">
      <c r="A1210" t="s">
        <v>63</v>
      </c>
      <c r="B1210" t="s">
        <v>73</v>
      </c>
      <c r="C1210">
        <v>2025</v>
      </c>
      <c r="D1210" t="s">
        <v>61</v>
      </c>
      <c r="E1210" s="3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27</v>
      </c>
      <c r="N1210">
        <v>7</v>
      </c>
      <c r="O1210" t="s">
        <v>58</v>
      </c>
      <c r="P1210">
        <v>15.7</v>
      </c>
      <c r="Q1210">
        <v>1500</v>
      </c>
      <c r="R1210">
        <v>3</v>
      </c>
      <c r="S1210">
        <v>0</v>
      </c>
      <c r="T1210" t="s">
        <v>65</v>
      </c>
      <c r="U1210" t="s">
        <v>66</v>
      </c>
      <c r="V1210" s="3">
        <v>207345</v>
      </c>
      <c r="W1210">
        <v>3.08</v>
      </c>
      <c r="X1210">
        <v>5</v>
      </c>
      <c r="Y1210" s="1">
        <f>EV_Data4[[#This Row],[range_miles]]/EV_Data4[[#This Row],[battery_capacity_kwh]]</f>
        <v>3.3557046979865768</v>
      </c>
      <c r="Z1210" s="4">
        <f>EV_Data4[[#This Row],[price_usd]]/EV_Data4[[#This Row],[range_miles]]</f>
        <v>187.18726666666666</v>
      </c>
      <c r="AA1210" s="2">
        <f>(EV_Data4[[#This Row],[customer_rating]]*EV_Data4[[#This Row],[safety_rating]]*1000)/EV_Data4[[#This Row],[price_usd]]</f>
        <v>0.32908221321322068</v>
      </c>
      <c r="AB1210">
        <f>EV_Data4[[#This Row],[horsepower]]+EV_Data4[[#This Row],[torque_nm]]/EV_Data4[[#This Row],[acceleration_0_60_mph]]</f>
        <v>289.76923076923077</v>
      </c>
      <c r="AC1210" t="str">
        <f>IF(EV_Data4[[#This Row],[price_usd]]&gt;=80000,"Luxury",IF(EV_Data4[[#This Row],[price_usd]]&gt;=40000,"Mid-Range","Budget"))</f>
        <v>Budget</v>
      </c>
      <c r="AD1210" t="str">
        <f>IF(EV_Data4[[#This Row],[range_miles]]&gt;=350,"Long-Range",IF(EV_Data4[[#This Row],[range_miles]]&gt;=250,"Medium-Range","Short-Range"))</f>
        <v>Short-Range</v>
      </c>
      <c r="AE1210" t="str">
        <f>IF(EV_Data4[[#This Row],[charging_speed_kw]]&gt;=250,"Ultra-Fast",IF(EV_Data4[[#This Row],[charging_speed_kw]]&gt;=150,"Fast-Charging","Standard-Charging"))</f>
        <v>Standard-Charging</v>
      </c>
      <c r="AF1210" t="str">
        <f>IF(EV_Data4[[#This Row],[acceleration_0_60_mph]]&lt;=3,"SportsPerformance",IF(EV_Data4[[#This Row],[acceleration_0_60_mph]]&lt;=5,"HighPerformance","Standard"))</f>
        <v>Standard</v>
      </c>
      <c r="AG1210" t="str">
        <f>IF(EV_Data4[[#This Row],[customer_rating]]&gt;=4.5,"Excellent",IF(EV_Data4[[#This Row],[customer_rating]]&gt;=3.5,"Good","Average"))</f>
        <v>Average</v>
      </c>
      <c r="AH121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11" spans="1:34" x14ac:dyDescent="0.3">
      <c r="A1211" t="s">
        <v>131</v>
      </c>
      <c r="B1211" t="s">
        <v>132</v>
      </c>
      <c r="C1211">
        <v>2024</v>
      </c>
      <c r="D1211" t="s">
        <v>56</v>
      </c>
      <c r="E1211" s="3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48</v>
      </c>
      <c r="N1211">
        <v>7</v>
      </c>
      <c r="O1211" t="s">
        <v>28</v>
      </c>
      <c r="P1211">
        <v>53.3</v>
      </c>
      <c r="Q1211">
        <v>2209</v>
      </c>
      <c r="R1211">
        <v>5</v>
      </c>
      <c r="S1211">
        <v>1</v>
      </c>
      <c r="T1211" t="s">
        <v>65</v>
      </c>
      <c r="U1211" t="s">
        <v>33</v>
      </c>
      <c r="V1211" s="3">
        <v>26829</v>
      </c>
      <c r="W1211">
        <v>3.48</v>
      </c>
      <c r="X1211">
        <v>4</v>
      </c>
      <c r="Y1211" s="1">
        <f>EV_Data4[[#This Row],[range_miles]]/EV_Data4[[#This Row],[battery_capacity_kwh]]</f>
        <v>3.7623762376237622</v>
      </c>
      <c r="Z1211" s="4">
        <f>EV_Data4[[#This Row],[price_usd]]/EV_Data4[[#This Row],[range_miles]]</f>
        <v>355.91957894736845</v>
      </c>
      <c r="AA1211" s="2">
        <f>(EV_Data4[[#This Row],[customer_rating]]*EV_Data4[[#This Row],[safety_rating]]*1000)/EV_Data4[[#This Row],[price_usd]]</f>
        <v>0.25730235925560946</v>
      </c>
      <c r="AB1211">
        <f>EV_Data4[[#This Row],[horsepower]]+EV_Data4[[#This Row],[torque_nm]]/EV_Data4[[#This Row],[acceleration_0_60_mph]]</f>
        <v>797.99256505576204</v>
      </c>
      <c r="AC1211" t="str">
        <f>IF(EV_Data4[[#This Row],[price_usd]]&gt;=80000,"Luxury",IF(EV_Data4[[#This Row],[price_usd]]&gt;=40000,"Mid-Range","Budget"))</f>
        <v>Mid-Range</v>
      </c>
      <c r="AD1211" t="str">
        <f>IF(EV_Data4[[#This Row],[range_miles]]&gt;=350,"Long-Range",IF(EV_Data4[[#This Row],[range_miles]]&gt;=250,"Medium-Range","Short-Range"))</f>
        <v>Short-Range</v>
      </c>
      <c r="AE1211" t="str">
        <f>IF(EV_Data4[[#This Row],[charging_speed_kw]]&gt;=250,"Ultra-Fast",IF(EV_Data4[[#This Row],[charging_speed_kw]]&gt;=150,"Fast-Charging","Standard-Charging"))</f>
        <v>Standard-Charging</v>
      </c>
      <c r="AF1211" t="str">
        <f>IF(EV_Data4[[#This Row],[acceleration_0_60_mph]]&lt;=3,"SportsPerformance",IF(EV_Data4[[#This Row],[acceleration_0_60_mph]]&lt;=5,"HighPerformance","Standard"))</f>
        <v>Standard</v>
      </c>
      <c r="AG1211" t="str">
        <f>IF(EV_Data4[[#This Row],[customer_rating]]&gt;=4.5,"Excellent",IF(EV_Data4[[#This Row],[customer_rating]]&gt;=3.5,"Good","Average"))</f>
        <v>Average</v>
      </c>
      <c r="AH121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12" spans="1:34" x14ac:dyDescent="0.3">
      <c r="A1212" t="s">
        <v>24</v>
      </c>
      <c r="B1212" t="s">
        <v>70</v>
      </c>
      <c r="C1212">
        <v>2024</v>
      </c>
      <c r="D1212" t="s">
        <v>61</v>
      </c>
      <c r="E1212" s="3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27</v>
      </c>
      <c r="N1212">
        <v>5</v>
      </c>
      <c r="O1212" t="s">
        <v>28</v>
      </c>
      <c r="P1212">
        <v>54.6</v>
      </c>
      <c r="Q1212">
        <v>2492</v>
      </c>
      <c r="R1212">
        <v>5</v>
      </c>
      <c r="S1212">
        <v>0</v>
      </c>
      <c r="T1212" t="s">
        <v>29</v>
      </c>
      <c r="U1212" t="s">
        <v>37</v>
      </c>
      <c r="V1212" s="3">
        <v>251931</v>
      </c>
      <c r="W1212">
        <v>3.32</v>
      </c>
      <c r="X1212">
        <v>3</v>
      </c>
      <c r="Y1212" s="1">
        <f>EV_Data4[[#This Row],[range_miles]]/EV_Data4[[#This Row],[battery_capacity_kwh]]</f>
        <v>3.5044247787610621</v>
      </c>
      <c r="Z1212" s="4">
        <f>EV_Data4[[#This Row],[price_usd]]/EV_Data4[[#This Row],[range_miles]]</f>
        <v>228.27393939393937</v>
      </c>
      <c r="AA1212" s="2">
        <f>(EV_Data4[[#This Row],[customer_rating]]*EV_Data4[[#This Row],[safety_rating]]*1000)/EV_Data4[[#This Row],[price_usd]]</f>
        <v>0.36727093798342586</v>
      </c>
      <c r="AB1212">
        <f>EV_Data4[[#This Row],[horsepower]]+EV_Data4[[#This Row],[torque_nm]]/EV_Data4[[#This Row],[acceleration_0_60_mph]]</f>
        <v>420.90575916230364</v>
      </c>
      <c r="AC1212" t="str">
        <f>IF(EV_Data4[[#This Row],[price_usd]]&gt;=80000,"Luxury",IF(EV_Data4[[#This Row],[price_usd]]&gt;=40000,"Mid-Range","Budget"))</f>
        <v>Mid-Range</v>
      </c>
      <c r="AD1212" t="str">
        <f>IF(EV_Data4[[#This Row],[range_miles]]&gt;=350,"Long-Range",IF(EV_Data4[[#This Row],[range_miles]]&gt;=250,"Medium-Range","Short-Range"))</f>
        <v>Short-Range</v>
      </c>
      <c r="AE1212" t="str">
        <f>IF(EV_Data4[[#This Row],[charging_speed_kw]]&gt;=250,"Ultra-Fast",IF(EV_Data4[[#This Row],[charging_speed_kw]]&gt;=150,"Fast-Charging","Standard-Charging"))</f>
        <v>Standard-Charging</v>
      </c>
      <c r="AF1212" t="str">
        <f>IF(EV_Data4[[#This Row],[acceleration_0_60_mph]]&lt;=3,"SportsPerformance",IF(EV_Data4[[#This Row],[acceleration_0_60_mph]]&lt;=5,"HighPerformance","Standard"))</f>
        <v>Standard</v>
      </c>
      <c r="AG1212" t="str">
        <f>IF(EV_Data4[[#This Row],[customer_rating]]&gt;=4.5,"Excellent",IF(EV_Data4[[#This Row],[customer_rating]]&gt;=3.5,"Good","Average"))</f>
        <v>Average</v>
      </c>
      <c r="AH121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13" spans="1:34" x14ac:dyDescent="0.3">
      <c r="A1213" t="s">
        <v>24</v>
      </c>
      <c r="B1213" t="s">
        <v>25</v>
      </c>
      <c r="C1213">
        <v>2025</v>
      </c>
      <c r="D1213" t="s">
        <v>61</v>
      </c>
      <c r="E1213" s="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27</v>
      </c>
      <c r="N1213">
        <v>5</v>
      </c>
      <c r="O1213" t="s">
        <v>50</v>
      </c>
      <c r="P1213">
        <v>36</v>
      </c>
      <c r="Q1213">
        <v>1579</v>
      </c>
      <c r="R1213">
        <v>5</v>
      </c>
      <c r="S1213">
        <v>0</v>
      </c>
      <c r="T1213" t="s">
        <v>29</v>
      </c>
      <c r="U1213" t="s">
        <v>66</v>
      </c>
      <c r="V1213" s="3">
        <v>204604</v>
      </c>
      <c r="W1213">
        <v>3.5</v>
      </c>
      <c r="X1213">
        <v>4</v>
      </c>
      <c r="Y1213" s="1">
        <f>EV_Data4[[#This Row],[range_miles]]/EV_Data4[[#This Row],[battery_capacity_kwh]]</f>
        <v>3.2297063903281522</v>
      </c>
      <c r="Z1213" s="4">
        <f>EV_Data4[[#This Row],[price_usd]]/EV_Data4[[#This Row],[range_miles]]</f>
        <v>186.70294117647057</v>
      </c>
      <c r="AA1213" s="2">
        <f>(EV_Data4[[#This Row],[customer_rating]]*EV_Data4[[#This Row],[safety_rating]]*1000)/EV_Data4[[#This Row],[price_usd]]</f>
        <v>0.50123949366218468</v>
      </c>
      <c r="AB1213">
        <f>EV_Data4[[#This Row],[horsepower]]+EV_Data4[[#This Row],[torque_nm]]/EV_Data4[[#This Row],[acceleration_0_60_mph]]</f>
        <v>219.54209748892171</v>
      </c>
      <c r="AC1213" t="str">
        <f>IF(EV_Data4[[#This Row],[price_usd]]&gt;=80000,"Luxury",IF(EV_Data4[[#This Row],[price_usd]]&gt;=40000,"Mid-Range","Budget"))</f>
        <v>Budget</v>
      </c>
      <c r="AD1213" t="str">
        <f>IF(EV_Data4[[#This Row],[range_miles]]&gt;=350,"Long-Range",IF(EV_Data4[[#This Row],[range_miles]]&gt;=250,"Medium-Range","Short-Range"))</f>
        <v>Short-Range</v>
      </c>
      <c r="AE1213" t="str">
        <f>IF(EV_Data4[[#This Row],[charging_speed_kw]]&gt;=250,"Ultra-Fast",IF(EV_Data4[[#This Row],[charging_speed_kw]]&gt;=150,"Fast-Charging","Standard-Charging"))</f>
        <v>Standard-Charging</v>
      </c>
      <c r="AF1213" t="str">
        <f>IF(EV_Data4[[#This Row],[acceleration_0_60_mph]]&lt;=3,"SportsPerformance",IF(EV_Data4[[#This Row],[acceleration_0_60_mph]]&lt;=5,"HighPerformance","Standard"))</f>
        <v>Standard</v>
      </c>
      <c r="AG1213" t="str">
        <f>IF(EV_Data4[[#This Row],[customer_rating]]&gt;=4.5,"Excellent",IF(EV_Data4[[#This Row],[customer_rating]]&gt;=3.5,"Good","Average"))</f>
        <v>Good</v>
      </c>
      <c r="AH121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14" spans="1:34" x14ac:dyDescent="0.3">
      <c r="A1214" t="s">
        <v>46</v>
      </c>
      <c r="B1214" t="s">
        <v>78</v>
      </c>
      <c r="C1214">
        <v>2022</v>
      </c>
      <c r="D1214" t="s">
        <v>56</v>
      </c>
      <c r="E1214" s="3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27</v>
      </c>
      <c r="N1214">
        <v>5</v>
      </c>
      <c r="O1214" t="s">
        <v>51</v>
      </c>
      <c r="P1214">
        <v>37.5</v>
      </c>
      <c r="Q1214">
        <v>1686</v>
      </c>
      <c r="R1214">
        <v>4</v>
      </c>
      <c r="S1214">
        <v>2</v>
      </c>
      <c r="T1214" t="s">
        <v>41</v>
      </c>
      <c r="U1214" t="s">
        <v>37</v>
      </c>
      <c r="V1214" s="3">
        <v>178460</v>
      </c>
      <c r="W1214">
        <v>3.67</v>
      </c>
      <c r="X1214">
        <v>5</v>
      </c>
      <c r="Y1214" s="1">
        <f>EV_Data4[[#This Row],[range_miles]]/EV_Data4[[#This Row],[battery_capacity_kwh]]</f>
        <v>3.6009445100354189</v>
      </c>
      <c r="Z1214" s="4">
        <f>EV_Data4[[#This Row],[price_usd]]/EV_Data4[[#This Row],[range_miles]]</f>
        <v>174.54380327868853</v>
      </c>
      <c r="AA1214" s="2">
        <f>(EV_Data4[[#This Row],[customer_rating]]*EV_Data4[[#This Row],[safety_rating]]*1000)/EV_Data4[[#This Row],[price_usd]]</f>
        <v>0.27575397485830039</v>
      </c>
      <c r="AB1214">
        <f>EV_Data4[[#This Row],[horsepower]]+EV_Data4[[#This Row],[torque_nm]]/EV_Data4[[#This Row],[acceleration_0_60_mph]]</f>
        <v>425.09090909090912</v>
      </c>
      <c r="AC1214" t="str">
        <f>IF(EV_Data4[[#This Row],[price_usd]]&gt;=80000,"Luxury",IF(EV_Data4[[#This Row],[price_usd]]&gt;=40000,"Mid-Range","Budget"))</f>
        <v>Mid-Range</v>
      </c>
      <c r="AD1214" t="str">
        <f>IF(EV_Data4[[#This Row],[range_miles]]&gt;=350,"Long-Range",IF(EV_Data4[[#This Row],[range_miles]]&gt;=250,"Medium-Range","Short-Range"))</f>
        <v>Medium-Range</v>
      </c>
      <c r="AE1214" t="str">
        <f>IF(EV_Data4[[#This Row],[charging_speed_kw]]&gt;=250,"Ultra-Fast",IF(EV_Data4[[#This Row],[charging_speed_kw]]&gt;=150,"Fast-Charging","Standard-Charging"))</f>
        <v>Fast-Charging</v>
      </c>
      <c r="AF1214" t="str">
        <f>IF(EV_Data4[[#This Row],[acceleration_0_60_mph]]&lt;=3,"SportsPerformance",IF(EV_Data4[[#This Row],[acceleration_0_60_mph]]&lt;=5,"HighPerformance","Standard"))</f>
        <v>Standard</v>
      </c>
      <c r="AG1214" t="str">
        <f>IF(EV_Data4[[#This Row],[customer_rating]]&gt;=4.5,"Excellent",IF(EV_Data4[[#This Row],[customer_rating]]&gt;=3.5,"Good","Average"))</f>
        <v>Good</v>
      </c>
      <c r="AH121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15" spans="1:34" x14ac:dyDescent="0.3">
      <c r="A1215" t="s">
        <v>76</v>
      </c>
      <c r="B1215" t="s">
        <v>81</v>
      </c>
      <c r="C1215">
        <v>2023</v>
      </c>
      <c r="D1215" t="s">
        <v>26</v>
      </c>
      <c r="E1215" s="3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48</v>
      </c>
      <c r="N1215">
        <v>5</v>
      </c>
      <c r="O1215" t="s">
        <v>51</v>
      </c>
      <c r="P1215">
        <v>27.8</v>
      </c>
      <c r="Q1215">
        <v>1647</v>
      </c>
      <c r="R1215">
        <v>4</v>
      </c>
      <c r="S1215">
        <v>0</v>
      </c>
      <c r="T1215" t="s">
        <v>41</v>
      </c>
      <c r="U1215" t="s">
        <v>33</v>
      </c>
      <c r="V1215" s="3">
        <v>41203</v>
      </c>
      <c r="W1215">
        <v>3.73</v>
      </c>
      <c r="X1215">
        <v>4</v>
      </c>
      <c r="Y1215" s="1">
        <f>EV_Data4[[#This Row],[range_miles]]/EV_Data4[[#This Row],[battery_capacity_kwh]]</f>
        <v>3.5246636771300448</v>
      </c>
      <c r="Z1215" s="4">
        <f>EV_Data4[[#This Row],[price_usd]]/EV_Data4[[#This Row],[range_miles]]</f>
        <v>200.29223918575065</v>
      </c>
      <c r="AA1215" s="2">
        <f>(EV_Data4[[#This Row],[customer_rating]]*EV_Data4[[#This Row],[safety_rating]]*1000)/EV_Data4[[#This Row],[price_usd]]</f>
        <v>0.18954492068523282</v>
      </c>
      <c r="AB1215">
        <f>EV_Data4[[#This Row],[horsepower]]+EV_Data4[[#This Row],[torque_nm]]/EV_Data4[[#This Row],[acceleration_0_60_mph]]</f>
        <v>1107.5569007263923</v>
      </c>
      <c r="AC1215" t="str">
        <f>IF(EV_Data4[[#This Row],[price_usd]]&gt;=80000,"Luxury",IF(EV_Data4[[#This Row],[price_usd]]&gt;=40000,"Mid-Range","Budget"))</f>
        <v>Mid-Range</v>
      </c>
      <c r="AD1215" t="str">
        <f>IF(EV_Data4[[#This Row],[range_miles]]&gt;=350,"Long-Range",IF(EV_Data4[[#This Row],[range_miles]]&gt;=250,"Medium-Range","Short-Range"))</f>
        <v>Long-Range</v>
      </c>
      <c r="AE1215" t="str">
        <f>IF(EV_Data4[[#This Row],[charging_speed_kw]]&gt;=250,"Ultra-Fast",IF(EV_Data4[[#This Row],[charging_speed_kw]]&gt;=150,"Fast-Charging","Standard-Charging"))</f>
        <v>Fast-Charging</v>
      </c>
      <c r="AF1215" t="str">
        <f>IF(EV_Data4[[#This Row],[acceleration_0_60_mph]]&lt;=3,"SportsPerformance",IF(EV_Data4[[#This Row],[acceleration_0_60_mph]]&lt;=5,"HighPerformance","Standard"))</f>
        <v>HighPerformance</v>
      </c>
      <c r="AG1215" t="str">
        <f>IF(EV_Data4[[#This Row],[customer_rating]]&gt;=4.5,"Excellent",IF(EV_Data4[[#This Row],[customer_rating]]&gt;=3.5,"Good","Average"))</f>
        <v>Good</v>
      </c>
      <c r="AH121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16" spans="1:34" x14ac:dyDescent="0.3">
      <c r="A1216" t="s">
        <v>38</v>
      </c>
      <c r="B1216" t="s">
        <v>101</v>
      </c>
      <c r="C1216">
        <v>2024</v>
      </c>
      <c r="D1216" t="s">
        <v>61</v>
      </c>
      <c r="E1216" s="3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34</v>
      </c>
      <c r="N1216">
        <v>5</v>
      </c>
      <c r="O1216" t="s">
        <v>35</v>
      </c>
      <c r="P1216">
        <v>57</v>
      </c>
      <c r="Q1216">
        <v>2167</v>
      </c>
      <c r="R1216">
        <v>5</v>
      </c>
      <c r="S1216">
        <v>1</v>
      </c>
      <c r="T1216" t="s">
        <v>41</v>
      </c>
      <c r="U1216" t="s">
        <v>37</v>
      </c>
      <c r="V1216" s="3">
        <v>24368</v>
      </c>
      <c r="W1216">
        <v>3.41</v>
      </c>
      <c r="X1216">
        <v>4</v>
      </c>
      <c r="Y1216" s="1">
        <f>EV_Data4[[#This Row],[range_miles]]/EV_Data4[[#This Row],[battery_capacity_kwh]]</f>
        <v>3.3632286995515694</v>
      </c>
      <c r="Z1216" s="4">
        <f>EV_Data4[[#This Row],[price_usd]]/EV_Data4[[#This Row],[range_miles]]</f>
        <v>380.43513333333334</v>
      </c>
      <c r="AA1216" s="2">
        <f>(EV_Data4[[#This Row],[customer_rating]]*EV_Data4[[#This Row],[safety_rating]]*1000)/EV_Data4[[#This Row],[price_usd]]</f>
        <v>0.29878067693362359</v>
      </c>
      <c r="AB1216">
        <f>EV_Data4[[#This Row],[horsepower]]+EV_Data4[[#This Row],[torque_nm]]/EV_Data4[[#This Row],[acceleration_0_60_mph]]</f>
        <v>855.69639794168097</v>
      </c>
      <c r="AC1216" t="str">
        <f>IF(EV_Data4[[#This Row],[price_usd]]&gt;=80000,"Luxury",IF(EV_Data4[[#This Row],[price_usd]]&gt;=40000,"Mid-Range","Budget"))</f>
        <v>Mid-Range</v>
      </c>
      <c r="AD1216" t="str">
        <f>IF(EV_Data4[[#This Row],[range_miles]]&gt;=350,"Long-Range",IF(EV_Data4[[#This Row],[range_miles]]&gt;=250,"Medium-Range","Short-Range"))</f>
        <v>Short-Range</v>
      </c>
      <c r="AE1216" t="str">
        <f>IF(EV_Data4[[#This Row],[charging_speed_kw]]&gt;=250,"Ultra-Fast",IF(EV_Data4[[#This Row],[charging_speed_kw]]&gt;=150,"Fast-Charging","Standard-Charging"))</f>
        <v>Standard-Charging</v>
      </c>
      <c r="AF1216" t="str">
        <f>IF(EV_Data4[[#This Row],[acceleration_0_60_mph]]&lt;=3,"SportsPerformance",IF(EV_Data4[[#This Row],[acceleration_0_60_mph]]&lt;=5,"HighPerformance","Standard"))</f>
        <v>Standard</v>
      </c>
      <c r="AG1216" t="str">
        <f>IF(EV_Data4[[#This Row],[customer_rating]]&gt;=4.5,"Excellent",IF(EV_Data4[[#This Row],[customer_rating]]&gt;=3.5,"Good","Average"))</f>
        <v>Average</v>
      </c>
      <c r="AH121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17" spans="1:34" x14ac:dyDescent="0.3">
      <c r="A1217" t="s">
        <v>63</v>
      </c>
      <c r="B1217" t="s">
        <v>73</v>
      </c>
      <c r="C1217">
        <v>2025</v>
      </c>
      <c r="D1217" t="s">
        <v>26</v>
      </c>
      <c r="E1217" s="3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48</v>
      </c>
      <c r="N1217">
        <v>7</v>
      </c>
      <c r="O1217" t="s">
        <v>28</v>
      </c>
      <c r="P1217">
        <v>72.099999999999994</v>
      </c>
      <c r="Q1217">
        <v>2485</v>
      </c>
      <c r="R1217">
        <v>3</v>
      </c>
      <c r="S1217">
        <v>2</v>
      </c>
      <c r="T1217" t="s">
        <v>65</v>
      </c>
      <c r="U1217" t="s">
        <v>30</v>
      </c>
      <c r="V1217" s="3">
        <v>193570</v>
      </c>
      <c r="W1217">
        <v>3.68</v>
      </c>
      <c r="X1217">
        <v>5</v>
      </c>
      <c r="Y1217" s="1">
        <f>EV_Data4[[#This Row],[range_miles]]/EV_Data4[[#This Row],[battery_capacity_kwh]]</f>
        <v>3.7278106508875739</v>
      </c>
      <c r="Z1217" s="4">
        <f>EV_Data4[[#This Row],[price_usd]]/EV_Data4[[#This Row],[range_miles]]</f>
        <v>361.60742857142856</v>
      </c>
      <c r="AA1217" s="2">
        <f>(EV_Data4[[#This Row],[customer_rating]]*EV_Data4[[#This Row],[safety_rating]]*1000)/EV_Data4[[#This Row],[price_usd]]</f>
        <v>9.6921734119452901E-2</v>
      </c>
      <c r="AB1217">
        <f>EV_Data4[[#This Row],[horsepower]]+EV_Data4[[#This Row],[torque_nm]]/EV_Data4[[#This Row],[acceleration_0_60_mph]]</f>
        <v>1303.5256410256411</v>
      </c>
      <c r="AC1217" t="str">
        <f>IF(EV_Data4[[#This Row],[price_usd]]&gt;=80000,"Luxury",IF(EV_Data4[[#This Row],[price_usd]]&gt;=40000,"Mid-Range","Budget"))</f>
        <v>Luxury</v>
      </c>
      <c r="AD1217" t="str">
        <f>IF(EV_Data4[[#This Row],[range_miles]]&gt;=350,"Long-Range",IF(EV_Data4[[#This Row],[range_miles]]&gt;=250,"Medium-Range","Short-Range"))</f>
        <v>Medium-Range</v>
      </c>
      <c r="AE1217" t="str">
        <f>IF(EV_Data4[[#This Row],[charging_speed_kw]]&gt;=250,"Ultra-Fast",IF(EV_Data4[[#This Row],[charging_speed_kw]]&gt;=150,"Fast-Charging","Standard-Charging"))</f>
        <v>Fast-Charging</v>
      </c>
      <c r="AF1217" t="str">
        <f>IF(EV_Data4[[#This Row],[acceleration_0_60_mph]]&lt;=3,"SportsPerformance",IF(EV_Data4[[#This Row],[acceleration_0_60_mph]]&lt;=5,"HighPerformance","Standard"))</f>
        <v>HighPerformance</v>
      </c>
      <c r="AG1217" t="str">
        <f>IF(EV_Data4[[#This Row],[customer_rating]]&gt;=4.5,"Excellent",IF(EV_Data4[[#This Row],[customer_rating]]&gt;=3.5,"Good","Average"))</f>
        <v>Good</v>
      </c>
      <c r="AH121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18" spans="1:34" x14ac:dyDescent="0.3">
      <c r="A1218" t="s">
        <v>46</v>
      </c>
      <c r="B1218" t="s">
        <v>47</v>
      </c>
      <c r="C1218">
        <v>2024</v>
      </c>
      <c r="D1218" t="s">
        <v>26</v>
      </c>
      <c r="E1218" s="3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27</v>
      </c>
      <c r="N1218">
        <v>5</v>
      </c>
      <c r="O1218" t="s">
        <v>40</v>
      </c>
      <c r="P1218">
        <v>65.3</v>
      </c>
      <c r="Q1218">
        <v>1588</v>
      </c>
      <c r="R1218">
        <v>5</v>
      </c>
      <c r="S1218">
        <v>3</v>
      </c>
      <c r="T1218" t="s">
        <v>41</v>
      </c>
      <c r="U1218" t="s">
        <v>30</v>
      </c>
      <c r="V1218" s="3">
        <v>247330</v>
      </c>
      <c r="W1218">
        <v>3.88</v>
      </c>
      <c r="X1218">
        <v>4</v>
      </c>
      <c r="Y1218" s="1">
        <f>EV_Data4[[#This Row],[range_miles]]/EV_Data4[[#This Row],[battery_capacity_kwh]]</f>
        <v>3.4595162986330181</v>
      </c>
      <c r="Z1218" s="4">
        <f>EV_Data4[[#This Row],[price_usd]]/EV_Data4[[#This Row],[range_miles]]</f>
        <v>520.43060790273557</v>
      </c>
      <c r="AA1218" s="2">
        <f>(EV_Data4[[#This Row],[customer_rating]]*EV_Data4[[#This Row],[safety_rating]]*1000)/EV_Data4[[#This Row],[price_usd]]</f>
        <v>0.11330341539128778</v>
      </c>
      <c r="AB1218">
        <f>EV_Data4[[#This Row],[horsepower]]+EV_Data4[[#This Row],[torque_nm]]/EV_Data4[[#This Row],[acceleration_0_60_mph]]</f>
        <v>1265.8119658119658</v>
      </c>
      <c r="AC1218" t="str">
        <f>IF(EV_Data4[[#This Row],[price_usd]]&gt;=80000,"Luxury",IF(EV_Data4[[#This Row],[price_usd]]&gt;=40000,"Mid-Range","Budget"))</f>
        <v>Luxury</v>
      </c>
      <c r="AD1218" t="str">
        <f>IF(EV_Data4[[#This Row],[range_miles]]&gt;=350,"Long-Range",IF(EV_Data4[[#This Row],[range_miles]]&gt;=250,"Medium-Range","Short-Range"))</f>
        <v>Medium-Range</v>
      </c>
      <c r="AE1218" t="str">
        <f>IF(EV_Data4[[#This Row],[charging_speed_kw]]&gt;=250,"Ultra-Fast",IF(EV_Data4[[#This Row],[charging_speed_kw]]&gt;=150,"Fast-Charging","Standard-Charging"))</f>
        <v>Ultra-Fast</v>
      </c>
      <c r="AF1218" t="str">
        <f>IF(EV_Data4[[#This Row],[acceleration_0_60_mph]]&lt;=3,"SportsPerformance",IF(EV_Data4[[#This Row],[acceleration_0_60_mph]]&lt;=5,"HighPerformance","Standard"))</f>
        <v>HighPerformance</v>
      </c>
      <c r="AG1218" t="str">
        <f>IF(EV_Data4[[#This Row],[customer_rating]]&gt;=4.5,"Excellent",IF(EV_Data4[[#This Row],[customer_rating]]&gt;=3.5,"Good","Average"))</f>
        <v>Good</v>
      </c>
      <c r="AH121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219" spans="1:34" x14ac:dyDescent="0.3">
      <c r="A1219" t="s">
        <v>83</v>
      </c>
      <c r="B1219" t="s">
        <v>114</v>
      </c>
      <c r="C1219">
        <v>2024</v>
      </c>
      <c r="D1219" t="s">
        <v>26</v>
      </c>
      <c r="E1219" s="3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27</v>
      </c>
      <c r="N1219">
        <v>5</v>
      </c>
      <c r="O1219" t="s">
        <v>28</v>
      </c>
      <c r="P1219">
        <v>69.099999999999994</v>
      </c>
      <c r="Q1219">
        <v>1841</v>
      </c>
      <c r="R1219">
        <v>3</v>
      </c>
      <c r="S1219">
        <v>1</v>
      </c>
      <c r="T1219" t="s">
        <v>29</v>
      </c>
      <c r="U1219" t="s">
        <v>30</v>
      </c>
      <c r="V1219" s="3">
        <v>37253</v>
      </c>
      <c r="W1219">
        <v>3.67</v>
      </c>
      <c r="X1219">
        <v>6</v>
      </c>
      <c r="Y1219" s="1">
        <f>EV_Data4[[#This Row],[range_miles]]/EV_Data4[[#This Row],[battery_capacity_kwh]]</f>
        <v>3.1946144430844554</v>
      </c>
      <c r="Z1219" s="4">
        <f>EV_Data4[[#This Row],[price_usd]]/EV_Data4[[#This Row],[range_miles]]</f>
        <v>551.25038314176243</v>
      </c>
      <c r="AA1219" s="2">
        <f>(EV_Data4[[#This Row],[customer_rating]]*EV_Data4[[#This Row],[safety_rating]]*1000)/EV_Data4[[#This Row],[price_usd]]</f>
        <v>7.6524043041125242E-2</v>
      </c>
      <c r="AB1219">
        <f>EV_Data4[[#This Row],[horsepower]]+EV_Data4[[#This Row],[torque_nm]]/EV_Data4[[#This Row],[acceleration_0_60_mph]]</f>
        <v>1307.0469798657718</v>
      </c>
      <c r="AC1219" t="str">
        <f>IF(EV_Data4[[#This Row],[price_usd]]&gt;=80000,"Luxury",IF(EV_Data4[[#This Row],[price_usd]]&gt;=40000,"Mid-Range","Budget"))</f>
        <v>Luxury</v>
      </c>
      <c r="AD1219" t="str">
        <f>IF(EV_Data4[[#This Row],[range_miles]]&gt;=350,"Long-Range",IF(EV_Data4[[#This Row],[range_miles]]&gt;=250,"Medium-Range","Short-Range"))</f>
        <v>Medium-Range</v>
      </c>
      <c r="AE1219" t="str">
        <f>IF(EV_Data4[[#This Row],[charging_speed_kw]]&gt;=250,"Ultra-Fast",IF(EV_Data4[[#This Row],[charging_speed_kw]]&gt;=150,"Fast-Charging","Standard-Charging"))</f>
        <v>Fast-Charging</v>
      </c>
      <c r="AF1219" t="str">
        <f>IF(EV_Data4[[#This Row],[acceleration_0_60_mph]]&lt;=3,"SportsPerformance",IF(EV_Data4[[#This Row],[acceleration_0_60_mph]]&lt;=5,"HighPerformance","Standard"))</f>
        <v>SportsPerformance</v>
      </c>
      <c r="AG1219" t="str">
        <f>IF(EV_Data4[[#This Row],[customer_rating]]&gt;=4.5,"Excellent",IF(EV_Data4[[#This Row],[customer_rating]]&gt;=3.5,"Good","Average"))</f>
        <v>Good</v>
      </c>
      <c r="AH121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20" spans="1:34" x14ac:dyDescent="0.3">
      <c r="A1220" t="s">
        <v>83</v>
      </c>
      <c r="B1220" t="s">
        <v>104</v>
      </c>
      <c r="C1220">
        <v>2024</v>
      </c>
      <c r="D1220" t="s">
        <v>56</v>
      </c>
      <c r="E1220" s="3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48</v>
      </c>
      <c r="N1220">
        <v>7</v>
      </c>
      <c r="O1220" t="s">
        <v>35</v>
      </c>
      <c r="P1220">
        <v>60.3</v>
      </c>
      <c r="Q1220">
        <v>1899</v>
      </c>
      <c r="R1220">
        <v>5</v>
      </c>
      <c r="S1220">
        <v>1</v>
      </c>
      <c r="T1220" t="s">
        <v>29</v>
      </c>
      <c r="U1220" t="s">
        <v>37</v>
      </c>
      <c r="V1220" s="3">
        <v>49240</v>
      </c>
      <c r="W1220">
        <v>3.56</v>
      </c>
      <c r="X1220">
        <v>7</v>
      </c>
      <c r="Y1220" s="1">
        <f>EV_Data4[[#This Row],[range_miles]]/EV_Data4[[#This Row],[battery_capacity_kwh]]</f>
        <v>3.5238095238095237</v>
      </c>
      <c r="Z1220" s="4">
        <f>EV_Data4[[#This Row],[price_usd]]/EV_Data4[[#This Row],[range_miles]]</f>
        <v>212.52489864864864</v>
      </c>
      <c r="AA1220" s="2">
        <f>(EV_Data4[[#This Row],[customer_rating]]*EV_Data4[[#This Row],[safety_rating]]*1000)/EV_Data4[[#This Row],[price_usd]]</f>
        <v>0.28295571727128316</v>
      </c>
      <c r="AB1220">
        <f>EV_Data4[[#This Row],[horsepower]]+EV_Data4[[#This Row],[torque_nm]]/EV_Data4[[#This Row],[acceleration_0_60_mph]]</f>
        <v>325.09786700125471</v>
      </c>
      <c r="AC1220" t="str">
        <f>IF(EV_Data4[[#This Row],[price_usd]]&gt;=80000,"Luxury",IF(EV_Data4[[#This Row],[price_usd]]&gt;=40000,"Mid-Range","Budget"))</f>
        <v>Mid-Range</v>
      </c>
      <c r="AD1220" t="str">
        <f>IF(EV_Data4[[#This Row],[range_miles]]&gt;=350,"Long-Range",IF(EV_Data4[[#This Row],[range_miles]]&gt;=250,"Medium-Range","Short-Range"))</f>
        <v>Medium-Range</v>
      </c>
      <c r="AE1220" t="str">
        <f>IF(EV_Data4[[#This Row],[charging_speed_kw]]&gt;=250,"Ultra-Fast",IF(EV_Data4[[#This Row],[charging_speed_kw]]&gt;=150,"Fast-Charging","Standard-Charging"))</f>
        <v>Standard-Charging</v>
      </c>
      <c r="AF1220" t="str">
        <f>IF(EV_Data4[[#This Row],[acceleration_0_60_mph]]&lt;=3,"SportsPerformance",IF(EV_Data4[[#This Row],[acceleration_0_60_mph]]&lt;=5,"HighPerformance","Standard"))</f>
        <v>Standard</v>
      </c>
      <c r="AG1220" t="str">
        <f>IF(EV_Data4[[#This Row],[customer_rating]]&gt;=4.5,"Excellent",IF(EV_Data4[[#This Row],[customer_rating]]&gt;=3.5,"Good","Average"))</f>
        <v>Good</v>
      </c>
      <c r="AH122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21" spans="1:34" x14ac:dyDescent="0.3">
      <c r="A1221" t="s">
        <v>63</v>
      </c>
      <c r="B1221" t="s">
        <v>67</v>
      </c>
      <c r="C1221">
        <v>2022</v>
      </c>
      <c r="D1221" t="s">
        <v>44</v>
      </c>
      <c r="E1221" s="3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34</v>
      </c>
      <c r="N1221">
        <v>7</v>
      </c>
      <c r="O1221" t="s">
        <v>58</v>
      </c>
      <c r="P1221">
        <v>20.9</v>
      </c>
      <c r="Q1221">
        <v>1565</v>
      </c>
      <c r="R1221">
        <v>5</v>
      </c>
      <c r="S1221">
        <v>0</v>
      </c>
      <c r="T1221" t="s">
        <v>65</v>
      </c>
      <c r="U1221" t="s">
        <v>30</v>
      </c>
      <c r="V1221" s="3">
        <v>230522</v>
      </c>
      <c r="W1221">
        <v>3.61</v>
      </c>
      <c r="X1221">
        <v>4</v>
      </c>
      <c r="Y1221" s="1">
        <f>EV_Data4[[#This Row],[range_miles]]/EV_Data4[[#This Row],[battery_capacity_kwh]]</f>
        <v>3.470661672908864</v>
      </c>
      <c r="Z1221" s="4">
        <f>EV_Data4[[#This Row],[price_usd]]/EV_Data4[[#This Row],[range_miles]]</f>
        <v>363.64284172661871</v>
      </c>
      <c r="AA1221" s="2">
        <f>(EV_Data4[[#This Row],[customer_rating]]*EV_Data4[[#This Row],[safety_rating]]*1000)/EV_Data4[[#This Row],[price_usd]]</f>
        <v>0.17854897746830606</v>
      </c>
      <c r="AB1221">
        <f>EV_Data4[[#This Row],[horsepower]]+EV_Data4[[#This Row],[torque_nm]]/EV_Data4[[#This Row],[acceleration_0_60_mph]]</f>
        <v>1184.7494553376907</v>
      </c>
      <c r="AC1221" t="str">
        <f>IF(EV_Data4[[#This Row],[price_usd]]&gt;=80000,"Luxury",IF(EV_Data4[[#This Row],[price_usd]]&gt;=40000,"Mid-Range","Budget"))</f>
        <v>Luxury</v>
      </c>
      <c r="AD1221" t="str">
        <f>IF(EV_Data4[[#This Row],[range_miles]]&gt;=350,"Long-Range",IF(EV_Data4[[#This Row],[range_miles]]&gt;=250,"Medium-Range","Short-Range"))</f>
        <v>Medium-Range</v>
      </c>
      <c r="AE1221" t="str">
        <f>IF(EV_Data4[[#This Row],[charging_speed_kw]]&gt;=250,"Ultra-Fast",IF(EV_Data4[[#This Row],[charging_speed_kw]]&gt;=150,"Fast-Charging","Standard-Charging"))</f>
        <v>Standard-Charging</v>
      </c>
      <c r="AF1221" t="str">
        <f>IF(EV_Data4[[#This Row],[acceleration_0_60_mph]]&lt;=3,"SportsPerformance",IF(EV_Data4[[#This Row],[acceleration_0_60_mph]]&lt;=5,"HighPerformance","Standard"))</f>
        <v>HighPerformance</v>
      </c>
      <c r="AG1221" t="str">
        <f>IF(EV_Data4[[#This Row],[customer_rating]]&gt;=4.5,"Excellent",IF(EV_Data4[[#This Row],[customer_rating]]&gt;=3.5,"Good","Average"))</f>
        <v>Good</v>
      </c>
      <c r="AH122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22" spans="1:34" x14ac:dyDescent="0.3">
      <c r="A1222" t="s">
        <v>31</v>
      </c>
      <c r="B1222" t="s">
        <v>32</v>
      </c>
      <c r="C1222">
        <v>2024</v>
      </c>
      <c r="D1222" t="s">
        <v>61</v>
      </c>
      <c r="E1222" s="3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27</v>
      </c>
      <c r="N1222">
        <v>5</v>
      </c>
      <c r="O1222" t="s">
        <v>35</v>
      </c>
      <c r="P1222">
        <v>36.6</v>
      </c>
      <c r="Q1222">
        <v>1998</v>
      </c>
      <c r="R1222">
        <v>4</v>
      </c>
      <c r="S1222">
        <v>1</v>
      </c>
      <c r="T1222" t="s">
        <v>36</v>
      </c>
      <c r="U1222" t="s">
        <v>37</v>
      </c>
      <c r="V1222" s="3">
        <v>19789</v>
      </c>
      <c r="W1222">
        <v>3.34</v>
      </c>
      <c r="X1222">
        <v>4</v>
      </c>
      <c r="Y1222" s="1">
        <f>EV_Data4[[#This Row],[range_miles]]/EV_Data4[[#This Row],[battery_capacity_kwh]]</f>
        <v>3.6635220125786163</v>
      </c>
      <c r="Z1222" s="4">
        <f>EV_Data4[[#This Row],[price_usd]]/EV_Data4[[#This Row],[range_miles]]</f>
        <v>228.00429184549355</v>
      </c>
      <c r="AA1222" s="2">
        <f>(EV_Data4[[#This Row],[customer_rating]]*EV_Data4[[#This Row],[safety_rating]]*1000)/EV_Data4[[#This Row],[price_usd]]</f>
        <v>0.25148235294117649</v>
      </c>
      <c r="AB1222">
        <f>EV_Data4[[#This Row],[horsepower]]+EV_Data4[[#This Row],[torque_nm]]/EV_Data4[[#This Row],[acceleration_0_60_mph]]</f>
        <v>617.99382716049377</v>
      </c>
      <c r="AC1222" t="str">
        <f>IF(EV_Data4[[#This Row],[price_usd]]&gt;=80000,"Luxury",IF(EV_Data4[[#This Row],[price_usd]]&gt;=40000,"Mid-Range","Budget"))</f>
        <v>Mid-Range</v>
      </c>
      <c r="AD1222" t="str">
        <f>IF(EV_Data4[[#This Row],[range_miles]]&gt;=350,"Long-Range",IF(EV_Data4[[#This Row],[range_miles]]&gt;=250,"Medium-Range","Short-Range"))</f>
        <v>Short-Range</v>
      </c>
      <c r="AE1222" t="str">
        <f>IF(EV_Data4[[#This Row],[charging_speed_kw]]&gt;=250,"Ultra-Fast",IF(EV_Data4[[#This Row],[charging_speed_kw]]&gt;=150,"Fast-Charging","Standard-Charging"))</f>
        <v>Standard-Charging</v>
      </c>
      <c r="AF1222" t="str">
        <f>IF(EV_Data4[[#This Row],[acceleration_0_60_mph]]&lt;=3,"SportsPerformance",IF(EV_Data4[[#This Row],[acceleration_0_60_mph]]&lt;=5,"HighPerformance","Standard"))</f>
        <v>Standard</v>
      </c>
      <c r="AG1222" t="str">
        <f>IF(EV_Data4[[#This Row],[customer_rating]]&gt;=4.5,"Excellent",IF(EV_Data4[[#This Row],[customer_rating]]&gt;=3.5,"Good","Average"))</f>
        <v>Average</v>
      </c>
      <c r="AH122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23" spans="1:34" x14ac:dyDescent="0.3">
      <c r="A1223" t="s">
        <v>46</v>
      </c>
      <c r="B1223" t="s">
        <v>57</v>
      </c>
      <c r="C1223">
        <v>2025</v>
      </c>
      <c r="D1223" t="s">
        <v>44</v>
      </c>
      <c r="E1223" s="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48</v>
      </c>
      <c r="N1223">
        <v>5</v>
      </c>
      <c r="O1223" t="s">
        <v>50</v>
      </c>
      <c r="P1223">
        <v>38</v>
      </c>
      <c r="Q1223">
        <v>1865</v>
      </c>
      <c r="R1223">
        <v>4</v>
      </c>
      <c r="S1223">
        <v>2</v>
      </c>
      <c r="T1223" t="s">
        <v>41</v>
      </c>
      <c r="U1223" t="s">
        <v>33</v>
      </c>
      <c r="V1223" s="3">
        <v>187975</v>
      </c>
      <c r="W1223">
        <v>3.94</v>
      </c>
      <c r="X1223">
        <v>4</v>
      </c>
      <c r="Y1223" s="1">
        <f>EV_Data4[[#This Row],[range_miles]]/EV_Data4[[#This Row],[battery_capacity_kwh]]</f>
        <v>3.4233261339092875</v>
      </c>
      <c r="Z1223" s="4">
        <f>EV_Data4[[#This Row],[price_usd]]/EV_Data4[[#This Row],[range_miles]]</f>
        <v>213.53457413249214</v>
      </c>
      <c r="AA1223" s="2">
        <f>(EV_Data4[[#This Row],[customer_rating]]*EV_Data4[[#This Row],[safety_rating]]*1000)/EV_Data4[[#This Row],[price_usd]]</f>
        <v>0.232824536869745</v>
      </c>
      <c r="AB1223">
        <f>EV_Data4[[#This Row],[horsepower]]+EV_Data4[[#This Row],[torque_nm]]/EV_Data4[[#This Row],[acceleration_0_60_mph]]</f>
        <v>539.05617977528095</v>
      </c>
      <c r="AC1223" t="str">
        <f>IF(EV_Data4[[#This Row],[price_usd]]&gt;=80000,"Luxury",IF(EV_Data4[[#This Row],[price_usd]]&gt;=40000,"Mid-Range","Budget"))</f>
        <v>Mid-Range</v>
      </c>
      <c r="AD1223" t="str">
        <f>IF(EV_Data4[[#This Row],[range_miles]]&gt;=350,"Long-Range",IF(EV_Data4[[#This Row],[range_miles]]&gt;=250,"Medium-Range","Short-Range"))</f>
        <v>Medium-Range</v>
      </c>
      <c r="AE1223" t="str">
        <f>IF(EV_Data4[[#This Row],[charging_speed_kw]]&gt;=250,"Ultra-Fast",IF(EV_Data4[[#This Row],[charging_speed_kw]]&gt;=150,"Fast-Charging","Standard-Charging"))</f>
        <v>Ultra-Fast</v>
      </c>
      <c r="AF1223" t="str">
        <f>IF(EV_Data4[[#This Row],[acceleration_0_60_mph]]&lt;=3,"SportsPerformance",IF(EV_Data4[[#This Row],[acceleration_0_60_mph]]&lt;=5,"HighPerformance","Standard"))</f>
        <v>HighPerformance</v>
      </c>
      <c r="AG1223" t="str">
        <f>IF(EV_Data4[[#This Row],[customer_rating]]&gt;=4.5,"Excellent",IF(EV_Data4[[#This Row],[customer_rating]]&gt;=3.5,"Good","Average"))</f>
        <v>Good</v>
      </c>
      <c r="AH122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24" spans="1:34" x14ac:dyDescent="0.3">
      <c r="A1224" t="s">
        <v>24</v>
      </c>
      <c r="B1224" t="s">
        <v>25</v>
      </c>
      <c r="C1224">
        <v>2025</v>
      </c>
      <c r="D1224" t="s">
        <v>61</v>
      </c>
      <c r="E1224" s="3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34</v>
      </c>
      <c r="N1224">
        <v>5</v>
      </c>
      <c r="O1224" t="s">
        <v>40</v>
      </c>
      <c r="P1224">
        <v>64.3</v>
      </c>
      <c r="Q1224">
        <v>1500</v>
      </c>
      <c r="R1224">
        <v>3</v>
      </c>
      <c r="S1224">
        <v>0</v>
      </c>
      <c r="T1224" t="s">
        <v>29</v>
      </c>
      <c r="U1224" t="s">
        <v>33</v>
      </c>
      <c r="V1224" s="3">
        <v>285418</v>
      </c>
      <c r="W1224">
        <v>3.48</v>
      </c>
      <c r="X1224">
        <v>4</v>
      </c>
      <c r="Y1224" s="1">
        <f>EV_Data4[[#This Row],[range_miles]]/EV_Data4[[#This Row],[battery_capacity_kwh]]</f>
        <v>3.4601226993865031</v>
      </c>
      <c r="Z1224" s="4">
        <f>EV_Data4[[#This Row],[price_usd]]/EV_Data4[[#This Row],[range_miles]]</f>
        <v>254.13929078014183</v>
      </c>
      <c r="AA1224" s="2">
        <f>(EV_Data4[[#This Row],[customer_rating]]*EV_Data4[[#This Row],[safety_rating]]*1000)/EV_Data4[[#This Row],[price_usd]]</f>
        <v>0.14567317191331944</v>
      </c>
      <c r="AB1224">
        <f>EV_Data4[[#This Row],[horsepower]]+EV_Data4[[#This Row],[torque_nm]]/EV_Data4[[#This Row],[acceleration_0_60_mph]]</f>
        <v>850.30586370839933</v>
      </c>
      <c r="AC1224" t="str">
        <f>IF(EV_Data4[[#This Row],[price_usd]]&gt;=80000,"Luxury",IF(EV_Data4[[#This Row],[price_usd]]&gt;=40000,"Mid-Range","Budget"))</f>
        <v>Mid-Range</v>
      </c>
      <c r="AD1224" t="str">
        <f>IF(EV_Data4[[#This Row],[range_miles]]&gt;=350,"Long-Range",IF(EV_Data4[[#This Row],[range_miles]]&gt;=250,"Medium-Range","Short-Range"))</f>
        <v>Medium-Range</v>
      </c>
      <c r="AE1224" t="str">
        <f>IF(EV_Data4[[#This Row],[charging_speed_kw]]&gt;=250,"Ultra-Fast",IF(EV_Data4[[#This Row],[charging_speed_kw]]&gt;=150,"Fast-Charging","Standard-Charging"))</f>
        <v>Standard-Charging</v>
      </c>
      <c r="AF1224" t="str">
        <f>IF(EV_Data4[[#This Row],[acceleration_0_60_mph]]&lt;=3,"SportsPerformance",IF(EV_Data4[[#This Row],[acceleration_0_60_mph]]&lt;=5,"HighPerformance","Standard"))</f>
        <v>Standard</v>
      </c>
      <c r="AG1224" t="str">
        <f>IF(EV_Data4[[#This Row],[customer_rating]]&gt;=4.5,"Excellent",IF(EV_Data4[[#This Row],[customer_rating]]&gt;=3.5,"Good","Average"))</f>
        <v>Average</v>
      </c>
      <c r="AH122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25" spans="1:34" x14ac:dyDescent="0.3">
      <c r="A1225" t="s">
        <v>92</v>
      </c>
      <c r="B1225" t="s">
        <v>127</v>
      </c>
      <c r="C1225">
        <v>2025</v>
      </c>
      <c r="D1225" t="s">
        <v>33</v>
      </c>
      <c r="E1225" s="3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48</v>
      </c>
      <c r="N1225">
        <v>5</v>
      </c>
      <c r="O1225" t="s">
        <v>40</v>
      </c>
      <c r="P1225">
        <v>68.099999999999994</v>
      </c>
      <c r="Q1225">
        <v>1500</v>
      </c>
      <c r="R1225">
        <v>4</v>
      </c>
      <c r="S1225">
        <v>2</v>
      </c>
      <c r="T1225" t="s">
        <v>65</v>
      </c>
      <c r="U1225" t="s">
        <v>30</v>
      </c>
      <c r="V1225" s="3">
        <v>20886</v>
      </c>
      <c r="W1225">
        <v>3.24</v>
      </c>
      <c r="X1225">
        <v>5</v>
      </c>
      <c r="Y1225" s="1">
        <f>EV_Data4[[#This Row],[range_miles]]/EV_Data4[[#This Row],[battery_capacity_kwh]]</f>
        <v>3.4698275862068968</v>
      </c>
      <c r="Z1225" s="4">
        <f>EV_Data4[[#This Row],[price_usd]]/EV_Data4[[#This Row],[range_miles]]</f>
        <v>640.97670807453414</v>
      </c>
      <c r="AA1225" s="2">
        <f>(EV_Data4[[#This Row],[customer_rating]]*EV_Data4[[#This Row],[safety_rating]]*1000)/EV_Data4[[#This Row],[price_usd]]</f>
        <v>0.1255847418414735</v>
      </c>
      <c r="AB1225">
        <f>EV_Data4[[#This Row],[horsepower]]+EV_Data4[[#This Row],[torque_nm]]/EV_Data4[[#This Row],[acceleration_0_60_mph]]</f>
        <v>1097.9243986254296</v>
      </c>
      <c r="AC1225" t="str">
        <f>IF(EV_Data4[[#This Row],[price_usd]]&gt;=80000,"Luxury",IF(EV_Data4[[#This Row],[price_usd]]&gt;=40000,"Mid-Range","Budget"))</f>
        <v>Luxury</v>
      </c>
      <c r="AD1225" t="str">
        <f>IF(EV_Data4[[#This Row],[range_miles]]&gt;=350,"Long-Range",IF(EV_Data4[[#This Row],[range_miles]]&gt;=250,"Medium-Range","Short-Range"))</f>
        <v>Short-Range</v>
      </c>
      <c r="AE1225" t="str">
        <f>IF(EV_Data4[[#This Row],[charging_speed_kw]]&gt;=250,"Ultra-Fast",IF(EV_Data4[[#This Row],[charging_speed_kw]]&gt;=150,"Fast-Charging","Standard-Charging"))</f>
        <v>Standard-Charging</v>
      </c>
      <c r="AF1225" t="str">
        <f>IF(EV_Data4[[#This Row],[acceleration_0_60_mph]]&lt;=3,"SportsPerformance",IF(EV_Data4[[#This Row],[acceleration_0_60_mph]]&lt;=5,"HighPerformance","Standard"))</f>
        <v>Standard</v>
      </c>
      <c r="AG1225" t="str">
        <f>IF(EV_Data4[[#This Row],[customer_rating]]&gt;=4.5,"Excellent",IF(EV_Data4[[#This Row],[customer_rating]]&gt;=3.5,"Good","Average"))</f>
        <v>Average</v>
      </c>
      <c r="AH122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26" spans="1:34" x14ac:dyDescent="0.3">
      <c r="A1226" t="s">
        <v>24</v>
      </c>
      <c r="B1226" t="s">
        <v>75</v>
      </c>
      <c r="C1226">
        <v>2022</v>
      </c>
      <c r="D1226" t="s">
        <v>26</v>
      </c>
      <c r="E1226" s="3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27</v>
      </c>
      <c r="N1226">
        <v>7</v>
      </c>
      <c r="O1226" t="s">
        <v>35</v>
      </c>
      <c r="P1226">
        <v>40.799999999999997</v>
      </c>
      <c r="Q1226">
        <v>1834</v>
      </c>
      <c r="R1226">
        <v>4</v>
      </c>
      <c r="S1226">
        <v>0</v>
      </c>
      <c r="T1226" t="s">
        <v>29</v>
      </c>
      <c r="U1226" t="s">
        <v>33</v>
      </c>
      <c r="V1226" s="3">
        <v>251606</v>
      </c>
      <c r="W1226">
        <v>3.39</v>
      </c>
      <c r="X1226">
        <v>4</v>
      </c>
      <c r="Y1226" s="1">
        <f>EV_Data4[[#This Row],[range_miles]]/EV_Data4[[#This Row],[battery_capacity_kwh]]</f>
        <v>3.4874504623513869</v>
      </c>
      <c r="Z1226" s="4">
        <f>EV_Data4[[#This Row],[price_usd]]/EV_Data4[[#This Row],[range_miles]]</f>
        <v>356.98617424242428</v>
      </c>
      <c r="AA1226" s="2">
        <f>(EV_Data4[[#This Row],[customer_rating]]*EV_Data4[[#This Row],[safety_rating]]*1000)/EV_Data4[[#This Row],[price_usd]]</f>
        <v>0.14388130429038981</v>
      </c>
      <c r="AB1226">
        <f>EV_Data4[[#This Row],[horsepower]]+EV_Data4[[#This Row],[torque_nm]]/EV_Data4[[#This Row],[acceleration_0_60_mph]]</f>
        <v>1324.0549828178694</v>
      </c>
      <c r="AC1226" t="str">
        <f>IF(EV_Data4[[#This Row],[price_usd]]&gt;=80000,"Luxury",IF(EV_Data4[[#This Row],[price_usd]]&gt;=40000,"Mid-Range","Budget"))</f>
        <v>Luxury</v>
      </c>
      <c r="AD1226" t="str">
        <f>IF(EV_Data4[[#This Row],[range_miles]]&gt;=350,"Long-Range",IF(EV_Data4[[#This Row],[range_miles]]&gt;=250,"Medium-Range","Short-Range"))</f>
        <v>Medium-Range</v>
      </c>
      <c r="AE1226" t="str">
        <f>IF(EV_Data4[[#This Row],[charging_speed_kw]]&gt;=250,"Ultra-Fast",IF(EV_Data4[[#This Row],[charging_speed_kw]]&gt;=150,"Fast-Charging","Standard-Charging"))</f>
        <v>Fast-Charging</v>
      </c>
      <c r="AF1226" t="str">
        <f>IF(EV_Data4[[#This Row],[acceleration_0_60_mph]]&lt;=3,"SportsPerformance",IF(EV_Data4[[#This Row],[acceleration_0_60_mph]]&lt;=5,"HighPerformance","Standard"))</f>
        <v>SportsPerformance</v>
      </c>
      <c r="AG1226" t="str">
        <f>IF(EV_Data4[[#This Row],[customer_rating]]&gt;=4.5,"Excellent",IF(EV_Data4[[#This Row],[customer_rating]]&gt;=3.5,"Good","Average"))</f>
        <v>Average</v>
      </c>
      <c r="AH122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27" spans="1:34" x14ac:dyDescent="0.3">
      <c r="A1227" t="s">
        <v>83</v>
      </c>
      <c r="B1227" t="s">
        <v>84</v>
      </c>
      <c r="C1227">
        <v>2025</v>
      </c>
      <c r="D1227" t="s">
        <v>26</v>
      </c>
      <c r="E1227" s="3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48</v>
      </c>
      <c r="N1227">
        <v>5</v>
      </c>
      <c r="O1227" t="s">
        <v>50</v>
      </c>
      <c r="P1227">
        <v>16.399999999999999</v>
      </c>
      <c r="Q1227">
        <v>2027</v>
      </c>
      <c r="R1227">
        <v>5</v>
      </c>
      <c r="S1227">
        <v>1</v>
      </c>
      <c r="T1227" t="s">
        <v>29</v>
      </c>
      <c r="U1227" t="s">
        <v>30</v>
      </c>
      <c r="V1227" s="3">
        <v>49006</v>
      </c>
      <c r="W1227">
        <v>3.99</v>
      </c>
      <c r="X1227">
        <v>6</v>
      </c>
      <c r="Y1227" s="1">
        <f>EV_Data4[[#This Row],[range_miles]]/EV_Data4[[#This Row],[battery_capacity_kwh]]</f>
        <v>3.5367892976588631</v>
      </c>
      <c r="Z1227" s="4">
        <f>EV_Data4[[#This Row],[price_usd]]/EV_Data4[[#This Row],[range_miles]]</f>
        <v>356.82092198581563</v>
      </c>
      <c r="AA1227" s="2">
        <f>(EV_Data4[[#This Row],[customer_rating]]*EV_Data4[[#This Row],[safety_rating]]*1000)/EV_Data4[[#This Row],[price_usd]]</f>
        <v>0.13217588336720551</v>
      </c>
      <c r="AB1227">
        <f>EV_Data4[[#This Row],[horsepower]]+EV_Data4[[#This Row],[torque_nm]]/EV_Data4[[#This Row],[acceleration_0_60_mph]]</f>
        <v>1314.2348754448399</v>
      </c>
      <c r="AC1227" t="str">
        <f>IF(EV_Data4[[#This Row],[price_usd]]&gt;=80000,"Luxury",IF(EV_Data4[[#This Row],[price_usd]]&gt;=40000,"Mid-Range","Budget"))</f>
        <v>Luxury</v>
      </c>
      <c r="AD1227" t="str">
        <f>IF(EV_Data4[[#This Row],[range_miles]]&gt;=350,"Long-Range",IF(EV_Data4[[#This Row],[range_miles]]&gt;=250,"Medium-Range","Short-Range"))</f>
        <v>Long-Range</v>
      </c>
      <c r="AE1227" t="str">
        <f>IF(EV_Data4[[#This Row],[charging_speed_kw]]&gt;=250,"Ultra-Fast",IF(EV_Data4[[#This Row],[charging_speed_kw]]&gt;=150,"Fast-Charging","Standard-Charging"))</f>
        <v>Fast-Charging</v>
      </c>
      <c r="AF1227" t="str">
        <f>IF(EV_Data4[[#This Row],[acceleration_0_60_mph]]&lt;=3,"SportsPerformance",IF(EV_Data4[[#This Row],[acceleration_0_60_mph]]&lt;=5,"HighPerformance","Standard"))</f>
        <v>SportsPerformance</v>
      </c>
      <c r="AG1227" t="str">
        <f>IF(EV_Data4[[#This Row],[customer_rating]]&gt;=4.5,"Excellent",IF(EV_Data4[[#This Row],[customer_rating]]&gt;=3.5,"Good","Average"))</f>
        <v>Good</v>
      </c>
      <c r="AH122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28" spans="1:34" x14ac:dyDescent="0.3">
      <c r="A1228" t="s">
        <v>24</v>
      </c>
      <c r="B1228" t="s">
        <v>25</v>
      </c>
      <c r="C1228">
        <v>2022</v>
      </c>
      <c r="D1228" t="s">
        <v>26</v>
      </c>
      <c r="E1228" s="3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48</v>
      </c>
      <c r="N1228">
        <v>5</v>
      </c>
      <c r="O1228" t="s">
        <v>51</v>
      </c>
      <c r="P1228">
        <v>30.1</v>
      </c>
      <c r="Q1228">
        <v>1500</v>
      </c>
      <c r="R1228">
        <v>5</v>
      </c>
      <c r="S1228">
        <v>1</v>
      </c>
      <c r="T1228" t="s">
        <v>29</v>
      </c>
      <c r="U1228" t="s">
        <v>37</v>
      </c>
      <c r="V1228" s="3">
        <v>298179</v>
      </c>
      <c r="W1228">
        <v>3.96</v>
      </c>
      <c r="X1228">
        <v>5</v>
      </c>
      <c r="Y1228" s="1">
        <f>EV_Data4[[#This Row],[range_miles]]/EV_Data4[[#This Row],[battery_capacity_kwh]]</f>
        <v>3.3986371379897782</v>
      </c>
      <c r="Z1228" s="4">
        <f>EV_Data4[[#This Row],[price_usd]]/EV_Data4[[#This Row],[range_miles]]</f>
        <v>115.68987468671679</v>
      </c>
      <c r="AA1228" s="2">
        <f>(EV_Data4[[#This Row],[customer_rating]]*EV_Data4[[#This Row],[safety_rating]]*1000)/EV_Data4[[#This Row],[price_usd]]</f>
        <v>0.42894039158358294</v>
      </c>
      <c r="AB1228">
        <f>EV_Data4[[#This Row],[horsepower]]+EV_Data4[[#This Row],[torque_nm]]/EV_Data4[[#This Row],[acceleration_0_60_mph]]</f>
        <v>483.40503432494279</v>
      </c>
      <c r="AC1228" t="str">
        <f>IF(EV_Data4[[#This Row],[price_usd]]&gt;=80000,"Luxury",IF(EV_Data4[[#This Row],[price_usd]]&gt;=40000,"Mid-Range","Budget"))</f>
        <v>Mid-Range</v>
      </c>
      <c r="AD1228" t="str">
        <f>IF(EV_Data4[[#This Row],[range_miles]]&gt;=350,"Long-Range",IF(EV_Data4[[#This Row],[range_miles]]&gt;=250,"Medium-Range","Short-Range"))</f>
        <v>Long-Range</v>
      </c>
      <c r="AE1228" t="str">
        <f>IF(EV_Data4[[#This Row],[charging_speed_kw]]&gt;=250,"Ultra-Fast",IF(EV_Data4[[#This Row],[charging_speed_kw]]&gt;=150,"Fast-Charging","Standard-Charging"))</f>
        <v>Fast-Charging</v>
      </c>
      <c r="AF1228" t="str">
        <f>IF(EV_Data4[[#This Row],[acceleration_0_60_mph]]&lt;=3,"SportsPerformance",IF(EV_Data4[[#This Row],[acceleration_0_60_mph]]&lt;=5,"HighPerformance","Standard"))</f>
        <v>HighPerformance</v>
      </c>
      <c r="AG1228" t="str">
        <f>IF(EV_Data4[[#This Row],[customer_rating]]&gt;=4.5,"Excellent",IF(EV_Data4[[#This Row],[customer_rating]]&gt;=3.5,"Good","Average"))</f>
        <v>Good</v>
      </c>
      <c r="AH122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29" spans="1:34" x14ac:dyDescent="0.3">
      <c r="A1229" t="s">
        <v>63</v>
      </c>
      <c r="B1229" t="s">
        <v>64</v>
      </c>
      <c r="C1229">
        <v>2025</v>
      </c>
      <c r="D1229" t="s">
        <v>44</v>
      </c>
      <c r="E1229" s="3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48</v>
      </c>
      <c r="N1229">
        <v>7</v>
      </c>
      <c r="O1229" t="s">
        <v>28</v>
      </c>
      <c r="P1229">
        <v>51.2</v>
      </c>
      <c r="Q1229">
        <v>2579</v>
      </c>
      <c r="R1229">
        <v>5</v>
      </c>
      <c r="S1229">
        <v>1</v>
      </c>
      <c r="T1229" t="s">
        <v>65</v>
      </c>
      <c r="U1229" t="s">
        <v>66</v>
      </c>
      <c r="V1229" s="3">
        <v>169948</v>
      </c>
      <c r="W1229">
        <v>3.62</v>
      </c>
      <c r="X1229">
        <v>4</v>
      </c>
      <c r="Y1229" s="1">
        <f>EV_Data4[[#This Row],[range_miles]]/EV_Data4[[#This Row],[battery_capacity_kwh]]</f>
        <v>3.6271186440677967</v>
      </c>
      <c r="Z1229" s="4">
        <f>EV_Data4[[#This Row],[price_usd]]/EV_Data4[[#This Row],[range_miles]]</f>
        <v>101.90302180685357</v>
      </c>
      <c r="AA1229" s="2">
        <f>(EV_Data4[[#This Row],[customer_rating]]*EV_Data4[[#This Row],[safety_rating]]*1000)/EV_Data4[[#This Row],[price_usd]]</f>
        <v>0.55333288292240468</v>
      </c>
      <c r="AB1229">
        <f>EV_Data4[[#This Row],[horsepower]]+EV_Data4[[#This Row],[torque_nm]]/EV_Data4[[#This Row],[acceleration_0_60_mph]]</f>
        <v>376.19540229885058</v>
      </c>
      <c r="AC1229" t="str">
        <f>IF(EV_Data4[[#This Row],[price_usd]]&gt;=80000,"Luxury",IF(EV_Data4[[#This Row],[price_usd]]&gt;=40000,"Mid-Range","Budget"))</f>
        <v>Budget</v>
      </c>
      <c r="AD1229" t="str">
        <f>IF(EV_Data4[[#This Row],[range_miles]]&gt;=350,"Long-Range",IF(EV_Data4[[#This Row],[range_miles]]&gt;=250,"Medium-Range","Short-Range"))</f>
        <v>Medium-Range</v>
      </c>
      <c r="AE1229" t="str">
        <f>IF(EV_Data4[[#This Row],[charging_speed_kw]]&gt;=250,"Ultra-Fast",IF(EV_Data4[[#This Row],[charging_speed_kw]]&gt;=150,"Fast-Charging","Standard-Charging"))</f>
        <v>Standard-Charging</v>
      </c>
      <c r="AF1229" t="str">
        <f>IF(EV_Data4[[#This Row],[acceleration_0_60_mph]]&lt;=3,"SportsPerformance",IF(EV_Data4[[#This Row],[acceleration_0_60_mph]]&lt;=5,"HighPerformance","Standard"))</f>
        <v>HighPerformance</v>
      </c>
      <c r="AG1229" t="str">
        <f>IF(EV_Data4[[#This Row],[customer_rating]]&gt;=4.5,"Excellent",IF(EV_Data4[[#This Row],[customer_rating]]&gt;=3.5,"Good","Average"))</f>
        <v>Good</v>
      </c>
      <c r="AH122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30" spans="1:34" x14ac:dyDescent="0.3">
      <c r="A1230" t="s">
        <v>134</v>
      </c>
      <c r="B1230">
        <v>3</v>
      </c>
      <c r="C1230">
        <v>2024</v>
      </c>
      <c r="D1230" t="s">
        <v>61</v>
      </c>
      <c r="E1230" s="3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48</v>
      </c>
      <c r="N1230">
        <v>7</v>
      </c>
      <c r="O1230" t="s">
        <v>28</v>
      </c>
      <c r="P1230">
        <v>72.8</v>
      </c>
      <c r="Q1230">
        <v>2494</v>
      </c>
      <c r="R1230">
        <v>4</v>
      </c>
      <c r="S1230">
        <v>0</v>
      </c>
      <c r="T1230" t="s">
        <v>123</v>
      </c>
      <c r="U1230" t="s">
        <v>33</v>
      </c>
      <c r="V1230" s="3">
        <v>17188</v>
      </c>
      <c r="W1230">
        <v>3.48</v>
      </c>
      <c r="X1230">
        <v>4</v>
      </c>
      <c r="Y1230" s="1">
        <f>EV_Data4[[#This Row],[range_miles]]/EV_Data4[[#This Row],[battery_capacity_kwh]]</f>
        <v>3.3075933075933075</v>
      </c>
      <c r="Z1230" s="4">
        <f>EV_Data4[[#This Row],[price_usd]]/EV_Data4[[#This Row],[range_miles]]</f>
        <v>299.34155642023347</v>
      </c>
      <c r="AA1230" s="2">
        <f>(EV_Data4[[#This Row],[customer_rating]]*EV_Data4[[#This Row],[safety_rating]]*1000)/EV_Data4[[#This Row],[price_usd]]</f>
        <v>0.18094188048008872</v>
      </c>
      <c r="AB1230">
        <f>EV_Data4[[#This Row],[horsepower]]+EV_Data4[[#This Row],[torque_nm]]/EV_Data4[[#This Row],[acceleration_0_60_mph]]</f>
        <v>505.6222910216718</v>
      </c>
      <c r="AC1230" t="str">
        <f>IF(EV_Data4[[#This Row],[price_usd]]&gt;=80000,"Luxury",IF(EV_Data4[[#This Row],[price_usd]]&gt;=40000,"Mid-Range","Budget"))</f>
        <v>Mid-Range</v>
      </c>
      <c r="AD1230" t="str">
        <f>IF(EV_Data4[[#This Row],[range_miles]]&gt;=350,"Long-Range",IF(EV_Data4[[#This Row],[range_miles]]&gt;=250,"Medium-Range","Short-Range"))</f>
        <v>Medium-Range</v>
      </c>
      <c r="AE1230" t="str">
        <f>IF(EV_Data4[[#This Row],[charging_speed_kw]]&gt;=250,"Ultra-Fast",IF(EV_Data4[[#This Row],[charging_speed_kw]]&gt;=150,"Fast-Charging","Standard-Charging"))</f>
        <v>Standard-Charging</v>
      </c>
      <c r="AF1230" t="str">
        <f>IF(EV_Data4[[#This Row],[acceleration_0_60_mph]]&lt;=3,"SportsPerformance",IF(EV_Data4[[#This Row],[acceleration_0_60_mph]]&lt;=5,"HighPerformance","Standard"))</f>
        <v>Standard</v>
      </c>
      <c r="AG1230" t="str">
        <f>IF(EV_Data4[[#This Row],[customer_rating]]&gt;=4.5,"Excellent",IF(EV_Data4[[#This Row],[customer_rating]]&gt;=3.5,"Good","Average"))</f>
        <v>Average</v>
      </c>
      <c r="AH123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31" spans="1:34" x14ac:dyDescent="0.3">
      <c r="A1231" t="s">
        <v>24</v>
      </c>
      <c r="B1231" t="s">
        <v>75</v>
      </c>
      <c r="C1231">
        <v>2021</v>
      </c>
      <c r="D1231" t="s">
        <v>26</v>
      </c>
      <c r="E1231" s="3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48</v>
      </c>
      <c r="N1231">
        <v>5</v>
      </c>
      <c r="O1231" t="s">
        <v>35</v>
      </c>
      <c r="P1231">
        <v>66.5</v>
      </c>
      <c r="Q1231">
        <v>1990</v>
      </c>
      <c r="R1231">
        <v>5</v>
      </c>
      <c r="S1231">
        <v>1</v>
      </c>
      <c r="T1231" t="s">
        <v>29</v>
      </c>
      <c r="U1231" t="s">
        <v>30</v>
      </c>
      <c r="V1231" s="3">
        <v>251849</v>
      </c>
      <c r="W1231">
        <v>3.65</v>
      </c>
      <c r="X1231">
        <v>4</v>
      </c>
      <c r="Y1231" s="1">
        <f>EV_Data4[[#This Row],[range_miles]]/EV_Data4[[#This Row],[battery_capacity_kwh]]</f>
        <v>3.460620525059666</v>
      </c>
      <c r="Z1231" s="4">
        <f>EV_Data4[[#This Row],[price_usd]]/EV_Data4[[#This Row],[range_miles]]</f>
        <v>352.92379310344825</v>
      </c>
      <c r="AA1231" s="2">
        <f>(EV_Data4[[#This Row],[customer_rating]]*EV_Data4[[#This Row],[safety_rating]]*1000)/EV_Data4[[#This Row],[price_usd]]</f>
        <v>0.17831338014751646</v>
      </c>
      <c r="AB1231">
        <f>EV_Data4[[#This Row],[horsepower]]+EV_Data4[[#This Row],[torque_nm]]/EV_Data4[[#This Row],[acceleration_0_60_mph]]</f>
        <v>1331.5602836879434</v>
      </c>
      <c r="AC1231" t="str">
        <f>IF(EV_Data4[[#This Row],[price_usd]]&gt;=80000,"Luxury",IF(EV_Data4[[#This Row],[price_usd]]&gt;=40000,"Mid-Range","Budget"))</f>
        <v>Luxury</v>
      </c>
      <c r="AD1231" t="str">
        <f>IF(EV_Data4[[#This Row],[range_miles]]&gt;=350,"Long-Range",IF(EV_Data4[[#This Row],[range_miles]]&gt;=250,"Medium-Range","Short-Range"))</f>
        <v>Medium-Range</v>
      </c>
      <c r="AE1231" t="str">
        <f>IF(EV_Data4[[#This Row],[charging_speed_kw]]&gt;=250,"Ultra-Fast",IF(EV_Data4[[#This Row],[charging_speed_kw]]&gt;=150,"Fast-Charging","Standard-Charging"))</f>
        <v>Fast-Charging</v>
      </c>
      <c r="AF1231" t="str">
        <f>IF(EV_Data4[[#This Row],[acceleration_0_60_mph]]&lt;=3,"SportsPerformance",IF(EV_Data4[[#This Row],[acceleration_0_60_mph]]&lt;=5,"HighPerformance","Standard"))</f>
        <v>SportsPerformance</v>
      </c>
      <c r="AG1231" t="str">
        <f>IF(EV_Data4[[#This Row],[customer_rating]]&gt;=4.5,"Excellent",IF(EV_Data4[[#This Row],[customer_rating]]&gt;=3.5,"Good","Average"))</f>
        <v>Good</v>
      </c>
      <c r="AH123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32" spans="1:34" x14ac:dyDescent="0.3">
      <c r="A1232" t="s">
        <v>86</v>
      </c>
      <c r="B1232" t="s">
        <v>117</v>
      </c>
      <c r="C1232">
        <v>2022</v>
      </c>
      <c r="D1232" t="s">
        <v>56</v>
      </c>
      <c r="E1232" s="3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27</v>
      </c>
      <c r="N1232">
        <v>5</v>
      </c>
      <c r="O1232" t="s">
        <v>40</v>
      </c>
      <c r="P1232">
        <v>68.5</v>
      </c>
      <c r="Q1232">
        <v>1617</v>
      </c>
      <c r="R1232">
        <v>5</v>
      </c>
      <c r="S1232">
        <v>1</v>
      </c>
      <c r="T1232" t="s">
        <v>29</v>
      </c>
      <c r="U1232" t="s">
        <v>33</v>
      </c>
      <c r="V1232" s="3">
        <v>55401</v>
      </c>
      <c r="W1232">
        <v>3.66</v>
      </c>
      <c r="X1232">
        <v>7</v>
      </c>
      <c r="Y1232" s="1">
        <f>EV_Data4[[#This Row],[range_miles]]/EV_Data4[[#This Row],[battery_capacity_kwh]]</f>
        <v>3.6494252873563222</v>
      </c>
      <c r="Z1232" s="4">
        <f>EV_Data4[[#This Row],[price_usd]]/EV_Data4[[#This Row],[range_miles]]</f>
        <v>333.42401574803148</v>
      </c>
      <c r="AA1232" s="2">
        <f>(EV_Data4[[#This Row],[customer_rating]]*EV_Data4[[#This Row],[safety_rating]]*1000)/EV_Data4[[#This Row],[price_usd]]</f>
        <v>0.21608294751309781</v>
      </c>
      <c r="AB1232">
        <f>EV_Data4[[#This Row],[horsepower]]+EV_Data4[[#This Row],[torque_nm]]/EV_Data4[[#This Row],[acceleration_0_60_mph]]</f>
        <v>573.10695187165777</v>
      </c>
      <c r="AC1232" t="str">
        <f>IF(EV_Data4[[#This Row],[price_usd]]&gt;=80000,"Luxury",IF(EV_Data4[[#This Row],[price_usd]]&gt;=40000,"Mid-Range","Budget"))</f>
        <v>Luxury</v>
      </c>
      <c r="AD1232" t="str">
        <f>IF(EV_Data4[[#This Row],[range_miles]]&gt;=350,"Long-Range",IF(EV_Data4[[#This Row],[range_miles]]&gt;=250,"Medium-Range","Short-Range"))</f>
        <v>Medium-Range</v>
      </c>
      <c r="AE1232" t="str">
        <f>IF(EV_Data4[[#This Row],[charging_speed_kw]]&gt;=250,"Ultra-Fast",IF(EV_Data4[[#This Row],[charging_speed_kw]]&gt;=150,"Fast-Charging","Standard-Charging"))</f>
        <v>Standard-Charging</v>
      </c>
      <c r="AF1232" t="str">
        <f>IF(EV_Data4[[#This Row],[acceleration_0_60_mph]]&lt;=3,"SportsPerformance",IF(EV_Data4[[#This Row],[acceleration_0_60_mph]]&lt;=5,"HighPerformance","Standard"))</f>
        <v>Standard</v>
      </c>
      <c r="AG1232" t="str">
        <f>IF(EV_Data4[[#This Row],[customer_rating]]&gt;=4.5,"Excellent",IF(EV_Data4[[#This Row],[customer_rating]]&gt;=3.5,"Good","Average"))</f>
        <v>Good</v>
      </c>
      <c r="AH123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33" spans="1:34" x14ac:dyDescent="0.3">
      <c r="A1233" t="s">
        <v>63</v>
      </c>
      <c r="B1233" t="s">
        <v>88</v>
      </c>
      <c r="C1233">
        <v>2025</v>
      </c>
      <c r="D1233" t="s">
        <v>26</v>
      </c>
      <c r="E1233" s="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34</v>
      </c>
      <c r="N1233">
        <v>5</v>
      </c>
      <c r="O1233" t="s">
        <v>58</v>
      </c>
      <c r="P1233">
        <v>35.4</v>
      </c>
      <c r="Q1233">
        <v>1687</v>
      </c>
      <c r="R1233">
        <v>5</v>
      </c>
      <c r="S1233">
        <v>0</v>
      </c>
      <c r="T1233" t="s">
        <v>65</v>
      </c>
      <c r="U1233" t="s">
        <v>30</v>
      </c>
      <c r="V1233" s="3">
        <v>103364</v>
      </c>
      <c r="W1233">
        <v>3.72</v>
      </c>
      <c r="X1233">
        <v>4</v>
      </c>
      <c r="Y1233" s="1">
        <f>EV_Data4[[#This Row],[range_miles]]/EV_Data4[[#This Row],[battery_capacity_kwh]]</f>
        <v>3.5773101555352245</v>
      </c>
      <c r="Z1233" s="4">
        <f>EV_Data4[[#This Row],[price_usd]]/EV_Data4[[#This Row],[range_miles]]</f>
        <v>301.98785166240407</v>
      </c>
      <c r="AA1233" s="2">
        <f>(EV_Data4[[#This Row],[customer_rating]]*EV_Data4[[#This Row],[safety_rating]]*1000)/EV_Data4[[#This Row],[price_usd]]</f>
        <v>0.15752399382607574</v>
      </c>
      <c r="AB1233">
        <f>EV_Data4[[#This Row],[horsepower]]+EV_Data4[[#This Row],[torque_nm]]/EV_Data4[[#This Row],[acceleration_0_60_mph]]</f>
        <v>1244.1176470588234</v>
      </c>
      <c r="AC1233" t="str">
        <f>IF(EV_Data4[[#This Row],[price_usd]]&gt;=80000,"Luxury",IF(EV_Data4[[#This Row],[price_usd]]&gt;=40000,"Mid-Range","Budget"))</f>
        <v>Luxury</v>
      </c>
      <c r="AD1233" t="str">
        <f>IF(EV_Data4[[#This Row],[range_miles]]&gt;=350,"Long-Range",IF(EV_Data4[[#This Row],[range_miles]]&gt;=250,"Medium-Range","Short-Range"))</f>
        <v>Long-Range</v>
      </c>
      <c r="AE1233" t="str">
        <f>IF(EV_Data4[[#This Row],[charging_speed_kw]]&gt;=250,"Ultra-Fast",IF(EV_Data4[[#This Row],[charging_speed_kw]]&gt;=150,"Fast-Charging","Standard-Charging"))</f>
        <v>Fast-Charging</v>
      </c>
      <c r="AF1233" t="str">
        <f>IF(EV_Data4[[#This Row],[acceleration_0_60_mph]]&lt;=3,"SportsPerformance",IF(EV_Data4[[#This Row],[acceleration_0_60_mph]]&lt;=5,"HighPerformance","Standard"))</f>
        <v>HighPerformance</v>
      </c>
      <c r="AG1233" t="str">
        <f>IF(EV_Data4[[#This Row],[customer_rating]]&gt;=4.5,"Excellent",IF(EV_Data4[[#This Row],[customer_rating]]&gt;=3.5,"Good","Average"))</f>
        <v>Good</v>
      </c>
      <c r="AH123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34" spans="1:34" x14ac:dyDescent="0.3">
      <c r="A1234" t="s">
        <v>63</v>
      </c>
      <c r="B1234" t="s">
        <v>67</v>
      </c>
      <c r="C1234">
        <v>2026</v>
      </c>
      <c r="D1234" t="s">
        <v>33</v>
      </c>
      <c r="E1234" s="3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48</v>
      </c>
      <c r="N1234">
        <v>5</v>
      </c>
      <c r="O1234" t="s">
        <v>50</v>
      </c>
      <c r="P1234">
        <v>34.799999999999997</v>
      </c>
      <c r="Q1234">
        <v>1500</v>
      </c>
      <c r="R1234">
        <v>4</v>
      </c>
      <c r="S1234">
        <v>0</v>
      </c>
      <c r="T1234" t="s">
        <v>65</v>
      </c>
      <c r="U1234" t="s">
        <v>33</v>
      </c>
      <c r="V1234" s="3">
        <v>118872</v>
      </c>
      <c r="W1234">
        <v>3.49</v>
      </c>
      <c r="X1234">
        <v>4</v>
      </c>
      <c r="Y1234" s="1">
        <f>EV_Data4[[#This Row],[range_miles]]/EV_Data4[[#This Row],[battery_capacity_kwh]]</f>
        <v>3.5386631716906947</v>
      </c>
      <c r="Z1234" s="4">
        <f>EV_Data4[[#This Row],[price_usd]]/EV_Data4[[#This Row],[range_miles]]</f>
        <v>324.51840740740744</v>
      </c>
      <c r="AA1234" s="2">
        <f>(EV_Data4[[#This Row],[customer_rating]]*EV_Data4[[#This Row],[safety_rating]]*1000)/EV_Data4[[#This Row],[price_usd]]</f>
        <v>0.15932440972075201</v>
      </c>
      <c r="AB1234">
        <f>EV_Data4[[#This Row],[horsepower]]+EV_Data4[[#This Row],[torque_nm]]/EV_Data4[[#This Row],[acceleration_0_60_mph]]</f>
        <v>1157.3236889692585</v>
      </c>
      <c r="AC1234" t="str">
        <f>IF(EV_Data4[[#This Row],[price_usd]]&gt;=80000,"Luxury",IF(EV_Data4[[#This Row],[price_usd]]&gt;=40000,"Mid-Range","Budget"))</f>
        <v>Luxury</v>
      </c>
      <c r="AD1234" t="str">
        <f>IF(EV_Data4[[#This Row],[range_miles]]&gt;=350,"Long-Range",IF(EV_Data4[[#This Row],[range_miles]]&gt;=250,"Medium-Range","Short-Range"))</f>
        <v>Medium-Range</v>
      </c>
      <c r="AE1234" t="str">
        <f>IF(EV_Data4[[#This Row],[charging_speed_kw]]&gt;=250,"Ultra-Fast",IF(EV_Data4[[#This Row],[charging_speed_kw]]&gt;=150,"Fast-Charging","Standard-Charging"))</f>
        <v>Standard-Charging</v>
      </c>
      <c r="AF1234" t="str">
        <f>IF(EV_Data4[[#This Row],[acceleration_0_60_mph]]&lt;=3,"SportsPerformance",IF(EV_Data4[[#This Row],[acceleration_0_60_mph]]&lt;=5,"HighPerformance","Standard"))</f>
        <v>Standard</v>
      </c>
      <c r="AG1234" t="str">
        <f>IF(EV_Data4[[#This Row],[customer_rating]]&gt;=4.5,"Excellent",IF(EV_Data4[[#This Row],[customer_rating]]&gt;=3.5,"Good","Average"))</f>
        <v>Average</v>
      </c>
      <c r="AH123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35" spans="1:34" x14ac:dyDescent="0.3">
      <c r="A1235" t="s">
        <v>46</v>
      </c>
      <c r="B1235" t="s">
        <v>49</v>
      </c>
      <c r="C1235">
        <v>2025</v>
      </c>
      <c r="D1235" t="s">
        <v>61</v>
      </c>
      <c r="E1235" s="3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48</v>
      </c>
      <c r="N1235">
        <v>5</v>
      </c>
      <c r="O1235" t="s">
        <v>58</v>
      </c>
      <c r="P1235">
        <v>32.1</v>
      </c>
      <c r="Q1235">
        <v>1616</v>
      </c>
      <c r="R1235">
        <v>4</v>
      </c>
      <c r="S1235">
        <v>2</v>
      </c>
      <c r="T1235" t="s">
        <v>41</v>
      </c>
      <c r="U1235" t="s">
        <v>33</v>
      </c>
      <c r="V1235" s="3">
        <v>461008</v>
      </c>
      <c r="W1235">
        <v>3.78</v>
      </c>
      <c r="X1235">
        <v>6</v>
      </c>
      <c r="Y1235" s="1">
        <f>EV_Data4[[#This Row],[range_miles]]/EV_Data4[[#This Row],[battery_capacity_kwh]]</f>
        <v>3.5419126328217234</v>
      </c>
      <c r="Z1235" s="4">
        <f>EV_Data4[[#This Row],[price_usd]]/EV_Data4[[#This Row],[range_miles]]</f>
        <v>307.93173333333334</v>
      </c>
      <c r="AA1235" s="2">
        <f>(EV_Data4[[#This Row],[customer_rating]]*EV_Data4[[#This Row],[safety_rating]]*1000)/EV_Data4[[#This Row],[price_usd]]</f>
        <v>0.16367264086239028</v>
      </c>
      <c r="AB1235">
        <f>EV_Data4[[#This Row],[horsepower]]+EV_Data4[[#This Row],[torque_nm]]/EV_Data4[[#This Row],[acceleration_0_60_mph]]</f>
        <v>770.33333333333337</v>
      </c>
      <c r="AC1235" t="str">
        <f>IF(EV_Data4[[#This Row],[price_usd]]&gt;=80000,"Luxury",IF(EV_Data4[[#This Row],[price_usd]]&gt;=40000,"Mid-Range","Budget"))</f>
        <v>Luxury</v>
      </c>
      <c r="AD1235" t="str">
        <f>IF(EV_Data4[[#This Row],[range_miles]]&gt;=350,"Long-Range",IF(EV_Data4[[#This Row],[range_miles]]&gt;=250,"Medium-Range","Short-Range"))</f>
        <v>Medium-Range</v>
      </c>
      <c r="AE1235" t="str">
        <f>IF(EV_Data4[[#This Row],[charging_speed_kw]]&gt;=250,"Ultra-Fast",IF(EV_Data4[[#This Row],[charging_speed_kw]]&gt;=150,"Fast-Charging","Standard-Charging"))</f>
        <v>Fast-Charging</v>
      </c>
      <c r="AF1235" t="str">
        <f>IF(EV_Data4[[#This Row],[acceleration_0_60_mph]]&lt;=3,"SportsPerformance",IF(EV_Data4[[#This Row],[acceleration_0_60_mph]]&lt;=5,"HighPerformance","Standard"))</f>
        <v>Standard</v>
      </c>
      <c r="AG1235" t="str">
        <f>IF(EV_Data4[[#This Row],[customer_rating]]&gt;=4.5,"Excellent",IF(EV_Data4[[#This Row],[customer_rating]]&gt;=3.5,"Good","Average"))</f>
        <v>Good</v>
      </c>
      <c r="AH123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36" spans="1:34" x14ac:dyDescent="0.3">
      <c r="A1236" t="s">
        <v>83</v>
      </c>
      <c r="B1236" t="s">
        <v>84</v>
      </c>
      <c r="C1236">
        <v>2020</v>
      </c>
      <c r="D1236" t="s">
        <v>33</v>
      </c>
      <c r="E1236" s="3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48</v>
      </c>
      <c r="N1236">
        <v>5</v>
      </c>
      <c r="O1236" t="s">
        <v>28</v>
      </c>
      <c r="P1236">
        <v>79.3</v>
      </c>
      <c r="Q1236">
        <v>2413</v>
      </c>
      <c r="R1236">
        <v>5</v>
      </c>
      <c r="S1236">
        <v>1</v>
      </c>
      <c r="T1236" t="s">
        <v>29</v>
      </c>
      <c r="U1236" t="s">
        <v>33</v>
      </c>
      <c r="V1236" s="3">
        <v>53466</v>
      </c>
      <c r="W1236">
        <v>3.48</v>
      </c>
      <c r="X1236">
        <v>6</v>
      </c>
      <c r="Y1236" s="1">
        <f>EV_Data4[[#This Row],[range_miles]]/EV_Data4[[#This Row],[battery_capacity_kwh]]</f>
        <v>3.1716906946264745</v>
      </c>
      <c r="Z1236" s="4">
        <f>EV_Data4[[#This Row],[price_usd]]/EV_Data4[[#This Row],[range_miles]]</f>
        <v>348.38227272727272</v>
      </c>
      <c r="AA1236" s="2">
        <f>(EV_Data4[[#This Row],[customer_rating]]*EV_Data4[[#This Row],[safety_rating]]*1000)/EV_Data4[[#This Row],[price_usd]]</f>
        <v>0.20638485960669928</v>
      </c>
      <c r="AB1236">
        <f>EV_Data4[[#This Row],[horsepower]]+EV_Data4[[#This Row],[torque_nm]]/EV_Data4[[#This Row],[acceleration_0_60_mph]]</f>
        <v>736.78981937602623</v>
      </c>
      <c r="AC1236" t="str">
        <f>IF(EV_Data4[[#This Row],[price_usd]]&gt;=80000,"Luxury",IF(EV_Data4[[#This Row],[price_usd]]&gt;=40000,"Mid-Range","Budget"))</f>
        <v>Luxury</v>
      </c>
      <c r="AD1236" t="str">
        <f>IF(EV_Data4[[#This Row],[range_miles]]&gt;=350,"Long-Range",IF(EV_Data4[[#This Row],[range_miles]]&gt;=250,"Medium-Range","Short-Range"))</f>
        <v>Short-Range</v>
      </c>
      <c r="AE1236" t="str">
        <f>IF(EV_Data4[[#This Row],[charging_speed_kw]]&gt;=250,"Ultra-Fast",IF(EV_Data4[[#This Row],[charging_speed_kw]]&gt;=150,"Fast-Charging","Standard-Charging"))</f>
        <v>Standard-Charging</v>
      </c>
      <c r="AF1236" t="str">
        <f>IF(EV_Data4[[#This Row],[acceleration_0_60_mph]]&lt;=3,"SportsPerformance",IF(EV_Data4[[#This Row],[acceleration_0_60_mph]]&lt;=5,"HighPerformance","Standard"))</f>
        <v>Standard</v>
      </c>
      <c r="AG1236" t="str">
        <f>IF(EV_Data4[[#This Row],[customer_rating]]&gt;=4.5,"Excellent",IF(EV_Data4[[#This Row],[customer_rating]]&gt;=3.5,"Good","Average"))</f>
        <v>Average</v>
      </c>
      <c r="AH123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37" spans="1:34" x14ac:dyDescent="0.3">
      <c r="A1237" t="s">
        <v>24</v>
      </c>
      <c r="B1237" t="s">
        <v>75</v>
      </c>
      <c r="C1237">
        <v>2024</v>
      </c>
      <c r="D1237" t="s">
        <v>26</v>
      </c>
      <c r="E1237" s="3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27</v>
      </c>
      <c r="N1237">
        <v>7</v>
      </c>
      <c r="O1237" t="s">
        <v>58</v>
      </c>
      <c r="P1237">
        <v>34.1</v>
      </c>
      <c r="Q1237">
        <v>1511</v>
      </c>
      <c r="R1237">
        <v>4</v>
      </c>
      <c r="S1237">
        <v>0</v>
      </c>
      <c r="T1237" t="s">
        <v>29</v>
      </c>
      <c r="U1237" t="s">
        <v>30</v>
      </c>
      <c r="V1237" s="3">
        <v>296594</v>
      </c>
      <c r="W1237">
        <v>3.51</v>
      </c>
      <c r="X1237">
        <v>4</v>
      </c>
      <c r="Y1237" s="1">
        <f>EV_Data4[[#This Row],[range_miles]]/EV_Data4[[#This Row],[battery_capacity_kwh]]</f>
        <v>3.5427135678391961</v>
      </c>
      <c r="Z1237" s="4">
        <f>EV_Data4[[#This Row],[price_usd]]/EV_Data4[[#This Row],[range_miles]]</f>
        <v>409.21195035460994</v>
      </c>
      <c r="AA1237" s="2">
        <f>(EV_Data4[[#This Row],[customer_rating]]*EV_Data4[[#This Row],[safety_rating]]*1000)/EV_Data4[[#This Row],[price_usd]]</f>
        <v>0.12166612925015795</v>
      </c>
      <c r="AB1237">
        <f>EV_Data4[[#This Row],[horsepower]]+EV_Data4[[#This Row],[torque_nm]]/EV_Data4[[#This Row],[acceleration_0_60_mph]]</f>
        <v>1307.4204946996465</v>
      </c>
      <c r="AC1237" t="str">
        <f>IF(EV_Data4[[#This Row],[price_usd]]&gt;=80000,"Luxury",IF(EV_Data4[[#This Row],[price_usd]]&gt;=40000,"Mid-Range","Budget"))</f>
        <v>Luxury</v>
      </c>
      <c r="AD1237" t="str">
        <f>IF(EV_Data4[[#This Row],[range_miles]]&gt;=350,"Long-Range",IF(EV_Data4[[#This Row],[range_miles]]&gt;=250,"Medium-Range","Short-Range"))</f>
        <v>Medium-Range</v>
      </c>
      <c r="AE1237" t="str">
        <f>IF(EV_Data4[[#This Row],[charging_speed_kw]]&gt;=250,"Ultra-Fast",IF(EV_Data4[[#This Row],[charging_speed_kw]]&gt;=150,"Fast-Charging","Standard-Charging"))</f>
        <v>Fast-Charging</v>
      </c>
      <c r="AF1237" t="str">
        <f>IF(EV_Data4[[#This Row],[acceleration_0_60_mph]]&lt;=3,"SportsPerformance",IF(EV_Data4[[#This Row],[acceleration_0_60_mph]]&lt;=5,"HighPerformance","Standard"))</f>
        <v>SportsPerformance</v>
      </c>
      <c r="AG1237" t="str">
        <f>IF(EV_Data4[[#This Row],[customer_rating]]&gt;=4.5,"Excellent",IF(EV_Data4[[#This Row],[customer_rating]]&gt;=3.5,"Good","Average"))</f>
        <v>Good</v>
      </c>
      <c r="AH123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38" spans="1:34" x14ac:dyDescent="0.3">
      <c r="A1238" t="s">
        <v>52</v>
      </c>
      <c r="B1238" t="s">
        <v>126</v>
      </c>
      <c r="C1238">
        <v>2023</v>
      </c>
      <c r="D1238" t="s">
        <v>61</v>
      </c>
      <c r="E1238" s="3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34</v>
      </c>
      <c r="N1238">
        <v>7</v>
      </c>
      <c r="O1238" t="s">
        <v>50</v>
      </c>
      <c r="P1238">
        <v>20.7</v>
      </c>
      <c r="Q1238">
        <v>1640</v>
      </c>
      <c r="R1238">
        <v>5</v>
      </c>
      <c r="S1238">
        <v>2</v>
      </c>
      <c r="T1238" t="s">
        <v>29</v>
      </c>
      <c r="U1238" t="s">
        <v>30</v>
      </c>
      <c r="V1238" s="3">
        <v>57178</v>
      </c>
      <c r="W1238">
        <v>3.68</v>
      </c>
      <c r="X1238">
        <v>7</v>
      </c>
      <c r="Y1238" s="1">
        <f>EV_Data4[[#This Row],[range_miles]]/EV_Data4[[#This Row],[battery_capacity_kwh]]</f>
        <v>3.4071550255536627</v>
      </c>
      <c r="Z1238" s="4">
        <f>EV_Data4[[#This Row],[price_usd]]/EV_Data4[[#This Row],[range_miles]]</f>
        <v>710.09875</v>
      </c>
      <c r="AA1238" s="2">
        <f>(EV_Data4[[#This Row],[customer_rating]]*EV_Data4[[#This Row],[safety_rating]]*1000)/EV_Data4[[#This Row],[price_usd]]</f>
        <v>0.1295594450771812</v>
      </c>
      <c r="AB1238">
        <f>EV_Data4[[#This Row],[horsepower]]+EV_Data4[[#This Row],[torque_nm]]/EV_Data4[[#This Row],[acceleration_0_60_mph]]</f>
        <v>1083.1359724612737</v>
      </c>
      <c r="AC1238" t="str">
        <f>IF(EV_Data4[[#This Row],[price_usd]]&gt;=80000,"Luxury",IF(EV_Data4[[#This Row],[price_usd]]&gt;=40000,"Mid-Range","Budget"))</f>
        <v>Luxury</v>
      </c>
      <c r="AD1238" t="str">
        <f>IF(EV_Data4[[#This Row],[range_miles]]&gt;=350,"Long-Range",IF(EV_Data4[[#This Row],[range_miles]]&gt;=250,"Medium-Range","Short-Range"))</f>
        <v>Short-Range</v>
      </c>
      <c r="AE1238" t="str">
        <f>IF(EV_Data4[[#This Row],[charging_speed_kw]]&gt;=250,"Ultra-Fast",IF(EV_Data4[[#This Row],[charging_speed_kw]]&gt;=150,"Fast-Charging","Standard-Charging"))</f>
        <v>Standard-Charging</v>
      </c>
      <c r="AF1238" t="str">
        <f>IF(EV_Data4[[#This Row],[acceleration_0_60_mph]]&lt;=3,"SportsPerformance",IF(EV_Data4[[#This Row],[acceleration_0_60_mph]]&lt;=5,"HighPerformance","Standard"))</f>
        <v>Standard</v>
      </c>
      <c r="AG1238" t="str">
        <f>IF(EV_Data4[[#This Row],[customer_rating]]&gt;=4.5,"Excellent",IF(EV_Data4[[#This Row],[customer_rating]]&gt;=3.5,"Good","Average"))</f>
        <v>Good</v>
      </c>
      <c r="AH123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39" spans="1:34" x14ac:dyDescent="0.3">
      <c r="A1239" t="s">
        <v>68</v>
      </c>
      <c r="B1239" t="s">
        <v>90</v>
      </c>
      <c r="C1239">
        <v>2023</v>
      </c>
      <c r="D1239" t="s">
        <v>44</v>
      </c>
      <c r="E1239" s="3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34</v>
      </c>
      <c r="N1239">
        <v>7</v>
      </c>
      <c r="O1239" t="s">
        <v>40</v>
      </c>
      <c r="P1239">
        <v>79.599999999999994</v>
      </c>
      <c r="Q1239">
        <v>1594</v>
      </c>
      <c r="R1239">
        <v>4</v>
      </c>
      <c r="S1239">
        <v>0</v>
      </c>
      <c r="T1239" t="s">
        <v>45</v>
      </c>
      <c r="U1239" t="s">
        <v>37</v>
      </c>
      <c r="V1239" s="3">
        <v>128198</v>
      </c>
      <c r="W1239">
        <v>3.66</v>
      </c>
      <c r="X1239">
        <v>4</v>
      </c>
      <c r="Y1239" s="1">
        <f>EV_Data4[[#This Row],[range_miles]]/EV_Data4[[#This Row],[battery_capacity_kwh]]</f>
        <v>3.58</v>
      </c>
      <c r="Z1239" s="4">
        <f>EV_Data4[[#This Row],[price_usd]]/EV_Data4[[#This Row],[range_miles]]</f>
        <v>135.3626815642458</v>
      </c>
      <c r="AA1239" s="2">
        <f>(EV_Data4[[#This Row],[customer_rating]]*EV_Data4[[#This Row],[safety_rating]]*1000)/EV_Data4[[#This Row],[price_usd]]</f>
        <v>0.30210582618514631</v>
      </c>
      <c r="AB1239">
        <f>EV_Data4[[#This Row],[horsepower]]+EV_Data4[[#This Row],[torque_nm]]/EV_Data4[[#This Row],[acceleration_0_60_mph]]</f>
        <v>592.27586206896558</v>
      </c>
      <c r="AC1239" t="str">
        <f>IF(EV_Data4[[#This Row],[price_usd]]&gt;=80000,"Luxury",IF(EV_Data4[[#This Row],[price_usd]]&gt;=40000,"Mid-Range","Budget"))</f>
        <v>Mid-Range</v>
      </c>
      <c r="AD1239" t="str">
        <f>IF(EV_Data4[[#This Row],[range_miles]]&gt;=350,"Long-Range",IF(EV_Data4[[#This Row],[range_miles]]&gt;=250,"Medium-Range","Short-Range"))</f>
        <v>Long-Range</v>
      </c>
      <c r="AE1239" t="str">
        <f>IF(EV_Data4[[#This Row],[charging_speed_kw]]&gt;=250,"Ultra-Fast",IF(EV_Data4[[#This Row],[charging_speed_kw]]&gt;=150,"Fast-Charging","Standard-Charging"))</f>
        <v>Standard-Charging</v>
      </c>
      <c r="AF1239" t="str">
        <f>IF(EV_Data4[[#This Row],[acceleration_0_60_mph]]&lt;=3,"SportsPerformance",IF(EV_Data4[[#This Row],[acceleration_0_60_mph]]&lt;=5,"HighPerformance","Standard"))</f>
        <v>HighPerformance</v>
      </c>
      <c r="AG1239" t="str">
        <f>IF(EV_Data4[[#This Row],[customer_rating]]&gt;=4.5,"Excellent",IF(EV_Data4[[#This Row],[customer_rating]]&gt;=3.5,"Good","Average"))</f>
        <v>Good</v>
      </c>
      <c r="AH123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40" spans="1:34" x14ac:dyDescent="0.3">
      <c r="A1240" t="s">
        <v>59</v>
      </c>
      <c r="B1240" t="s">
        <v>60</v>
      </c>
      <c r="C1240">
        <v>2025</v>
      </c>
      <c r="D1240" t="s">
        <v>33</v>
      </c>
      <c r="E1240" s="3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27</v>
      </c>
      <c r="N1240">
        <v>7</v>
      </c>
      <c r="O1240" t="s">
        <v>40</v>
      </c>
      <c r="P1240">
        <v>66.900000000000006</v>
      </c>
      <c r="Q1240">
        <v>1500</v>
      </c>
      <c r="R1240">
        <v>5</v>
      </c>
      <c r="S1240">
        <v>2</v>
      </c>
      <c r="T1240" t="s">
        <v>41</v>
      </c>
      <c r="U1240" t="s">
        <v>30</v>
      </c>
      <c r="V1240" s="3">
        <v>8757</v>
      </c>
      <c r="W1240">
        <v>3.62</v>
      </c>
      <c r="X1240">
        <v>4</v>
      </c>
      <c r="Y1240" s="1">
        <f>EV_Data4[[#This Row],[range_miles]]/EV_Data4[[#This Row],[battery_capacity_kwh]]</f>
        <v>3.3665835411471319</v>
      </c>
      <c r="Z1240" s="4">
        <f>EV_Data4[[#This Row],[price_usd]]/EV_Data4[[#This Row],[range_miles]]</f>
        <v>393.72596296296297</v>
      </c>
      <c r="AA1240" s="2">
        <f>(EV_Data4[[#This Row],[customer_rating]]*EV_Data4[[#This Row],[safety_rating]]*1000)/EV_Data4[[#This Row],[price_usd]]</f>
        <v>0.17026318643696628</v>
      </c>
      <c r="AB1240">
        <f>EV_Data4[[#This Row],[horsepower]]+EV_Data4[[#This Row],[torque_nm]]/EV_Data4[[#This Row],[acceleration_0_60_mph]]</f>
        <v>1039.0374331550802</v>
      </c>
      <c r="AC1240" t="str">
        <f>IF(EV_Data4[[#This Row],[price_usd]]&gt;=80000,"Luxury",IF(EV_Data4[[#This Row],[price_usd]]&gt;=40000,"Mid-Range","Budget"))</f>
        <v>Luxury</v>
      </c>
      <c r="AD1240" t="str">
        <f>IF(EV_Data4[[#This Row],[range_miles]]&gt;=350,"Long-Range",IF(EV_Data4[[#This Row],[range_miles]]&gt;=250,"Medium-Range","Short-Range"))</f>
        <v>Medium-Range</v>
      </c>
      <c r="AE1240" t="str">
        <f>IF(EV_Data4[[#This Row],[charging_speed_kw]]&gt;=250,"Ultra-Fast",IF(EV_Data4[[#This Row],[charging_speed_kw]]&gt;=150,"Fast-Charging","Standard-Charging"))</f>
        <v>Standard-Charging</v>
      </c>
      <c r="AF1240" t="str">
        <f>IF(EV_Data4[[#This Row],[acceleration_0_60_mph]]&lt;=3,"SportsPerformance",IF(EV_Data4[[#This Row],[acceleration_0_60_mph]]&lt;=5,"HighPerformance","Standard"))</f>
        <v>Standard</v>
      </c>
      <c r="AG1240" t="str">
        <f>IF(EV_Data4[[#This Row],[customer_rating]]&gt;=4.5,"Excellent",IF(EV_Data4[[#This Row],[customer_rating]]&gt;=3.5,"Good","Average"))</f>
        <v>Good</v>
      </c>
      <c r="AH124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41" spans="1:34" x14ac:dyDescent="0.3">
      <c r="A1241" t="s">
        <v>46</v>
      </c>
      <c r="B1241" t="s">
        <v>49</v>
      </c>
      <c r="C1241">
        <v>2026</v>
      </c>
      <c r="D1241" t="s">
        <v>33</v>
      </c>
      <c r="E1241" s="3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27</v>
      </c>
      <c r="N1241">
        <v>5</v>
      </c>
      <c r="O1241" t="s">
        <v>35</v>
      </c>
      <c r="P1241">
        <v>36.200000000000003</v>
      </c>
      <c r="Q1241">
        <v>2157</v>
      </c>
      <c r="R1241">
        <v>4</v>
      </c>
      <c r="S1241">
        <v>3</v>
      </c>
      <c r="T1241" t="s">
        <v>41</v>
      </c>
      <c r="U1241" t="s">
        <v>37</v>
      </c>
      <c r="V1241" s="3">
        <v>467657</v>
      </c>
      <c r="W1241">
        <v>3.42</v>
      </c>
      <c r="X1241">
        <v>5</v>
      </c>
      <c r="Y1241" s="1">
        <f>EV_Data4[[#This Row],[range_miles]]/EV_Data4[[#This Row],[battery_capacity_kwh]]</f>
        <v>3.9637826961770624</v>
      </c>
      <c r="Z1241" s="4">
        <f>EV_Data4[[#This Row],[price_usd]]/EV_Data4[[#This Row],[range_miles]]</f>
        <v>281.03370558375633</v>
      </c>
      <c r="AA1241" s="2">
        <f>(EV_Data4[[#This Row],[customer_rating]]*EV_Data4[[#This Row],[safety_rating]]*1000)/EV_Data4[[#This Row],[price_usd]]</f>
        <v>0.24709357982964994</v>
      </c>
      <c r="AB1241">
        <f>EV_Data4[[#This Row],[horsepower]]+EV_Data4[[#This Row],[torque_nm]]/EV_Data4[[#This Row],[acceleration_0_60_mph]]</f>
        <v>445.67148488830486</v>
      </c>
      <c r="AC1241" t="str">
        <f>IF(EV_Data4[[#This Row],[price_usd]]&gt;=80000,"Luxury",IF(EV_Data4[[#This Row],[price_usd]]&gt;=40000,"Mid-Range","Budget"))</f>
        <v>Mid-Range</v>
      </c>
      <c r="AD1241" t="str">
        <f>IF(EV_Data4[[#This Row],[range_miles]]&gt;=350,"Long-Range",IF(EV_Data4[[#This Row],[range_miles]]&gt;=250,"Medium-Range","Short-Range"))</f>
        <v>Short-Range</v>
      </c>
      <c r="AE1241" t="str">
        <f>IF(EV_Data4[[#This Row],[charging_speed_kw]]&gt;=250,"Ultra-Fast",IF(EV_Data4[[#This Row],[charging_speed_kw]]&gt;=150,"Fast-Charging","Standard-Charging"))</f>
        <v>Fast-Charging</v>
      </c>
      <c r="AF1241" t="str">
        <f>IF(EV_Data4[[#This Row],[acceleration_0_60_mph]]&lt;=3,"SportsPerformance",IF(EV_Data4[[#This Row],[acceleration_0_60_mph]]&lt;=5,"HighPerformance","Standard"))</f>
        <v>Standard</v>
      </c>
      <c r="AG1241" t="str">
        <f>IF(EV_Data4[[#This Row],[customer_rating]]&gt;=4.5,"Excellent",IF(EV_Data4[[#This Row],[customer_rating]]&gt;=3.5,"Good","Average"))</f>
        <v>Average</v>
      </c>
      <c r="AH1241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242" spans="1:34" x14ac:dyDescent="0.3">
      <c r="A1242" t="s">
        <v>52</v>
      </c>
      <c r="B1242" t="s">
        <v>103</v>
      </c>
      <c r="C1242">
        <v>2025</v>
      </c>
      <c r="D1242" t="s">
        <v>33</v>
      </c>
      <c r="E1242" s="3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48</v>
      </c>
      <c r="N1242">
        <v>5</v>
      </c>
      <c r="O1242" t="s">
        <v>35</v>
      </c>
      <c r="P1242">
        <v>58</v>
      </c>
      <c r="Q1242">
        <v>2182</v>
      </c>
      <c r="R1242">
        <v>4</v>
      </c>
      <c r="S1242">
        <v>2</v>
      </c>
      <c r="T1242" t="s">
        <v>29</v>
      </c>
      <c r="U1242" t="s">
        <v>30</v>
      </c>
      <c r="V1242" s="3">
        <v>58457</v>
      </c>
      <c r="W1242">
        <v>3.3</v>
      </c>
      <c r="X1242">
        <v>8</v>
      </c>
      <c r="Y1242" s="1">
        <f>EV_Data4[[#This Row],[range_miles]]/EV_Data4[[#This Row],[battery_capacity_kwh]]</f>
        <v>3.0945558739255015</v>
      </c>
      <c r="Z1242" s="4">
        <f>EV_Data4[[#This Row],[price_usd]]/EV_Data4[[#This Row],[range_miles]]</f>
        <v>516.62189814814815</v>
      </c>
      <c r="AA1242" s="2">
        <f>(EV_Data4[[#This Row],[customer_rating]]*EV_Data4[[#This Row],[safety_rating]]*1000)/EV_Data4[[#This Row],[price_usd]]</f>
        <v>0.11828981955694548</v>
      </c>
      <c r="AB1242">
        <f>EV_Data4[[#This Row],[horsepower]]+EV_Data4[[#This Row],[torque_nm]]/EV_Data4[[#This Row],[acceleration_0_60_mph]]</f>
        <v>727.04523424878835</v>
      </c>
      <c r="AC1242" t="str">
        <f>IF(EV_Data4[[#This Row],[price_usd]]&gt;=80000,"Luxury",IF(EV_Data4[[#This Row],[price_usd]]&gt;=40000,"Mid-Range","Budget"))</f>
        <v>Luxury</v>
      </c>
      <c r="AD1242" t="str">
        <f>IF(EV_Data4[[#This Row],[range_miles]]&gt;=350,"Long-Range",IF(EV_Data4[[#This Row],[range_miles]]&gt;=250,"Medium-Range","Short-Range"))</f>
        <v>Short-Range</v>
      </c>
      <c r="AE1242" t="str">
        <f>IF(EV_Data4[[#This Row],[charging_speed_kw]]&gt;=250,"Ultra-Fast",IF(EV_Data4[[#This Row],[charging_speed_kw]]&gt;=150,"Fast-Charging","Standard-Charging"))</f>
        <v>Standard-Charging</v>
      </c>
      <c r="AF1242" t="str">
        <f>IF(EV_Data4[[#This Row],[acceleration_0_60_mph]]&lt;=3,"SportsPerformance",IF(EV_Data4[[#This Row],[acceleration_0_60_mph]]&lt;=5,"HighPerformance","Standard"))</f>
        <v>Standard</v>
      </c>
      <c r="AG1242" t="str">
        <f>IF(EV_Data4[[#This Row],[customer_rating]]&gt;=4.5,"Excellent",IF(EV_Data4[[#This Row],[customer_rating]]&gt;=3.5,"Good","Average"))</f>
        <v>Average</v>
      </c>
      <c r="AH124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43" spans="1:34" x14ac:dyDescent="0.3">
      <c r="A1243" t="s">
        <v>76</v>
      </c>
      <c r="B1243" t="s">
        <v>91</v>
      </c>
      <c r="C1243">
        <v>2025</v>
      </c>
      <c r="D1243" t="s">
        <v>33</v>
      </c>
      <c r="E1243" s="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48</v>
      </c>
      <c r="N1243">
        <v>4</v>
      </c>
      <c r="O1243" t="s">
        <v>28</v>
      </c>
      <c r="P1243">
        <v>65.7</v>
      </c>
      <c r="Q1243">
        <v>2810</v>
      </c>
      <c r="R1243">
        <v>5</v>
      </c>
      <c r="S1243">
        <v>1</v>
      </c>
      <c r="T1243" t="s">
        <v>41</v>
      </c>
      <c r="U1243" t="s">
        <v>33</v>
      </c>
      <c r="V1243" s="3">
        <v>67161</v>
      </c>
      <c r="W1243">
        <v>3.21</v>
      </c>
      <c r="X1243">
        <v>3</v>
      </c>
      <c r="Y1243" s="1">
        <f>EV_Data4[[#This Row],[range_miles]]/EV_Data4[[#This Row],[battery_capacity_kwh]]</f>
        <v>3.2550335570469797</v>
      </c>
      <c r="Z1243" s="4">
        <f>EV_Data4[[#This Row],[price_usd]]/EV_Data4[[#This Row],[range_miles]]</f>
        <v>408.65778350515467</v>
      </c>
      <c r="AA1243" s="2">
        <f>(EV_Data4[[#This Row],[customer_rating]]*EV_Data4[[#This Row],[safety_rating]]*1000)/EV_Data4[[#This Row],[price_usd]]</f>
        <v>0.20244801910604757</v>
      </c>
      <c r="AB1243">
        <f>EV_Data4[[#This Row],[horsepower]]+EV_Data4[[#This Row],[torque_nm]]/EV_Data4[[#This Row],[acceleration_0_60_mph]]</f>
        <v>1028.4928478543563</v>
      </c>
      <c r="AC1243" t="str">
        <f>IF(EV_Data4[[#This Row],[price_usd]]&gt;=80000,"Luxury",IF(EV_Data4[[#This Row],[price_usd]]&gt;=40000,"Mid-Range","Budget"))</f>
        <v>Mid-Range</v>
      </c>
      <c r="AD1243" t="str">
        <f>IF(EV_Data4[[#This Row],[range_miles]]&gt;=350,"Long-Range",IF(EV_Data4[[#This Row],[range_miles]]&gt;=250,"Medium-Range","Short-Range"))</f>
        <v>Short-Range</v>
      </c>
      <c r="AE1243" t="str">
        <f>IF(EV_Data4[[#This Row],[charging_speed_kw]]&gt;=250,"Ultra-Fast",IF(EV_Data4[[#This Row],[charging_speed_kw]]&gt;=150,"Fast-Charging","Standard-Charging"))</f>
        <v>Standard-Charging</v>
      </c>
      <c r="AF1243" t="str">
        <f>IF(EV_Data4[[#This Row],[acceleration_0_60_mph]]&lt;=3,"SportsPerformance",IF(EV_Data4[[#This Row],[acceleration_0_60_mph]]&lt;=5,"HighPerformance","Standard"))</f>
        <v>Standard</v>
      </c>
      <c r="AG1243" t="str">
        <f>IF(EV_Data4[[#This Row],[customer_rating]]&gt;=4.5,"Excellent",IF(EV_Data4[[#This Row],[customer_rating]]&gt;=3.5,"Good","Average"))</f>
        <v>Average</v>
      </c>
      <c r="AH124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44" spans="1:34" x14ac:dyDescent="0.3">
      <c r="A1244" t="s">
        <v>76</v>
      </c>
      <c r="B1244" t="s">
        <v>81</v>
      </c>
      <c r="C1244">
        <v>2022</v>
      </c>
      <c r="D1244" t="s">
        <v>44</v>
      </c>
      <c r="E1244" s="3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48</v>
      </c>
      <c r="N1244">
        <v>7</v>
      </c>
      <c r="O1244" t="s">
        <v>35</v>
      </c>
      <c r="P1244">
        <v>54.2</v>
      </c>
      <c r="Q1244">
        <v>1709</v>
      </c>
      <c r="R1244">
        <v>5</v>
      </c>
      <c r="S1244">
        <v>1</v>
      </c>
      <c r="T1244" t="s">
        <v>41</v>
      </c>
      <c r="U1244" t="s">
        <v>37</v>
      </c>
      <c r="V1244" s="3">
        <v>77918</v>
      </c>
      <c r="W1244">
        <v>3.48</v>
      </c>
      <c r="X1244">
        <v>5</v>
      </c>
      <c r="Y1244" s="1">
        <f>EV_Data4[[#This Row],[range_miles]]/EV_Data4[[#This Row],[battery_capacity_kwh]]</f>
        <v>3.5176470588235293</v>
      </c>
      <c r="Z1244" s="4">
        <f>EV_Data4[[#This Row],[price_usd]]/EV_Data4[[#This Row],[range_miles]]</f>
        <v>149.54919732441471</v>
      </c>
      <c r="AA1244" s="2">
        <f>(EV_Data4[[#This Row],[customer_rating]]*EV_Data4[[#This Row],[safety_rating]]*1000)/EV_Data4[[#This Row],[price_usd]]</f>
        <v>0.3891293365277721</v>
      </c>
      <c r="AB1244">
        <f>EV_Data4[[#This Row],[horsepower]]+EV_Data4[[#This Row],[torque_nm]]/EV_Data4[[#This Row],[acceleration_0_60_mph]]</f>
        <v>512.58823529411768</v>
      </c>
      <c r="AC1244" t="str">
        <f>IF(EV_Data4[[#This Row],[price_usd]]&gt;=80000,"Luxury",IF(EV_Data4[[#This Row],[price_usd]]&gt;=40000,"Mid-Range","Budget"))</f>
        <v>Mid-Range</v>
      </c>
      <c r="AD1244" t="str">
        <f>IF(EV_Data4[[#This Row],[range_miles]]&gt;=350,"Long-Range",IF(EV_Data4[[#This Row],[range_miles]]&gt;=250,"Medium-Range","Short-Range"))</f>
        <v>Medium-Range</v>
      </c>
      <c r="AE1244" t="str">
        <f>IF(EV_Data4[[#This Row],[charging_speed_kw]]&gt;=250,"Ultra-Fast",IF(EV_Data4[[#This Row],[charging_speed_kw]]&gt;=150,"Fast-Charging","Standard-Charging"))</f>
        <v>Standard-Charging</v>
      </c>
      <c r="AF1244" t="str">
        <f>IF(EV_Data4[[#This Row],[acceleration_0_60_mph]]&lt;=3,"SportsPerformance",IF(EV_Data4[[#This Row],[acceleration_0_60_mph]]&lt;=5,"HighPerformance","Standard"))</f>
        <v>Standard</v>
      </c>
      <c r="AG1244" t="str">
        <f>IF(EV_Data4[[#This Row],[customer_rating]]&gt;=4.5,"Excellent",IF(EV_Data4[[#This Row],[customer_rating]]&gt;=3.5,"Good","Average"))</f>
        <v>Average</v>
      </c>
      <c r="AH124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45" spans="1:34" x14ac:dyDescent="0.3">
      <c r="A1245" t="s">
        <v>52</v>
      </c>
      <c r="B1245" t="s">
        <v>97</v>
      </c>
      <c r="C1245">
        <v>2026</v>
      </c>
      <c r="D1245" t="s">
        <v>44</v>
      </c>
      <c r="E1245" s="3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27</v>
      </c>
      <c r="N1245">
        <v>7</v>
      </c>
      <c r="O1245" t="s">
        <v>35</v>
      </c>
      <c r="P1245">
        <v>44.2</v>
      </c>
      <c r="Q1245">
        <v>1927</v>
      </c>
      <c r="R1245">
        <v>5</v>
      </c>
      <c r="S1245">
        <v>1</v>
      </c>
      <c r="T1245" t="s">
        <v>29</v>
      </c>
      <c r="U1245" t="s">
        <v>30</v>
      </c>
      <c r="V1245" s="3">
        <v>45500</v>
      </c>
      <c r="W1245">
        <v>3.92</v>
      </c>
      <c r="X1245">
        <v>6</v>
      </c>
      <c r="Y1245" s="1">
        <f>EV_Data4[[#This Row],[range_miles]]/EV_Data4[[#This Row],[battery_capacity_kwh]]</f>
        <v>3.6925098554533511</v>
      </c>
      <c r="Z1245" s="4">
        <f>EV_Data4[[#This Row],[price_usd]]/EV_Data4[[#This Row],[range_miles]]</f>
        <v>436.78772241992885</v>
      </c>
      <c r="AA1245" s="2">
        <f>(EV_Data4[[#This Row],[customer_rating]]*EV_Data4[[#This Row],[safety_rating]]*1000)/EV_Data4[[#This Row],[price_usd]]</f>
        <v>0.15969059133181546</v>
      </c>
      <c r="AB1245">
        <f>EV_Data4[[#This Row],[horsepower]]+EV_Data4[[#This Row],[torque_nm]]/EV_Data4[[#This Row],[acceleration_0_60_mph]]</f>
        <v>798.4959349593496</v>
      </c>
      <c r="AC1245" t="str">
        <f>IF(EV_Data4[[#This Row],[price_usd]]&gt;=80000,"Luxury",IF(EV_Data4[[#This Row],[price_usd]]&gt;=40000,"Mid-Range","Budget"))</f>
        <v>Luxury</v>
      </c>
      <c r="AD1245" t="str">
        <f>IF(EV_Data4[[#This Row],[range_miles]]&gt;=350,"Long-Range",IF(EV_Data4[[#This Row],[range_miles]]&gt;=250,"Medium-Range","Short-Range"))</f>
        <v>Medium-Range</v>
      </c>
      <c r="AE1245" t="str">
        <f>IF(EV_Data4[[#This Row],[charging_speed_kw]]&gt;=250,"Ultra-Fast",IF(EV_Data4[[#This Row],[charging_speed_kw]]&gt;=150,"Fast-Charging","Standard-Charging"))</f>
        <v>Standard-Charging</v>
      </c>
      <c r="AF1245" t="str">
        <f>IF(EV_Data4[[#This Row],[acceleration_0_60_mph]]&lt;=3,"SportsPerformance",IF(EV_Data4[[#This Row],[acceleration_0_60_mph]]&lt;=5,"HighPerformance","Standard"))</f>
        <v>HighPerformance</v>
      </c>
      <c r="AG1245" t="str">
        <f>IF(EV_Data4[[#This Row],[customer_rating]]&gt;=4.5,"Excellent",IF(EV_Data4[[#This Row],[customer_rating]]&gt;=3.5,"Good","Average"))</f>
        <v>Good</v>
      </c>
      <c r="AH124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46" spans="1:34" x14ac:dyDescent="0.3">
      <c r="A1246" t="s">
        <v>38</v>
      </c>
      <c r="B1246" t="s">
        <v>118</v>
      </c>
      <c r="C1246">
        <v>2026</v>
      </c>
      <c r="D1246" t="s">
        <v>44</v>
      </c>
      <c r="E1246" s="3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34</v>
      </c>
      <c r="N1246">
        <v>5</v>
      </c>
      <c r="O1246" t="s">
        <v>28</v>
      </c>
      <c r="P1246">
        <v>67.099999999999994</v>
      </c>
      <c r="Q1246">
        <v>2136</v>
      </c>
      <c r="R1246">
        <v>3</v>
      </c>
      <c r="S1246">
        <v>2</v>
      </c>
      <c r="T1246" t="s">
        <v>41</v>
      </c>
      <c r="U1246" t="s">
        <v>33</v>
      </c>
      <c r="V1246" s="3">
        <v>18197</v>
      </c>
      <c r="W1246">
        <v>3.62</v>
      </c>
      <c r="X1246">
        <v>4</v>
      </c>
      <c r="Y1246" s="1">
        <f>EV_Data4[[#This Row],[range_miles]]/EV_Data4[[#This Row],[battery_capacity_kwh]]</f>
        <v>3.4029484029484025</v>
      </c>
      <c r="Z1246" s="4">
        <f>EV_Data4[[#This Row],[price_usd]]/EV_Data4[[#This Row],[range_miles]]</f>
        <v>270.96512635379059</v>
      </c>
      <c r="AA1246" s="2">
        <f>(EV_Data4[[#This Row],[customer_rating]]*EV_Data4[[#This Row],[safety_rating]]*1000)/EV_Data4[[#This Row],[price_usd]]</f>
        <v>0.14468938014589913</v>
      </c>
      <c r="AB1246">
        <f>EV_Data4[[#This Row],[horsepower]]+EV_Data4[[#This Row],[torque_nm]]/EV_Data4[[#This Row],[acceleration_0_60_mph]]</f>
        <v>1187.4251497005989</v>
      </c>
      <c r="AC1246" t="str">
        <f>IF(EV_Data4[[#This Row],[price_usd]]&gt;=80000,"Luxury",IF(EV_Data4[[#This Row],[price_usd]]&gt;=40000,"Mid-Range","Budget"))</f>
        <v>Mid-Range</v>
      </c>
      <c r="AD1246" t="str">
        <f>IF(EV_Data4[[#This Row],[range_miles]]&gt;=350,"Long-Range",IF(EV_Data4[[#This Row],[range_miles]]&gt;=250,"Medium-Range","Short-Range"))</f>
        <v>Medium-Range</v>
      </c>
      <c r="AE1246" t="str">
        <f>IF(EV_Data4[[#This Row],[charging_speed_kw]]&gt;=250,"Ultra-Fast",IF(EV_Data4[[#This Row],[charging_speed_kw]]&gt;=150,"Fast-Charging","Standard-Charging"))</f>
        <v>Standard-Charging</v>
      </c>
      <c r="AF1246" t="str">
        <f>IF(EV_Data4[[#This Row],[acceleration_0_60_mph]]&lt;=3,"SportsPerformance",IF(EV_Data4[[#This Row],[acceleration_0_60_mph]]&lt;=5,"HighPerformance","Standard"))</f>
        <v>Standard</v>
      </c>
      <c r="AG1246" t="str">
        <f>IF(EV_Data4[[#This Row],[customer_rating]]&gt;=4.5,"Excellent",IF(EV_Data4[[#This Row],[customer_rating]]&gt;=3.5,"Good","Average"))</f>
        <v>Good</v>
      </c>
      <c r="AH124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47" spans="1:34" x14ac:dyDescent="0.3">
      <c r="A1247" t="s">
        <v>83</v>
      </c>
      <c r="B1247" t="s">
        <v>84</v>
      </c>
      <c r="C1247">
        <v>2023</v>
      </c>
      <c r="D1247" t="s">
        <v>26</v>
      </c>
      <c r="E1247" s="3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48</v>
      </c>
      <c r="N1247">
        <v>7</v>
      </c>
      <c r="O1247" t="s">
        <v>51</v>
      </c>
      <c r="P1247">
        <v>30.3</v>
      </c>
      <c r="Q1247">
        <v>1630</v>
      </c>
      <c r="R1247">
        <v>5</v>
      </c>
      <c r="S1247">
        <v>2</v>
      </c>
      <c r="T1247" t="s">
        <v>29</v>
      </c>
      <c r="U1247" t="s">
        <v>30</v>
      </c>
      <c r="V1247" s="3">
        <v>71997</v>
      </c>
      <c r="W1247">
        <v>3.55</v>
      </c>
      <c r="X1247">
        <v>6</v>
      </c>
      <c r="Y1247" s="1">
        <f>EV_Data4[[#This Row],[range_miles]]/EV_Data4[[#This Row],[battery_capacity_kwh]]</f>
        <v>3.4250343878954608</v>
      </c>
      <c r="Z1247" s="4">
        <f>EV_Data4[[#This Row],[price_usd]]/EV_Data4[[#This Row],[range_miles]]</f>
        <v>488.89534136546183</v>
      </c>
      <c r="AA1247" s="2">
        <f>(EV_Data4[[#This Row],[customer_rating]]*EV_Data4[[#This Row],[safety_rating]]*1000)/EV_Data4[[#This Row],[price_usd]]</f>
        <v>0.1458085903685499</v>
      </c>
      <c r="AB1247">
        <f>EV_Data4[[#This Row],[horsepower]]+EV_Data4[[#This Row],[torque_nm]]/EV_Data4[[#This Row],[acceleration_0_60_mph]]</f>
        <v>1347.3880597014925</v>
      </c>
      <c r="AC1247" t="str">
        <f>IF(EV_Data4[[#This Row],[price_usd]]&gt;=80000,"Luxury",IF(EV_Data4[[#This Row],[price_usd]]&gt;=40000,"Mid-Range","Budget"))</f>
        <v>Luxury</v>
      </c>
      <c r="AD1247" t="str">
        <f>IF(EV_Data4[[#This Row],[range_miles]]&gt;=350,"Long-Range",IF(EV_Data4[[#This Row],[range_miles]]&gt;=250,"Medium-Range","Short-Range"))</f>
        <v>Short-Range</v>
      </c>
      <c r="AE1247" t="str">
        <f>IF(EV_Data4[[#This Row],[charging_speed_kw]]&gt;=250,"Ultra-Fast",IF(EV_Data4[[#This Row],[charging_speed_kw]]&gt;=150,"Fast-Charging","Standard-Charging"))</f>
        <v>Fast-Charging</v>
      </c>
      <c r="AF1247" t="str">
        <f>IF(EV_Data4[[#This Row],[acceleration_0_60_mph]]&lt;=3,"SportsPerformance",IF(EV_Data4[[#This Row],[acceleration_0_60_mph]]&lt;=5,"HighPerformance","Standard"))</f>
        <v>SportsPerformance</v>
      </c>
      <c r="AG1247" t="str">
        <f>IF(EV_Data4[[#This Row],[customer_rating]]&gt;=4.5,"Excellent",IF(EV_Data4[[#This Row],[customer_rating]]&gt;=3.5,"Good","Average"))</f>
        <v>Good</v>
      </c>
      <c r="AH124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48" spans="1:34" x14ac:dyDescent="0.3">
      <c r="A1248" t="s">
        <v>46</v>
      </c>
      <c r="B1248" t="s">
        <v>57</v>
      </c>
      <c r="C1248">
        <v>2025</v>
      </c>
      <c r="D1248" t="s">
        <v>56</v>
      </c>
      <c r="E1248" s="3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48</v>
      </c>
      <c r="N1248">
        <v>5</v>
      </c>
      <c r="O1248" t="s">
        <v>50</v>
      </c>
      <c r="P1248">
        <v>25.3</v>
      </c>
      <c r="Q1248">
        <v>1673</v>
      </c>
      <c r="R1248">
        <v>4</v>
      </c>
      <c r="S1248">
        <v>2</v>
      </c>
      <c r="T1248" t="s">
        <v>41</v>
      </c>
      <c r="U1248" t="s">
        <v>37</v>
      </c>
      <c r="V1248" s="3">
        <v>205263</v>
      </c>
      <c r="W1248">
        <v>3.88</v>
      </c>
      <c r="X1248">
        <v>5</v>
      </c>
      <c r="Y1248" s="1">
        <f>EV_Data4[[#This Row],[range_miles]]/EV_Data4[[#This Row],[battery_capacity_kwh]]</f>
        <v>3.5388409371146734</v>
      </c>
      <c r="Z1248" s="4">
        <f>EV_Data4[[#This Row],[price_usd]]/EV_Data4[[#This Row],[range_miles]]</f>
        <v>144.71571428571428</v>
      </c>
      <c r="AA1248" s="2">
        <f>(EV_Data4[[#This Row],[customer_rating]]*EV_Data4[[#This Row],[safety_rating]]*1000)/EV_Data4[[#This Row],[price_usd]]</f>
        <v>0.37367507267041156</v>
      </c>
      <c r="AB1248">
        <f>EV_Data4[[#This Row],[horsepower]]+EV_Data4[[#This Row],[torque_nm]]/EV_Data4[[#This Row],[acceleration_0_60_mph]]</f>
        <v>295.98500749625185</v>
      </c>
      <c r="AC1248" t="str">
        <f>IF(EV_Data4[[#This Row],[price_usd]]&gt;=80000,"Luxury",IF(EV_Data4[[#This Row],[price_usd]]&gt;=40000,"Mid-Range","Budget"))</f>
        <v>Mid-Range</v>
      </c>
      <c r="AD1248" t="str">
        <f>IF(EV_Data4[[#This Row],[range_miles]]&gt;=350,"Long-Range",IF(EV_Data4[[#This Row],[range_miles]]&gt;=250,"Medium-Range","Short-Range"))</f>
        <v>Medium-Range</v>
      </c>
      <c r="AE1248" t="str">
        <f>IF(EV_Data4[[#This Row],[charging_speed_kw]]&gt;=250,"Ultra-Fast",IF(EV_Data4[[#This Row],[charging_speed_kw]]&gt;=150,"Fast-Charging","Standard-Charging"))</f>
        <v>Fast-Charging</v>
      </c>
      <c r="AF1248" t="str">
        <f>IF(EV_Data4[[#This Row],[acceleration_0_60_mph]]&lt;=3,"SportsPerformance",IF(EV_Data4[[#This Row],[acceleration_0_60_mph]]&lt;=5,"HighPerformance","Standard"))</f>
        <v>Standard</v>
      </c>
      <c r="AG1248" t="str">
        <f>IF(EV_Data4[[#This Row],[customer_rating]]&gt;=4.5,"Excellent",IF(EV_Data4[[#This Row],[customer_rating]]&gt;=3.5,"Good","Average"))</f>
        <v>Good</v>
      </c>
      <c r="AH124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49" spans="1:34" x14ac:dyDescent="0.3">
      <c r="A1249" t="s">
        <v>46</v>
      </c>
      <c r="B1249" t="s">
        <v>72</v>
      </c>
      <c r="C1249">
        <v>2022</v>
      </c>
      <c r="D1249" t="s">
        <v>56</v>
      </c>
      <c r="E1249" s="3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27</v>
      </c>
      <c r="N1249">
        <v>5</v>
      </c>
      <c r="O1249" t="s">
        <v>28</v>
      </c>
      <c r="P1249">
        <v>66.8</v>
      </c>
      <c r="Q1249">
        <v>2657</v>
      </c>
      <c r="R1249">
        <v>5</v>
      </c>
      <c r="S1249">
        <v>2</v>
      </c>
      <c r="T1249" t="s">
        <v>41</v>
      </c>
      <c r="U1249" t="s">
        <v>66</v>
      </c>
      <c r="V1249" s="3">
        <v>223257</v>
      </c>
      <c r="W1249">
        <v>3.91</v>
      </c>
      <c r="X1249">
        <v>6</v>
      </c>
      <c r="Y1249" s="1">
        <f>EV_Data4[[#This Row],[range_miles]]/EV_Data4[[#This Row],[battery_capacity_kwh]]</f>
        <v>3.4060606060606062</v>
      </c>
      <c r="Z1249" s="4">
        <f>EV_Data4[[#This Row],[price_usd]]/EV_Data4[[#This Row],[range_miles]]</f>
        <v>118.43985765124555</v>
      </c>
      <c r="AA1249" s="2">
        <f>(EV_Data4[[#This Row],[customer_rating]]*EV_Data4[[#This Row],[safety_rating]]*1000)/EV_Data4[[#This Row],[price_usd]]</f>
        <v>0.58741166290082214</v>
      </c>
      <c r="AB1249">
        <f>EV_Data4[[#This Row],[horsepower]]+EV_Data4[[#This Row],[torque_nm]]/EV_Data4[[#This Row],[acceleration_0_60_mph]]</f>
        <v>271.85714285714283</v>
      </c>
      <c r="AC1249" t="str">
        <f>IF(EV_Data4[[#This Row],[price_usd]]&gt;=80000,"Luxury",IF(EV_Data4[[#This Row],[price_usd]]&gt;=40000,"Mid-Range","Budget"))</f>
        <v>Budget</v>
      </c>
      <c r="AD1249" t="str">
        <f>IF(EV_Data4[[#This Row],[range_miles]]&gt;=350,"Long-Range",IF(EV_Data4[[#This Row],[range_miles]]&gt;=250,"Medium-Range","Short-Range"))</f>
        <v>Medium-Range</v>
      </c>
      <c r="AE1249" t="str">
        <f>IF(EV_Data4[[#This Row],[charging_speed_kw]]&gt;=250,"Ultra-Fast",IF(EV_Data4[[#This Row],[charging_speed_kw]]&gt;=150,"Fast-Charging","Standard-Charging"))</f>
        <v>Ultra-Fast</v>
      </c>
      <c r="AF1249" t="str">
        <f>IF(EV_Data4[[#This Row],[acceleration_0_60_mph]]&lt;=3,"SportsPerformance",IF(EV_Data4[[#This Row],[acceleration_0_60_mph]]&lt;=5,"HighPerformance","Standard"))</f>
        <v>Standard</v>
      </c>
      <c r="AG1249" t="str">
        <f>IF(EV_Data4[[#This Row],[customer_rating]]&gt;=4.5,"Excellent",IF(EV_Data4[[#This Row],[customer_rating]]&gt;=3.5,"Good","Average"))</f>
        <v>Good</v>
      </c>
      <c r="AH124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50" spans="1:34" x14ac:dyDescent="0.3">
      <c r="A1250" t="s">
        <v>94</v>
      </c>
      <c r="B1250" t="s">
        <v>120</v>
      </c>
      <c r="C1250">
        <v>2024</v>
      </c>
      <c r="D1250" t="s">
        <v>61</v>
      </c>
      <c r="E1250" s="3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48</v>
      </c>
      <c r="N1250">
        <v>5</v>
      </c>
      <c r="O1250" t="s">
        <v>50</v>
      </c>
      <c r="P1250">
        <v>31.3</v>
      </c>
      <c r="Q1250">
        <v>1941</v>
      </c>
      <c r="R1250">
        <v>5</v>
      </c>
      <c r="S1250">
        <v>0</v>
      </c>
      <c r="T1250" t="s">
        <v>41</v>
      </c>
      <c r="U1250" t="s">
        <v>33</v>
      </c>
      <c r="V1250" s="3">
        <v>12601</v>
      </c>
      <c r="W1250">
        <v>3.59</v>
      </c>
      <c r="X1250">
        <v>5</v>
      </c>
      <c r="Y1250" s="1">
        <f>EV_Data4[[#This Row],[range_miles]]/EV_Data4[[#This Row],[battery_capacity_kwh]]</f>
        <v>3.1116687578419069</v>
      </c>
      <c r="Z1250" s="4">
        <f>EV_Data4[[#This Row],[price_usd]]/EV_Data4[[#This Row],[range_miles]]</f>
        <v>316.07129032258064</v>
      </c>
      <c r="AA1250" s="2">
        <f>(EV_Data4[[#This Row],[customer_rating]]*EV_Data4[[#This Row],[safety_rating]]*1000)/EV_Data4[[#This Row],[price_usd]]</f>
        <v>0.22899590843633685</v>
      </c>
      <c r="AB1250">
        <f>EV_Data4[[#This Row],[horsepower]]+EV_Data4[[#This Row],[torque_nm]]/EV_Data4[[#This Row],[acceleration_0_60_mph]]</f>
        <v>709.33070866141736</v>
      </c>
      <c r="AC1250" t="str">
        <f>IF(EV_Data4[[#This Row],[price_usd]]&gt;=80000,"Luxury",IF(EV_Data4[[#This Row],[price_usd]]&gt;=40000,"Mid-Range","Budget"))</f>
        <v>Mid-Range</v>
      </c>
      <c r="AD1250" t="str">
        <f>IF(EV_Data4[[#This Row],[range_miles]]&gt;=350,"Long-Range",IF(EV_Data4[[#This Row],[range_miles]]&gt;=250,"Medium-Range","Short-Range"))</f>
        <v>Short-Range</v>
      </c>
      <c r="AE1250" t="str">
        <f>IF(EV_Data4[[#This Row],[charging_speed_kw]]&gt;=250,"Ultra-Fast",IF(EV_Data4[[#This Row],[charging_speed_kw]]&gt;=150,"Fast-Charging","Standard-Charging"))</f>
        <v>Standard-Charging</v>
      </c>
      <c r="AF1250" t="str">
        <f>IF(EV_Data4[[#This Row],[acceleration_0_60_mph]]&lt;=3,"SportsPerformance",IF(EV_Data4[[#This Row],[acceleration_0_60_mph]]&lt;=5,"HighPerformance","Standard"))</f>
        <v>Standard</v>
      </c>
      <c r="AG1250" t="str">
        <f>IF(EV_Data4[[#This Row],[customer_rating]]&gt;=4.5,"Excellent",IF(EV_Data4[[#This Row],[customer_rating]]&gt;=3.5,"Good","Average"))</f>
        <v>Good</v>
      </c>
      <c r="AH125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51" spans="1:34" x14ac:dyDescent="0.3">
      <c r="A1251" t="s">
        <v>42</v>
      </c>
      <c r="B1251" t="s">
        <v>71</v>
      </c>
      <c r="C1251">
        <v>2026</v>
      </c>
      <c r="D1251" t="s">
        <v>61</v>
      </c>
      <c r="E1251" s="3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34</v>
      </c>
      <c r="N1251">
        <v>7</v>
      </c>
      <c r="O1251" t="s">
        <v>40</v>
      </c>
      <c r="P1251">
        <v>63</v>
      </c>
      <c r="Q1251">
        <v>1500</v>
      </c>
      <c r="R1251">
        <v>4</v>
      </c>
      <c r="S1251">
        <v>0</v>
      </c>
      <c r="T1251" t="s">
        <v>45</v>
      </c>
      <c r="U1251" t="s">
        <v>37</v>
      </c>
      <c r="V1251" s="3">
        <v>84955</v>
      </c>
      <c r="W1251">
        <v>3.44</v>
      </c>
      <c r="X1251">
        <v>5</v>
      </c>
      <c r="Y1251" s="1">
        <f>EV_Data4[[#This Row],[range_miles]]/EV_Data4[[#This Row],[battery_capacity_kwh]]</f>
        <v>3.7463556851311957</v>
      </c>
      <c r="Z1251" s="4">
        <f>EV_Data4[[#This Row],[price_usd]]/EV_Data4[[#This Row],[range_miles]]</f>
        <v>212.41867704280156</v>
      </c>
      <c r="AA1251" s="2">
        <f>(EV_Data4[[#This Row],[customer_rating]]*EV_Data4[[#This Row],[safety_rating]]*1000)/EV_Data4[[#This Row],[price_usd]]</f>
        <v>0.25205342946533899</v>
      </c>
      <c r="AB1251">
        <f>EV_Data4[[#This Row],[horsepower]]+EV_Data4[[#This Row],[torque_nm]]/EV_Data4[[#This Row],[acceleration_0_60_mph]]</f>
        <v>609.70289855072463</v>
      </c>
      <c r="AC1251" t="str">
        <f>IF(EV_Data4[[#This Row],[price_usd]]&gt;=80000,"Luxury",IF(EV_Data4[[#This Row],[price_usd]]&gt;=40000,"Mid-Range","Budget"))</f>
        <v>Mid-Range</v>
      </c>
      <c r="AD1251" t="str">
        <f>IF(EV_Data4[[#This Row],[range_miles]]&gt;=350,"Long-Range",IF(EV_Data4[[#This Row],[range_miles]]&gt;=250,"Medium-Range","Short-Range"))</f>
        <v>Medium-Range</v>
      </c>
      <c r="AE1251" t="str">
        <f>IF(EV_Data4[[#This Row],[charging_speed_kw]]&gt;=250,"Ultra-Fast",IF(EV_Data4[[#This Row],[charging_speed_kw]]&gt;=150,"Fast-Charging","Standard-Charging"))</f>
        <v>Standard-Charging</v>
      </c>
      <c r="AF1251" t="str">
        <f>IF(EV_Data4[[#This Row],[acceleration_0_60_mph]]&lt;=3,"SportsPerformance",IF(EV_Data4[[#This Row],[acceleration_0_60_mph]]&lt;=5,"HighPerformance","Standard"))</f>
        <v>Standard</v>
      </c>
      <c r="AG1251" t="str">
        <f>IF(EV_Data4[[#This Row],[customer_rating]]&gt;=4.5,"Excellent",IF(EV_Data4[[#This Row],[customer_rating]]&gt;=3.5,"Good","Average"))</f>
        <v>Average</v>
      </c>
      <c r="AH125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52" spans="1:34" x14ac:dyDescent="0.3">
      <c r="A1252" t="s">
        <v>76</v>
      </c>
      <c r="B1252" t="s">
        <v>81</v>
      </c>
      <c r="C1252">
        <v>2024</v>
      </c>
      <c r="D1252" t="s">
        <v>44</v>
      </c>
      <c r="E1252" s="3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48</v>
      </c>
      <c r="N1252">
        <v>7</v>
      </c>
      <c r="O1252" t="s">
        <v>51</v>
      </c>
      <c r="P1252">
        <v>28</v>
      </c>
      <c r="Q1252">
        <v>1500</v>
      </c>
      <c r="R1252">
        <v>5</v>
      </c>
      <c r="S1252">
        <v>0</v>
      </c>
      <c r="T1252" t="s">
        <v>41</v>
      </c>
      <c r="U1252" t="s">
        <v>33</v>
      </c>
      <c r="V1252" s="3">
        <v>72596</v>
      </c>
      <c r="W1252">
        <v>3.61</v>
      </c>
      <c r="X1252">
        <v>5</v>
      </c>
      <c r="Y1252" s="1">
        <f>EV_Data4[[#This Row],[range_miles]]/EV_Data4[[#This Row],[battery_capacity_kwh]]</f>
        <v>3.4862385321100922</v>
      </c>
      <c r="Z1252" s="4">
        <f>EV_Data4[[#This Row],[price_usd]]/EV_Data4[[#This Row],[range_miles]]</f>
        <v>247.07964912280704</v>
      </c>
      <c r="AA1252" s="2">
        <f>(EV_Data4[[#This Row],[customer_rating]]*EV_Data4[[#This Row],[safety_rating]]*1000)/EV_Data4[[#This Row],[price_usd]]</f>
        <v>0.21360633287748201</v>
      </c>
      <c r="AB1252">
        <f>EV_Data4[[#This Row],[horsepower]]+EV_Data4[[#This Row],[torque_nm]]/EV_Data4[[#This Row],[acceleration_0_60_mph]]</f>
        <v>1184.7133757961783</v>
      </c>
      <c r="AC1252" t="str">
        <f>IF(EV_Data4[[#This Row],[price_usd]]&gt;=80000,"Luxury",IF(EV_Data4[[#This Row],[price_usd]]&gt;=40000,"Mid-Range","Budget"))</f>
        <v>Luxury</v>
      </c>
      <c r="AD1252" t="str">
        <f>IF(EV_Data4[[#This Row],[range_miles]]&gt;=350,"Long-Range",IF(EV_Data4[[#This Row],[range_miles]]&gt;=250,"Medium-Range","Short-Range"))</f>
        <v>Medium-Range</v>
      </c>
      <c r="AE1252" t="str">
        <f>IF(EV_Data4[[#This Row],[charging_speed_kw]]&gt;=250,"Ultra-Fast",IF(EV_Data4[[#This Row],[charging_speed_kw]]&gt;=150,"Fast-Charging","Standard-Charging"))</f>
        <v>Standard-Charging</v>
      </c>
      <c r="AF1252" t="str">
        <f>IF(EV_Data4[[#This Row],[acceleration_0_60_mph]]&lt;=3,"SportsPerformance",IF(EV_Data4[[#This Row],[acceleration_0_60_mph]]&lt;=5,"HighPerformance","Standard"))</f>
        <v>HighPerformance</v>
      </c>
      <c r="AG1252" t="str">
        <f>IF(EV_Data4[[#This Row],[customer_rating]]&gt;=4.5,"Excellent",IF(EV_Data4[[#This Row],[customer_rating]]&gt;=3.5,"Good","Average"))</f>
        <v>Good</v>
      </c>
      <c r="AH125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53" spans="1:34" x14ac:dyDescent="0.3">
      <c r="A1253" t="s">
        <v>68</v>
      </c>
      <c r="B1253" t="s">
        <v>69</v>
      </c>
      <c r="C1253">
        <v>2026</v>
      </c>
      <c r="D1253" t="s">
        <v>61</v>
      </c>
      <c r="E1253" s="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48</v>
      </c>
      <c r="N1253">
        <v>7</v>
      </c>
      <c r="O1253" t="s">
        <v>51</v>
      </c>
      <c r="P1253">
        <v>28.7</v>
      </c>
      <c r="Q1253">
        <v>1750</v>
      </c>
      <c r="R1253">
        <v>5</v>
      </c>
      <c r="S1253">
        <v>0</v>
      </c>
      <c r="T1253" t="s">
        <v>45</v>
      </c>
      <c r="U1253" t="s">
        <v>37</v>
      </c>
      <c r="V1253" s="3">
        <v>89861</v>
      </c>
      <c r="W1253">
        <v>3.5</v>
      </c>
      <c r="X1253">
        <v>3</v>
      </c>
      <c r="Y1253" s="1">
        <f>EV_Data4[[#This Row],[range_miles]]/EV_Data4[[#This Row],[battery_capacity_kwh]]</f>
        <v>3.4408602150537635</v>
      </c>
      <c r="Z1253" s="4">
        <f>EV_Data4[[#This Row],[price_usd]]/EV_Data4[[#This Row],[range_miles]]</f>
        <v>158.65326388888889</v>
      </c>
      <c r="AA1253" s="2">
        <f>(EV_Data4[[#This Row],[customer_rating]]*EV_Data4[[#This Row],[safety_rating]]*1000)/EV_Data4[[#This Row],[price_usd]]</f>
        <v>0.38299803861233028</v>
      </c>
      <c r="AB1253">
        <f>EV_Data4[[#This Row],[horsepower]]+EV_Data4[[#This Row],[torque_nm]]/EV_Data4[[#This Row],[acceleration_0_60_mph]]</f>
        <v>537.36722306525041</v>
      </c>
      <c r="AC1253" t="str">
        <f>IF(EV_Data4[[#This Row],[price_usd]]&gt;=80000,"Luxury",IF(EV_Data4[[#This Row],[price_usd]]&gt;=40000,"Mid-Range","Budget"))</f>
        <v>Mid-Range</v>
      </c>
      <c r="AD1253" t="str">
        <f>IF(EV_Data4[[#This Row],[range_miles]]&gt;=350,"Long-Range",IF(EV_Data4[[#This Row],[range_miles]]&gt;=250,"Medium-Range","Short-Range"))</f>
        <v>Medium-Range</v>
      </c>
      <c r="AE1253" t="str">
        <f>IF(EV_Data4[[#This Row],[charging_speed_kw]]&gt;=250,"Ultra-Fast",IF(EV_Data4[[#This Row],[charging_speed_kw]]&gt;=150,"Fast-Charging","Standard-Charging"))</f>
        <v>Standard-Charging</v>
      </c>
      <c r="AF1253" t="str">
        <f>IF(EV_Data4[[#This Row],[acceleration_0_60_mph]]&lt;=3,"SportsPerformance",IF(EV_Data4[[#This Row],[acceleration_0_60_mph]]&lt;=5,"HighPerformance","Standard"))</f>
        <v>Standard</v>
      </c>
      <c r="AG1253" t="str">
        <f>IF(EV_Data4[[#This Row],[customer_rating]]&gt;=4.5,"Excellent",IF(EV_Data4[[#This Row],[customer_rating]]&gt;=3.5,"Good","Average"))</f>
        <v>Good</v>
      </c>
      <c r="AH125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54" spans="1:34" x14ac:dyDescent="0.3">
      <c r="A1254" t="s">
        <v>46</v>
      </c>
      <c r="B1254" t="s">
        <v>57</v>
      </c>
      <c r="C1254">
        <v>2025</v>
      </c>
      <c r="D1254" t="s">
        <v>33</v>
      </c>
      <c r="E1254" s="3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48</v>
      </c>
      <c r="N1254">
        <v>5</v>
      </c>
      <c r="O1254" t="s">
        <v>35</v>
      </c>
      <c r="P1254">
        <v>64</v>
      </c>
      <c r="Q1254">
        <v>2096</v>
      </c>
      <c r="R1254">
        <v>5</v>
      </c>
      <c r="S1254">
        <v>2</v>
      </c>
      <c r="T1254" t="s">
        <v>41</v>
      </c>
      <c r="U1254" t="s">
        <v>30</v>
      </c>
      <c r="V1254" s="3">
        <v>124407</v>
      </c>
      <c r="W1254">
        <v>3.58</v>
      </c>
      <c r="X1254">
        <v>4</v>
      </c>
      <c r="Y1254" s="1">
        <f>EV_Data4[[#This Row],[range_miles]]/EV_Data4[[#This Row],[battery_capacity_kwh]]</f>
        <v>3.5115864527629235</v>
      </c>
      <c r="Z1254" s="4">
        <f>EV_Data4[[#This Row],[price_usd]]/EV_Data4[[#This Row],[range_miles]]</f>
        <v>668.34776649746198</v>
      </c>
      <c r="AA1254" s="2">
        <f>(EV_Data4[[#This Row],[customer_rating]]*EV_Data4[[#This Row],[safety_rating]]*1000)/EV_Data4[[#This Row],[price_usd]]</f>
        <v>0.13595159394129822</v>
      </c>
      <c r="AB1254">
        <f>EV_Data4[[#This Row],[horsepower]]+EV_Data4[[#This Row],[torque_nm]]/EV_Data4[[#This Row],[acceleration_0_60_mph]]</f>
        <v>1141.7336683417086</v>
      </c>
      <c r="AC1254" t="str">
        <f>IF(EV_Data4[[#This Row],[price_usd]]&gt;=80000,"Luxury",IF(EV_Data4[[#This Row],[price_usd]]&gt;=40000,"Mid-Range","Budget"))</f>
        <v>Luxury</v>
      </c>
      <c r="AD1254" t="str">
        <f>IF(EV_Data4[[#This Row],[range_miles]]&gt;=350,"Long-Range",IF(EV_Data4[[#This Row],[range_miles]]&gt;=250,"Medium-Range","Short-Range"))</f>
        <v>Short-Range</v>
      </c>
      <c r="AE1254" t="str">
        <f>IF(EV_Data4[[#This Row],[charging_speed_kw]]&gt;=250,"Ultra-Fast",IF(EV_Data4[[#This Row],[charging_speed_kw]]&gt;=150,"Fast-Charging","Standard-Charging"))</f>
        <v>Fast-Charging</v>
      </c>
      <c r="AF1254" t="str">
        <f>IF(EV_Data4[[#This Row],[acceleration_0_60_mph]]&lt;=3,"SportsPerformance",IF(EV_Data4[[#This Row],[acceleration_0_60_mph]]&lt;=5,"HighPerformance","Standard"))</f>
        <v>Standard</v>
      </c>
      <c r="AG1254" t="str">
        <f>IF(EV_Data4[[#This Row],[customer_rating]]&gt;=4.5,"Excellent",IF(EV_Data4[[#This Row],[customer_rating]]&gt;=3.5,"Good","Average"))</f>
        <v>Good</v>
      </c>
      <c r="AH125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55" spans="1:34" x14ac:dyDescent="0.3">
      <c r="A1255" t="s">
        <v>46</v>
      </c>
      <c r="B1255" t="s">
        <v>47</v>
      </c>
      <c r="C1255">
        <v>2026</v>
      </c>
      <c r="D1255" t="s">
        <v>44</v>
      </c>
      <c r="E1255" s="3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48</v>
      </c>
      <c r="N1255">
        <v>5</v>
      </c>
      <c r="O1255" t="s">
        <v>28</v>
      </c>
      <c r="P1255">
        <v>79.400000000000006</v>
      </c>
      <c r="Q1255">
        <v>2940</v>
      </c>
      <c r="R1255">
        <v>5</v>
      </c>
      <c r="S1255">
        <v>2</v>
      </c>
      <c r="T1255" t="s">
        <v>41</v>
      </c>
      <c r="U1255" t="s">
        <v>30</v>
      </c>
      <c r="V1255" s="3">
        <v>162803</v>
      </c>
      <c r="W1255">
        <v>4.05</v>
      </c>
      <c r="X1255">
        <v>5</v>
      </c>
      <c r="Y1255" s="1">
        <f>EV_Data4[[#This Row],[range_miles]]/EV_Data4[[#This Row],[battery_capacity_kwh]]</f>
        <v>3.4250764525993884</v>
      </c>
      <c r="Z1255" s="4">
        <f>EV_Data4[[#This Row],[price_usd]]/EV_Data4[[#This Row],[range_miles]]</f>
        <v>436.70571428571429</v>
      </c>
      <c r="AA1255" s="2">
        <f>(EV_Data4[[#This Row],[customer_rating]]*EV_Data4[[#This Row],[safety_rating]]*1000)/EV_Data4[[#This Row],[price_usd]]</f>
        <v>0.13800565271153506</v>
      </c>
      <c r="AB1255">
        <f>EV_Data4[[#This Row],[horsepower]]+EV_Data4[[#This Row],[torque_nm]]/EV_Data4[[#This Row],[acceleration_0_60_mph]]</f>
        <v>1175.189393939394</v>
      </c>
      <c r="AC1255" t="str">
        <f>IF(EV_Data4[[#This Row],[price_usd]]&gt;=80000,"Luxury",IF(EV_Data4[[#This Row],[price_usd]]&gt;=40000,"Mid-Range","Budget"))</f>
        <v>Luxury</v>
      </c>
      <c r="AD1255" t="str">
        <f>IF(EV_Data4[[#This Row],[range_miles]]&gt;=350,"Long-Range",IF(EV_Data4[[#This Row],[range_miles]]&gt;=250,"Medium-Range","Short-Range"))</f>
        <v>Medium-Range</v>
      </c>
      <c r="AE1255" t="str">
        <f>IF(EV_Data4[[#This Row],[charging_speed_kw]]&gt;=250,"Ultra-Fast",IF(EV_Data4[[#This Row],[charging_speed_kw]]&gt;=150,"Fast-Charging","Standard-Charging"))</f>
        <v>Ultra-Fast</v>
      </c>
      <c r="AF1255" t="str">
        <f>IF(EV_Data4[[#This Row],[acceleration_0_60_mph]]&lt;=3,"SportsPerformance",IF(EV_Data4[[#This Row],[acceleration_0_60_mph]]&lt;=5,"HighPerformance","Standard"))</f>
        <v>Standard</v>
      </c>
      <c r="AG1255" t="str">
        <f>IF(EV_Data4[[#This Row],[customer_rating]]&gt;=4.5,"Excellent",IF(EV_Data4[[#This Row],[customer_rating]]&gt;=3.5,"Good","Average"))</f>
        <v>Good</v>
      </c>
      <c r="AH125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56" spans="1:34" x14ac:dyDescent="0.3">
      <c r="A1256" t="s">
        <v>83</v>
      </c>
      <c r="B1256" t="s">
        <v>89</v>
      </c>
      <c r="C1256">
        <v>2024</v>
      </c>
      <c r="D1256" t="s">
        <v>61</v>
      </c>
      <c r="E1256" s="3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34</v>
      </c>
      <c r="N1256">
        <v>5</v>
      </c>
      <c r="O1256" t="s">
        <v>35</v>
      </c>
      <c r="P1256">
        <v>59</v>
      </c>
      <c r="Q1256">
        <v>1704</v>
      </c>
      <c r="R1256">
        <v>5</v>
      </c>
      <c r="S1256">
        <v>2</v>
      </c>
      <c r="T1256" t="s">
        <v>29</v>
      </c>
      <c r="U1256" t="s">
        <v>30</v>
      </c>
      <c r="V1256" s="3">
        <v>72604</v>
      </c>
      <c r="W1256">
        <v>3.14</v>
      </c>
      <c r="X1256">
        <v>6</v>
      </c>
      <c r="Y1256" s="1">
        <f>EV_Data4[[#This Row],[range_miles]]/EV_Data4[[#This Row],[battery_capacity_kwh]]</f>
        <v>3.7357630979498864</v>
      </c>
      <c r="Z1256" s="4">
        <f>EV_Data4[[#This Row],[price_usd]]/EV_Data4[[#This Row],[range_miles]]</f>
        <v>661.12719512195122</v>
      </c>
      <c r="AA1256" s="2">
        <f>(EV_Data4[[#This Row],[customer_rating]]*EV_Data4[[#This Row],[safety_rating]]*1000)/EV_Data4[[#This Row],[price_usd]]</f>
        <v>0.14480074034681717</v>
      </c>
      <c r="AB1256">
        <f>EV_Data4[[#This Row],[horsepower]]+EV_Data4[[#This Row],[torque_nm]]/EV_Data4[[#This Row],[acceleration_0_60_mph]]</f>
        <v>995.36619718309862</v>
      </c>
      <c r="AC1256" t="str">
        <f>IF(EV_Data4[[#This Row],[price_usd]]&gt;=80000,"Luxury",IF(EV_Data4[[#This Row],[price_usd]]&gt;=40000,"Mid-Range","Budget"))</f>
        <v>Luxury</v>
      </c>
      <c r="AD1256" t="str">
        <f>IF(EV_Data4[[#This Row],[range_miles]]&gt;=350,"Long-Range",IF(EV_Data4[[#This Row],[range_miles]]&gt;=250,"Medium-Range","Short-Range"))</f>
        <v>Short-Range</v>
      </c>
      <c r="AE1256" t="str">
        <f>IF(EV_Data4[[#This Row],[charging_speed_kw]]&gt;=250,"Ultra-Fast",IF(EV_Data4[[#This Row],[charging_speed_kw]]&gt;=150,"Fast-Charging","Standard-Charging"))</f>
        <v>Standard-Charging</v>
      </c>
      <c r="AF1256" t="str">
        <f>IF(EV_Data4[[#This Row],[acceleration_0_60_mph]]&lt;=3,"SportsPerformance",IF(EV_Data4[[#This Row],[acceleration_0_60_mph]]&lt;=5,"HighPerformance","Standard"))</f>
        <v>Standard</v>
      </c>
      <c r="AG1256" t="str">
        <f>IF(EV_Data4[[#This Row],[customer_rating]]&gt;=4.5,"Excellent",IF(EV_Data4[[#This Row],[customer_rating]]&gt;=3.5,"Good","Average"))</f>
        <v>Average</v>
      </c>
      <c r="AH125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57" spans="1:34" x14ac:dyDescent="0.3">
      <c r="A1257" t="s">
        <v>24</v>
      </c>
      <c r="B1257" t="s">
        <v>74</v>
      </c>
      <c r="C1257">
        <v>2024</v>
      </c>
      <c r="D1257" t="s">
        <v>33</v>
      </c>
      <c r="E1257" s="3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27</v>
      </c>
      <c r="N1257">
        <v>5</v>
      </c>
      <c r="O1257" t="s">
        <v>28</v>
      </c>
      <c r="P1257">
        <v>70.099999999999994</v>
      </c>
      <c r="Q1257">
        <v>2308</v>
      </c>
      <c r="R1257">
        <v>5</v>
      </c>
      <c r="S1257">
        <v>0</v>
      </c>
      <c r="T1257" t="s">
        <v>29</v>
      </c>
      <c r="U1257" t="s">
        <v>37</v>
      </c>
      <c r="V1257" s="3">
        <v>246474</v>
      </c>
      <c r="W1257">
        <v>3.55</v>
      </c>
      <c r="X1257">
        <v>5</v>
      </c>
      <c r="Y1257" s="1">
        <f>EV_Data4[[#This Row],[range_miles]]/EV_Data4[[#This Row],[battery_capacity_kwh]]</f>
        <v>3.3504492939666237</v>
      </c>
      <c r="Z1257" s="4">
        <f>EV_Data4[[#This Row],[price_usd]]/EV_Data4[[#This Row],[range_miles]]</f>
        <v>164.8415325670498</v>
      </c>
      <c r="AA1257" s="2">
        <f>(EV_Data4[[#This Row],[customer_rating]]*EV_Data4[[#This Row],[safety_rating]]*1000)/EV_Data4[[#This Row],[price_usd]]</f>
        <v>0.4125638834835918</v>
      </c>
      <c r="AB1257">
        <f>EV_Data4[[#This Row],[horsepower]]+EV_Data4[[#This Row],[torque_nm]]/EV_Data4[[#This Row],[acceleration_0_60_mph]]</f>
        <v>359.1194029850746</v>
      </c>
      <c r="AC1257" t="str">
        <f>IF(EV_Data4[[#This Row],[price_usd]]&gt;=80000,"Luxury",IF(EV_Data4[[#This Row],[price_usd]]&gt;=40000,"Mid-Range","Budget"))</f>
        <v>Mid-Range</v>
      </c>
      <c r="AD1257" t="str">
        <f>IF(EV_Data4[[#This Row],[range_miles]]&gt;=350,"Long-Range",IF(EV_Data4[[#This Row],[range_miles]]&gt;=250,"Medium-Range","Short-Range"))</f>
        <v>Medium-Range</v>
      </c>
      <c r="AE1257" t="str">
        <f>IF(EV_Data4[[#This Row],[charging_speed_kw]]&gt;=250,"Ultra-Fast",IF(EV_Data4[[#This Row],[charging_speed_kw]]&gt;=150,"Fast-Charging","Standard-Charging"))</f>
        <v>Standard-Charging</v>
      </c>
      <c r="AF1257" t="str">
        <f>IF(EV_Data4[[#This Row],[acceleration_0_60_mph]]&lt;=3,"SportsPerformance",IF(EV_Data4[[#This Row],[acceleration_0_60_mph]]&lt;=5,"HighPerformance","Standard"))</f>
        <v>Standard</v>
      </c>
      <c r="AG1257" t="str">
        <f>IF(EV_Data4[[#This Row],[customer_rating]]&gt;=4.5,"Excellent",IF(EV_Data4[[#This Row],[customer_rating]]&gt;=3.5,"Good","Average"))</f>
        <v>Good</v>
      </c>
      <c r="AH125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58" spans="1:34" x14ac:dyDescent="0.3">
      <c r="A1258" t="s">
        <v>46</v>
      </c>
      <c r="B1258" t="s">
        <v>78</v>
      </c>
      <c r="C1258">
        <v>2024</v>
      </c>
      <c r="D1258" t="s">
        <v>33</v>
      </c>
      <c r="E1258" s="3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27</v>
      </c>
      <c r="N1258">
        <v>5</v>
      </c>
      <c r="O1258" t="s">
        <v>35</v>
      </c>
      <c r="P1258">
        <v>42.4</v>
      </c>
      <c r="Q1258">
        <v>1670</v>
      </c>
      <c r="R1258">
        <v>4</v>
      </c>
      <c r="S1258">
        <v>3</v>
      </c>
      <c r="T1258" t="s">
        <v>41</v>
      </c>
      <c r="U1258" t="s">
        <v>30</v>
      </c>
      <c r="V1258" s="3">
        <v>163095</v>
      </c>
      <c r="W1258">
        <v>3.57</v>
      </c>
      <c r="X1258">
        <v>4</v>
      </c>
      <c r="Y1258" s="1">
        <f>EV_Data4[[#This Row],[range_miles]]/EV_Data4[[#This Row],[battery_capacity_kwh]]</f>
        <v>3.8181818181818183</v>
      </c>
      <c r="Z1258" s="4">
        <f>EV_Data4[[#This Row],[price_usd]]/EV_Data4[[#This Row],[range_miles]]</f>
        <v>833.66126984126993</v>
      </c>
      <c r="AA1258" s="2">
        <f>(EV_Data4[[#This Row],[customer_rating]]*EV_Data4[[#This Row],[safety_rating]]*1000)/EV_Data4[[#This Row],[price_usd]]</f>
        <v>9.0631001209809617E-2</v>
      </c>
      <c r="AB1258">
        <f>EV_Data4[[#This Row],[horsepower]]+EV_Data4[[#This Row],[torque_nm]]/EV_Data4[[#This Row],[acceleration_0_60_mph]]</f>
        <v>1117.1621621621621</v>
      </c>
      <c r="AC1258" t="str">
        <f>IF(EV_Data4[[#This Row],[price_usd]]&gt;=80000,"Luxury",IF(EV_Data4[[#This Row],[price_usd]]&gt;=40000,"Mid-Range","Budget"))</f>
        <v>Luxury</v>
      </c>
      <c r="AD1258" t="str">
        <f>IF(EV_Data4[[#This Row],[range_miles]]&gt;=350,"Long-Range",IF(EV_Data4[[#This Row],[range_miles]]&gt;=250,"Medium-Range","Short-Range"))</f>
        <v>Short-Range</v>
      </c>
      <c r="AE1258" t="str">
        <f>IF(EV_Data4[[#This Row],[charging_speed_kw]]&gt;=250,"Ultra-Fast",IF(EV_Data4[[#This Row],[charging_speed_kw]]&gt;=150,"Fast-Charging","Standard-Charging"))</f>
        <v>Ultra-Fast</v>
      </c>
      <c r="AF1258" t="str">
        <f>IF(EV_Data4[[#This Row],[acceleration_0_60_mph]]&lt;=3,"SportsPerformance",IF(EV_Data4[[#This Row],[acceleration_0_60_mph]]&lt;=5,"HighPerformance","Standard"))</f>
        <v>Standard</v>
      </c>
      <c r="AG1258" t="str">
        <f>IF(EV_Data4[[#This Row],[customer_rating]]&gt;=4.5,"Excellent",IF(EV_Data4[[#This Row],[customer_rating]]&gt;=3.5,"Good","Average"))</f>
        <v>Good</v>
      </c>
      <c r="AH125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259" spans="1:34" x14ac:dyDescent="0.3">
      <c r="A1259" t="s">
        <v>68</v>
      </c>
      <c r="B1259" t="s">
        <v>106</v>
      </c>
      <c r="C1259">
        <v>2024</v>
      </c>
      <c r="D1259" t="s">
        <v>26</v>
      </c>
      <c r="E1259" s="3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34</v>
      </c>
      <c r="N1259">
        <v>7</v>
      </c>
      <c r="O1259" t="s">
        <v>58</v>
      </c>
      <c r="P1259">
        <v>16.2</v>
      </c>
      <c r="Q1259">
        <v>1500</v>
      </c>
      <c r="R1259">
        <v>5</v>
      </c>
      <c r="S1259">
        <v>0</v>
      </c>
      <c r="T1259" t="s">
        <v>45</v>
      </c>
      <c r="U1259" t="s">
        <v>37</v>
      </c>
      <c r="V1259" s="3">
        <v>110783</v>
      </c>
      <c r="W1259">
        <v>3.54</v>
      </c>
      <c r="X1259">
        <v>4</v>
      </c>
      <c r="Y1259" s="1">
        <f>EV_Data4[[#This Row],[range_miles]]/EV_Data4[[#This Row],[battery_capacity_kwh]]</f>
        <v>3.4393063583815029</v>
      </c>
      <c r="Z1259" s="4">
        <f>EV_Data4[[#This Row],[price_usd]]/EV_Data4[[#This Row],[range_miles]]</f>
        <v>173.08109243697479</v>
      </c>
      <c r="AA1259" s="2">
        <f>(EV_Data4[[#This Row],[customer_rating]]*EV_Data4[[#This Row],[safety_rating]]*1000)/EV_Data4[[#This Row],[price_usd]]</f>
        <v>0.28645435058613899</v>
      </c>
      <c r="AB1259">
        <f>EV_Data4[[#This Row],[horsepower]]+EV_Data4[[#This Row],[torque_nm]]/EV_Data4[[#This Row],[acceleration_0_60_mph]]</f>
        <v>838.08695652173913</v>
      </c>
      <c r="AC1259" t="str">
        <f>IF(EV_Data4[[#This Row],[price_usd]]&gt;=80000,"Luxury",IF(EV_Data4[[#This Row],[price_usd]]&gt;=40000,"Mid-Range","Budget"))</f>
        <v>Mid-Range</v>
      </c>
      <c r="AD1259" t="str">
        <f>IF(EV_Data4[[#This Row],[range_miles]]&gt;=350,"Long-Range",IF(EV_Data4[[#This Row],[range_miles]]&gt;=250,"Medium-Range","Short-Range"))</f>
        <v>Long-Range</v>
      </c>
      <c r="AE1259" t="str">
        <f>IF(EV_Data4[[#This Row],[charging_speed_kw]]&gt;=250,"Ultra-Fast",IF(EV_Data4[[#This Row],[charging_speed_kw]]&gt;=150,"Fast-Charging","Standard-Charging"))</f>
        <v>Fast-Charging</v>
      </c>
      <c r="AF1259" t="str">
        <f>IF(EV_Data4[[#This Row],[acceleration_0_60_mph]]&lt;=3,"SportsPerformance",IF(EV_Data4[[#This Row],[acceleration_0_60_mph]]&lt;=5,"HighPerformance","Standard"))</f>
        <v>HighPerformance</v>
      </c>
      <c r="AG1259" t="str">
        <f>IF(EV_Data4[[#This Row],[customer_rating]]&gt;=4.5,"Excellent",IF(EV_Data4[[#This Row],[customer_rating]]&gt;=3.5,"Good","Average"))</f>
        <v>Good</v>
      </c>
      <c r="AH125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60" spans="1:34" x14ac:dyDescent="0.3">
      <c r="A1260" t="s">
        <v>46</v>
      </c>
      <c r="B1260" t="s">
        <v>47</v>
      </c>
      <c r="C1260">
        <v>2024</v>
      </c>
      <c r="D1260" t="s">
        <v>26</v>
      </c>
      <c r="E1260" s="3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27</v>
      </c>
      <c r="N1260">
        <v>7</v>
      </c>
      <c r="O1260" t="s">
        <v>50</v>
      </c>
      <c r="P1260">
        <v>25.5</v>
      </c>
      <c r="Q1260">
        <v>1590</v>
      </c>
      <c r="R1260">
        <v>3</v>
      </c>
      <c r="S1260">
        <v>2</v>
      </c>
      <c r="T1260" t="s">
        <v>41</v>
      </c>
      <c r="U1260" t="s">
        <v>30</v>
      </c>
      <c r="V1260" s="3">
        <v>219324</v>
      </c>
      <c r="W1260">
        <v>3.91</v>
      </c>
      <c r="X1260">
        <v>5</v>
      </c>
      <c r="Y1260" s="1">
        <f>EV_Data4[[#This Row],[range_miles]]/EV_Data4[[#This Row],[battery_capacity_kwh]]</f>
        <v>3.2790988735919897</v>
      </c>
      <c r="Z1260" s="4">
        <f>EV_Data4[[#This Row],[price_usd]]/EV_Data4[[#This Row],[range_miles]]</f>
        <v>419.21580152671754</v>
      </c>
      <c r="AA1260" s="2">
        <f>(EV_Data4[[#This Row],[customer_rating]]*EV_Data4[[#This Row],[safety_rating]]*1000)/EV_Data4[[#This Row],[price_usd]]</f>
        <v>0.10679700575065003</v>
      </c>
      <c r="AB1260">
        <f>EV_Data4[[#This Row],[horsepower]]+EV_Data4[[#This Row],[torque_nm]]/EV_Data4[[#This Row],[acceleration_0_60_mph]]</f>
        <v>940.78590785907863</v>
      </c>
      <c r="AC1260" t="str">
        <f>IF(EV_Data4[[#This Row],[price_usd]]&gt;=80000,"Luxury",IF(EV_Data4[[#This Row],[price_usd]]&gt;=40000,"Mid-Range","Budget"))</f>
        <v>Luxury</v>
      </c>
      <c r="AD1260" t="str">
        <f>IF(EV_Data4[[#This Row],[range_miles]]&gt;=350,"Long-Range",IF(EV_Data4[[#This Row],[range_miles]]&gt;=250,"Medium-Range","Short-Range"))</f>
        <v>Medium-Range</v>
      </c>
      <c r="AE1260" t="str">
        <f>IF(EV_Data4[[#This Row],[charging_speed_kw]]&gt;=250,"Ultra-Fast",IF(EV_Data4[[#This Row],[charging_speed_kw]]&gt;=150,"Fast-Charging","Standard-Charging"))</f>
        <v>Ultra-Fast</v>
      </c>
      <c r="AF1260" t="str">
        <f>IF(EV_Data4[[#This Row],[acceleration_0_60_mph]]&lt;=3,"SportsPerformance",IF(EV_Data4[[#This Row],[acceleration_0_60_mph]]&lt;=5,"HighPerformance","Standard"))</f>
        <v>HighPerformance</v>
      </c>
      <c r="AG1260" t="str">
        <f>IF(EV_Data4[[#This Row],[customer_rating]]&gt;=4.5,"Excellent",IF(EV_Data4[[#This Row],[customer_rating]]&gt;=3.5,"Good","Average"))</f>
        <v>Good</v>
      </c>
      <c r="AH126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61" spans="1:34" x14ac:dyDescent="0.3">
      <c r="A1261" t="s">
        <v>42</v>
      </c>
      <c r="B1261" t="s">
        <v>80</v>
      </c>
      <c r="C1261">
        <v>2025</v>
      </c>
      <c r="D1261" t="s">
        <v>56</v>
      </c>
      <c r="E1261" s="3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34</v>
      </c>
      <c r="N1261">
        <v>5</v>
      </c>
      <c r="O1261" t="s">
        <v>35</v>
      </c>
      <c r="P1261">
        <v>61.8</v>
      </c>
      <c r="Q1261">
        <v>2151</v>
      </c>
      <c r="R1261">
        <v>5</v>
      </c>
      <c r="S1261">
        <v>1</v>
      </c>
      <c r="T1261" t="s">
        <v>45</v>
      </c>
      <c r="U1261" t="s">
        <v>66</v>
      </c>
      <c r="V1261" s="3">
        <v>76695</v>
      </c>
      <c r="W1261">
        <v>3.1</v>
      </c>
      <c r="X1261">
        <v>3</v>
      </c>
      <c r="Y1261" s="1">
        <f>EV_Data4[[#This Row],[range_miles]]/EV_Data4[[#This Row],[battery_capacity_kwh]]</f>
        <v>3.4911242603550292</v>
      </c>
      <c r="Z1261" s="4">
        <f>EV_Data4[[#This Row],[price_usd]]/EV_Data4[[#This Row],[range_miles]]</f>
        <v>175.60694915254237</v>
      </c>
      <c r="AA1261" s="2">
        <f>(EV_Data4[[#This Row],[customer_rating]]*EV_Data4[[#This Row],[safety_rating]]*1000)/EV_Data4[[#This Row],[price_usd]]</f>
        <v>0.49867400972189113</v>
      </c>
      <c r="AB1261">
        <f>EV_Data4[[#This Row],[horsepower]]+EV_Data4[[#This Row],[torque_nm]]/EV_Data4[[#This Row],[acceleration_0_60_mph]]</f>
        <v>221.8641975308642</v>
      </c>
      <c r="AC1261" t="str">
        <f>IF(EV_Data4[[#This Row],[price_usd]]&gt;=80000,"Luxury",IF(EV_Data4[[#This Row],[price_usd]]&gt;=40000,"Mid-Range","Budget"))</f>
        <v>Budget</v>
      </c>
      <c r="AD1261" t="str">
        <f>IF(EV_Data4[[#This Row],[range_miles]]&gt;=350,"Long-Range",IF(EV_Data4[[#This Row],[range_miles]]&gt;=250,"Medium-Range","Short-Range"))</f>
        <v>Short-Range</v>
      </c>
      <c r="AE1261" t="str">
        <f>IF(EV_Data4[[#This Row],[charging_speed_kw]]&gt;=250,"Ultra-Fast",IF(EV_Data4[[#This Row],[charging_speed_kw]]&gt;=150,"Fast-Charging","Standard-Charging"))</f>
        <v>Standard-Charging</v>
      </c>
      <c r="AF1261" t="str">
        <f>IF(EV_Data4[[#This Row],[acceleration_0_60_mph]]&lt;=3,"SportsPerformance",IF(EV_Data4[[#This Row],[acceleration_0_60_mph]]&lt;=5,"HighPerformance","Standard"))</f>
        <v>Standard</v>
      </c>
      <c r="AG1261" t="str">
        <f>IF(EV_Data4[[#This Row],[customer_rating]]&gt;=4.5,"Excellent",IF(EV_Data4[[#This Row],[customer_rating]]&gt;=3.5,"Good","Average"))</f>
        <v>Average</v>
      </c>
      <c r="AH126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62" spans="1:34" x14ac:dyDescent="0.3">
      <c r="A1262" t="s">
        <v>63</v>
      </c>
      <c r="B1262" t="s">
        <v>64</v>
      </c>
      <c r="C1262">
        <v>2025</v>
      </c>
      <c r="D1262" t="s">
        <v>33</v>
      </c>
      <c r="E1262" s="3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27</v>
      </c>
      <c r="N1262">
        <v>5</v>
      </c>
      <c r="O1262" t="s">
        <v>28</v>
      </c>
      <c r="P1262">
        <v>55.5</v>
      </c>
      <c r="Q1262">
        <v>2095</v>
      </c>
      <c r="R1262">
        <v>4</v>
      </c>
      <c r="S1262">
        <v>1</v>
      </c>
      <c r="T1262" t="s">
        <v>65</v>
      </c>
      <c r="U1262" t="s">
        <v>30</v>
      </c>
      <c r="V1262" s="3">
        <v>149002</v>
      </c>
      <c r="W1262">
        <v>3.28</v>
      </c>
      <c r="X1262">
        <v>5</v>
      </c>
      <c r="Y1262" s="1">
        <f>EV_Data4[[#This Row],[range_miles]]/EV_Data4[[#This Row],[battery_capacity_kwh]]</f>
        <v>3.9901477832512313</v>
      </c>
      <c r="Z1262" s="4">
        <f>EV_Data4[[#This Row],[price_usd]]/EV_Data4[[#This Row],[range_miles]]</f>
        <v>685.56932098765435</v>
      </c>
      <c r="AA1262" s="2">
        <f>(EV_Data4[[#This Row],[customer_rating]]*EV_Data4[[#This Row],[safety_rating]]*1000)/EV_Data4[[#This Row],[price_usd]]</f>
        <v>0.11813196979747301</v>
      </c>
      <c r="AB1262">
        <f>EV_Data4[[#This Row],[horsepower]]+EV_Data4[[#This Row],[torque_nm]]/EV_Data4[[#This Row],[acceleration_0_60_mph]]</f>
        <v>1123.7583892617449</v>
      </c>
      <c r="AC1262" t="str">
        <f>IF(EV_Data4[[#This Row],[price_usd]]&gt;=80000,"Luxury",IF(EV_Data4[[#This Row],[price_usd]]&gt;=40000,"Mid-Range","Budget"))</f>
        <v>Luxury</v>
      </c>
      <c r="AD1262" t="str">
        <f>IF(EV_Data4[[#This Row],[range_miles]]&gt;=350,"Long-Range",IF(EV_Data4[[#This Row],[range_miles]]&gt;=250,"Medium-Range","Short-Range"))</f>
        <v>Short-Range</v>
      </c>
      <c r="AE1262" t="str">
        <f>IF(EV_Data4[[#This Row],[charging_speed_kw]]&gt;=250,"Ultra-Fast",IF(EV_Data4[[#This Row],[charging_speed_kw]]&gt;=150,"Fast-Charging","Standard-Charging"))</f>
        <v>Standard-Charging</v>
      </c>
      <c r="AF1262" t="str">
        <f>IF(EV_Data4[[#This Row],[acceleration_0_60_mph]]&lt;=3,"SportsPerformance",IF(EV_Data4[[#This Row],[acceleration_0_60_mph]]&lt;=5,"HighPerformance","Standard"))</f>
        <v>Standard</v>
      </c>
      <c r="AG1262" t="str">
        <f>IF(EV_Data4[[#This Row],[customer_rating]]&gt;=4.5,"Excellent",IF(EV_Data4[[#This Row],[customer_rating]]&gt;=3.5,"Good","Average"))</f>
        <v>Average</v>
      </c>
      <c r="AH126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63" spans="1:34" x14ac:dyDescent="0.3">
      <c r="A1263" t="s">
        <v>76</v>
      </c>
      <c r="B1263" t="s">
        <v>98</v>
      </c>
      <c r="C1263">
        <v>2025</v>
      </c>
      <c r="D1263" t="s">
        <v>33</v>
      </c>
      <c r="E1263" s="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34</v>
      </c>
      <c r="N1263">
        <v>5</v>
      </c>
      <c r="O1263" t="s">
        <v>40</v>
      </c>
      <c r="P1263">
        <v>73.099999999999994</v>
      </c>
      <c r="Q1263">
        <v>1533</v>
      </c>
      <c r="R1263">
        <v>5</v>
      </c>
      <c r="S1263">
        <v>1</v>
      </c>
      <c r="T1263" t="s">
        <v>41</v>
      </c>
      <c r="U1263" t="s">
        <v>37</v>
      </c>
      <c r="V1263" s="3">
        <v>41791</v>
      </c>
      <c r="W1263">
        <v>3.47</v>
      </c>
      <c r="X1263">
        <v>3</v>
      </c>
      <c r="Y1263" s="1">
        <f>EV_Data4[[#This Row],[range_miles]]/EV_Data4[[#This Row],[battery_capacity_kwh]]</f>
        <v>3.7042925278219396</v>
      </c>
      <c r="Z1263" s="4">
        <f>EV_Data4[[#This Row],[price_usd]]/EV_Data4[[#This Row],[range_miles]]</f>
        <v>243.15283261802574</v>
      </c>
      <c r="AA1263" s="2">
        <f>(EV_Data4[[#This Row],[customer_rating]]*EV_Data4[[#This Row],[safety_rating]]*1000)/EV_Data4[[#This Row],[price_usd]]</f>
        <v>0.30624162799814525</v>
      </c>
      <c r="AB1263">
        <f>EV_Data4[[#This Row],[horsepower]]+EV_Data4[[#This Row],[torque_nm]]/EV_Data4[[#This Row],[acceleration_0_60_mph]]</f>
        <v>647.30447330447328</v>
      </c>
      <c r="AC1263" t="str">
        <f>IF(EV_Data4[[#This Row],[price_usd]]&gt;=80000,"Luxury",IF(EV_Data4[[#This Row],[price_usd]]&gt;=40000,"Mid-Range","Budget"))</f>
        <v>Mid-Range</v>
      </c>
      <c r="AD1263" t="str">
        <f>IF(EV_Data4[[#This Row],[range_miles]]&gt;=350,"Long-Range",IF(EV_Data4[[#This Row],[range_miles]]&gt;=250,"Medium-Range","Short-Range"))</f>
        <v>Short-Range</v>
      </c>
      <c r="AE1263" t="str">
        <f>IF(EV_Data4[[#This Row],[charging_speed_kw]]&gt;=250,"Ultra-Fast",IF(EV_Data4[[#This Row],[charging_speed_kw]]&gt;=150,"Fast-Charging","Standard-Charging"))</f>
        <v>Standard-Charging</v>
      </c>
      <c r="AF1263" t="str">
        <f>IF(EV_Data4[[#This Row],[acceleration_0_60_mph]]&lt;=3,"SportsPerformance",IF(EV_Data4[[#This Row],[acceleration_0_60_mph]]&lt;=5,"HighPerformance","Standard"))</f>
        <v>Standard</v>
      </c>
      <c r="AG1263" t="str">
        <f>IF(EV_Data4[[#This Row],[customer_rating]]&gt;=4.5,"Excellent",IF(EV_Data4[[#This Row],[customer_rating]]&gt;=3.5,"Good","Average"))</f>
        <v>Average</v>
      </c>
      <c r="AH126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64" spans="1:34" x14ac:dyDescent="0.3">
      <c r="A1264" t="s">
        <v>63</v>
      </c>
      <c r="B1264" t="s">
        <v>107</v>
      </c>
      <c r="C1264">
        <v>2023</v>
      </c>
      <c r="D1264" t="s">
        <v>44</v>
      </c>
      <c r="E1264" s="3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34</v>
      </c>
      <c r="N1264">
        <v>7</v>
      </c>
      <c r="O1264" t="s">
        <v>40</v>
      </c>
      <c r="P1264">
        <v>66.7</v>
      </c>
      <c r="Q1264">
        <v>1756</v>
      </c>
      <c r="R1264">
        <v>5</v>
      </c>
      <c r="S1264">
        <v>1</v>
      </c>
      <c r="T1264" t="s">
        <v>65</v>
      </c>
      <c r="U1264" t="s">
        <v>33</v>
      </c>
      <c r="V1264" s="3">
        <v>213531</v>
      </c>
      <c r="W1264">
        <v>3.84</v>
      </c>
      <c r="X1264">
        <v>3</v>
      </c>
      <c r="Y1264" s="1">
        <f>EV_Data4[[#This Row],[range_miles]]/EV_Data4[[#This Row],[battery_capacity_kwh]]</f>
        <v>3.2522123893805306</v>
      </c>
      <c r="Z1264" s="4">
        <f>EV_Data4[[#This Row],[price_usd]]/EV_Data4[[#This Row],[range_miles]]</f>
        <v>281.73591836734693</v>
      </c>
      <c r="AA1264" s="2">
        <f>(EV_Data4[[#This Row],[customer_rating]]*EV_Data4[[#This Row],[safety_rating]]*1000)/EV_Data4[[#This Row],[price_usd]]</f>
        <v>0.23179906498052164</v>
      </c>
      <c r="AB1264">
        <f>EV_Data4[[#This Row],[horsepower]]+EV_Data4[[#This Row],[torque_nm]]/EV_Data4[[#This Row],[acceleration_0_60_mph]]</f>
        <v>1056.3032786885246</v>
      </c>
      <c r="AC1264" t="str">
        <f>IF(EV_Data4[[#This Row],[price_usd]]&gt;=80000,"Luxury",IF(EV_Data4[[#This Row],[price_usd]]&gt;=40000,"Mid-Range","Budget"))</f>
        <v>Luxury</v>
      </c>
      <c r="AD1264" t="str">
        <f>IF(EV_Data4[[#This Row],[range_miles]]&gt;=350,"Long-Range",IF(EV_Data4[[#This Row],[range_miles]]&gt;=250,"Medium-Range","Short-Range"))</f>
        <v>Medium-Range</v>
      </c>
      <c r="AE1264" t="str">
        <f>IF(EV_Data4[[#This Row],[charging_speed_kw]]&gt;=250,"Ultra-Fast",IF(EV_Data4[[#This Row],[charging_speed_kw]]&gt;=150,"Fast-Charging","Standard-Charging"))</f>
        <v>Standard-Charging</v>
      </c>
      <c r="AF1264" t="str">
        <f>IF(EV_Data4[[#This Row],[acceleration_0_60_mph]]&lt;=3,"SportsPerformance",IF(EV_Data4[[#This Row],[acceleration_0_60_mph]]&lt;=5,"HighPerformance","Standard"))</f>
        <v>HighPerformance</v>
      </c>
      <c r="AG1264" t="str">
        <f>IF(EV_Data4[[#This Row],[customer_rating]]&gt;=4.5,"Excellent",IF(EV_Data4[[#This Row],[customer_rating]]&gt;=3.5,"Good","Average"))</f>
        <v>Good</v>
      </c>
      <c r="AH126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65" spans="1:34" x14ac:dyDescent="0.3">
      <c r="A1265" t="s">
        <v>24</v>
      </c>
      <c r="B1265" t="s">
        <v>25</v>
      </c>
      <c r="C1265">
        <v>2025</v>
      </c>
      <c r="D1265" t="s">
        <v>61</v>
      </c>
      <c r="E1265" s="3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48</v>
      </c>
      <c r="N1265">
        <v>5</v>
      </c>
      <c r="O1265" t="s">
        <v>28</v>
      </c>
      <c r="P1265">
        <v>75.3</v>
      </c>
      <c r="Q1265">
        <v>2623</v>
      </c>
      <c r="R1265">
        <v>3</v>
      </c>
      <c r="S1265">
        <v>0</v>
      </c>
      <c r="T1265" t="s">
        <v>29</v>
      </c>
      <c r="U1265" t="s">
        <v>33</v>
      </c>
      <c r="V1265" s="3">
        <v>259718</v>
      </c>
      <c r="W1265">
        <v>3</v>
      </c>
      <c r="X1265">
        <v>5</v>
      </c>
      <c r="Y1265" s="1">
        <f>EV_Data4[[#This Row],[range_miles]]/EV_Data4[[#This Row],[battery_capacity_kwh]]</f>
        <v>3.5445544554455446</v>
      </c>
      <c r="Z1265" s="4">
        <f>EV_Data4[[#This Row],[price_usd]]/EV_Data4[[#This Row],[range_miles]]</f>
        <v>478.13888268156427</v>
      </c>
      <c r="AA1265" s="2">
        <f>(EV_Data4[[#This Row],[customer_rating]]*EV_Data4[[#This Row],[safety_rating]]*1000)/EV_Data4[[#This Row],[price_usd]]</f>
        <v>0.1051563289037593</v>
      </c>
      <c r="AB1265">
        <f>EV_Data4[[#This Row],[horsepower]]+EV_Data4[[#This Row],[torque_nm]]/EV_Data4[[#This Row],[acceleration_0_60_mph]]</f>
        <v>1083.9572649572649</v>
      </c>
      <c r="AC1265" t="str">
        <f>IF(EV_Data4[[#This Row],[price_usd]]&gt;=80000,"Luxury",IF(EV_Data4[[#This Row],[price_usd]]&gt;=40000,"Mid-Range","Budget"))</f>
        <v>Luxury</v>
      </c>
      <c r="AD1265" t="str">
        <f>IF(EV_Data4[[#This Row],[range_miles]]&gt;=350,"Long-Range",IF(EV_Data4[[#This Row],[range_miles]]&gt;=250,"Medium-Range","Short-Range"))</f>
        <v>Short-Range</v>
      </c>
      <c r="AE1265" t="str">
        <f>IF(EV_Data4[[#This Row],[charging_speed_kw]]&gt;=250,"Ultra-Fast",IF(EV_Data4[[#This Row],[charging_speed_kw]]&gt;=150,"Fast-Charging","Standard-Charging"))</f>
        <v>Standard-Charging</v>
      </c>
      <c r="AF1265" t="str">
        <f>IF(EV_Data4[[#This Row],[acceleration_0_60_mph]]&lt;=3,"SportsPerformance",IF(EV_Data4[[#This Row],[acceleration_0_60_mph]]&lt;=5,"HighPerformance","Standard"))</f>
        <v>Standard</v>
      </c>
      <c r="AG1265" t="str">
        <f>IF(EV_Data4[[#This Row],[customer_rating]]&gt;=4.5,"Excellent",IF(EV_Data4[[#This Row],[customer_rating]]&gt;=3.5,"Good","Average"))</f>
        <v>Average</v>
      </c>
      <c r="AH126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66" spans="1:34" x14ac:dyDescent="0.3">
      <c r="A1266" t="s">
        <v>46</v>
      </c>
      <c r="B1266" t="s">
        <v>57</v>
      </c>
      <c r="C1266">
        <v>2023</v>
      </c>
      <c r="D1266" t="s">
        <v>26</v>
      </c>
      <c r="E1266" s="3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48</v>
      </c>
      <c r="N1266">
        <v>7</v>
      </c>
      <c r="O1266" t="s">
        <v>40</v>
      </c>
      <c r="P1266">
        <v>62</v>
      </c>
      <c r="Q1266">
        <v>1500</v>
      </c>
      <c r="R1266">
        <v>3</v>
      </c>
      <c r="S1266">
        <v>2</v>
      </c>
      <c r="T1266" t="s">
        <v>41</v>
      </c>
      <c r="U1266" t="s">
        <v>30</v>
      </c>
      <c r="V1266" s="3">
        <v>177006</v>
      </c>
      <c r="W1266">
        <v>3.89</v>
      </c>
      <c r="X1266">
        <v>4</v>
      </c>
      <c r="Y1266" s="1">
        <f>EV_Data4[[#This Row],[range_miles]]/EV_Data4[[#This Row],[battery_capacity_kwh]]</f>
        <v>3.549000951474786</v>
      </c>
      <c r="Z1266" s="4">
        <f>EV_Data4[[#This Row],[price_usd]]/EV_Data4[[#This Row],[range_miles]]</f>
        <v>458.37171581769434</v>
      </c>
      <c r="AA1266" s="2">
        <f>(EV_Data4[[#This Row],[customer_rating]]*EV_Data4[[#This Row],[safety_rating]]*1000)/EV_Data4[[#This Row],[price_usd]]</f>
        <v>6.8256531088451866E-2</v>
      </c>
      <c r="AB1266">
        <f>EV_Data4[[#This Row],[horsepower]]+EV_Data4[[#This Row],[torque_nm]]/EV_Data4[[#This Row],[acceleration_0_60_mph]]</f>
        <v>1271.8023255813953</v>
      </c>
      <c r="AC1266" t="str">
        <f>IF(EV_Data4[[#This Row],[price_usd]]&gt;=80000,"Luxury",IF(EV_Data4[[#This Row],[price_usd]]&gt;=40000,"Mid-Range","Budget"))</f>
        <v>Luxury</v>
      </c>
      <c r="AD1266" t="str">
        <f>IF(EV_Data4[[#This Row],[range_miles]]&gt;=350,"Long-Range",IF(EV_Data4[[#This Row],[range_miles]]&gt;=250,"Medium-Range","Short-Range"))</f>
        <v>Long-Range</v>
      </c>
      <c r="AE1266" t="str">
        <f>IF(EV_Data4[[#This Row],[charging_speed_kw]]&gt;=250,"Ultra-Fast",IF(EV_Data4[[#This Row],[charging_speed_kw]]&gt;=150,"Fast-Charging","Standard-Charging"))</f>
        <v>Ultra-Fast</v>
      </c>
      <c r="AF1266" t="str">
        <f>IF(EV_Data4[[#This Row],[acceleration_0_60_mph]]&lt;=3,"SportsPerformance",IF(EV_Data4[[#This Row],[acceleration_0_60_mph]]&lt;=5,"HighPerformance","Standard"))</f>
        <v>HighPerformance</v>
      </c>
      <c r="AG1266" t="str">
        <f>IF(EV_Data4[[#This Row],[customer_rating]]&gt;=4.5,"Excellent",IF(EV_Data4[[#This Row],[customer_rating]]&gt;=3.5,"Good","Average"))</f>
        <v>Good</v>
      </c>
      <c r="AH126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67" spans="1:34" x14ac:dyDescent="0.3">
      <c r="A1267" t="s">
        <v>46</v>
      </c>
      <c r="B1267" t="s">
        <v>49</v>
      </c>
      <c r="C1267">
        <v>2024</v>
      </c>
      <c r="D1267" t="s">
        <v>44</v>
      </c>
      <c r="E1267" s="3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34</v>
      </c>
      <c r="N1267">
        <v>5</v>
      </c>
      <c r="O1267" t="s">
        <v>40</v>
      </c>
      <c r="P1267">
        <v>74.2</v>
      </c>
      <c r="Q1267">
        <v>1503</v>
      </c>
      <c r="R1267">
        <v>5</v>
      </c>
      <c r="S1267">
        <v>2</v>
      </c>
      <c r="T1267" t="s">
        <v>41</v>
      </c>
      <c r="U1267" t="s">
        <v>30</v>
      </c>
      <c r="V1267" s="3">
        <v>416641</v>
      </c>
      <c r="W1267">
        <v>3.68</v>
      </c>
      <c r="X1267">
        <v>5</v>
      </c>
      <c r="Y1267" s="1">
        <f>EV_Data4[[#This Row],[range_miles]]/EV_Data4[[#This Row],[battery_capacity_kwh]]</f>
        <v>3.2051282051282053</v>
      </c>
      <c r="Z1267" s="4">
        <f>EV_Data4[[#This Row],[price_usd]]/EV_Data4[[#This Row],[range_miles]]</f>
        <v>529.03406666666672</v>
      </c>
      <c r="AA1267" s="2">
        <f>(EV_Data4[[#This Row],[customer_rating]]*EV_Data4[[#This Row],[safety_rating]]*1000)/EV_Data4[[#This Row],[price_usd]]</f>
        <v>0.11593456300419723</v>
      </c>
      <c r="AB1267">
        <f>EV_Data4[[#This Row],[horsepower]]+EV_Data4[[#This Row],[torque_nm]]/EV_Data4[[#This Row],[acceleration_0_60_mph]]</f>
        <v>1197.8021978021977</v>
      </c>
      <c r="AC1267" t="str">
        <f>IF(EV_Data4[[#This Row],[price_usd]]&gt;=80000,"Luxury",IF(EV_Data4[[#This Row],[price_usd]]&gt;=40000,"Mid-Range","Budget"))</f>
        <v>Luxury</v>
      </c>
      <c r="AD1267" t="str">
        <f>IF(EV_Data4[[#This Row],[range_miles]]&gt;=350,"Long-Range",IF(EV_Data4[[#This Row],[range_miles]]&gt;=250,"Medium-Range","Short-Range"))</f>
        <v>Medium-Range</v>
      </c>
      <c r="AE1267" t="str">
        <f>IF(EV_Data4[[#This Row],[charging_speed_kw]]&gt;=250,"Ultra-Fast",IF(EV_Data4[[#This Row],[charging_speed_kw]]&gt;=150,"Fast-Charging","Standard-Charging"))</f>
        <v>Ultra-Fast</v>
      </c>
      <c r="AF1267" t="str">
        <f>IF(EV_Data4[[#This Row],[acceleration_0_60_mph]]&lt;=3,"SportsPerformance",IF(EV_Data4[[#This Row],[acceleration_0_60_mph]]&lt;=5,"HighPerformance","Standard"))</f>
        <v>HighPerformance</v>
      </c>
      <c r="AG1267" t="str">
        <f>IF(EV_Data4[[#This Row],[customer_rating]]&gt;=4.5,"Excellent",IF(EV_Data4[[#This Row],[customer_rating]]&gt;=3.5,"Good","Average"))</f>
        <v>Good</v>
      </c>
      <c r="AH126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68" spans="1:34" x14ac:dyDescent="0.3">
      <c r="A1268" t="s">
        <v>24</v>
      </c>
      <c r="B1268" t="s">
        <v>75</v>
      </c>
      <c r="C1268">
        <v>2026</v>
      </c>
      <c r="D1268" t="s">
        <v>26</v>
      </c>
      <c r="E1268" s="3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48</v>
      </c>
      <c r="N1268">
        <v>5</v>
      </c>
      <c r="O1268" t="s">
        <v>28</v>
      </c>
      <c r="P1268">
        <v>78.099999999999994</v>
      </c>
      <c r="Q1268">
        <v>2341</v>
      </c>
      <c r="R1268">
        <v>5</v>
      </c>
      <c r="S1268">
        <v>0</v>
      </c>
      <c r="T1268" t="s">
        <v>29</v>
      </c>
      <c r="U1268" t="s">
        <v>30</v>
      </c>
      <c r="V1268" s="3">
        <v>238315</v>
      </c>
      <c r="W1268">
        <v>3.78</v>
      </c>
      <c r="X1268">
        <v>4</v>
      </c>
      <c r="Y1268" s="1">
        <f>EV_Data4[[#This Row],[range_miles]]/EV_Data4[[#This Row],[battery_capacity_kwh]]</f>
        <v>3.5641547861507128</v>
      </c>
      <c r="Z1268" s="4">
        <f>EV_Data4[[#This Row],[price_usd]]/EV_Data4[[#This Row],[range_miles]]</f>
        <v>293.7936285714286</v>
      </c>
      <c r="AA1268" s="2">
        <f>(EV_Data4[[#This Row],[customer_rating]]*EV_Data4[[#This Row],[safety_rating]]*1000)/EV_Data4[[#This Row],[price_usd]]</f>
        <v>0.18380248837449259</v>
      </c>
      <c r="AB1268">
        <f>EV_Data4[[#This Row],[horsepower]]+EV_Data4[[#This Row],[torque_nm]]/EV_Data4[[#This Row],[acceleration_0_60_mph]]</f>
        <v>1262.7272727272727</v>
      </c>
      <c r="AC1268" t="str">
        <f>IF(EV_Data4[[#This Row],[price_usd]]&gt;=80000,"Luxury",IF(EV_Data4[[#This Row],[price_usd]]&gt;=40000,"Mid-Range","Budget"))</f>
        <v>Luxury</v>
      </c>
      <c r="AD1268" t="str">
        <f>IF(EV_Data4[[#This Row],[range_miles]]&gt;=350,"Long-Range",IF(EV_Data4[[#This Row],[range_miles]]&gt;=250,"Medium-Range","Short-Range"))</f>
        <v>Long-Range</v>
      </c>
      <c r="AE1268" t="str">
        <f>IF(EV_Data4[[#This Row],[charging_speed_kw]]&gt;=250,"Ultra-Fast",IF(EV_Data4[[#This Row],[charging_speed_kw]]&gt;=150,"Fast-Charging","Standard-Charging"))</f>
        <v>Fast-Charging</v>
      </c>
      <c r="AF1268" t="str">
        <f>IF(EV_Data4[[#This Row],[acceleration_0_60_mph]]&lt;=3,"SportsPerformance",IF(EV_Data4[[#This Row],[acceleration_0_60_mph]]&lt;=5,"HighPerformance","Standard"))</f>
        <v>HighPerformance</v>
      </c>
      <c r="AG1268" t="str">
        <f>IF(EV_Data4[[#This Row],[customer_rating]]&gt;=4.5,"Excellent",IF(EV_Data4[[#This Row],[customer_rating]]&gt;=3.5,"Good","Average"))</f>
        <v>Good</v>
      </c>
      <c r="AH126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69" spans="1:34" x14ac:dyDescent="0.3">
      <c r="A1269" t="s">
        <v>68</v>
      </c>
      <c r="B1269" t="s">
        <v>79</v>
      </c>
      <c r="C1269">
        <v>2024</v>
      </c>
      <c r="D1269" t="s">
        <v>33</v>
      </c>
      <c r="E1269" s="3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48</v>
      </c>
      <c r="N1269">
        <v>5</v>
      </c>
      <c r="O1269" t="s">
        <v>28</v>
      </c>
      <c r="P1269">
        <v>71.099999999999994</v>
      </c>
      <c r="Q1269">
        <v>2388</v>
      </c>
      <c r="R1269">
        <v>5</v>
      </c>
      <c r="S1269">
        <v>0</v>
      </c>
      <c r="T1269" t="s">
        <v>45</v>
      </c>
      <c r="U1269" t="s">
        <v>37</v>
      </c>
      <c r="V1269" s="3">
        <v>66241</v>
      </c>
      <c r="W1269">
        <v>3.36</v>
      </c>
      <c r="X1269">
        <v>4</v>
      </c>
      <c r="Y1269" s="1">
        <f>EV_Data4[[#This Row],[range_miles]]/EV_Data4[[#This Row],[battery_capacity_kwh]]</f>
        <v>3.4926470588235294</v>
      </c>
      <c r="Z1269" s="4">
        <f>EV_Data4[[#This Row],[price_usd]]/EV_Data4[[#This Row],[range_miles]]</f>
        <v>205.91691228070175</v>
      </c>
      <c r="AA1269" s="2">
        <f>(EV_Data4[[#This Row],[customer_rating]]*EV_Data4[[#This Row],[safety_rating]]*1000)/EV_Data4[[#This Row],[price_usd]]</f>
        <v>0.28626773667185129</v>
      </c>
      <c r="AB1269">
        <f>EV_Data4[[#This Row],[horsepower]]+EV_Data4[[#This Row],[torque_nm]]/EV_Data4[[#This Row],[acceleration_0_60_mph]]</f>
        <v>799.88679245283015</v>
      </c>
      <c r="AC1269" t="str">
        <f>IF(EV_Data4[[#This Row],[price_usd]]&gt;=80000,"Luxury",IF(EV_Data4[[#This Row],[price_usd]]&gt;=40000,"Mid-Range","Budget"))</f>
        <v>Mid-Range</v>
      </c>
      <c r="AD1269" t="str">
        <f>IF(EV_Data4[[#This Row],[range_miles]]&gt;=350,"Long-Range",IF(EV_Data4[[#This Row],[range_miles]]&gt;=250,"Medium-Range","Short-Range"))</f>
        <v>Medium-Range</v>
      </c>
      <c r="AE1269" t="str">
        <f>IF(EV_Data4[[#This Row],[charging_speed_kw]]&gt;=250,"Ultra-Fast",IF(EV_Data4[[#This Row],[charging_speed_kw]]&gt;=150,"Fast-Charging","Standard-Charging"))</f>
        <v>Standard-Charging</v>
      </c>
      <c r="AF1269" t="str">
        <f>IF(EV_Data4[[#This Row],[acceleration_0_60_mph]]&lt;=3,"SportsPerformance",IF(EV_Data4[[#This Row],[acceleration_0_60_mph]]&lt;=5,"HighPerformance","Standard"))</f>
        <v>Standard</v>
      </c>
      <c r="AG1269" t="str">
        <f>IF(EV_Data4[[#This Row],[customer_rating]]&gt;=4.5,"Excellent",IF(EV_Data4[[#This Row],[customer_rating]]&gt;=3.5,"Good","Average"))</f>
        <v>Average</v>
      </c>
      <c r="AH126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70" spans="1:34" x14ac:dyDescent="0.3">
      <c r="A1270" t="s">
        <v>42</v>
      </c>
      <c r="B1270" t="s">
        <v>80</v>
      </c>
      <c r="C1270">
        <v>2024</v>
      </c>
      <c r="D1270" t="s">
        <v>26</v>
      </c>
      <c r="E1270" s="3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34</v>
      </c>
      <c r="N1270">
        <v>5</v>
      </c>
      <c r="O1270" t="s">
        <v>35</v>
      </c>
      <c r="P1270">
        <v>63.8</v>
      </c>
      <c r="Q1270">
        <v>1774</v>
      </c>
      <c r="R1270">
        <v>3</v>
      </c>
      <c r="S1270">
        <v>0</v>
      </c>
      <c r="T1270" t="s">
        <v>45</v>
      </c>
      <c r="U1270" t="s">
        <v>37</v>
      </c>
      <c r="V1270" s="3">
        <v>140441</v>
      </c>
      <c r="W1270">
        <v>3.97</v>
      </c>
      <c r="X1270">
        <v>5</v>
      </c>
      <c r="Y1270" s="1">
        <f>EV_Data4[[#This Row],[range_miles]]/EV_Data4[[#This Row],[battery_capacity_kwh]]</f>
        <v>3.506726457399103</v>
      </c>
      <c r="Z1270" s="4">
        <f>EV_Data4[[#This Row],[price_usd]]/EV_Data4[[#This Row],[range_miles]]</f>
        <v>128.0212020460358</v>
      </c>
      <c r="AA1270" s="2">
        <f>(EV_Data4[[#This Row],[customer_rating]]*EV_Data4[[#This Row],[safety_rating]]*1000)/EV_Data4[[#This Row],[price_usd]]</f>
        <v>0.23793213600128973</v>
      </c>
      <c r="AB1270">
        <f>EV_Data4[[#This Row],[horsepower]]+EV_Data4[[#This Row],[torque_nm]]/EV_Data4[[#This Row],[acceleration_0_60_mph]]</f>
        <v>627.91054313099039</v>
      </c>
      <c r="AC1270" t="str">
        <f>IF(EV_Data4[[#This Row],[price_usd]]&gt;=80000,"Luxury",IF(EV_Data4[[#This Row],[price_usd]]&gt;=40000,"Mid-Range","Budget"))</f>
        <v>Mid-Range</v>
      </c>
      <c r="AD1270" t="str">
        <f>IF(EV_Data4[[#This Row],[range_miles]]&gt;=350,"Long-Range",IF(EV_Data4[[#This Row],[range_miles]]&gt;=250,"Medium-Range","Short-Range"))</f>
        <v>Long-Range</v>
      </c>
      <c r="AE1270" t="str">
        <f>IF(EV_Data4[[#This Row],[charging_speed_kw]]&gt;=250,"Ultra-Fast",IF(EV_Data4[[#This Row],[charging_speed_kw]]&gt;=150,"Fast-Charging","Standard-Charging"))</f>
        <v>Fast-Charging</v>
      </c>
      <c r="AF1270" t="str">
        <f>IF(EV_Data4[[#This Row],[acceleration_0_60_mph]]&lt;=3,"SportsPerformance",IF(EV_Data4[[#This Row],[acceleration_0_60_mph]]&lt;=5,"HighPerformance","Standard"))</f>
        <v>HighPerformance</v>
      </c>
      <c r="AG1270" t="str">
        <f>IF(EV_Data4[[#This Row],[customer_rating]]&gt;=4.5,"Excellent",IF(EV_Data4[[#This Row],[customer_rating]]&gt;=3.5,"Good","Average"))</f>
        <v>Good</v>
      </c>
      <c r="AH127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71" spans="1:34" x14ac:dyDescent="0.3">
      <c r="A1271" t="s">
        <v>63</v>
      </c>
      <c r="B1271" t="s">
        <v>73</v>
      </c>
      <c r="C1271">
        <v>2021</v>
      </c>
      <c r="D1271" t="s">
        <v>56</v>
      </c>
      <c r="E1271" s="3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34</v>
      </c>
      <c r="N1271">
        <v>5</v>
      </c>
      <c r="O1271" t="s">
        <v>28</v>
      </c>
      <c r="P1271">
        <v>64.5</v>
      </c>
      <c r="Q1271">
        <v>2592</v>
      </c>
      <c r="R1271">
        <v>5</v>
      </c>
      <c r="S1271">
        <v>0</v>
      </c>
      <c r="T1271" t="s">
        <v>65</v>
      </c>
      <c r="U1271" t="s">
        <v>66</v>
      </c>
      <c r="V1271" s="3">
        <v>206262</v>
      </c>
      <c r="W1271">
        <v>3.68</v>
      </c>
      <c r="X1271">
        <v>4</v>
      </c>
      <c r="Y1271" s="1">
        <f>EV_Data4[[#This Row],[range_miles]]/EV_Data4[[#This Row],[battery_capacity_kwh]]</f>
        <v>3.5066505441354292</v>
      </c>
      <c r="Z1271" s="4">
        <f>EV_Data4[[#This Row],[price_usd]]/EV_Data4[[#This Row],[range_miles]]</f>
        <v>84.179344827586206</v>
      </c>
      <c r="AA1271" s="2">
        <f>(EV_Data4[[#This Row],[customer_rating]]*EV_Data4[[#This Row],[safety_rating]]*1000)/EV_Data4[[#This Row],[price_usd]]</f>
        <v>0.75372736616116431</v>
      </c>
      <c r="AB1271">
        <f>EV_Data4[[#This Row],[horsepower]]+EV_Data4[[#This Row],[torque_nm]]/EV_Data4[[#This Row],[acceleration_0_60_mph]]</f>
        <v>254.33333333333334</v>
      </c>
      <c r="AC1271" t="str">
        <f>IF(EV_Data4[[#This Row],[price_usd]]&gt;=80000,"Luxury",IF(EV_Data4[[#This Row],[price_usd]]&gt;=40000,"Mid-Range","Budget"))</f>
        <v>Budget</v>
      </c>
      <c r="AD1271" t="str">
        <f>IF(EV_Data4[[#This Row],[range_miles]]&gt;=350,"Long-Range",IF(EV_Data4[[#This Row],[range_miles]]&gt;=250,"Medium-Range","Short-Range"))</f>
        <v>Medium-Range</v>
      </c>
      <c r="AE1271" t="str">
        <f>IF(EV_Data4[[#This Row],[charging_speed_kw]]&gt;=250,"Ultra-Fast",IF(EV_Data4[[#This Row],[charging_speed_kw]]&gt;=150,"Fast-Charging","Standard-Charging"))</f>
        <v>Standard-Charging</v>
      </c>
      <c r="AF1271" t="str">
        <f>IF(EV_Data4[[#This Row],[acceleration_0_60_mph]]&lt;=3,"SportsPerformance",IF(EV_Data4[[#This Row],[acceleration_0_60_mph]]&lt;=5,"HighPerformance","Standard"))</f>
        <v>Standard</v>
      </c>
      <c r="AG1271" t="str">
        <f>IF(EV_Data4[[#This Row],[customer_rating]]&gt;=4.5,"Excellent",IF(EV_Data4[[#This Row],[customer_rating]]&gt;=3.5,"Good","Average"))</f>
        <v>Good</v>
      </c>
      <c r="AH127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72" spans="1:34" x14ac:dyDescent="0.3">
      <c r="A1272" t="s">
        <v>38</v>
      </c>
      <c r="B1272" t="s">
        <v>102</v>
      </c>
      <c r="C1272">
        <v>2024</v>
      </c>
      <c r="D1272" t="s">
        <v>44</v>
      </c>
      <c r="E1272" s="3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34</v>
      </c>
      <c r="N1272">
        <v>7</v>
      </c>
      <c r="O1272" t="s">
        <v>35</v>
      </c>
      <c r="P1272">
        <v>65</v>
      </c>
      <c r="Q1272">
        <v>1846</v>
      </c>
      <c r="R1272">
        <v>4</v>
      </c>
      <c r="S1272">
        <v>2</v>
      </c>
      <c r="T1272" t="s">
        <v>41</v>
      </c>
      <c r="U1272" t="s">
        <v>37</v>
      </c>
      <c r="V1272" s="3">
        <v>16859</v>
      </c>
      <c r="W1272">
        <v>3.94</v>
      </c>
      <c r="X1272">
        <v>5</v>
      </c>
      <c r="Y1272" s="1">
        <f>EV_Data4[[#This Row],[range_miles]]/EV_Data4[[#This Row],[battery_capacity_kwh]]</f>
        <v>3.7153772683858644</v>
      </c>
      <c r="Z1272" s="4">
        <f>EV_Data4[[#This Row],[price_usd]]/EV_Data4[[#This Row],[range_miles]]</f>
        <v>151.40372750642675</v>
      </c>
      <c r="AA1272" s="2">
        <f>(EV_Data4[[#This Row],[customer_rating]]*EV_Data4[[#This Row],[safety_rating]]*1000)/EV_Data4[[#This Row],[price_usd]]</f>
        <v>0.26759010154331231</v>
      </c>
      <c r="AB1272">
        <f>EV_Data4[[#This Row],[horsepower]]+EV_Data4[[#This Row],[torque_nm]]/EV_Data4[[#This Row],[acceleration_0_60_mph]]</f>
        <v>907.36105032822752</v>
      </c>
      <c r="AC1272" t="str">
        <f>IF(EV_Data4[[#This Row],[price_usd]]&gt;=80000,"Luxury",IF(EV_Data4[[#This Row],[price_usd]]&gt;=40000,"Mid-Range","Budget"))</f>
        <v>Mid-Range</v>
      </c>
      <c r="AD1272" t="str">
        <f>IF(EV_Data4[[#This Row],[range_miles]]&gt;=350,"Long-Range",IF(EV_Data4[[#This Row],[range_miles]]&gt;=250,"Medium-Range","Short-Range"))</f>
        <v>Long-Range</v>
      </c>
      <c r="AE1272" t="str">
        <f>IF(EV_Data4[[#This Row],[charging_speed_kw]]&gt;=250,"Ultra-Fast",IF(EV_Data4[[#This Row],[charging_speed_kw]]&gt;=150,"Fast-Charging","Standard-Charging"))</f>
        <v>Standard-Charging</v>
      </c>
      <c r="AF1272" t="str">
        <f>IF(EV_Data4[[#This Row],[acceleration_0_60_mph]]&lt;=3,"SportsPerformance",IF(EV_Data4[[#This Row],[acceleration_0_60_mph]]&lt;=5,"HighPerformance","Standard"))</f>
        <v>HighPerformance</v>
      </c>
      <c r="AG1272" t="str">
        <f>IF(EV_Data4[[#This Row],[customer_rating]]&gt;=4.5,"Excellent",IF(EV_Data4[[#This Row],[customer_rating]]&gt;=3.5,"Good","Average"))</f>
        <v>Good</v>
      </c>
      <c r="AH127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73" spans="1:34" x14ac:dyDescent="0.3">
      <c r="A1273" t="s">
        <v>52</v>
      </c>
      <c r="B1273" t="s">
        <v>62</v>
      </c>
      <c r="C1273">
        <v>2024</v>
      </c>
      <c r="D1273" t="s">
        <v>44</v>
      </c>
      <c r="E1273" s="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34</v>
      </c>
      <c r="N1273">
        <v>5</v>
      </c>
      <c r="O1273" t="s">
        <v>40</v>
      </c>
      <c r="P1273">
        <v>76.400000000000006</v>
      </c>
      <c r="Q1273">
        <v>1776</v>
      </c>
      <c r="R1273">
        <v>4</v>
      </c>
      <c r="S1273">
        <v>2</v>
      </c>
      <c r="T1273" t="s">
        <v>29</v>
      </c>
      <c r="U1273" t="s">
        <v>30</v>
      </c>
      <c r="V1273" s="3">
        <v>73690</v>
      </c>
      <c r="W1273">
        <v>3.79</v>
      </c>
      <c r="X1273">
        <v>7</v>
      </c>
      <c r="Y1273" s="1">
        <f>EV_Data4[[#This Row],[range_miles]]/EV_Data4[[#This Row],[battery_capacity_kwh]]</f>
        <v>3.337222870478413</v>
      </c>
      <c r="Z1273" s="4">
        <f>EV_Data4[[#This Row],[price_usd]]/EV_Data4[[#This Row],[range_miles]]</f>
        <v>397.10503496503492</v>
      </c>
      <c r="AA1273" s="2">
        <f>(EV_Data4[[#This Row],[customer_rating]]*EV_Data4[[#This Row],[safety_rating]]*1000)/EV_Data4[[#This Row],[price_usd]]</f>
        <v>0.13348355810109602</v>
      </c>
      <c r="AB1273">
        <f>EV_Data4[[#This Row],[horsepower]]+EV_Data4[[#This Row],[torque_nm]]/EV_Data4[[#This Row],[acceleration_0_60_mph]]</f>
        <v>761.99275362318838</v>
      </c>
      <c r="AC1273" t="str">
        <f>IF(EV_Data4[[#This Row],[price_usd]]&gt;=80000,"Luxury",IF(EV_Data4[[#This Row],[price_usd]]&gt;=40000,"Mid-Range","Budget"))</f>
        <v>Luxury</v>
      </c>
      <c r="AD1273" t="str">
        <f>IF(EV_Data4[[#This Row],[range_miles]]&gt;=350,"Long-Range",IF(EV_Data4[[#This Row],[range_miles]]&gt;=250,"Medium-Range","Short-Range"))</f>
        <v>Medium-Range</v>
      </c>
      <c r="AE1273" t="str">
        <f>IF(EV_Data4[[#This Row],[charging_speed_kw]]&gt;=250,"Ultra-Fast",IF(EV_Data4[[#This Row],[charging_speed_kw]]&gt;=150,"Fast-Charging","Standard-Charging"))</f>
        <v>Standard-Charging</v>
      </c>
      <c r="AF1273" t="str">
        <f>IF(EV_Data4[[#This Row],[acceleration_0_60_mph]]&lt;=3,"SportsPerformance",IF(EV_Data4[[#This Row],[acceleration_0_60_mph]]&lt;=5,"HighPerformance","Standard"))</f>
        <v>Standard</v>
      </c>
      <c r="AG1273" t="str">
        <f>IF(EV_Data4[[#This Row],[customer_rating]]&gt;=4.5,"Excellent",IF(EV_Data4[[#This Row],[customer_rating]]&gt;=3.5,"Good","Average"))</f>
        <v>Good</v>
      </c>
      <c r="AH127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74" spans="1:34" x14ac:dyDescent="0.3">
      <c r="A1274" t="s">
        <v>76</v>
      </c>
      <c r="B1274" t="s">
        <v>81</v>
      </c>
      <c r="C1274">
        <v>2025</v>
      </c>
      <c r="D1274" t="s">
        <v>61</v>
      </c>
      <c r="E1274" s="3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34</v>
      </c>
      <c r="N1274">
        <v>5</v>
      </c>
      <c r="O1274" t="s">
        <v>50</v>
      </c>
      <c r="P1274">
        <v>34.6</v>
      </c>
      <c r="Q1274">
        <v>1556</v>
      </c>
      <c r="R1274">
        <v>4</v>
      </c>
      <c r="S1274">
        <v>0</v>
      </c>
      <c r="T1274" t="s">
        <v>41</v>
      </c>
      <c r="U1274" t="s">
        <v>66</v>
      </c>
      <c r="V1274" s="3">
        <v>25887</v>
      </c>
      <c r="W1274">
        <v>3.14</v>
      </c>
      <c r="X1274">
        <v>4</v>
      </c>
      <c r="Y1274" s="1">
        <f>EV_Data4[[#This Row],[range_miles]]/EV_Data4[[#This Row],[battery_capacity_kwh]]</f>
        <v>3.0188679245283021</v>
      </c>
      <c r="Z1274" s="4">
        <f>EV_Data4[[#This Row],[price_usd]]/EV_Data4[[#This Row],[range_miles]]</f>
        <v>182.68164772727275</v>
      </c>
      <c r="AA1274" s="2">
        <f>(EV_Data4[[#This Row],[customer_rating]]*EV_Data4[[#This Row],[safety_rating]]*1000)/EV_Data4[[#This Row],[price_usd]]</f>
        <v>0.39064480341329005</v>
      </c>
      <c r="AB1274">
        <f>EV_Data4[[#This Row],[horsepower]]+EV_Data4[[#This Row],[torque_nm]]/EV_Data4[[#This Row],[acceleration_0_60_mph]]</f>
        <v>193.03703703703704</v>
      </c>
      <c r="AC1274" t="str">
        <f>IF(EV_Data4[[#This Row],[price_usd]]&gt;=80000,"Luxury",IF(EV_Data4[[#This Row],[price_usd]]&gt;=40000,"Mid-Range","Budget"))</f>
        <v>Budget</v>
      </c>
      <c r="AD1274" t="str">
        <f>IF(EV_Data4[[#This Row],[range_miles]]&gt;=350,"Long-Range",IF(EV_Data4[[#This Row],[range_miles]]&gt;=250,"Medium-Range","Short-Range"))</f>
        <v>Short-Range</v>
      </c>
      <c r="AE1274" t="str">
        <f>IF(EV_Data4[[#This Row],[charging_speed_kw]]&gt;=250,"Ultra-Fast",IF(EV_Data4[[#This Row],[charging_speed_kw]]&gt;=150,"Fast-Charging","Standard-Charging"))</f>
        <v>Standard-Charging</v>
      </c>
      <c r="AF1274" t="str">
        <f>IF(EV_Data4[[#This Row],[acceleration_0_60_mph]]&lt;=3,"SportsPerformance",IF(EV_Data4[[#This Row],[acceleration_0_60_mph]]&lt;=5,"HighPerformance","Standard"))</f>
        <v>Standard</v>
      </c>
      <c r="AG1274" t="str">
        <f>IF(EV_Data4[[#This Row],[customer_rating]]&gt;=4.5,"Excellent",IF(EV_Data4[[#This Row],[customer_rating]]&gt;=3.5,"Good","Average"))</f>
        <v>Average</v>
      </c>
      <c r="AH127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75" spans="1:34" x14ac:dyDescent="0.3">
      <c r="A1275" t="s">
        <v>46</v>
      </c>
      <c r="B1275" t="s">
        <v>49</v>
      </c>
      <c r="C1275">
        <v>2024</v>
      </c>
      <c r="D1275" t="s">
        <v>33</v>
      </c>
      <c r="E1275" s="3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48</v>
      </c>
      <c r="N1275">
        <v>5</v>
      </c>
      <c r="O1275" t="s">
        <v>51</v>
      </c>
      <c r="P1275">
        <v>22.6</v>
      </c>
      <c r="Q1275">
        <v>1659</v>
      </c>
      <c r="R1275">
        <v>3</v>
      </c>
      <c r="S1275">
        <v>3</v>
      </c>
      <c r="T1275" t="s">
        <v>41</v>
      </c>
      <c r="U1275" t="s">
        <v>30</v>
      </c>
      <c r="V1275" s="3">
        <v>434155</v>
      </c>
      <c r="W1275">
        <v>3.8</v>
      </c>
      <c r="X1275">
        <v>6</v>
      </c>
      <c r="Y1275" s="1">
        <f>EV_Data4[[#This Row],[range_miles]]/EV_Data4[[#This Row],[battery_capacity_kwh]]</f>
        <v>3.312807881773399</v>
      </c>
      <c r="Z1275" s="4">
        <f>EV_Data4[[#This Row],[price_usd]]/EV_Data4[[#This Row],[range_miles]]</f>
        <v>624.87996282527877</v>
      </c>
      <c r="AA1275" s="2">
        <f>(EV_Data4[[#This Row],[customer_rating]]*EV_Data4[[#This Row],[safety_rating]]*1000)/EV_Data4[[#This Row],[price_usd]]</f>
        <v>6.7819716869339533E-2</v>
      </c>
      <c r="AB1275">
        <f>EV_Data4[[#This Row],[horsepower]]+EV_Data4[[#This Row],[torque_nm]]/EV_Data4[[#This Row],[acceleration_0_60_mph]]</f>
        <v>1112.2166246851384</v>
      </c>
      <c r="AC1275" t="str">
        <f>IF(EV_Data4[[#This Row],[price_usd]]&gt;=80000,"Luxury",IF(EV_Data4[[#This Row],[price_usd]]&gt;=40000,"Mid-Range","Budget"))</f>
        <v>Luxury</v>
      </c>
      <c r="AD1275" t="str">
        <f>IF(EV_Data4[[#This Row],[range_miles]]&gt;=350,"Long-Range",IF(EV_Data4[[#This Row],[range_miles]]&gt;=250,"Medium-Range","Short-Range"))</f>
        <v>Medium-Range</v>
      </c>
      <c r="AE1275" t="str">
        <f>IF(EV_Data4[[#This Row],[charging_speed_kw]]&gt;=250,"Ultra-Fast",IF(EV_Data4[[#This Row],[charging_speed_kw]]&gt;=150,"Fast-Charging","Standard-Charging"))</f>
        <v>Ultra-Fast</v>
      </c>
      <c r="AF1275" t="str">
        <f>IF(EV_Data4[[#This Row],[acceleration_0_60_mph]]&lt;=3,"SportsPerformance",IF(EV_Data4[[#This Row],[acceleration_0_60_mph]]&lt;=5,"HighPerformance","Standard"))</f>
        <v>Standard</v>
      </c>
      <c r="AG1275" t="str">
        <f>IF(EV_Data4[[#This Row],[customer_rating]]&gt;=4.5,"Excellent",IF(EV_Data4[[#This Row],[customer_rating]]&gt;=3.5,"Good","Average"))</f>
        <v>Good</v>
      </c>
      <c r="AH1275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276" spans="1:34" x14ac:dyDescent="0.3">
      <c r="A1276" t="s">
        <v>68</v>
      </c>
      <c r="B1276" t="s">
        <v>90</v>
      </c>
      <c r="C1276">
        <v>2020</v>
      </c>
      <c r="D1276" t="s">
        <v>26</v>
      </c>
      <c r="E1276" s="3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27</v>
      </c>
      <c r="N1276">
        <v>7</v>
      </c>
      <c r="O1276" t="s">
        <v>28</v>
      </c>
      <c r="P1276">
        <v>68.400000000000006</v>
      </c>
      <c r="Q1276">
        <v>2759</v>
      </c>
      <c r="R1276">
        <v>5</v>
      </c>
      <c r="S1276">
        <v>1</v>
      </c>
      <c r="T1276" t="s">
        <v>45</v>
      </c>
      <c r="U1276" t="s">
        <v>33</v>
      </c>
      <c r="V1276" s="3">
        <v>113130</v>
      </c>
      <c r="W1276">
        <v>3.67</v>
      </c>
      <c r="X1276">
        <v>4</v>
      </c>
      <c r="Y1276" s="1">
        <f>EV_Data4[[#This Row],[range_miles]]/EV_Data4[[#This Row],[battery_capacity_kwh]]</f>
        <v>3.329452852153667</v>
      </c>
      <c r="Z1276" s="4">
        <f>EV_Data4[[#This Row],[price_usd]]/EV_Data4[[#This Row],[range_miles]]</f>
        <v>259.8128671328671</v>
      </c>
      <c r="AA1276" s="2">
        <f>(EV_Data4[[#This Row],[customer_rating]]*EV_Data4[[#This Row],[safety_rating]]*1000)/EV_Data4[[#This Row],[price_usd]]</f>
        <v>0.24695019869061219</v>
      </c>
      <c r="AB1276">
        <f>EV_Data4[[#This Row],[horsepower]]+EV_Data4[[#This Row],[torque_nm]]/EV_Data4[[#This Row],[acceleration_0_60_mph]]</f>
        <v>1249.7022653721683</v>
      </c>
      <c r="AC1276" t="str">
        <f>IF(EV_Data4[[#This Row],[price_usd]]&gt;=80000,"Luxury",IF(EV_Data4[[#This Row],[price_usd]]&gt;=40000,"Mid-Range","Budget"))</f>
        <v>Mid-Range</v>
      </c>
      <c r="AD1276" t="str">
        <f>IF(EV_Data4[[#This Row],[range_miles]]&gt;=350,"Long-Range",IF(EV_Data4[[#This Row],[range_miles]]&gt;=250,"Medium-Range","Short-Range"))</f>
        <v>Medium-Range</v>
      </c>
      <c r="AE1276" t="str">
        <f>IF(EV_Data4[[#This Row],[charging_speed_kw]]&gt;=250,"Ultra-Fast",IF(EV_Data4[[#This Row],[charging_speed_kw]]&gt;=150,"Fast-Charging","Standard-Charging"))</f>
        <v>Fast-Charging</v>
      </c>
      <c r="AF1276" t="str">
        <f>IF(EV_Data4[[#This Row],[acceleration_0_60_mph]]&lt;=3,"SportsPerformance",IF(EV_Data4[[#This Row],[acceleration_0_60_mph]]&lt;=5,"HighPerformance","Standard"))</f>
        <v>HighPerformance</v>
      </c>
      <c r="AG1276" t="str">
        <f>IF(EV_Data4[[#This Row],[customer_rating]]&gt;=4.5,"Excellent",IF(EV_Data4[[#This Row],[customer_rating]]&gt;=3.5,"Good","Average"))</f>
        <v>Good</v>
      </c>
      <c r="AH127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77" spans="1:34" x14ac:dyDescent="0.3">
      <c r="A1277" t="s">
        <v>46</v>
      </c>
      <c r="B1277" t="s">
        <v>78</v>
      </c>
      <c r="C1277">
        <v>2025</v>
      </c>
      <c r="D1277" t="s">
        <v>26</v>
      </c>
      <c r="E1277" s="3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48</v>
      </c>
      <c r="N1277">
        <v>7</v>
      </c>
      <c r="O1277" t="s">
        <v>28</v>
      </c>
      <c r="P1277">
        <v>60.8</v>
      </c>
      <c r="Q1277">
        <v>2442</v>
      </c>
      <c r="R1277">
        <v>5</v>
      </c>
      <c r="S1277">
        <v>3</v>
      </c>
      <c r="T1277" t="s">
        <v>41</v>
      </c>
      <c r="U1277" t="s">
        <v>33</v>
      </c>
      <c r="V1277" s="3">
        <v>160176</v>
      </c>
      <c r="W1277">
        <v>4.04</v>
      </c>
      <c r="X1277">
        <v>5</v>
      </c>
      <c r="Y1277" s="1">
        <f>EV_Data4[[#This Row],[range_miles]]/EV_Data4[[#This Row],[battery_capacity_kwh]]</f>
        <v>3.326904532304725</v>
      </c>
      <c r="Z1277" s="4">
        <f>EV_Data4[[#This Row],[price_usd]]/EV_Data4[[#This Row],[range_miles]]</f>
        <v>287.27895652173913</v>
      </c>
      <c r="AA1277" s="2">
        <f>(EV_Data4[[#This Row],[customer_rating]]*EV_Data4[[#This Row],[safety_rating]]*1000)/EV_Data4[[#This Row],[price_usd]]</f>
        <v>0.20381139414661747</v>
      </c>
      <c r="AB1277">
        <f>EV_Data4[[#This Row],[horsepower]]+EV_Data4[[#This Row],[torque_nm]]/EV_Data4[[#This Row],[acceleration_0_60_mph]]</f>
        <v>908.75576036866357</v>
      </c>
      <c r="AC1277" t="str">
        <f>IF(EV_Data4[[#This Row],[price_usd]]&gt;=80000,"Luxury",IF(EV_Data4[[#This Row],[price_usd]]&gt;=40000,"Mid-Range","Budget"))</f>
        <v>Luxury</v>
      </c>
      <c r="AD1277" t="str">
        <f>IF(EV_Data4[[#This Row],[range_miles]]&gt;=350,"Long-Range",IF(EV_Data4[[#This Row],[range_miles]]&gt;=250,"Medium-Range","Short-Range"))</f>
        <v>Medium-Range</v>
      </c>
      <c r="AE1277" t="str">
        <f>IF(EV_Data4[[#This Row],[charging_speed_kw]]&gt;=250,"Ultra-Fast",IF(EV_Data4[[#This Row],[charging_speed_kw]]&gt;=150,"Fast-Charging","Standard-Charging"))</f>
        <v>Ultra-Fast</v>
      </c>
      <c r="AF1277" t="str">
        <f>IF(EV_Data4[[#This Row],[acceleration_0_60_mph]]&lt;=3,"SportsPerformance",IF(EV_Data4[[#This Row],[acceleration_0_60_mph]]&lt;=5,"HighPerformance","Standard"))</f>
        <v>HighPerformance</v>
      </c>
      <c r="AG1277" t="str">
        <f>IF(EV_Data4[[#This Row],[customer_rating]]&gt;=4.5,"Excellent",IF(EV_Data4[[#This Row],[customer_rating]]&gt;=3.5,"Good","Average"))</f>
        <v>Good</v>
      </c>
      <c r="AH1277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278" spans="1:34" x14ac:dyDescent="0.3">
      <c r="A1278" t="s">
        <v>63</v>
      </c>
      <c r="B1278" t="s">
        <v>73</v>
      </c>
      <c r="C1278">
        <v>2026</v>
      </c>
      <c r="D1278" t="s">
        <v>44</v>
      </c>
      <c r="E1278" s="3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48</v>
      </c>
      <c r="N1278">
        <v>5</v>
      </c>
      <c r="O1278" t="s">
        <v>51</v>
      </c>
      <c r="P1278">
        <v>21.4</v>
      </c>
      <c r="Q1278">
        <v>1701</v>
      </c>
      <c r="R1278">
        <v>4</v>
      </c>
      <c r="S1278">
        <v>1</v>
      </c>
      <c r="T1278" t="s">
        <v>65</v>
      </c>
      <c r="U1278" t="s">
        <v>66</v>
      </c>
      <c r="V1278" s="3">
        <v>164156</v>
      </c>
      <c r="W1278">
        <v>3.81</v>
      </c>
      <c r="X1278">
        <v>3</v>
      </c>
      <c r="Y1278" s="1">
        <f>EV_Data4[[#This Row],[range_miles]]/EV_Data4[[#This Row],[battery_capacity_kwh]]</f>
        <v>3.6346153846153846</v>
      </c>
      <c r="Z1278" s="4">
        <f>EV_Data4[[#This Row],[price_usd]]/EV_Data4[[#This Row],[range_miles]]</f>
        <v>85.654074074074074</v>
      </c>
      <c r="AA1278" s="2">
        <f>(EV_Data4[[#This Row],[customer_rating]]*EV_Data4[[#This Row],[safety_rating]]*1000)/EV_Data4[[#This Row],[price_usd]]</f>
        <v>0.47070102331143726</v>
      </c>
      <c r="AB1278">
        <f>EV_Data4[[#This Row],[horsepower]]+EV_Data4[[#This Row],[torque_nm]]/EV_Data4[[#This Row],[acceleration_0_60_mph]]</f>
        <v>366.90754257907543</v>
      </c>
      <c r="AC1278" t="str">
        <f>IF(EV_Data4[[#This Row],[price_usd]]&gt;=80000,"Luxury",IF(EV_Data4[[#This Row],[price_usd]]&gt;=40000,"Mid-Range","Budget"))</f>
        <v>Budget</v>
      </c>
      <c r="AD1278" t="str">
        <f>IF(EV_Data4[[#This Row],[range_miles]]&gt;=350,"Long-Range",IF(EV_Data4[[#This Row],[range_miles]]&gt;=250,"Medium-Range","Short-Range"))</f>
        <v>Long-Range</v>
      </c>
      <c r="AE1278" t="str">
        <f>IF(EV_Data4[[#This Row],[charging_speed_kw]]&gt;=250,"Ultra-Fast",IF(EV_Data4[[#This Row],[charging_speed_kw]]&gt;=150,"Fast-Charging","Standard-Charging"))</f>
        <v>Standard-Charging</v>
      </c>
      <c r="AF1278" t="str">
        <f>IF(EV_Data4[[#This Row],[acceleration_0_60_mph]]&lt;=3,"SportsPerformance",IF(EV_Data4[[#This Row],[acceleration_0_60_mph]]&lt;=5,"HighPerformance","Standard"))</f>
        <v>HighPerformance</v>
      </c>
      <c r="AG1278" t="str">
        <f>IF(EV_Data4[[#This Row],[customer_rating]]&gt;=4.5,"Excellent",IF(EV_Data4[[#This Row],[customer_rating]]&gt;=3.5,"Good","Average"))</f>
        <v>Good</v>
      </c>
      <c r="AH127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79" spans="1:34" x14ac:dyDescent="0.3">
      <c r="A1279" t="s">
        <v>99</v>
      </c>
      <c r="B1279" t="s">
        <v>100</v>
      </c>
      <c r="C1279">
        <v>2021</v>
      </c>
      <c r="D1279" t="s">
        <v>61</v>
      </c>
      <c r="E1279" s="3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27</v>
      </c>
      <c r="N1279">
        <v>5</v>
      </c>
      <c r="O1279" t="s">
        <v>40</v>
      </c>
      <c r="P1279">
        <v>61.1</v>
      </c>
      <c r="Q1279">
        <v>1678</v>
      </c>
      <c r="R1279">
        <v>5</v>
      </c>
      <c r="S1279">
        <v>1</v>
      </c>
      <c r="T1279" t="s">
        <v>29</v>
      </c>
      <c r="U1279" t="s">
        <v>30</v>
      </c>
      <c r="V1279" s="3">
        <v>2340</v>
      </c>
      <c r="W1279">
        <v>4.03</v>
      </c>
      <c r="X1279">
        <v>6</v>
      </c>
      <c r="Y1279" s="1">
        <f>EV_Data4[[#This Row],[range_miles]]/EV_Data4[[#This Row],[battery_capacity_kwh]]</f>
        <v>3.8024357239512852</v>
      </c>
      <c r="Z1279" s="4">
        <f>EV_Data4[[#This Row],[price_usd]]/EV_Data4[[#This Row],[range_miles]]</f>
        <v>580.60683274021346</v>
      </c>
      <c r="AA1279" s="2">
        <f>(EV_Data4[[#This Row],[customer_rating]]*EV_Data4[[#This Row],[safety_rating]]*1000)/EV_Data4[[#This Row],[price_usd]]</f>
        <v>0.12350558245232687</v>
      </c>
      <c r="AB1279">
        <f>EV_Data4[[#This Row],[horsepower]]+EV_Data4[[#This Row],[torque_nm]]/EV_Data4[[#This Row],[acceleration_0_60_mph]]</f>
        <v>934.61040787623062</v>
      </c>
      <c r="AC1279" t="str">
        <f>IF(EV_Data4[[#This Row],[price_usd]]&gt;=80000,"Luxury",IF(EV_Data4[[#This Row],[price_usd]]&gt;=40000,"Mid-Range","Budget"))</f>
        <v>Luxury</v>
      </c>
      <c r="AD1279" t="str">
        <f>IF(EV_Data4[[#This Row],[range_miles]]&gt;=350,"Long-Range",IF(EV_Data4[[#This Row],[range_miles]]&gt;=250,"Medium-Range","Short-Range"))</f>
        <v>Medium-Range</v>
      </c>
      <c r="AE1279" t="str">
        <f>IF(EV_Data4[[#This Row],[charging_speed_kw]]&gt;=250,"Ultra-Fast",IF(EV_Data4[[#This Row],[charging_speed_kw]]&gt;=150,"Fast-Charging","Standard-Charging"))</f>
        <v>Fast-Charging</v>
      </c>
      <c r="AF1279" t="str">
        <f>IF(EV_Data4[[#This Row],[acceleration_0_60_mph]]&lt;=3,"SportsPerformance",IF(EV_Data4[[#This Row],[acceleration_0_60_mph]]&lt;=5,"HighPerformance","Standard"))</f>
        <v>Standard</v>
      </c>
      <c r="AG1279" t="str">
        <f>IF(EV_Data4[[#This Row],[customer_rating]]&gt;=4.5,"Excellent",IF(EV_Data4[[#This Row],[customer_rating]]&gt;=3.5,"Good","Average"))</f>
        <v>Good</v>
      </c>
      <c r="AH127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80" spans="1:34" x14ac:dyDescent="0.3">
      <c r="A1280" t="s">
        <v>46</v>
      </c>
      <c r="B1280" t="s">
        <v>72</v>
      </c>
      <c r="C1280">
        <v>2023</v>
      </c>
      <c r="D1280" t="s">
        <v>33</v>
      </c>
      <c r="E1280" s="3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48</v>
      </c>
      <c r="N1280">
        <v>5</v>
      </c>
      <c r="O1280" t="s">
        <v>28</v>
      </c>
      <c r="P1280">
        <v>69.400000000000006</v>
      </c>
      <c r="Q1280">
        <v>2679</v>
      </c>
      <c r="R1280">
        <v>5</v>
      </c>
      <c r="S1280">
        <v>2</v>
      </c>
      <c r="T1280" t="s">
        <v>41</v>
      </c>
      <c r="U1280" t="s">
        <v>30</v>
      </c>
      <c r="V1280" s="3">
        <v>199763</v>
      </c>
      <c r="W1280">
        <v>3.42</v>
      </c>
      <c r="X1280">
        <v>5</v>
      </c>
      <c r="Y1280" s="1">
        <f>EV_Data4[[#This Row],[range_miles]]/EV_Data4[[#This Row],[battery_capacity_kwh]]</f>
        <v>3.1099656357388317</v>
      </c>
      <c r="Z1280" s="4">
        <f>EV_Data4[[#This Row],[price_usd]]/EV_Data4[[#This Row],[range_miles]]</f>
        <v>951.3433701657458</v>
      </c>
      <c r="AA1280" s="2">
        <f>(EV_Data4[[#This Row],[customer_rating]]*EV_Data4[[#This Row],[safety_rating]]*1000)/EV_Data4[[#This Row],[price_usd]]</f>
        <v>9.9307086257496305E-2</v>
      </c>
      <c r="AB1280">
        <f>EV_Data4[[#This Row],[horsepower]]+EV_Data4[[#This Row],[torque_nm]]/EV_Data4[[#This Row],[acceleration_0_60_mph]]</f>
        <v>1123.7752161383285</v>
      </c>
      <c r="AC1280" t="str">
        <f>IF(EV_Data4[[#This Row],[price_usd]]&gt;=80000,"Luxury",IF(EV_Data4[[#This Row],[price_usd]]&gt;=40000,"Mid-Range","Budget"))</f>
        <v>Luxury</v>
      </c>
      <c r="AD1280" t="str">
        <f>IF(EV_Data4[[#This Row],[range_miles]]&gt;=350,"Long-Range",IF(EV_Data4[[#This Row],[range_miles]]&gt;=250,"Medium-Range","Short-Range"))</f>
        <v>Short-Range</v>
      </c>
      <c r="AE1280" t="str">
        <f>IF(EV_Data4[[#This Row],[charging_speed_kw]]&gt;=250,"Ultra-Fast",IF(EV_Data4[[#This Row],[charging_speed_kw]]&gt;=150,"Fast-Charging","Standard-Charging"))</f>
        <v>Fast-Charging</v>
      </c>
      <c r="AF1280" t="str">
        <f>IF(EV_Data4[[#This Row],[acceleration_0_60_mph]]&lt;=3,"SportsPerformance",IF(EV_Data4[[#This Row],[acceleration_0_60_mph]]&lt;=5,"HighPerformance","Standard"))</f>
        <v>Standard</v>
      </c>
      <c r="AG1280" t="str">
        <f>IF(EV_Data4[[#This Row],[customer_rating]]&gt;=4.5,"Excellent",IF(EV_Data4[[#This Row],[customer_rating]]&gt;=3.5,"Good","Average"))</f>
        <v>Average</v>
      </c>
      <c r="AH128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81" spans="1:34" x14ac:dyDescent="0.3">
      <c r="A1281" t="s">
        <v>68</v>
      </c>
      <c r="B1281" t="s">
        <v>69</v>
      </c>
      <c r="C1281">
        <v>2025</v>
      </c>
      <c r="D1281" t="s">
        <v>56</v>
      </c>
      <c r="E1281" s="3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34</v>
      </c>
      <c r="N1281">
        <v>7</v>
      </c>
      <c r="O1281" t="s">
        <v>58</v>
      </c>
      <c r="P1281">
        <v>18.7</v>
      </c>
      <c r="Q1281">
        <v>1504</v>
      </c>
      <c r="R1281">
        <v>5</v>
      </c>
      <c r="S1281">
        <v>1</v>
      </c>
      <c r="T1281" t="s">
        <v>45</v>
      </c>
      <c r="U1281" t="s">
        <v>37</v>
      </c>
      <c r="V1281" s="3">
        <v>143815</v>
      </c>
      <c r="W1281">
        <v>3.55</v>
      </c>
      <c r="X1281">
        <v>5</v>
      </c>
      <c r="Y1281" s="1">
        <f>EV_Data4[[#This Row],[range_miles]]/EV_Data4[[#This Row],[battery_capacity_kwh]]</f>
        <v>3.4625668449197864</v>
      </c>
      <c r="Z1281" s="4">
        <f>EV_Data4[[#This Row],[price_usd]]/EV_Data4[[#This Row],[range_miles]]</f>
        <v>177.82308880308881</v>
      </c>
      <c r="AA1281" s="2">
        <f>(EV_Data4[[#This Row],[customer_rating]]*EV_Data4[[#This Row],[safety_rating]]*1000)/EV_Data4[[#This Row],[price_usd]]</f>
        <v>0.38539887589461391</v>
      </c>
      <c r="AB1281">
        <f>EV_Data4[[#This Row],[horsepower]]+EV_Data4[[#This Row],[torque_nm]]/EV_Data4[[#This Row],[acceleration_0_60_mph]]</f>
        <v>523.25821596244134</v>
      </c>
      <c r="AC1281" t="str">
        <f>IF(EV_Data4[[#This Row],[price_usd]]&gt;=80000,"Luxury",IF(EV_Data4[[#This Row],[price_usd]]&gt;=40000,"Mid-Range","Budget"))</f>
        <v>Mid-Range</v>
      </c>
      <c r="AD1281" t="str">
        <f>IF(EV_Data4[[#This Row],[range_miles]]&gt;=350,"Long-Range",IF(EV_Data4[[#This Row],[range_miles]]&gt;=250,"Medium-Range","Short-Range"))</f>
        <v>Medium-Range</v>
      </c>
      <c r="AE1281" t="str">
        <f>IF(EV_Data4[[#This Row],[charging_speed_kw]]&gt;=250,"Ultra-Fast",IF(EV_Data4[[#This Row],[charging_speed_kw]]&gt;=150,"Fast-Charging","Standard-Charging"))</f>
        <v>Standard-Charging</v>
      </c>
      <c r="AF1281" t="str">
        <f>IF(EV_Data4[[#This Row],[acceleration_0_60_mph]]&lt;=3,"SportsPerformance",IF(EV_Data4[[#This Row],[acceleration_0_60_mph]]&lt;=5,"HighPerformance","Standard"))</f>
        <v>Standard</v>
      </c>
      <c r="AG1281" t="str">
        <f>IF(EV_Data4[[#This Row],[customer_rating]]&gt;=4.5,"Excellent",IF(EV_Data4[[#This Row],[customer_rating]]&gt;=3.5,"Good","Average"))</f>
        <v>Good</v>
      </c>
      <c r="AH128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82" spans="1:34" x14ac:dyDescent="0.3">
      <c r="A1282" t="s">
        <v>42</v>
      </c>
      <c r="B1282" t="s">
        <v>71</v>
      </c>
      <c r="C1282">
        <v>2025</v>
      </c>
      <c r="D1282" t="s">
        <v>26</v>
      </c>
      <c r="E1282" s="3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48</v>
      </c>
      <c r="N1282">
        <v>5</v>
      </c>
      <c r="O1282" t="s">
        <v>35</v>
      </c>
      <c r="P1282">
        <v>54.2</v>
      </c>
      <c r="Q1282">
        <v>1841</v>
      </c>
      <c r="R1282">
        <v>5</v>
      </c>
      <c r="S1282">
        <v>1</v>
      </c>
      <c r="T1282" t="s">
        <v>45</v>
      </c>
      <c r="U1282" t="s">
        <v>33</v>
      </c>
      <c r="V1282" s="3">
        <v>60132</v>
      </c>
      <c r="W1282">
        <v>3.63</v>
      </c>
      <c r="X1282">
        <v>4</v>
      </c>
      <c r="Y1282" s="1">
        <f>EV_Data4[[#This Row],[range_miles]]/EV_Data4[[#This Row],[battery_capacity_kwh]]</f>
        <v>3.4827945776850884</v>
      </c>
      <c r="Z1282" s="4">
        <f>EV_Data4[[#This Row],[price_usd]]/EV_Data4[[#This Row],[range_miles]]</f>
        <v>263.48029940119761</v>
      </c>
      <c r="AA1282" s="2">
        <f>(EV_Data4[[#This Row],[customer_rating]]*EV_Data4[[#This Row],[safety_rating]]*1000)/EV_Data4[[#This Row],[price_usd]]</f>
        <v>0.20624432828097228</v>
      </c>
      <c r="AB1282">
        <f>EV_Data4[[#This Row],[horsepower]]+EV_Data4[[#This Row],[torque_nm]]/EV_Data4[[#This Row],[acceleration_0_60_mph]]</f>
        <v>1349.2307692307693</v>
      </c>
      <c r="AC1282" t="str">
        <f>IF(EV_Data4[[#This Row],[price_usd]]&gt;=80000,"Luxury",IF(EV_Data4[[#This Row],[price_usd]]&gt;=40000,"Mid-Range","Budget"))</f>
        <v>Luxury</v>
      </c>
      <c r="AD1282" t="str">
        <f>IF(EV_Data4[[#This Row],[range_miles]]&gt;=350,"Long-Range",IF(EV_Data4[[#This Row],[range_miles]]&gt;=250,"Medium-Range","Short-Range"))</f>
        <v>Medium-Range</v>
      </c>
      <c r="AE1282" t="str">
        <f>IF(EV_Data4[[#This Row],[charging_speed_kw]]&gt;=250,"Ultra-Fast",IF(EV_Data4[[#This Row],[charging_speed_kw]]&gt;=150,"Fast-Charging","Standard-Charging"))</f>
        <v>Fast-Charging</v>
      </c>
      <c r="AF1282" t="str">
        <f>IF(EV_Data4[[#This Row],[acceleration_0_60_mph]]&lt;=3,"SportsPerformance",IF(EV_Data4[[#This Row],[acceleration_0_60_mph]]&lt;=5,"HighPerformance","Standard"))</f>
        <v>SportsPerformance</v>
      </c>
      <c r="AG1282" t="str">
        <f>IF(EV_Data4[[#This Row],[customer_rating]]&gt;=4.5,"Excellent",IF(EV_Data4[[#This Row],[customer_rating]]&gt;=3.5,"Good","Average"))</f>
        <v>Good</v>
      </c>
      <c r="AH128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83" spans="1:34" x14ac:dyDescent="0.3">
      <c r="A1283" t="s">
        <v>38</v>
      </c>
      <c r="B1283" t="s">
        <v>102</v>
      </c>
      <c r="C1283">
        <v>2025</v>
      </c>
      <c r="D1283" t="s">
        <v>56</v>
      </c>
      <c r="E1283" s="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27</v>
      </c>
      <c r="N1283">
        <v>5</v>
      </c>
      <c r="O1283" t="s">
        <v>35</v>
      </c>
      <c r="P1283">
        <v>46.1</v>
      </c>
      <c r="Q1283">
        <v>2246</v>
      </c>
      <c r="R1283">
        <v>5</v>
      </c>
      <c r="S1283">
        <v>1</v>
      </c>
      <c r="T1283" t="s">
        <v>41</v>
      </c>
      <c r="U1283" t="s">
        <v>37</v>
      </c>
      <c r="V1283" s="3">
        <v>18527</v>
      </c>
      <c r="W1283">
        <v>3.44</v>
      </c>
      <c r="X1283">
        <v>5</v>
      </c>
      <c r="Y1283" s="1">
        <f>EV_Data4[[#This Row],[range_miles]]/EV_Data4[[#This Row],[battery_capacity_kwh]]</f>
        <v>3.5833333333333335</v>
      </c>
      <c r="Z1283" s="4">
        <f>EV_Data4[[#This Row],[price_usd]]/EV_Data4[[#This Row],[range_miles]]</f>
        <v>334.66837209302327</v>
      </c>
      <c r="AA1283" s="2">
        <f>(EV_Data4[[#This Row],[customer_rating]]*EV_Data4[[#This Row],[safety_rating]]*1000)/EV_Data4[[#This Row],[price_usd]]</f>
        <v>0.29880325820631881</v>
      </c>
      <c r="AB1283">
        <f>EV_Data4[[#This Row],[horsepower]]+EV_Data4[[#This Row],[torque_nm]]/EV_Data4[[#This Row],[acceleration_0_60_mph]]</f>
        <v>816.6319115323854</v>
      </c>
      <c r="AC1283" t="str">
        <f>IF(EV_Data4[[#This Row],[price_usd]]&gt;=80000,"Luxury",IF(EV_Data4[[#This Row],[price_usd]]&gt;=40000,"Mid-Range","Budget"))</f>
        <v>Mid-Range</v>
      </c>
      <c r="AD1283" t="str">
        <f>IF(EV_Data4[[#This Row],[range_miles]]&gt;=350,"Long-Range",IF(EV_Data4[[#This Row],[range_miles]]&gt;=250,"Medium-Range","Short-Range"))</f>
        <v>Short-Range</v>
      </c>
      <c r="AE1283" t="str">
        <f>IF(EV_Data4[[#This Row],[charging_speed_kw]]&gt;=250,"Ultra-Fast",IF(EV_Data4[[#This Row],[charging_speed_kw]]&gt;=150,"Fast-Charging","Standard-Charging"))</f>
        <v>Standard-Charging</v>
      </c>
      <c r="AF1283" t="str">
        <f>IF(EV_Data4[[#This Row],[acceleration_0_60_mph]]&lt;=3,"SportsPerformance",IF(EV_Data4[[#This Row],[acceleration_0_60_mph]]&lt;=5,"HighPerformance","Standard"))</f>
        <v>Standard</v>
      </c>
      <c r="AG1283" t="str">
        <f>IF(EV_Data4[[#This Row],[customer_rating]]&gt;=4.5,"Excellent",IF(EV_Data4[[#This Row],[customer_rating]]&gt;=3.5,"Good","Average"))</f>
        <v>Average</v>
      </c>
      <c r="AH128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84" spans="1:34" x14ac:dyDescent="0.3">
      <c r="A1284" t="s">
        <v>42</v>
      </c>
      <c r="B1284" t="s">
        <v>115</v>
      </c>
      <c r="C1284">
        <v>2021</v>
      </c>
      <c r="D1284" t="s">
        <v>33</v>
      </c>
      <c r="E1284" s="3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48</v>
      </c>
      <c r="N1284">
        <v>7</v>
      </c>
      <c r="O1284" t="s">
        <v>35</v>
      </c>
      <c r="P1284">
        <v>52.4</v>
      </c>
      <c r="Q1284">
        <v>2083</v>
      </c>
      <c r="R1284">
        <v>4</v>
      </c>
      <c r="S1284">
        <v>1</v>
      </c>
      <c r="T1284" t="s">
        <v>45</v>
      </c>
      <c r="U1284" t="s">
        <v>33</v>
      </c>
      <c r="V1284" s="3">
        <v>103135</v>
      </c>
      <c r="W1284">
        <v>3.43</v>
      </c>
      <c r="X1284">
        <v>3</v>
      </c>
      <c r="Y1284" s="1">
        <f>EV_Data4[[#This Row],[range_miles]]/EV_Data4[[#This Row],[battery_capacity_kwh]]</f>
        <v>3.4749620637329284</v>
      </c>
      <c r="Z1284" s="4">
        <f>EV_Data4[[#This Row],[price_usd]]/EV_Data4[[#This Row],[range_miles]]</f>
        <v>398.78620087336242</v>
      </c>
      <c r="AA1284" s="2">
        <f>(EV_Data4[[#This Row],[customer_rating]]*EV_Data4[[#This Row],[safety_rating]]*1000)/EV_Data4[[#This Row],[price_usd]]</f>
        <v>0.15023755492102456</v>
      </c>
      <c r="AB1284">
        <f>EV_Data4[[#This Row],[horsepower]]+EV_Data4[[#This Row],[torque_nm]]/EV_Data4[[#This Row],[acceleration_0_60_mph]]</f>
        <v>1127.4143302180685</v>
      </c>
      <c r="AC1284" t="str">
        <f>IF(EV_Data4[[#This Row],[price_usd]]&gt;=80000,"Luxury",IF(EV_Data4[[#This Row],[price_usd]]&gt;=40000,"Mid-Range","Budget"))</f>
        <v>Luxury</v>
      </c>
      <c r="AD1284" t="str">
        <f>IF(EV_Data4[[#This Row],[range_miles]]&gt;=350,"Long-Range",IF(EV_Data4[[#This Row],[range_miles]]&gt;=250,"Medium-Range","Short-Range"))</f>
        <v>Short-Range</v>
      </c>
      <c r="AE1284" t="str">
        <f>IF(EV_Data4[[#This Row],[charging_speed_kw]]&gt;=250,"Ultra-Fast",IF(EV_Data4[[#This Row],[charging_speed_kw]]&gt;=150,"Fast-Charging","Standard-Charging"))</f>
        <v>Standard-Charging</v>
      </c>
      <c r="AF1284" t="str">
        <f>IF(EV_Data4[[#This Row],[acceleration_0_60_mph]]&lt;=3,"SportsPerformance",IF(EV_Data4[[#This Row],[acceleration_0_60_mph]]&lt;=5,"HighPerformance","Standard"))</f>
        <v>Standard</v>
      </c>
      <c r="AG1284" t="str">
        <f>IF(EV_Data4[[#This Row],[customer_rating]]&gt;=4.5,"Excellent",IF(EV_Data4[[#This Row],[customer_rating]]&gt;=3.5,"Good","Average"))</f>
        <v>Average</v>
      </c>
      <c r="AH128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85" spans="1:34" x14ac:dyDescent="0.3">
      <c r="A1285" t="s">
        <v>46</v>
      </c>
      <c r="B1285" t="s">
        <v>47</v>
      </c>
      <c r="C1285">
        <v>2025</v>
      </c>
      <c r="D1285" t="s">
        <v>61</v>
      </c>
      <c r="E1285" s="3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48</v>
      </c>
      <c r="N1285">
        <v>5</v>
      </c>
      <c r="O1285" t="s">
        <v>28</v>
      </c>
      <c r="P1285">
        <v>58.1</v>
      </c>
      <c r="Q1285">
        <v>2486</v>
      </c>
      <c r="R1285">
        <v>5</v>
      </c>
      <c r="S1285">
        <v>3</v>
      </c>
      <c r="T1285" t="s">
        <v>41</v>
      </c>
      <c r="U1285" t="s">
        <v>37</v>
      </c>
      <c r="V1285" s="3">
        <v>177083</v>
      </c>
      <c r="W1285">
        <v>3.7</v>
      </c>
      <c r="X1285">
        <v>6</v>
      </c>
      <c r="Y1285" s="1">
        <f>EV_Data4[[#This Row],[range_miles]]/EV_Data4[[#This Row],[battery_capacity_kwh]]</f>
        <v>3.4713375796178347</v>
      </c>
      <c r="Z1285" s="4">
        <f>EV_Data4[[#This Row],[price_usd]]/EV_Data4[[#This Row],[range_miles]]</f>
        <v>182.40701834862386</v>
      </c>
      <c r="AA1285" s="2">
        <f>(EV_Data4[[#This Row],[customer_rating]]*EV_Data4[[#This Row],[safety_rating]]*1000)/EV_Data4[[#This Row],[price_usd]]</f>
        <v>0.46523640422052404</v>
      </c>
      <c r="AB1285">
        <f>EV_Data4[[#This Row],[horsepower]]+EV_Data4[[#This Row],[torque_nm]]/EV_Data4[[#This Row],[acceleration_0_60_mph]]</f>
        <v>291.2340425531915</v>
      </c>
      <c r="AC1285" t="str">
        <f>IF(EV_Data4[[#This Row],[price_usd]]&gt;=80000,"Luxury",IF(EV_Data4[[#This Row],[price_usd]]&gt;=40000,"Mid-Range","Budget"))</f>
        <v>Budget</v>
      </c>
      <c r="AD1285" t="str">
        <f>IF(EV_Data4[[#This Row],[range_miles]]&gt;=350,"Long-Range",IF(EV_Data4[[#This Row],[range_miles]]&gt;=250,"Medium-Range","Short-Range"))</f>
        <v>Short-Range</v>
      </c>
      <c r="AE1285" t="str">
        <f>IF(EV_Data4[[#This Row],[charging_speed_kw]]&gt;=250,"Ultra-Fast",IF(EV_Data4[[#This Row],[charging_speed_kw]]&gt;=150,"Fast-Charging","Standard-Charging"))</f>
        <v>Ultra-Fast</v>
      </c>
      <c r="AF1285" t="str">
        <f>IF(EV_Data4[[#This Row],[acceleration_0_60_mph]]&lt;=3,"SportsPerformance",IF(EV_Data4[[#This Row],[acceleration_0_60_mph]]&lt;=5,"HighPerformance","Standard"))</f>
        <v>Standard</v>
      </c>
      <c r="AG1285" t="str">
        <f>IF(EV_Data4[[#This Row],[customer_rating]]&gt;=4.5,"Excellent",IF(EV_Data4[[#This Row],[customer_rating]]&gt;=3.5,"Good","Average"))</f>
        <v>Good</v>
      </c>
      <c r="AH1285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286" spans="1:34" x14ac:dyDescent="0.3">
      <c r="A1286" t="s">
        <v>63</v>
      </c>
      <c r="B1286" t="s">
        <v>96</v>
      </c>
      <c r="C1286">
        <v>2025</v>
      </c>
      <c r="D1286" t="s">
        <v>44</v>
      </c>
      <c r="E1286" s="3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48</v>
      </c>
      <c r="N1286">
        <v>7</v>
      </c>
      <c r="O1286" t="s">
        <v>28</v>
      </c>
      <c r="P1286">
        <v>57.3</v>
      </c>
      <c r="Q1286">
        <v>2484</v>
      </c>
      <c r="R1286">
        <v>4</v>
      </c>
      <c r="S1286">
        <v>1</v>
      </c>
      <c r="T1286" t="s">
        <v>65</v>
      </c>
      <c r="U1286" t="s">
        <v>66</v>
      </c>
      <c r="V1286" s="3">
        <v>224275</v>
      </c>
      <c r="W1286">
        <v>3.65</v>
      </c>
      <c r="X1286">
        <v>4</v>
      </c>
      <c r="Y1286" s="1">
        <f>EV_Data4[[#This Row],[range_miles]]/EV_Data4[[#This Row],[battery_capacity_kwh]]</f>
        <v>3.6579572446555817</v>
      </c>
      <c r="Z1286" s="4">
        <f>EV_Data4[[#This Row],[price_usd]]/EV_Data4[[#This Row],[range_miles]]</f>
        <v>77.02448051948052</v>
      </c>
      <c r="AA1286" s="2">
        <f>(EV_Data4[[#This Row],[customer_rating]]*EV_Data4[[#This Row],[safety_rating]]*1000)/EV_Data4[[#This Row],[price_usd]]</f>
        <v>0.61542248753769457</v>
      </c>
      <c r="AB1286">
        <f>EV_Data4[[#This Row],[horsepower]]+EV_Data4[[#This Row],[torque_nm]]/EV_Data4[[#This Row],[acceleration_0_60_mph]]</f>
        <v>224.50593824228028</v>
      </c>
      <c r="AC1286" t="str">
        <f>IF(EV_Data4[[#This Row],[price_usd]]&gt;=80000,"Luxury",IF(EV_Data4[[#This Row],[price_usd]]&gt;=40000,"Mid-Range","Budget"))</f>
        <v>Budget</v>
      </c>
      <c r="AD1286" t="str">
        <f>IF(EV_Data4[[#This Row],[range_miles]]&gt;=350,"Long-Range",IF(EV_Data4[[#This Row],[range_miles]]&gt;=250,"Medium-Range","Short-Range"))</f>
        <v>Medium-Range</v>
      </c>
      <c r="AE1286" t="str">
        <f>IF(EV_Data4[[#This Row],[charging_speed_kw]]&gt;=250,"Ultra-Fast",IF(EV_Data4[[#This Row],[charging_speed_kw]]&gt;=150,"Fast-Charging","Standard-Charging"))</f>
        <v>Standard-Charging</v>
      </c>
      <c r="AF1286" t="str">
        <f>IF(EV_Data4[[#This Row],[acceleration_0_60_mph]]&lt;=3,"SportsPerformance",IF(EV_Data4[[#This Row],[acceleration_0_60_mph]]&lt;=5,"HighPerformance","Standard"))</f>
        <v>HighPerformance</v>
      </c>
      <c r="AG1286" t="str">
        <f>IF(EV_Data4[[#This Row],[customer_rating]]&gt;=4.5,"Excellent",IF(EV_Data4[[#This Row],[customer_rating]]&gt;=3.5,"Good","Average"))</f>
        <v>Good</v>
      </c>
      <c r="AH128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87" spans="1:34" x14ac:dyDescent="0.3">
      <c r="A1287" t="s">
        <v>68</v>
      </c>
      <c r="B1287" t="s">
        <v>106</v>
      </c>
      <c r="C1287">
        <v>2023</v>
      </c>
      <c r="D1287" t="s">
        <v>33</v>
      </c>
      <c r="E1287" s="3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48</v>
      </c>
      <c r="N1287">
        <v>7</v>
      </c>
      <c r="O1287" t="s">
        <v>50</v>
      </c>
      <c r="P1287">
        <v>21</v>
      </c>
      <c r="Q1287">
        <v>1500</v>
      </c>
      <c r="R1287">
        <v>5</v>
      </c>
      <c r="S1287">
        <v>1</v>
      </c>
      <c r="T1287" t="s">
        <v>45</v>
      </c>
      <c r="U1287" t="s">
        <v>37</v>
      </c>
      <c r="V1287" s="3">
        <v>118099</v>
      </c>
      <c r="W1287">
        <v>3.33</v>
      </c>
      <c r="X1287">
        <v>4</v>
      </c>
      <c r="Y1287" s="1">
        <f>EV_Data4[[#This Row],[range_miles]]/EV_Data4[[#This Row],[battery_capacity_kwh]]</f>
        <v>3.6091298145506423</v>
      </c>
      <c r="Z1287" s="4">
        <f>EV_Data4[[#This Row],[price_usd]]/EV_Data4[[#This Row],[range_miles]]</f>
        <v>168.11209486166007</v>
      </c>
      <c r="AA1287" s="2">
        <f>(EV_Data4[[#This Row],[customer_rating]]*EV_Data4[[#This Row],[safety_rating]]*1000)/EV_Data4[[#This Row],[price_usd]]</f>
        <v>0.39146663857824959</v>
      </c>
      <c r="AB1287">
        <f>EV_Data4[[#This Row],[horsepower]]+EV_Data4[[#This Row],[torque_nm]]/EV_Data4[[#This Row],[acceleration_0_60_mph]]</f>
        <v>395.46337308347529</v>
      </c>
      <c r="AC1287" t="str">
        <f>IF(EV_Data4[[#This Row],[price_usd]]&gt;=80000,"Luxury",IF(EV_Data4[[#This Row],[price_usd]]&gt;=40000,"Mid-Range","Budget"))</f>
        <v>Mid-Range</v>
      </c>
      <c r="AD1287" t="str">
        <f>IF(EV_Data4[[#This Row],[range_miles]]&gt;=350,"Long-Range",IF(EV_Data4[[#This Row],[range_miles]]&gt;=250,"Medium-Range","Short-Range"))</f>
        <v>Medium-Range</v>
      </c>
      <c r="AE1287" t="str">
        <f>IF(EV_Data4[[#This Row],[charging_speed_kw]]&gt;=250,"Ultra-Fast",IF(EV_Data4[[#This Row],[charging_speed_kw]]&gt;=150,"Fast-Charging","Standard-Charging"))</f>
        <v>Standard-Charging</v>
      </c>
      <c r="AF1287" t="str">
        <f>IF(EV_Data4[[#This Row],[acceleration_0_60_mph]]&lt;=3,"SportsPerformance",IF(EV_Data4[[#This Row],[acceleration_0_60_mph]]&lt;=5,"HighPerformance","Standard"))</f>
        <v>Standard</v>
      </c>
      <c r="AG1287" t="str">
        <f>IF(EV_Data4[[#This Row],[customer_rating]]&gt;=4.5,"Excellent",IF(EV_Data4[[#This Row],[customer_rating]]&gt;=3.5,"Good","Average"))</f>
        <v>Average</v>
      </c>
      <c r="AH128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88" spans="1:34" x14ac:dyDescent="0.3">
      <c r="A1288" t="s">
        <v>46</v>
      </c>
      <c r="B1288" t="s">
        <v>57</v>
      </c>
      <c r="C1288">
        <v>2023</v>
      </c>
      <c r="D1288" t="s">
        <v>56</v>
      </c>
      <c r="E1288" s="3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27</v>
      </c>
      <c r="N1288">
        <v>5</v>
      </c>
      <c r="O1288" t="s">
        <v>28</v>
      </c>
      <c r="P1288">
        <v>71.3</v>
      </c>
      <c r="Q1288">
        <v>2661</v>
      </c>
      <c r="R1288">
        <v>4</v>
      </c>
      <c r="S1288">
        <v>2</v>
      </c>
      <c r="T1288" t="s">
        <v>41</v>
      </c>
      <c r="U1288" t="s">
        <v>66</v>
      </c>
      <c r="V1288" s="3">
        <v>119019</v>
      </c>
      <c r="W1288">
        <v>3.56</v>
      </c>
      <c r="X1288">
        <v>5</v>
      </c>
      <c r="Y1288" s="1">
        <f>EV_Data4[[#This Row],[range_miles]]/EV_Data4[[#This Row],[battery_capacity_kwh]]</f>
        <v>3.3151183970856102</v>
      </c>
      <c r="Z1288" s="4">
        <f>EV_Data4[[#This Row],[price_usd]]/EV_Data4[[#This Row],[range_miles]]</f>
        <v>162.39373626373626</v>
      </c>
      <c r="AA1288" s="2">
        <f>(EV_Data4[[#This Row],[customer_rating]]*EV_Data4[[#This Row],[safety_rating]]*1000)/EV_Data4[[#This Row],[price_usd]]</f>
        <v>0.48180280866676639</v>
      </c>
      <c r="AB1288">
        <f>EV_Data4[[#This Row],[horsepower]]+EV_Data4[[#This Row],[torque_nm]]/EV_Data4[[#This Row],[acceleration_0_60_mph]]</f>
        <v>184.54231433506044</v>
      </c>
      <c r="AC1288" t="str">
        <f>IF(EV_Data4[[#This Row],[price_usd]]&gt;=80000,"Luxury",IF(EV_Data4[[#This Row],[price_usd]]&gt;=40000,"Mid-Range","Budget"))</f>
        <v>Budget</v>
      </c>
      <c r="AD1288" t="str">
        <f>IF(EV_Data4[[#This Row],[range_miles]]&gt;=350,"Long-Range",IF(EV_Data4[[#This Row],[range_miles]]&gt;=250,"Medium-Range","Short-Range"))</f>
        <v>Short-Range</v>
      </c>
      <c r="AE1288" t="str">
        <f>IF(EV_Data4[[#This Row],[charging_speed_kw]]&gt;=250,"Ultra-Fast",IF(EV_Data4[[#This Row],[charging_speed_kw]]&gt;=150,"Fast-Charging","Standard-Charging"))</f>
        <v>Fast-Charging</v>
      </c>
      <c r="AF1288" t="str">
        <f>IF(EV_Data4[[#This Row],[acceleration_0_60_mph]]&lt;=3,"SportsPerformance",IF(EV_Data4[[#This Row],[acceleration_0_60_mph]]&lt;=5,"HighPerformance","Standard"))</f>
        <v>Standard</v>
      </c>
      <c r="AG1288" t="str">
        <f>IF(EV_Data4[[#This Row],[customer_rating]]&gt;=4.5,"Excellent",IF(EV_Data4[[#This Row],[customer_rating]]&gt;=3.5,"Good","Average"))</f>
        <v>Good</v>
      </c>
      <c r="AH128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89" spans="1:34" x14ac:dyDescent="0.3">
      <c r="A1289" t="s">
        <v>63</v>
      </c>
      <c r="B1289" t="s">
        <v>73</v>
      </c>
      <c r="C1289">
        <v>2023</v>
      </c>
      <c r="D1289" t="s">
        <v>33</v>
      </c>
      <c r="E1289" s="3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48</v>
      </c>
      <c r="N1289">
        <v>5</v>
      </c>
      <c r="O1289" t="s">
        <v>28</v>
      </c>
      <c r="P1289">
        <v>66.599999999999994</v>
      </c>
      <c r="Q1289">
        <v>2371</v>
      </c>
      <c r="R1289">
        <v>3</v>
      </c>
      <c r="S1289">
        <v>1</v>
      </c>
      <c r="T1289" t="s">
        <v>65</v>
      </c>
      <c r="U1289" t="s">
        <v>37</v>
      </c>
      <c r="V1289" s="3">
        <v>249959</v>
      </c>
      <c r="W1289">
        <v>3.49</v>
      </c>
      <c r="X1289">
        <v>4</v>
      </c>
      <c r="Y1289" s="1">
        <f>EV_Data4[[#This Row],[range_miles]]/EV_Data4[[#This Row],[battery_capacity_kwh]]</f>
        <v>3.4664246823956444</v>
      </c>
      <c r="Z1289" s="4">
        <f>EV_Data4[[#This Row],[price_usd]]/EV_Data4[[#This Row],[range_miles]]</f>
        <v>328.24958115183244</v>
      </c>
      <c r="AA1289" s="2">
        <f>(EV_Data4[[#This Row],[customer_rating]]*EV_Data4[[#This Row],[safety_rating]]*1000)/EV_Data4[[#This Row],[price_usd]]</f>
        <v>0.16699717859303523</v>
      </c>
      <c r="AB1289">
        <f>EV_Data4[[#This Row],[horsepower]]+EV_Data4[[#This Row],[torque_nm]]/EV_Data4[[#This Row],[acceleration_0_60_mph]]</f>
        <v>761.59383753501402</v>
      </c>
      <c r="AC1289" t="str">
        <f>IF(EV_Data4[[#This Row],[price_usd]]&gt;=80000,"Luxury",IF(EV_Data4[[#This Row],[price_usd]]&gt;=40000,"Mid-Range","Budget"))</f>
        <v>Mid-Range</v>
      </c>
      <c r="AD1289" t="str">
        <f>IF(EV_Data4[[#This Row],[range_miles]]&gt;=350,"Long-Range",IF(EV_Data4[[#This Row],[range_miles]]&gt;=250,"Medium-Range","Short-Range"))</f>
        <v>Short-Range</v>
      </c>
      <c r="AE1289" t="str">
        <f>IF(EV_Data4[[#This Row],[charging_speed_kw]]&gt;=250,"Ultra-Fast",IF(EV_Data4[[#This Row],[charging_speed_kw]]&gt;=150,"Fast-Charging","Standard-Charging"))</f>
        <v>Standard-Charging</v>
      </c>
      <c r="AF1289" t="str">
        <f>IF(EV_Data4[[#This Row],[acceleration_0_60_mph]]&lt;=3,"SportsPerformance",IF(EV_Data4[[#This Row],[acceleration_0_60_mph]]&lt;=5,"HighPerformance","Standard"))</f>
        <v>Standard</v>
      </c>
      <c r="AG1289" t="str">
        <f>IF(EV_Data4[[#This Row],[customer_rating]]&gt;=4.5,"Excellent",IF(EV_Data4[[#This Row],[customer_rating]]&gt;=3.5,"Good","Average"))</f>
        <v>Average</v>
      </c>
      <c r="AH128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90" spans="1:34" x14ac:dyDescent="0.3">
      <c r="A1290" t="s">
        <v>46</v>
      </c>
      <c r="B1290" t="s">
        <v>49</v>
      </c>
      <c r="C1290">
        <v>2025</v>
      </c>
      <c r="D1290" t="s">
        <v>44</v>
      </c>
      <c r="E1290" s="3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48</v>
      </c>
      <c r="N1290">
        <v>5</v>
      </c>
      <c r="O1290" t="s">
        <v>40</v>
      </c>
      <c r="P1290">
        <v>74.400000000000006</v>
      </c>
      <c r="Q1290">
        <v>1500</v>
      </c>
      <c r="R1290">
        <v>4</v>
      </c>
      <c r="S1290">
        <v>2</v>
      </c>
      <c r="T1290" t="s">
        <v>41</v>
      </c>
      <c r="U1290" t="s">
        <v>33</v>
      </c>
      <c r="V1290" s="3">
        <v>465765</v>
      </c>
      <c r="W1290">
        <v>3.91</v>
      </c>
      <c r="X1290">
        <v>4</v>
      </c>
      <c r="Y1290" s="1">
        <f>EV_Data4[[#This Row],[range_miles]]/EV_Data4[[#This Row],[battery_capacity_kwh]]</f>
        <v>3.7654320987654319</v>
      </c>
      <c r="Z1290" s="4">
        <f>EV_Data4[[#This Row],[price_usd]]/EV_Data4[[#This Row],[range_miles]]</f>
        <v>232.81721311475411</v>
      </c>
      <c r="AA1290" s="2">
        <f>(EV_Data4[[#This Row],[customer_rating]]*EV_Data4[[#This Row],[safety_rating]]*1000)/EV_Data4[[#This Row],[price_usd]]</f>
        <v>0.22025299520837074</v>
      </c>
      <c r="AB1290">
        <f>EV_Data4[[#This Row],[horsepower]]+EV_Data4[[#This Row],[torque_nm]]/EV_Data4[[#This Row],[acceleration_0_60_mph]]</f>
        <v>527.23924268502583</v>
      </c>
      <c r="AC1290" t="str">
        <f>IF(EV_Data4[[#This Row],[price_usd]]&gt;=80000,"Luxury",IF(EV_Data4[[#This Row],[price_usd]]&gt;=40000,"Mid-Range","Budget"))</f>
        <v>Mid-Range</v>
      </c>
      <c r="AD1290" t="str">
        <f>IF(EV_Data4[[#This Row],[range_miles]]&gt;=350,"Long-Range",IF(EV_Data4[[#This Row],[range_miles]]&gt;=250,"Medium-Range","Short-Range"))</f>
        <v>Medium-Range</v>
      </c>
      <c r="AE1290" t="str">
        <f>IF(EV_Data4[[#This Row],[charging_speed_kw]]&gt;=250,"Ultra-Fast",IF(EV_Data4[[#This Row],[charging_speed_kw]]&gt;=150,"Fast-Charging","Standard-Charging"))</f>
        <v>Ultra-Fast</v>
      </c>
      <c r="AF1290" t="str">
        <f>IF(EV_Data4[[#This Row],[acceleration_0_60_mph]]&lt;=3,"SportsPerformance",IF(EV_Data4[[#This Row],[acceleration_0_60_mph]]&lt;=5,"HighPerformance","Standard"))</f>
        <v>Standard</v>
      </c>
      <c r="AG1290" t="str">
        <f>IF(EV_Data4[[#This Row],[customer_rating]]&gt;=4.5,"Excellent",IF(EV_Data4[[#This Row],[customer_rating]]&gt;=3.5,"Good","Average"))</f>
        <v>Good</v>
      </c>
      <c r="AH129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91" spans="1:34" x14ac:dyDescent="0.3">
      <c r="A1291" t="s">
        <v>46</v>
      </c>
      <c r="B1291" t="s">
        <v>57</v>
      </c>
      <c r="C1291">
        <v>2023</v>
      </c>
      <c r="D1291" t="s">
        <v>44</v>
      </c>
      <c r="E1291" s="3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34</v>
      </c>
      <c r="N1291">
        <v>7</v>
      </c>
      <c r="O1291" t="s">
        <v>40</v>
      </c>
      <c r="P1291">
        <v>65.5</v>
      </c>
      <c r="Q1291">
        <v>1500</v>
      </c>
      <c r="R1291">
        <v>5</v>
      </c>
      <c r="S1291">
        <v>3</v>
      </c>
      <c r="T1291" t="s">
        <v>41</v>
      </c>
      <c r="U1291" t="s">
        <v>37</v>
      </c>
      <c r="V1291" s="3">
        <v>211387</v>
      </c>
      <c r="W1291">
        <v>4</v>
      </c>
      <c r="X1291">
        <v>4</v>
      </c>
      <c r="Y1291" s="1">
        <f>EV_Data4[[#This Row],[range_miles]]/EV_Data4[[#This Row],[battery_capacity_kwh]]</f>
        <v>3.3194588969823102</v>
      </c>
      <c r="Z1291" s="4">
        <f>EV_Data4[[#This Row],[price_usd]]/EV_Data4[[#This Row],[range_miles]]</f>
        <v>131.18990595611285</v>
      </c>
      <c r="AA1291" s="2">
        <f>(EV_Data4[[#This Row],[customer_rating]]*EV_Data4[[#This Row],[safety_rating]]*1000)/EV_Data4[[#This Row],[price_usd]]</f>
        <v>0.47790204824038851</v>
      </c>
      <c r="AB1291">
        <f>EV_Data4[[#This Row],[horsepower]]+EV_Data4[[#This Row],[torque_nm]]/EV_Data4[[#This Row],[acceleration_0_60_mph]]</f>
        <v>327.03472222222223</v>
      </c>
      <c r="AC1291" t="str">
        <f>IF(EV_Data4[[#This Row],[price_usd]]&gt;=80000,"Luxury",IF(EV_Data4[[#This Row],[price_usd]]&gt;=40000,"Mid-Range","Budget"))</f>
        <v>Mid-Range</v>
      </c>
      <c r="AD1291" t="str">
        <f>IF(EV_Data4[[#This Row],[range_miles]]&gt;=350,"Long-Range",IF(EV_Data4[[#This Row],[range_miles]]&gt;=250,"Medium-Range","Short-Range"))</f>
        <v>Medium-Range</v>
      </c>
      <c r="AE1291" t="str">
        <f>IF(EV_Data4[[#This Row],[charging_speed_kw]]&gt;=250,"Ultra-Fast",IF(EV_Data4[[#This Row],[charging_speed_kw]]&gt;=150,"Fast-Charging","Standard-Charging"))</f>
        <v>Ultra-Fast</v>
      </c>
      <c r="AF1291" t="str">
        <f>IF(EV_Data4[[#This Row],[acceleration_0_60_mph]]&lt;=3,"SportsPerformance",IF(EV_Data4[[#This Row],[acceleration_0_60_mph]]&lt;=5,"HighPerformance","Standard"))</f>
        <v>Standard</v>
      </c>
      <c r="AG1291" t="str">
        <f>IF(EV_Data4[[#This Row],[customer_rating]]&gt;=4.5,"Excellent",IF(EV_Data4[[#This Row],[customer_rating]]&gt;=3.5,"Good","Average"))</f>
        <v>Good</v>
      </c>
      <c r="AH1291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292" spans="1:34" x14ac:dyDescent="0.3">
      <c r="A1292" t="s">
        <v>24</v>
      </c>
      <c r="B1292" t="s">
        <v>74</v>
      </c>
      <c r="C1292">
        <v>2025</v>
      </c>
      <c r="D1292" t="s">
        <v>56</v>
      </c>
      <c r="E1292" s="3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48</v>
      </c>
      <c r="N1292">
        <v>5</v>
      </c>
      <c r="O1292" t="s">
        <v>35</v>
      </c>
      <c r="P1292">
        <v>49</v>
      </c>
      <c r="Q1292">
        <v>2050</v>
      </c>
      <c r="R1292">
        <v>5</v>
      </c>
      <c r="S1292">
        <v>1</v>
      </c>
      <c r="T1292" t="s">
        <v>29</v>
      </c>
      <c r="U1292" t="s">
        <v>37</v>
      </c>
      <c r="V1292" s="3">
        <v>290748</v>
      </c>
      <c r="W1292">
        <v>3.43</v>
      </c>
      <c r="X1292">
        <v>3</v>
      </c>
      <c r="Y1292" s="1">
        <f>EV_Data4[[#This Row],[range_miles]]/EV_Data4[[#This Row],[battery_capacity_kwh]]</f>
        <v>3.5135135135135136</v>
      </c>
      <c r="Z1292" s="4">
        <f>EV_Data4[[#This Row],[price_usd]]/EV_Data4[[#This Row],[range_miles]]</f>
        <v>217.75242603550299</v>
      </c>
      <c r="AA1292" s="2">
        <f>(EV_Data4[[#This Row],[customer_rating]]*EV_Data4[[#This Row],[safety_rating]]*1000)/EV_Data4[[#This Row],[price_usd]]</f>
        <v>0.46603058247572843</v>
      </c>
      <c r="AB1292">
        <f>EV_Data4[[#This Row],[horsepower]]+EV_Data4[[#This Row],[torque_nm]]/EV_Data4[[#This Row],[acceleration_0_60_mph]]</f>
        <v>253.39717425431712</v>
      </c>
      <c r="AC1292" t="str">
        <f>IF(EV_Data4[[#This Row],[price_usd]]&gt;=80000,"Luxury",IF(EV_Data4[[#This Row],[price_usd]]&gt;=40000,"Mid-Range","Budget"))</f>
        <v>Budget</v>
      </c>
      <c r="AD1292" t="str">
        <f>IF(EV_Data4[[#This Row],[range_miles]]&gt;=350,"Long-Range",IF(EV_Data4[[#This Row],[range_miles]]&gt;=250,"Medium-Range","Short-Range"))</f>
        <v>Short-Range</v>
      </c>
      <c r="AE1292" t="str">
        <f>IF(EV_Data4[[#This Row],[charging_speed_kw]]&gt;=250,"Ultra-Fast",IF(EV_Data4[[#This Row],[charging_speed_kw]]&gt;=150,"Fast-Charging","Standard-Charging"))</f>
        <v>Standard-Charging</v>
      </c>
      <c r="AF1292" t="str">
        <f>IF(EV_Data4[[#This Row],[acceleration_0_60_mph]]&lt;=3,"SportsPerformance",IF(EV_Data4[[#This Row],[acceleration_0_60_mph]]&lt;=5,"HighPerformance","Standard"))</f>
        <v>Standard</v>
      </c>
      <c r="AG1292" t="str">
        <f>IF(EV_Data4[[#This Row],[customer_rating]]&gt;=4.5,"Excellent",IF(EV_Data4[[#This Row],[customer_rating]]&gt;=3.5,"Good","Average"))</f>
        <v>Average</v>
      </c>
      <c r="AH129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293" spans="1:34" x14ac:dyDescent="0.3">
      <c r="A1293" t="s">
        <v>46</v>
      </c>
      <c r="B1293" t="s">
        <v>49</v>
      </c>
      <c r="C1293">
        <v>2024</v>
      </c>
      <c r="D1293" t="s">
        <v>33</v>
      </c>
      <c r="E1293" s="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27</v>
      </c>
      <c r="N1293">
        <v>7</v>
      </c>
      <c r="O1293" t="s">
        <v>28</v>
      </c>
      <c r="P1293">
        <v>55.5</v>
      </c>
      <c r="Q1293">
        <v>2510</v>
      </c>
      <c r="R1293">
        <v>5</v>
      </c>
      <c r="S1293">
        <v>3</v>
      </c>
      <c r="T1293" t="s">
        <v>41</v>
      </c>
      <c r="U1293" t="s">
        <v>30</v>
      </c>
      <c r="V1293" s="3">
        <v>466326</v>
      </c>
      <c r="W1293">
        <v>4.26</v>
      </c>
      <c r="X1293">
        <v>5</v>
      </c>
      <c r="Y1293" s="1">
        <f>EV_Data4[[#This Row],[range_miles]]/EV_Data4[[#This Row],[battery_capacity_kwh]]</f>
        <v>3.452768729641694</v>
      </c>
      <c r="Z1293" s="4">
        <f>EV_Data4[[#This Row],[price_usd]]/EV_Data4[[#This Row],[range_miles]]</f>
        <v>784.54886792452828</v>
      </c>
      <c r="AA1293" s="2">
        <f>(EV_Data4[[#This Row],[customer_rating]]*EV_Data4[[#This Row],[safety_rating]]*1000)/EV_Data4[[#This Row],[price_usd]]</f>
        <v>0.12806302095495811</v>
      </c>
      <c r="AB1293">
        <f>EV_Data4[[#This Row],[horsepower]]+EV_Data4[[#This Row],[torque_nm]]/EV_Data4[[#This Row],[acceleration_0_60_mph]]</f>
        <v>1125.5720053835801</v>
      </c>
      <c r="AC1293" t="str">
        <f>IF(EV_Data4[[#This Row],[price_usd]]&gt;=80000,"Luxury",IF(EV_Data4[[#This Row],[price_usd]]&gt;=40000,"Mid-Range","Budget"))</f>
        <v>Luxury</v>
      </c>
      <c r="AD1293" t="str">
        <f>IF(EV_Data4[[#This Row],[range_miles]]&gt;=350,"Long-Range",IF(EV_Data4[[#This Row],[range_miles]]&gt;=250,"Medium-Range","Short-Range"))</f>
        <v>Short-Range</v>
      </c>
      <c r="AE1293" t="str">
        <f>IF(EV_Data4[[#This Row],[charging_speed_kw]]&gt;=250,"Ultra-Fast",IF(EV_Data4[[#This Row],[charging_speed_kw]]&gt;=150,"Fast-Charging","Standard-Charging"))</f>
        <v>Ultra-Fast</v>
      </c>
      <c r="AF1293" t="str">
        <f>IF(EV_Data4[[#This Row],[acceleration_0_60_mph]]&lt;=3,"SportsPerformance",IF(EV_Data4[[#This Row],[acceleration_0_60_mph]]&lt;=5,"HighPerformance","Standard"))</f>
        <v>Standard</v>
      </c>
      <c r="AG1293" t="str">
        <f>IF(EV_Data4[[#This Row],[customer_rating]]&gt;=4.5,"Excellent",IF(EV_Data4[[#This Row],[customer_rating]]&gt;=3.5,"Good","Average"))</f>
        <v>Good</v>
      </c>
      <c r="AH1293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294" spans="1:34" x14ac:dyDescent="0.3">
      <c r="A1294" t="s">
        <v>42</v>
      </c>
      <c r="B1294" t="s">
        <v>71</v>
      </c>
      <c r="C1294">
        <v>2024</v>
      </c>
      <c r="D1294" t="s">
        <v>56</v>
      </c>
      <c r="E1294" s="3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48</v>
      </c>
      <c r="N1294">
        <v>5</v>
      </c>
      <c r="O1294" t="s">
        <v>40</v>
      </c>
      <c r="P1294">
        <v>64.900000000000006</v>
      </c>
      <c r="Q1294">
        <v>1500</v>
      </c>
      <c r="R1294">
        <v>4</v>
      </c>
      <c r="S1294">
        <v>2</v>
      </c>
      <c r="T1294" t="s">
        <v>45</v>
      </c>
      <c r="U1294" t="s">
        <v>33</v>
      </c>
      <c r="V1294" s="3">
        <v>123890</v>
      </c>
      <c r="W1294">
        <v>3.66</v>
      </c>
      <c r="X1294">
        <v>3</v>
      </c>
      <c r="Y1294" s="1">
        <f>EV_Data4[[#This Row],[range_miles]]/EV_Data4[[#This Row],[battery_capacity_kwh]]</f>
        <v>3.779220779220779</v>
      </c>
      <c r="Z1294" s="4">
        <f>EV_Data4[[#This Row],[price_usd]]/EV_Data4[[#This Row],[range_miles]]</f>
        <v>246.88302405498283</v>
      </c>
      <c r="AA1294" s="2">
        <f>(EV_Data4[[#This Row],[customer_rating]]*EV_Data4[[#This Row],[safety_rating]]*1000)/EV_Data4[[#This Row],[price_usd]]</f>
        <v>0.2037777953469623</v>
      </c>
      <c r="AB1294">
        <f>EV_Data4[[#This Row],[horsepower]]+EV_Data4[[#This Row],[torque_nm]]/EV_Data4[[#This Row],[acceleration_0_60_mph]]</f>
        <v>949.50957854406124</v>
      </c>
      <c r="AC1294" t="str">
        <f>IF(EV_Data4[[#This Row],[price_usd]]&gt;=80000,"Luxury",IF(EV_Data4[[#This Row],[price_usd]]&gt;=40000,"Mid-Range","Budget"))</f>
        <v>Mid-Range</v>
      </c>
      <c r="AD1294" t="str">
        <f>IF(EV_Data4[[#This Row],[range_miles]]&gt;=350,"Long-Range",IF(EV_Data4[[#This Row],[range_miles]]&gt;=250,"Medium-Range","Short-Range"))</f>
        <v>Medium-Range</v>
      </c>
      <c r="AE1294" t="str">
        <f>IF(EV_Data4[[#This Row],[charging_speed_kw]]&gt;=250,"Ultra-Fast",IF(EV_Data4[[#This Row],[charging_speed_kw]]&gt;=150,"Fast-Charging","Standard-Charging"))</f>
        <v>Standard-Charging</v>
      </c>
      <c r="AF1294" t="str">
        <f>IF(EV_Data4[[#This Row],[acceleration_0_60_mph]]&lt;=3,"SportsPerformance",IF(EV_Data4[[#This Row],[acceleration_0_60_mph]]&lt;=5,"HighPerformance","Standard"))</f>
        <v>Standard</v>
      </c>
      <c r="AG1294" t="str">
        <f>IF(EV_Data4[[#This Row],[customer_rating]]&gt;=4.5,"Excellent",IF(EV_Data4[[#This Row],[customer_rating]]&gt;=3.5,"Good","Average"))</f>
        <v>Good</v>
      </c>
      <c r="AH129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95" spans="1:34" x14ac:dyDescent="0.3">
      <c r="A1295" t="s">
        <v>83</v>
      </c>
      <c r="B1295" t="s">
        <v>114</v>
      </c>
      <c r="C1295">
        <v>2024</v>
      </c>
      <c r="D1295" t="s">
        <v>44</v>
      </c>
      <c r="E1295" s="3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34</v>
      </c>
      <c r="N1295">
        <v>5</v>
      </c>
      <c r="O1295" t="s">
        <v>51</v>
      </c>
      <c r="P1295">
        <v>25</v>
      </c>
      <c r="Q1295">
        <v>1713</v>
      </c>
      <c r="R1295">
        <v>4</v>
      </c>
      <c r="S1295">
        <v>2</v>
      </c>
      <c r="T1295" t="s">
        <v>29</v>
      </c>
      <c r="U1295" t="s">
        <v>30</v>
      </c>
      <c r="V1295" s="3">
        <v>33138</v>
      </c>
      <c r="W1295">
        <v>3.49</v>
      </c>
      <c r="X1295">
        <v>7</v>
      </c>
      <c r="Y1295" s="1">
        <f>EV_Data4[[#This Row],[range_miles]]/EV_Data4[[#This Row],[battery_capacity_kwh]]</f>
        <v>3.4611398963730569</v>
      </c>
      <c r="Z1295" s="4">
        <f>EV_Data4[[#This Row],[price_usd]]/EV_Data4[[#This Row],[range_miles]]</f>
        <v>351.44464071856288</v>
      </c>
      <c r="AA1295" s="2">
        <f>(EV_Data4[[#This Row],[customer_rating]]*EV_Data4[[#This Row],[safety_rating]]*1000)/EV_Data4[[#This Row],[price_usd]]</f>
        <v>0.11892742794475941</v>
      </c>
      <c r="AB1295">
        <f>EV_Data4[[#This Row],[horsepower]]+EV_Data4[[#This Row],[torque_nm]]/EV_Data4[[#This Row],[acceleration_0_60_mph]]</f>
        <v>1174.9019607843138</v>
      </c>
      <c r="AC1295" t="str">
        <f>IF(EV_Data4[[#This Row],[price_usd]]&gt;=80000,"Luxury",IF(EV_Data4[[#This Row],[price_usd]]&gt;=40000,"Mid-Range","Budget"))</f>
        <v>Luxury</v>
      </c>
      <c r="AD1295" t="str">
        <f>IF(EV_Data4[[#This Row],[range_miles]]&gt;=350,"Long-Range",IF(EV_Data4[[#This Row],[range_miles]]&gt;=250,"Medium-Range","Short-Range"))</f>
        <v>Medium-Range</v>
      </c>
      <c r="AE1295" t="str">
        <f>IF(EV_Data4[[#This Row],[charging_speed_kw]]&gt;=250,"Ultra-Fast",IF(EV_Data4[[#This Row],[charging_speed_kw]]&gt;=150,"Fast-Charging","Standard-Charging"))</f>
        <v>Standard-Charging</v>
      </c>
      <c r="AF1295" t="str">
        <f>IF(EV_Data4[[#This Row],[acceleration_0_60_mph]]&lt;=3,"SportsPerformance",IF(EV_Data4[[#This Row],[acceleration_0_60_mph]]&lt;=5,"HighPerformance","Standard"))</f>
        <v>Standard</v>
      </c>
      <c r="AG1295" t="str">
        <f>IF(EV_Data4[[#This Row],[customer_rating]]&gt;=4.5,"Excellent",IF(EV_Data4[[#This Row],[customer_rating]]&gt;=3.5,"Good","Average"))</f>
        <v>Average</v>
      </c>
      <c r="AH129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96" spans="1:34" x14ac:dyDescent="0.3">
      <c r="A1296" t="s">
        <v>76</v>
      </c>
      <c r="B1296" t="s">
        <v>77</v>
      </c>
      <c r="C1296">
        <v>2024</v>
      </c>
      <c r="D1296" t="s">
        <v>56</v>
      </c>
      <c r="E1296" s="3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48</v>
      </c>
      <c r="N1296">
        <v>5</v>
      </c>
      <c r="O1296" t="s">
        <v>40</v>
      </c>
      <c r="P1296">
        <v>73.2</v>
      </c>
      <c r="Q1296">
        <v>1620</v>
      </c>
      <c r="R1296">
        <v>4</v>
      </c>
      <c r="S1296">
        <v>0</v>
      </c>
      <c r="T1296" t="s">
        <v>41</v>
      </c>
      <c r="U1296" t="s">
        <v>37</v>
      </c>
      <c r="V1296" s="3">
        <v>60684</v>
      </c>
      <c r="W1296">
        <v>3.43</v>
      </c>
      <c r="X1296">
        <v>4</v>
      </c>
      <c r="Y1296" s="1">
        <f>EV_Data4[[#This Row],[range_miles]]/EV_Data4[[#This Row],[battery_capacity_kwh]]</f>
        <v>3.3709449929478135</v>
      </c>
      <c r="Z1296" s="4">
        <f>EV_Data4[[#This Row],[price_usd]]/EV_Data4[[#This Row],[range_miles]]</f>
        <v>193.38899581589959</v>
      </c>
      <c r="AA1296" s="2">
        <f>(EV_Data4[[#This Row],[customer_rating]]*EV_Data4[[#This Row],[safety_rating]]*1000)/EV_Data4[[#This Row],[price_usd]]</f>
        <v>0.29684138695892703</v>
      </c>
      <c r="AB1296">
        <f>EV_Data4[[#This Row],[horsepower]]+EV_Data4[[#This Row],[torque_nm]]/EV_Data4[[#This Row],[acceleration_0_60_mph]]</f>
        <v>434.55414012738856</v>
      </c>
      <c r="AC1296" t="str">
        <f>IF(EV_Data4[[#This Row],[price_usd]]&gt;=80000,"Luxury",IF(EV_Data4[[#This Row],[price_usd]]&gt;=40000,"Mid-Range","Budget"))</f>
        <v>Mid-Range</v>
      </c>
      <c r="AD1296" t="str">
        <f>IF(EV_Data4[[#This Row],[range_miles]]&gt;=350,"Long-Range",IF(EV_Data4[[#This Row],[range_miles]]&gt;=250,"Medium-Range","Short-Range"))</f>
        <v>Short-Range</v>
      </c>
      <c r="AE1296" t="str">
        <f>IF(EV_Data4[[#This Row],[charging_speed_kw]]&gt;=250,"Ultra-Fast",IF(EV_Data4[[#This Row],[charging_speed_kw]]&gt;=150,"Fast-Charging","Standard-Charging"))</f>
        <v>Standard-Charging</v>
      </c>
      <c r="AF1296" t="str">
        <f>IF(EV_Data4[[#This Row],[acceleration_0_60_mph]]&lt;=3,"SportsPerformance",IF(EV_Data4[[#This Row],[acceleration_0_60_mph]]&lt;=5,"HighPerformance","Standard"))</f>
        <v>Standard</v>
      </c>
      <c r="AG1296" t="str">
        <f>IF(EV_Data4[[#This Row],[customer_rating]]&gt;=4.5,"Excellent",IF(EV_Data4[[#This Row],[customer_rating]]&gt;=3.5,"Good","Average"))</f>
        <v>Average</v>
      </c>
      <c r="AH129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297" spans="1:34" x14ac:dyDescent="0.3">
      <c r="A1297" t="s">
        <v>46</v>
      </c>
      <c r="B1297" t="s">
        <v>57</v>
      </c>
      <c r="C1297">
        <v>2024</v>
      </c>
      <c r="D1297" t="s">
        <v>56</v>
      </c>
      <c r="E1297" s="3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27</v>
      </c>
      <c r="N1297">
        <v>7</v>
      </c>
      <c r="O1297" t="s">
        <v>35</v>
      </c>
      <c r="P1297">
        <v>51.3</v>
      </c>
      <c r="Q1297">
        <v>2004</v>
      </c>
      <c r="R1297">
        <v>4</v>
      </c>
      <c r="S1297">
        <v>2</v>
      </c>
      <c r="T1297" t="s">
        <v>41</v>
      </c>
      <c r="U1297" t="s">
        <v>66</v>
      </c>
      <c r="V1297" s="3">
        <v>195341</v>
      </c>
      <c r="W1297">
        <v>3.41</v>
      </c>
      <c r="X1297">
        <v>4</v>
      </c>
      <c r="Y1297" s="1">
        <f>EV_Data4[[#This Row],[range_miles]]/EV_Data4[[#This Row],[battery_capacity_kwh]]</f>
        <v>3.1297709923664123</v>
      </c>
      <c r="Z1297" s="4">
        <f>EV_Data4[[#This Row],[price_usd]]/EV_Data4[[#This Row],[range_miles]]</f>
        <v>180.72646341463414</v>
      </c>
      <c r="AA1297" s="2">
        <f>(EV_Data4[[#This Row],[customer_rating]]*EV_Data4[[#This Row],[safety_rating]]*1000)/EV_Data4[[#This Row],[price_usd]]</f>
        <v>0.46020228657106788</v>
      </c>
      <c r="AB1297">
        <f>EV_Data4[[#This Row],[horsepower]]+EV_Data4[[#This Row],[torque_nm]]/EV_Data4[[#This Row],[acceleration_0_60_mph]]</f>
        <v>193.96857670979668</v>
      </c>
      <c r="AC1297" t="str">
        <f>IF(EV_Data4[[#This Row],[price_usd]]&gt;=80000,"Luxury",IF(EV_Data4[[#This Row],[price_usd]]&gt;=40000,"Mid-Range","Budget"))</f>
        <v>Budget</v>
      </c>
      <c r="AD1297" t="str">
        <f>IF(EV_Data4[[#This Row],[range_miles]]&gt;=350,"Long-Range",IF(EV_Data4[[#This Row],[range_miles]]&gt;=250,"Medium-Range","Short-Range"))</f>
        <v>Short-Range</v>
      </c>
      <c r="AE1297" t="str">
        <f>IF(EV_Data4[[#This Row],[charging_speed_kw]]&gt;=250,"Ultra-Fast",IF(EV_Data4[[#This Row],[charging_speed_kw]]&gt;=150,"Fast-Charging","Standard-Charging"))</f>
        <v>Ultra-Fast</v>
      </c>
      <c r="AF1297" t="str">
        <f>IF(EV_Data4[[#This Row],[acceleration_0_60_mph]]&lt;=3,"SportsPerformance",IF(EV_Data4[[#This Row],[acceleration_0_60_mph]]&lt;=5,"HighPerformance","Standard"))</f>
        <v>Standard</v>
      </c>
      <c r="AG1297" t="str">
        <f>IF(EV_Data4[[#This Row],[customer_rating]]&gt;=4.5,"Excellent",IF(EV_Data4[[#This Row],[customer_rating]]&gt;=3.5,"Good","Average"))</f>
        <v>Average</v>
      </c>
      <c r="AH129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98" spans="1:34" x14ac:dyDescent="0.3">
      <c r="A1298" t="s">
        <v>46</v>
      </c>
      <c r="B1298" t="s">
        <v>72</v>
      </c>
      <c r="C1298">
        <v>2025</v>
      </c>
      <c r="D1298" t="s">
        <v>33</v>
      </c>
      <c r="E1298" s="3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48</v>
      </c>
      <c r="N1298">
        <v>7</v>
      </c>
      <c r="O1298" t="s">
        <v>28</v>
      </c>
      <c r="P1298">
        <v>69</v>
      </c>
      <c r="Q1298">
        <v>2412</v>
      </c>
      <c r="R1298">
        <v>5</v>
      </c>
      <c r="S1298">
        <v>2</v>
      </c>
      <c r="T1298" t="s">
        <v>41</v>
      </c>
      <c r="U1298" t="s">
        <v>33</v>
      </c>
      <c r="V1298" s="3">
        <v>146854</v>
      </c>
      <c r="W1298">
        <v>3.53</v>
      </c>
      <c r="X1298">
        <v>5</v>
      </c>
      <c r="Y1298" s="1">
        <f>EV_Data4[[#This Row],[range_miles]]/EV_Data4[[#This Row],[battery_capacity_kwh]]</f>
        <v>2.807017543859649</v>
      </c>
      <c r="Z1298" s="4">
        <f>EV_Data4[[#This Row],[price_usd]]/EV_Data4[[#This Row],[range_miles]]</f>
        <v>426.96755208333337</v>
      </c>
      <c r="AA1298" s="2">
        <f>(EV_Data4[[#This Row],[customer_rating]]*EV_Data4[[#This Row],[safety_rating]]*1000)/EV_Data4[[#This Row],[price_usd]]</f>
        <v>0.21530227035939131</v>
      </c>
      <c r="AB1298">
        <f>EV_Data4[[#This Row],[horsepower]]+EV_Data4[[#This Row],[torque_nm]]/EV_Data4[[#This Row],[acceleration_0_60_mph]]</f>
        <v>666.56989247311833</v>
      </c>
      <c r="AC1298" t="str">
        <f>IF(EV_Data4[[#This Row],[price_usd]]&gt;=80000,"Luxury",IF(EV_Data4[[#This Row],[price_usd]]&gt;=40000,"Mid-Range","Budget"))</f>
        <v>Luxury</v>
      </c>
      <c r="AD1298" t="str">
        <f>IF(EV_Data4[[#This Row],[range_miles]]&gt;=350,"Long-Range",IF(EV_Data4[[#This Row],[range_miles]]&gt;=250,"Medium-Range","Short-Range"))</f>
        <v>Short-Range</v>
      </c>
      <c r="AE1298" t="str">
        <f>IF(EV_Data4[[#This Row],[charging_speed_kw]]&gt;=250,"Ultra-Fast",IF(EV_Data4[[#This Row],[charging_speed_kw]]&gt;=150,"Fast-Charging","Standard-Charging"))</f>
        <v>Ultra-Fast</v>
      </c>
      <c r="AF1298" t="str">
        <f>IF(EV_Data4[[#This Row],[acceleration_0_60_mph]]&lt;=3,"SportsPerformance",IF(EV_Data4[[#This Row],[acceleration_0_60_mph]]&lt;=5,"HighPerformance","Standard"))</f>
        <v>Standard</v>
      </c>
      <c r="AG1298" t="str">
        <f>IF(EV_Data4[[#This Row],[customer_rating]]&gt;=4.5,"Excellent",IF(EV_Data4[[#This Row],[customer_rating]]&gt;=3.5,"Good","Average"))</f>
        <v>Good</v>
      </c>
      <c r="AH129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299" spans="1:34" x14ac:dyDescent="0.3">
      <c r="A1299" t="s">
        <v>46</v>
      </c>
      <c r="B1299" t="s">
        <v>57</v>
      </c>
      <c r="C1299">
        <v>2025</v>
      </c>
      <c r="D1299" t="s">
        <v>26</v>
      </c>
      <c r="E1299" s="3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48</v>
      </c>
      <c r="N1299">
        <v>7</v>
      </c>
      <c r="O1299" t="s">
        <v>35</v>
      </c>
      <c r="P1299">
        <v>65.900000000000006</v>
      </c>
      <c r="Q1299">
        <v>2014</v>
      </c>
      <c r="R1299">
        <v>4</v>
      </c>
      <c r="S1299">
        <v>3</v>
      </c>
      <c r="T1299" t="s">
        <v>41</v>
      </c>
      <c r="U1299" t="s">
        <v>33</v>
      </c>
      <c r="V1299" s="3">
        <v>235320</v>
      </c>
      <c r="W1299">
        <v>4.03</v>
      </c>
      <c r="X1299">
        <v>6</v>
      </c>
      <c r="Y1299" s="1">
        <f>EV_Data4[[#This Row],[range_miles]]/EV_Data4[[#This Row],[battery_capacity_kwh]]</f>
        <v>3.2379248658318427</v>
      </c>
      <c r="Z1299" s="4">
        <f>EV_Data4[[#This Row],[price_usd]]/EV_Data4[[#This Row],[range_miles]]</f>
        <v>261.43955801104971</v>
      </c>
      <c r="AA1299" s="2">
        <f>(EV_Data4[[#This Row],[customer_rating]]*EV_Data4[[#This Row],[safety_rating]]*1000)/EV_Data4[[#This Row],[price_usd]]</f>
        <v>0.17032765461778138</v>
      </c>
      <c r="AB1299">
        <f>EV_Data4[[#This Row],[horsepower]]+EV_Data4[[#This Row],[torque_nm]]/EV_Data4[[#This Row],[acceleration_0_60_mph]]</f>
        <v>808.14569536423846</v>
      </c>
      <c r="AC1299" t="str">
        <f>IF(EV_Data4[[#This Row],[price_usd]]&gt;=80000,"Luxury",IF(EV_Data4[[#This Row],[price_usd]]&gt;=40000,"Mid-Range","Budget"))</f>
        <v>Luxury</v>
      </c>
      <c r="AD1299" t="str">
        <f>IF(EV_Data4[[#This Row],[range_miles]]&gt;=350,"Long-Range",IF(EV_Data4[[#This Row],[range_miles]]&gt;=250,"Medium-Range","Short-Range"))</f>
        <v>Long-Range</v>
      </c>
      <c r="AE1299" t="str">
        <f>IF(EV_Data4[[#This Row],[charging_speed_kw]]&gt;=250,"Ultra-Fast",IF(EV_Data4[[#This Row],[charging_speed_kw]]&gt;=150,"Fast-Charging","Standard-Charging"))</f>
        <v>Ultra-Fast</v>
      </c>
      <c r="AF1299" t="str">
        <f>IF(EV_Data4[[#This Row],[acceleration_0_60_mph]]&lt;=3,"SportsPerformance",IF(EV_Data4[[#This Row],[acceleration_0_60_mph]]&lt;=5,"HighPerformance","Standard"))</f>
        <v>HighPerformance</v>
      </c>
      <c r="AG1299" t="str">
        <f>IF(EV_Data4[[#This Row],[customer_rating]]&gt;=4.5,"Excellent",IF(EV_Data4[[#This Row],[customer_rating]]&gt;=3.5,"Good","Average"))</f>
        <v>Good</v>
      </c>
      <c r="AH1299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300" spans="1:34" x14ac:dyDescent="0.3">
      <c r="A1300" t="s">
        <v>83</v>
      </c>
      <c r="B1300" t="s">
        <v>89</v>
      </c>
      <c r="C1300">
        <v>2023</v>
      </c>
      <c r="D1300" t="s">
        <v>44</v>
      </c>
      <c r="E1300" s="3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27</v>
      </c>
      <c r="N1300">
        <v>5</v>
      </c>
      <c r="O1300" t="s">
        <v>50</v>
      </c>
      <c r="P1300">
        <v>33.9</v>
      </c>
      <c r="Q1300">
        <v>1537</v>
      </c>
      <c r="R1300">
        <v>4</v>
      </c>
      <c r="S1300">
        <v>1</v>
      </c>
      <c r="T1300" t="s">
        <v>29</v>
      </c>
      <c r="U1300" t="s">
        <v>30</v>
      </c>
      <c r="V1300" s="3">
        <v>31347</v>
      </c>
      <c r="W1300">
        <v>3.49</v>
      </c>
      <c r="X1300">
        <v>7</v>
      </c>
      <c r="Y1300" s="1">
        <f>EV_Data4[[#This Row],[range_miles]]/EV_Data4[[#This Row],[battery_capacity_kwh]]</f>
        <v>3.6580882352941178</v>
      </c>
      <c r="Z1300" s="4">
        <f>EV_Data4[[#This Row],[price_usd]]/EV_Data4[[#This Row],[range_miles]]</f>
        <v>284.51713567839198</v>
      </c>
      <c r="AA1300" s="2">
        <f>(EV_Data4[[#This Row],[customer_rating]]*EV_Data4[[#This Row],[safety_rating]]*1000)/EV_Data4[[#This Row],[price_usd]]</f>
        <v>0.12328036693041246</v>
      </c>
      <c r="AB1300">
        <f>EV_Data4[[#This Row],[horsepower]]+EV_Data4[[#This Row],[torque_nm]]/EV_Data4[[#This Row],[acceleration_0_60_mph]]</f>
        <v>1157.2062256809338</v>
      </c>
      <c r="AC1300" t="str">
        <f>IF(EV_Data4[[#This Row],[price_usd]]&gt;=80000,"Luxury",IF(EV_Data4[[#This Row],[price_usd]]&gt;=40000,"Mid-Range","Budget"))</f>
        <v>Luxury</v>
      </c>
      <c r="AD1300" t="str">
        <f>IF(EV_Data4[[#This Row],[range_miles]]&gt;=350,"Long-Range",IF(EV_Data4[[#This Row],[range_miles]]&gt;=250,"Medium-Range","Short-Range"))</f>
        <v>Long-Range</v>
      </c>
      <c r="AE1300" t="str">
        <f>IF(EV_Data4[[#This Row],[charging_speed_kw]]&gt;=250,"Ultra-Fast",IF(EV_Data4[[#This Row],[charging_speed_kw]]&gt;=150,"Fast-Charging","Standard-Charging"))</f>
        <v>Standard-Charging</v>
      </c>
      <c r="AF1300" t="str">
        <f>IF(EV_Data4[[#This Row],[acceleration_0_60_mph]]&lt;=3,"SportsPerformance",IF(EV_Data4[[#This Row],[acceleration_0_60_mph]]&lt;=5,"HighPerformance","Standard"))</f>
        <v>Standard</v>
      </c>
      <c r="AG1300" t="str">
        <f>IF(EV_Data4[[#This Row],[customer_rating]]&gt;=4.5,"Excellent",IF(EV_Data4[[#This Row],[customer_rating]]&gt;=3.5,"Good","Average"))</f>
        <v>Average</v>
      </c>
      <c r="AH130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01" spans="1:34" x14ac:dyDescent="0.3">
      <c r="A1301" t="s">
        <v>38</v>
      </c>
      <c r="B1301" t="s">
        <v>39</v>
      </c>
      <c r="C1301">
        <v>2024</v>
      </c>
      <c r="D1301" t="s">
        <v>44</v>
      </c>
      <c r="E1301" s="3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27</v>
      </c>
      <c r="N1301">
        <v>7</v>
      </c>
      <c r="O1301" t="s">
        <v>28</v>
      </c>
      <c r="P1301">
        <v>59.3</v>
      </c>
      <c r="Q1301">
        <v>2412</v>
      </c>
      <c r="R1301">
        <v>4</v>
      </c>
      <c r="S1301">
        <v>0</v>
      </c>
      <c r="T1301" t="s">
        <v>41</v>
      </c>
      <c r="U1301" t="s">
        <v>37</v>
      </c>
      <c r="V1301" s="3">
        <v>28209</v>
      </c>
      <c r="W1301">
        <v>3.6</v>
      </c>
      <c r="X1301">
        <v>4</v>
      </c>
      <c r="Y1301" s="1">
        <f>EV_Data4[[#This Row],[range_miles]]/EV_Data4[[#This Row],[battery_capacity_kwh]]</f>
        <v>3.3496332518337408</v>
      </c>
      <c r="Z1301" s="4">
        <f>EV_Data4[[#This Row],[price_usd]]/EV_Data4[[#This Row],[range_miles]]</f>
        <v>150.92437956204378</v>
      </c>
      <c r="AA1301" s="2">
        <f>(EV_Data4[[#This Row],[customer_rating]]*EV_Data4[[#This Row],[safety_rating]]*1000)/EV_Data4[[#This Row],[price_usd]]</f>
        <v>0.34821905299893985</v>
      </c>
      <c r="AB1301">
        <f>EV_Data4[[#This Row],[horsepower]]+EV_Data4[[#This Row],[torque_nm]]/EV_Data4[[#This Row],[acceleration_0_60_mph]]</f>
        <v>533.48936170212767</v>
      </c>
      <c r="AC1301" t="str">
        <f>IF(EV_Data4[[#This Row],[price_usd]]&gt;=80000,"Luxury",IF(EV_Data4[[#This Row],[price_usd]]&gt;=40000,"Mid-Range","Budget"))</f>
        <v>Mid-Range</v>
      </c>
      <c r="AD1301" t="str">
        <f>IF(EV_Data4[[#This Row],[range_miles]]&gt;=350,"Long-Range",IF(EV_Data4[[#This Row],[range_miles]]&gt;=250,"Medium-Range","Short-Range"))</f>
        <v>Medium-Range</v>
      </c>
      <c r="AE1301" t="str">
        <f>IF(EV_Data4[[#This Row],[charging_speed_kw]]&gt;=250,"Ultra-Fast",IF(EV_Data4[[#This Row],[charging_speed_kw]]&gt;=150,"Fast-Charging","Standard-Charging"))</f>
        <v>Standard-Charging</v>
      </c>
      <c r="AF1301" t="str">
        <f>IF(EV_Data4[[#This Row],[acceleration_0_60_mph]]&lt;=3,"SportsPerformance",IF(EV_Data4[[#This Row],[acceleration_0_60_mph]]&lt;=5,"HighPerformance","Standard"))</f>
        <v>HighPerformance</v>
      </c>
      <c r="AG1301" t="str">
        <f>IF(EV_Data4[[#This Row],[customer_rating]]&gt;=4.5,"Excellent",IF(EV_Data4[[#This Row],[customer_rating]]&gt;=3.5,"Good","Average"))</f>
        <v>Good</v>
      </c>
      <c r="AH130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02" spans="1:34" x14ac:dyDescent="0.3">
      <c r="A1302" t="s">
        <v>46</v>
      </c>
      <c r="B1302" t="s">
        <v>49</v>
      </c>
      <c r="C1302">
        <v>2021</v>
      </c>
      <c r="D1302" t="s">
        <v>61</v>
      </c>
      <c r="E1302" s="3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48</v>
      </c>
      <c r="N1302">
        <v>5</v>
      </c>
      <c r="O1302" t="s">
        <v>58</v>
      </c>
      <c r="P1302">
        <v>34.700000000000003</v>
      </c>
      <c r="Q1302">
        <v>1669</v>
      </c>
      <c r="R1302">
        <v>5</v>
      </c>
      <c r="S1302">
        <v>2</v>
      </c>
      <c r="T1302" t="s">
        <v>41</v>
      </c>
      <c r="U1302" t="s">
        <v>30</v>
      </c>
      <c r="V1302" s="3">
        <v>458264</v>
      </c>
      <c r="W1302">
        <v>3.95</v>
      </c>
      <c r="X1302">
        <v>6</v>
      </c>
      <c r="Y1302" s="1">
        <f>EV_Data4[[#This Row],[range_miles]]/EV_Data4[[#This Row],[battery_capacity_kwh]]</f>
        <v>3.494423791821561</v>
      </c>
      <c r="Z1302" s="4">
        <f>EV_Data4[[#This Row],[price_usd]]/EV_Data4[[#This Row],[range_miles]]</f>
        <v>413.35212765957448</v>
      </c>
      <c r="AA1302" s="2">
        <f>(EV_Data4[[#This Row],[customer_rating]]*EV_Data4[[#This Row],[safety_rating]]*1000)/EV_Data4[[#This Row],[price_usd]]</f>
        <v>0.16943292729482959</v>
      </c>
      <c r="AB1302">
        <f>EV_Data4[[#This Row],[horsepower]]+EV_Data4[[#This Row],[torque_nm]]/EV_Data4[[#This Row],[acceleration_0_60_mph]]</f>
        <v>910.64331210191085</v>
      </c>
      <c r="AC1302" t="str">
        <f>IF(EV_Data4[[#This Row],[price_usd]]&gt;=80000,"Luxury",IF(EV_Data4[[#This Row],[price_usd]]&gt;=40000,"Mid-Range","Budget"))</f>
        <v>Luxury</v>
      </c>
      <c r="AD1302" t="str">
        <f>IF(EV_Data4[[#This Row],[range_miles]]&gt;=350,"Long-Range",IF(EV_Data4[[#This Row],[range_miles]]&gt;=250,"Medium-Range","Short-Range"))</f>
        <v>Medium-Range</v>
      </c>
      <c r="AE1302" t="str">
        <f>IF(EV_Data4[[#This Row],[charging_speed_kw]]&gt;=250,"Ultra-Fast",IF(EV_Data4[[#This Row],[charging_speed_kw]]&gt;=150,"Fast-Charging","Standard-Charging"))</f>
        <v>Ultra-Fast</v>
      </c>
      <c r="AF1302" t="str">
        <f>IF(EV_Data4[[#This Row],[acceleration_0_60_mph]]&lt;=3,"SportsPerformance",IF(EV_Data4[[#This Row],[acceleration_0_60_mph]]&lt;=5,"HighPerformance","Standard"))</f>
        <v>Standard</v>
      </c>
      <c r="AG1302" t="str">
        <f>IF(EV_Data4[[#This Row],[customer_rating]]&gt;=4.5,"Excellent",IF(EV_Data4[[#This Row],[customer_rating]]&gt;=3.5,"Good","Average"))</f>
        <v>Good</v>
      </c>
      <c r="AH130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03" spans="1:34" x14ac:dyDescent="0.3">
      <c r="A1303" t="s">
        <v>92</v>
      </c>
      <c r="B1303" t="s">
        <v>127</v>
      </c>
      <c r="C1303">
        <v>2025</v>
      </c>
      <c r="D1303" t="s">
        <v>61</v>
      </c>
      <c r="E1303" s="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48</v>
      </c>
      <c r="N1303">
        <v>7</v>
      </c>
      <c r="O1303" t="s">
        <v>51</v>
      </c>
      <c r="P1303">
        <v>25.4</v>
      </c>
      <c r="Q1303">
        <v>1732</v>
      </c>
      <c r="R1303">
        <v>4</v>
      </c>
      <c r="S1303">
        <v>1</v>
      </c>
      <c r="T1303" t="s">
        <v>65</v>
      </c>
      <c r="U1303" t="s">
        <v>33</v>
      </c>
      <c r="V1303" s="3">
        <v>11643</v>
      </c>
      <c r="W1303">
        <v>3.03</v>
      </c>
      <c r="X1303">
        <v>4</v>
      </c>
      <c r="Y1303" s="1">
        <f>EV_Data4[[#This Row],[range_miles]]/EV_Data4[[#This Row],[battery_capacity_kwh]]</f>
        <v>3.4455445544554455</v>
      </c>
      <c r="Z1303" s="4">
        <f>EV_Data4[[#This Row],[price_usd]]/EV_Data4[[#This Row],[range_miles]]</f>
        <v>419.99982758620689</v>
      </c>
      <c r="AA1303" s="2">
        <f>(EV_Data4[[#This Row],[customer_rating]]*EV_Data4[[#This Row],[safety_rating]]*1000)/EV_Data4[[#This Row],[price_usd]]</f>
        <v>0.16584571668543377</v>
      </c>
      <c r="AB1303">
        <f>EV_Data4[[#This Row],[horsepower]]+EV_Data4[[#This Row],[torque_nm]]/EV_Data4[[#This Row],[acceleration_0_60_mph]]</f>
        <v>689.15629742033389</v>
      </c>
      <c r="AC1303" t="str">
        <f>IF(EV_Data4[[#This Row],[price_usd]]&gt;=80000,"Luxury",IF(EV_Data4[[#This Row],[price_usd]]&gt;=40000,"Mid-Range","Budget"))</f>
        <v>Mid-Range</v>
      </c>
      <c r="AD1303" t="str">
        <f>IF(EV_Data4[[#This Row],[range_miles]]&gt;=350,"Long-Range",IF(EV_Data4[[#This Row],[range_miles]]&gt;=250,"Medium-Range","Short-Range"))</f>
        <v>Short-Range</v>
      </c>
      <c r="AE1303" t="str">
        <f>IF(EV_Data4[[#This Row],[charging_speed_kw]]&gt;=250,"Ultra-Fast",IF(EV_Data4[[#This Row],[charging_speed_kw]]&gt;=150,"Fast-Charging","Standard-Charging"))</f>
        <v>Standard-Charging</v>
      </c>
      <c r="AF1303" t="str">
        <f>IF(EV_Data4[[#This Row],[acceleration_0_60_mph]]&lt;=3,"SportsPerformance",IF(EV_Data4[[#This Row],[acceleration_0_60_mph]]&lt;=5,"HighPerformance","Standard"))</f>
        <v>Standard</v>
      </c>
      <c r="AG1303" t="str">
        <f>IF(EV_Data4[[#This Row],[customer_rating]]&gt;=4.5,"Excellent",IF(EV_Data4[[#This Row],[customer_rating]]&gt;=3.5,"Good","Average"))</f>
        <v>Average</v>
      </c>
      <c r="AH130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04" spans="1:34" x14ac:dyDescent="0.3">
      <c r="A1304" t="s">
        <v>46</v>
      </c>
      <c r="B1304" t="s">
        <v>57</v>
      </c>
      <c r="C1304">
        <v>2025</v>
      </c>
      <c r="D1304" t="s">
        <v>56</v>
      </c>
      <c r="E1304" s="3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34</v>
      </c>
      <c r="N1304">
        <v>5</v>
      </c>
      <c r="O1304" t="s">
        <v>51</v>
      </c>
      <c r="P1304">
        <v>19.8</v>
      </c>
      <c r="Q1304">
        <v>1727</v>
      </c>
      <c r="R1304">
        <v>5</v>
      </c>
      <c r="S1304">
        <v>3</v>
      </c>
      <c r="T1304" t="s">
        <v>41</v>
      </c>
      <c r="U1304" t="s">
        <v>30</v>
      </c>
      <c r="V1304" s="3">
        <v>178229</v>
      </c>
      <c r="W1304">
        <v>3.58</v>
      </c>
      <c r="X1304">
        <v>5</v>
      </c>
      <c r="Y1304" s="1">
        <f>EV_Data4[[#This Row],[range_miles]]/EV_Data4[[#This Row],[battery_capacity_kwh]]</f>
        <v>3.182711198428291</v>
      </c>
      <c r="Z1304" s="4">
        <f>EV_Data4[[#This Row],[price_usd]]/EV_Data4[[#This Row],[range_miles]]</f>
        <v>660.44925925925929</v>
      </c>
      <c r="AA1304" s="2">
        <f>(EV_Data4[[#This Row],[customer_rating]]*EV_Data4[[#This Row],[safety_rating]]*1000)/EV_Data4[[#This Row],[price_usd]]</f>
        <v>0.1673010085353423</v>
      </c>
      <c r="AB1304">
        <f>EV_Data4[[#This Row],[horsepower]]+EV_Data4[[#This Row],[torque_nm]]/EV_Data4[[#This Row],[acceleration_0_60_mph]]</f>
        <v>927.61198738170344</v>
      </c>
      <c r="AC1304" t="str">
        <f>IF(EV_Data4[[#This Row],[price_usd]]&gt;=80000,"Luxury",IF(EV_Data4[[#This Row],[price_usd]]&gt;=40000,"Mid-Range","Budget"))</f>
        <v>Luxury</v>
      </c>
      <c r="AD1304" t="str">
        <f>IF(EV_Data4[[#This Row],[range_miles]]&gt;=350,"Long-Range",IF(EV_Data4[[#This Row],[range_miles]]&gt;=250,"Medium-Range","Short-Range"))</f>
        <v>Short-Range</v>
      </c>
      <c r="AE1304" t="str">
        <f>IF(EV_Data4[[#This Row],[charging_speed_kw]]&gt;=250,"Ultra-Fast",IF(EV_Data4[[#This Row],[charging_speed_kw]]&gt;=150,"Fast-Charging","Standard-Charging"))</f>
        <v>Fast-Charging</v>
      </c>
      <c r="AF1304" t="str">
        <f>IF(EV_Data4[[#This Row],[acceleration_0_60_mph]]&lt;=3,"SportsPerformance",IF(EV_Data4[[#This Row],[acceleration_0_60_mph]]&lt;=5,"HighPerformance","Standard"))</f>
        <v>Standard</v>
      </c>
      <c r="AG1304" t="str">
        <f>IF(EV_Data4[[#This Row],[customer_rating]]&gt;=4.5,"Excellent",IF(EV_Data4[[#This Row],[customer_rating]]&gt;=3.5,"Good","Average"))</f>
        <v>Good</v>
      </c>
      <c r="AH130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305" spans="1:34" x14ac:dyDescent="0.3">
      <c r="A1305" t="s">
        <v>42</v>
      </c>
      <c r="B1305" t="s">
        <v>54</v>
      </c>
      <c r="C1305">
        <v>2024</v>
      </c>
      <c r="D1305" t="s">
        <v>61</v>
      </c>
      <c r="E1305" s="3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34</v>
      </c>
      <c r="N1305">
        <v>5</v>
      </c>
      <c r="O1305" t="s">
        <v>40</v>
      </c>
      <c r="P1305">
        <v>64.7</v>
      </c>
      <c r="Q1305">
        <v>1500</v>
      </c>
      <c r="R1305">
        <v>5</v>
      </c>
      <c r="S1305">
        <v>0</v>
      </c>
      <c r="T1305" t="s">
        <v>45</v>
      </c>
      <c r="U1305" t="s">
        <v>37</v>
      </c>
      <c r="V1305" s="3">
        <v>90341</v>
      </c>
      <c r="W1305">
        <v>3.35</v>
      </c>
      <c r="X1305">
        <v>4</v>
      </c>
      <c r="Y1305" s="1">
        <f>EV_Data4[[#This Row],[range_miles]]/EV_Data4[[#This Row],[battery_capacity_kwh]]</f>
        <v>3.7037037037037037</v>
      </c>
      <c r="Z1305" s="4">
        <f>EV_Data4[[#This Row],[price_usd]]/EV_Data4[[#This Row],[range_miles]]</f>
        <v>282.12373333333329</v>
      </c>
      <c r="AA1305" s="2">
        <f>(EV_Data4[[#This Row],[customer_rating]]*EV_Data4[[#This Row],[safety_rating]]*1000)/EV_Data4[[#This Row],[price_usd]]</f>
        <v>0.39580741877795467</v>
      </c>
      <c r="AB1305">
        <f>EV_Data4[[#This Row],[horsepower]]+EV_Data4[[#This Row],[torque_nm]]/EV_Data4[[#This Row],[acceleration_0_60_mph]]</f>
        <v>431.297213622291</v>
      </c>
      <c r="AC1305" t="str">
        <f>IF(EV_Data4[[#This Row],[price_usd]]&gt;=80000,"Luxury",IF(EV_Data4[[#This Row],[price_usd]]&gt;=40000,"Mid-Range","Budget"))</f>
        <v>Mid-Range</v>
      </c>
      <c r="AD1305" t="str">
        <f>IF(EV_Data4[[#This Row],[range_miles]]&gt;=350,"Long-Range",IF(EV_Data4[[#This Row],[range_miles]]&gt;=250,"Medium-Range","Short-Range"))</f>
        <v>Short-Range</v>
      </c>
      <c r="AE1305" t="str">
        <f>IF(EV_Data4[[#This Row],[charging_speed_kw]]&gt;=250,"Ultra-Fast",IF(EV_Data4[[#This Row],[charging_speed_kw]]&gt;=150,"Fast-Charging","Standard-Charging"))</f>
        <v>Standard-Charging</v>
      </c>
      <c r="AF1305" t="str">
        <f>IF(EV_Data4[[#This Row],[acceleration_0_60_mph]]&lt;=3,"SportsPerformance",IF(EV_Data4[[#This Row],[acceleration_0_60_mph]]&lt;=5,"HighPerformance","Standard"))</f>
        <v>Standard</v>
      </c>
      <c r="AG1305" t="str">
        <f>IF(EV_Data4[[#This Row],[customer_rating]]&gt;=4.5,"Excellent",IF(EV_Data4[[#This Row],[customer_rating]]&gt;=3.5,"Good","Average"))</f>
        <v>Average</v>
      </c>
      <c r="AH130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06" spans="1:34" x14ac:dyDescent="0.3">
      <c r="A1306" t="s">
        <v>38</v>
      </c>
      <c r="B1306" t="s">
        <v>101</v>
      </c>
      <c r="C1306">
        <v>2025</v>
      </c>
      <c r="D1306" t="s">
        <v>44</v>
      </c>
      <c r="E1306" s="3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27</v>
      </c>
      <c r="N1306">
        <v>5</v>
      </c>
      <c r="O1306" t="s">
        <v>51</v>
      </c>
      <c r="P1306">
        <v>21.8</v>
      </c>
      <c r="Q1306">
        <v>1582</v>
      </c>
      <c r="R1306">
        <v>5</v>
      </c>
      <c r="S1306">
        <v>2</v>
      </c>
      <c r="T1306" t="s">
        <v>41</v>
      </c>
      <c r="U1306" t="s">
        <v>37</v>
      </c>
      <c r="V1306" s="3">
        <v>28326</v>
      </c>
      <c r="W1306">
        <v>3.65</v>
      </c>
      <c r="X1306">
        <v>5</v>
      </c>
      <c r="Y1306" s="1">
        <f>EV_Data4[[#This Row],[range_miles]]/EV_Data4[[#This Row],[battery_capacity_kwh]]</f>
        <v>3.9182058047493404</v>
      </c>
      <c r="Z1306" s="4">
        <f>EV_Data4[[#This Row],[price_usd]]/EV_Data4[[#This Row],[range_miles]]</f>
        <v>174.96636363636364</v>
      </c>
      <c r="AA1306" s="2">
        <f>(EV_Data4[[#This Row],[customer_rating]]*EV_Data4[[#This Row],[safety_rating]]*1000)/EV_Data4[[#This Row],[price_usd]]</f>
        <v>0.35119785409451476</v>
      </c>
      <c r="AB1306">
        <f>EV_Data4[[#This Row],[horsepower]]+EV_Data4[[#This Row],[torque_nm]]/EV_Data4[[#This Row],[acceleration_0_60_mph]]</f>
        <v>664.80353634577602</v>
      </c>
      <c r="AC1306" t="str">
        <f>IF(EV_Data4[[#This Row],[price_usd]]&gt;=80000,"Luxury",IF(EV_Data4[[#This Row],[price_usd]]&gt;=40000,"Mid-Range","Budget"))</f>
        <v>Mid-Range</v>
      </c>
      <c r="AD1306" t="str">
        <f>IF(EV_Data4[[#This Row],[range_miles]]&gt;=350,"Long-Range",IF(EV_Data4[[#This Row],[range_miles]]&gt;=250,"Medium-Range","Short-Range"))</f>
        <v>Medium-Range</v>
      </c>
      <c r="AE1306" t="str">
        <f>IF(EV_Data4[[#This Row],[charging_speed_kw]]&gt;=250,"Ultra-Fast",IF(EV_Data4[[#This Row],[charging_speed_kw]]&gt;=150,"Fast-Charging","Standard-Charging"))</f>
        <v>Standard-Charging</v>
      </c>
      <c r="AF1306" t="str">
        <f>IF(EV_Data4[[#This Row],[acceleration_0_60_mph]]&lt;=3,"SportsPerformance",IF(EV_Data4[[#This Row],[acceleration_0_60_mph]]&lt;=5,"HighPerformance","Standard"))</f>
        <v>Standard</v>
      </c>
      <c r="AG1306" t="str">
        <f>IF(EV_Data4[[#This Row],[customer_rating]]&gt;=4.5,"Excellent",IF(EV_Data4[[#This Row],[customer_rating]]&gt;=3.5,"Good","Average"))</f>
        <v>Good</v>
      </c>
      <c r="AH130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07" spans="1:34" x14ac:dyDescent="0.3">
      <c r="A1307" t="s">
        <v>52</v>
      </c>
      <c r="B1307" t="s">
        <v>97</v>
      </c>
      <c r="C1307">
        <v>2025</v>
      </c>
      <c r="D1307" t="s">
        <v>44</v>
      </c>
      <c r="E1307" s="3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27</v>
      </c>
      <c r="N1307">
        <v>7</v>
      </c>
      <c r="O1307" t="s">
        <v>51</v>
      </c>
      <c r="P1307">
        <v>26.2</v>
      </c>
      <c r="Q1307">
        <v>1500</v>
      </c>
      <c r="R1307">
        <v>4</v>
      </c>
      <c r="S1307">
        <v>1</v>
      </c>
      <c r="T1307" t="s">
        <v>29</v>
      </c>
      <c r="U1307" t="s">
        <v>30</v>
      </c>
      <c r="V1307" s="3">
        <v>34019</v>
      </c>
      <c r="W1307">
        <v>4.25</v>
      </c>
      <c r="X1307">
        <v>6</v>
      </c>
      <c r="Y1307" s="1">
        <f>EV_Data4[[#This Row],[range_miles]]/EV_Data4[[#This Row],[battery_capacity_kwh]]</f>
        <v>3.2692307692307692</v>
      </c>
      <c r="Z1307" s="4">
        <f>EV_Data4[[#This Row],[price_usd]]/EV_Data4[[#This Row],[range_miles]]</f>
        <v>422.20417956656348</v>
      </c>
      <c r="AA1307" s="2">
        <f>(EV_Data4[[#This Row],[customer_rating]]*EV_Data4[[#This Row],[safety_rating]]*1000)/EV_Data4[[#This Row],[price_usd]]</f>
        <v>0.12465906661890512</v>
      </c>
      <c r="AB1307">
        <f>EV_Data4[[#This Row],[horsepower]]+EV_Data4[[#This Row],[torque_nm]]/EV_Data4[[#This Row],[acceleration_0_60_mph]]</f>
        <v>990.60377358490564</v>
      </c>
      <c r="AC1307" t="str">
        <f>IF(EV_Data4[[#This Row],[price_usd]]&gt;=80000,"Luxury",IF(EV_Data4[[#This Row],[price_usd]]&gt;=40000,"Mid-Range","Budget"))</f>
        <v>Luxury</v>
      </c>
      <c r="AD1307" t="str">
        <f>IF(EV_Data4[[#This Row],[range_miles]]&gt;=350,"Long-Range",IF(EV_Data4[[#This Row],[range_miles]]&gt;=250,"Medium-Range","Short-Range"))</f>
        <v>Medium-Range</v>
      </c>
      <c r="AE1307" t="str">
        <f>IF(EV_Data4[[#This Row],[charging_speed_kw]]&gt;=250,"Ultra-Fast",IF(EV_Data4[[#This Row],[charging_speed_kw]]&gt;=150,"Fast-Charging","Standard-Charging"))</f>
        <v>Standard-Charging</v>
      </c>
      <c r="AF1307" t="str">
        <f>IF(EV_Data4[[#This Row],[acceleration_0_60_mph]]&lt;=3,"SportsPerformance",IF(EV_Data4[[#This Row],[acceleration_0_60_mph]]&lt;=5,"HighPerformance","Standard"))</f>
        <v>HighPerformance</v>
      </c>
      <c r="AG1307" t="str">
        <f>IF(EV_Data4[[#This Row],[customer_rating]]&gt;=4.5,"Excellent",IF(EV_Data4[[#This Row],[customer_rating]]&gt;=3.5,"Good","Average"))</f>
        <v>Good</v>
      </c>
      <c r="AH130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08" spans="1:34" x14ac:dyDescent="0.3">
      <c r="A1308" t="s">
        <v>38</v>
      </c>
      <c r="B1308" t="s">
        <v>102</v>
      </c>
      <c r="C1308">
        <v>2023</v>
      </c>
      <c r="D1308" t="s">
        <v>44</v>
      </c>
      <c r="E1308" s="3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27</v>
      </c>
      <c r="N1308">
        <v>5</v>
      </c>
      <c r="O1308" t="s">
        <v>35</v>
      </c>
      <c r="P1308">
        <v>56.2</v>
      </c>
      <c r="Q1308">
        <v>1900</v>
      </c>
      <c r="R1308">
        <v>5</v>
      </c>
      <c r="S1308">
        <v>0</v>
      </c>
      <c r="T1308" t="s">
        <v>41</v>
      </c>
      <c r="U1308" t="s">
        <v>37</v>
      </c>
      <c r="V1308" s="3">
        <v>9605</v>
      </c>
      <c r="W1308">
        <v>3.25</v>
      </c>
      <c r="X1308">
        <v>5</v>
      </c>
      <c r="Y1308" s="1">
        <f>EV_Data4[[#This Row],[range_miles]]/EV_Data4[[#This Row],[battery_capacity_kwh]]</f>
        <v>3.4688691232528588</v>
      </c>
      <c r="Z1308" s="4">
        <f>EV_Data4[[#This Row],[price_usd]]/EV_Data4[[#This Row],[range_miles]]</f>
        <v>194.39098901098902</v>
      </c>
      <c r="AA1308" s="2">
        <f>(EV_Data4[[#This Row],[customer_rating]]*EV_Data4[[#This Row],[safety_rating]]*1000)/EV_Data4[[#This Row],[price_usd]]</f>
        <v>0.30620662936410398</v>
      </c>
      <c r="AB1308">
        <f>EV_Data4[[#This Row],[horsepower]]+EV_Data4[[#This Row],[torque_nm]]/EV_Data4[[#This Row],[acceleration_0_60_mph]]</f>
        <v>743.19148936170211</v>
      </c>
      <c r="AC1308" t="str">
        <f>IF(EV_Data4[[#This Row],[price_usd]]&gt;=80000,"Luxury",IF(EV_Data4[[#This Row],[price_usd]]&gt;=40000,"Mid-Range","Budget"))</f>
        <v>Mid-Range</v>
      </c>
      <c r="AD1308" t="str">
        <f>IF(EV_Data4[[#This Row],[range_miles]]&gt;=350,"Long-Range",IF(EV_Data4[[#This Row],[range_miles]]&gt;=250,"Medium-Range","Short-Range"))</f>
        <v>Medium-Range</v>
      </c>
      <c r="AE1308" t="str">
        <f>IF(EV_Data4[[#This Row],[charging_speed_kw]]&gt;=250,"Ultra-Fast",IF(EV_Data4[[#This Row],[charging_speed_kw]]&gt;=150,"Fast-Charging","Standard-Charging"))</f>
        <v>Standard-Charging</v>
      </c>
      <c r="AF1308" t="str">
        <f>IF(EV_Data4[[#This Row],[acceleration_0_60_mph]]&lt;=3,"SportsPerformance",IF(EV_Data4[[#This Row],[acceleration_0_60_mph]]&lt;=5,"HighPerformance","Standard"))</f>
        <v>HighPerformance</v>
      </c>
      <c r="AG1308" t="str">
        <f>IF(EV_Data4[[#This Row],[customer_rating]]&gt;=4.5,"Excellent",IF(EV_Data4[[#This Row],[customer_rating]]&gt;=3.5,"Good","Average"))</f>
        <v>Average</v>
      </c>
      <c r="AH130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09" spans="1:34" x14ac:dyDescent="0.3">
      <c r="A1309" t="s">
        <v>76</v>
      </c>
      <c r="B1309" t="s">
        <v>98</v>
      </c>
      <c r="C1309">
        <v>2025</v>
      </c>
      <c r="D1309" t="s">
        <v>56</v>
      </c>
      <c r="E1309" s="3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27</v>
      </c>
      <c r="N1309">
        <v>5</v>
      </c>
      <c r="O1309" t="s">
        <v>51</v>
      </c>
      <c r="P1309">
        <v>40</v>
      </c>
      <c r="Q1309">
        <v>1500</v>
      </c>
      <c r="R1309">
        <v>5</v>
      </c>
      <c r="S1309">
        <v>1</v>
      </c>
      <c r="T1309" t="s">
        <v>41</v>
      </c>
      <c r="U1309" t="s">
        <v>37</v>
      </c>
      <c r="V1309" s="3">
        <v>46977</v>
      </c>
      <c r="W1309">
        <v>3.32</v>
      </c>
      <c r="X1309">
        <v>5</v>
      </c>
      <c r="Y1309" s="1">
        <f>EV_Data4[[#This Row],[range_miles]]/EV_Data4[[#This Row],[battery_capacity_kwh]]</f>
        <v>3.8169257340241796</v>
      </c>
      <c r="Z1309" s="4">
        <f>EV_Data4[[#This Row],[price_usd]]/EV_Data4[[#This Row],[range_miles]]</f>
        <v>206.1391402714932</v>
      </c>
      <c r="AA1309" s="2">
        <f>(EV_Data4[[#This Row],[customer_rating]]*EV_Data4[[#This Row],[safety_rating]]*1000)/EV_Data4[[#This Row],[price_usd]]</f>
        <v>0.36438069001849333</v>
      </c>
      <c r="AB1309">
        <f>EV_Data4[[#This Row],[horsepower]]+EV_Data4[[#This Row],[torque_nm]]/EV_Data4[[#This Row],[acceleration_0_60_mph]]</f>
        <v>443.60377358490564</v>
      </c>
      <c r="AC1309" t="str">
        <f>IF(EV_Data4[[#This Row],[price_usd]]&gt;=80000,"Luxury",IF(EV_Data4[[#This Row],[price_usd]]&gt;=40000,"Mid-Range","Budget"))</f>
        <v>Mid-Range</v>
      </c>
      <c r="AD1309" t="str">
        <f>IF(EV_Data4[[#This Row],[range_miles]]&gt;=350,"Long-Range",IF(EV_Data4[[#This Row],[range_miles]]&gt;=250,"Medium-Range","Short-Range"))</f>
        <v>Short-Range</v>
      </c>
      <c r="AE1309" t="str">
        <f>IF(EV_Data4[[#This Row],[charging_speed_kw]]&gt;=250,"Ultra-Fast",IF(EV_Data4[[#This Row],[charging_speed_kw]]&gt;=150,"Fast-Charging","Standard-Charging"))</f>
        <v>Standard-Charging</v>
      </c>
      <c r="AF1309" t="str">
        <f>IF(EV_Data4[[#This Row],[acceleration_0_60_mph]]&lt;=3,"SportsPerformance",IF(EV_Data4[[#This Row],[acceleration_0_60_mph]]&lt;=5,"HighPerformance","Standard"))</f>
        <v>Standard</v>
      </c>
      <c r="AG1309" t="str">
        <f>IF(EV_Data4[[#This Row],[customer_rating]]&gt;=4.5,"Excellent",IF(EV_Data4[[#This Row],[customer_rating]]&gt;=3.5,"Good","Average"))</f>
        <v>Average</v>
      </c>
      <c r="AH130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10" spans="1:34" x14ac:dyDescent="0.3">
      <c r="A1310" t="s">
        <v>63</v>
      </c>
      <c r="B1310" t="s">
        <v>107</v>
      </c>
      <c r="C1310">
        <v>2022</v>
      </c>
      <c r="D1310" t="s">
        <v>56</v>
      </c>
      <c r="E1310" s="3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34</v>
      </c>
      <c r="N1310">
        <v>7</v>
      </c>
      <c r="O1310" t="s">
        <v>51</v>
      </c>
      <c r="P1310">
        <v>31.1</v>
      </c>
      <c r="Q1310">
        <v>1500</v>
      </c>
      <c r="R1310">
        <v>4</v>
      </c>
      <c r="S1310">
        <v>0</v>
      </c>
      <c r="T1310" t="s">
        <v>65</v>
      </c>
      <c r="U1310" t="s">
        <v>66</v>
      </c>
      <c r="V1310" s="3">
        <v>166519</v>
      </c>
      <c r="W1310">
        <v>3.3</v>
      </c>
      <c r="X1310">
        <v>4</v>
      </c>
      <c r="Y1310" s="1">
        <f>EV_Data4[[#This Row],[range_miles]]/EV_Data4[[#This Row],[battery_capacity_kwh]]</f>
        <v>3.7114845938375347</v>
      </c>
      <c r="Z1310" s="4">
        <f>EV_Data4[[#This Row],[price_usd]]/EV_Data4[[#This Row],[range_miles]]</f>
        <v>91.392981132075477</v>
      </c>
      <c r="AA1310" s="2">
        <f>(EV_Data4[[#This Row],[customer_rating]]*EV_Data4[[#This Row],[safety_rating]]*1000)/EV_Data4[[#This Row],[price_usd]]</f>
        <v>0.54502348142832491</v>
      </c>
      <c r="AB1310">
        <f>EV_Data4[[#This Row],[horsepower]]+EV_Data4[[#This Row],[torque_nm]]/EV_Data4[[#This Row],[acceleration_0_60_mph]]</f>
        <v>311.44444444444446</v>
      </c>
      <c r="AC1310" t="str">
        <f>IF(EV_Data4[[#This Row],[price_usd]]&gt;=80000,"Luxury",IF(EV_Data4[[#This Row],[price_usd]]&gt;=40000,"Mid-Range","Budget"))</f>
        <v>Budget</v>
      </c>
      <c r="AD1310" t="str">
        <f>IF(EV_Data4[[#This Row],[range_miles]]&gt;=350,"Long-Range",IF(EV_Data4[[#This Row],[range_miles]]&gt;=250,"Medium-Range","Short-Range"))</f>
        <v>Medium-Range</v>
      </c>
      <c r="AE1310" t="str">
        <f>IF(EV_Data4[[#This Row],[charging_speed_kw]]&gt;=250,"Ultra-Fast",IF(EV_Data4[[#This Row],[charging_speed_kw]]&gt;=150,"Fast-Charging","Standard-Charging"))</f>
        <v>Standard-Charging</v>
      </c>
      <c r="AF1310" t="str">
        <f>IF(EV_Data4[[#This Row],[acceleration_0_60_mph]]&lt;=3,"SportsPerformance",IF(EV_Data4[[#This Row],[acceleration_0_60_mph]]&lt;=5,"HighPerformance","Standard"))</f>
        <v>Standard</v>
      </c>
      <c r="AG1310" t="str">
        <f>IF(EV_Data4[[#This Row],[customer_rating]]&gt;=4.5,"Excellent",IF(EV_Data4[[#This Row],[customer_rating]]&gt;=3.5,"Good","Average"))</f>
        <v>Average</v>
      </c>
      <c r="AH131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11" spans="1:34" x14ac:dyDescent="0.3">
      <c r="A1311" t="s">
        <v>76</v>
      </c>
      <c r="B1311" t="s">
        <v>81</v>
      </c>
      <c r="C1311">
        <v>2020</v>
      </c>
      <c r="D1311" t="s">
        <v>61</v>
      </c>
      <c r="E1311" s="3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27</v>
      </c>
      <c r="N1311">
        <v>5</v>
      </c>
      <c r="O1311" t="s">
        <v>40</v>
      </c>
      <c r="P1311">
        <v>70.599999999999994</v>
      </c>
      <c r="Q1311">
        <v>1500</v>
      </c>
      <c r="R1311">
        <v>5</v>
      </c>
      <c r="S1311">
        <v>1</v>
      </c>
      <c r="T1311" t="s">
        <v>41</v>
      </c>
      <c r="U1311" t="s">
        <v>37</v>
      </c>
      <c r="V1311" s="3">
        <v>60595</v>
      </c>
      <c r="W1311">
        <v>3.4</v>
      </c>
      <c r="X1311">
        <v>4</v>
      </c>
      <c r="Y1311" s="1">
        <f>EV_Data4[[#This Row],[range_miles]]/EV_Data4[[#This Row],[battery_capacity_kwh]]</f>
        <v>3.0642504118616145</v>
      </c>
      <c r="Z1311" s="4">
        <f>EV_Data4[[#This Row],[price_usd]]/EV_Data4[[#This Row],[range_miles]]</f>
        <v>334.16827956989249</v>
      </c>
      <c r="AA1311" s="2">
        <f>(EV_Data4[[#This Row],[customer_rating]]*EV_Data4[[#This Row],[safety_rating]]*1000)/EV_Data4[[#This Row],[price_usd]]</f>
        <v>0.27350845382453304</v>
      </c>
      <c r="AB1311">
        <f>EV_Data4[[#This Row],[horsepower]]+EV_Data4[[#This Row],[torque_nm]]/EV_Data4[[#This Row],[acceleration_0_60_mph]]</f>
        <v>758.2634730538922</v>
      </c>
      <c r="AC1311" t="str">
        <f>IF(EV_Data4[[#This Row],[price_usd]]&gt;=80000,"Luxury",IF(EV_Data4[[#This Row],[price_usd]]&gt;=40000,"Mid-Range","Budget"))</f>
        <v>Mid-Range</v>
      </c>
      <c r="AD1311" t="str">
        <f>IF(EV_Data4[[#This Row],[range_miles]]&gt;=350,"Long-Range",IF(EV_Data4[[#This Row],[range_miles]]&gt;=250,"Medium-Range","Short-Range"))</f>
        <v>Short-Range</v>
      </c>
      <c r="AE1311" t="str">
        <f>IF(EV_Data4[[#This Row],[charging_speed_kw]]&gt;=250,"Ultra-Fast",IF(EV_Data4[[#This Row],[charging_speed_kw]]&gt;=150,"Fast-Charging","Standard-Charging"))</f>
        <v>Standard-Charging</v>
      </c>
      <c r="AF1311" t="str">
        <f>IF(EV_Data4[[#This Row],[acceleration_0_60_mph]]&lt;=3,"SportsPerformance",IF(EV_Data4[[#This Row],[acceleration_0_60_mph]]&lt;=5,"HighPerformance","Standard"))</f>
        <v>Standard</v>
      </c>
      <c r="AG1311" t="str">
        <f>IF(EV_Data4[[#This Row],[customer_rating]]&gt;=4.5,"Excellent",IF(EV_Data4[[#This Row],[customer_rating]]&gt;=3.5,"Good","Average"))</f>
        <v>Average</v>
      </c>
      <c r="AH131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12" spans="1:34" x14ac:dyDescent="0.3">
      <c r="A1312" t="s">
        <v>46</v>
      </c>
      <c r="B1312" t="s">
        <v>49</v>
      </c>
      <c r="C1312">
        <v>2024</v>
      </c>
      <c r="D1312" t="s">
        <v>26</v>
      </c>
      <c r="E1312" s="3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27</v>
      </c>
      <c r="N1312">
        <v>7</v>
      </c>
      <c r="O1312" t="s">
        <v>50</v>
      </c>
      <c r="P1312">
        <v>32.200000000000003</v>
      </c>
      <c r="Q1312">
        <v>1852</v>
      </c>
      <c r="R1312">
        <v>5</v>
      </c>
      <c r="S1312">
        <v>2</v>
      </c>
      <c r="T1312" t="s">
        <v>41</v>
      </c>
      <c r="U1312" t="s">
        <v>30</v>
      </c>
      <c r="V1312" s="3">
        <v>443580</v>
      </c>
      <c r="W1312">
        <v>3.84</v>
      </c>
      <c r="X1312">
        <v>6</v>
      </c>
      <c r="Y1312" s="1">
        <f>EV_Data4[[#This Row],[range_miles]]/EV_Data4[[#This Row],[battery_capacity_kwh]]</f>
        <v>3.337468982630273</v>
      </c>
      <c r="Z1312" s="4">
        <f>EV_Data4[[#This Row],[price_usd]]/EV_Data4[[#This Row],[range_miles]]</f>
        <v>603.02631970260222</v>
      </c>
      <c r="AA1312" s="2">
        <f>(EV_Data4[[#This Row],[customer_rating]]*EV_Data4[[#This Row],[safety_rating]]*1000)/EV_Data4[[#This Row],[price_usd]]</f>
        <v>0.11836210518840289</v>
      </c>
      <c r="AB1312">
        <f>EV_Data4[[#This Row],[horsepower]]+EV_Data4[[#This Row],[torque_nm]]/EV_Data4[[#This Row],[acceleration_0_60_mph]]</f>
        <v>1316.3120567375886</v>
      </c>
      <c r="AC1312" t="str">
        <f>IF(EV_Data4[[#This Row],[price_usd]]&gt;=80000,"Luxury",IF(EV_Data4[[#This Row],[price_usd]]&gt;=40000,"Mid-Range","Budget"))</f>
        <v>Luxury</v>
      </c>
      <c r="AD1312" t="str">
        <f>IF(EV_Data4[[#This Row],[range_miles]]&gt;=350,"Long-Range",IF(EV_Data4[[#This Row],[range_miles]]&gt;=250,"Medium-Range","Short-Range"))</f>
        <v>Medium-Range</v>
      </c>
      <c r="AE1312" t="str">
        <f>IF(EV_Data4[[#This Row],[charging_speed_kw]]&gt;=250,"Ultra-Fast",IF(EV_Data4[[#This Row],[charging_speed_kw]]&gt;=150,"Fast-Charging","Standard-Charging"))</f>
        <v>Fast-Charging</v>
      </c>
      <c r="AF1312" t="str">
        <f>IF(EV_Data4[[#This Row],[acceleration_0_60_mph]]&lt;=3,"SportsPerformance",IF(EV_Data4[[#This Row],[acceleration_0_60_mph]]&lt;=5,"HighPerformance","Standard"))</f>
        <v>SportsPerformance</v>
      </c>
      <c r="AG1312" t="str">
        <f>IF(EV_Data4[[#This Row],[customer_rating]]&gt;=4.5,"Excellent",IF(EV_Data4[[#This Row],[customer_rating]]&gt;=3.5,"Good","Average"))</f>
        <v>Good</v>
      </c>
      <c r="AH131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13" spans="1:34" x14ac:dyDescent="0.3">
      <c r="A1313" t="s">
        <v>86</v>
      </c>
      <c r="B1313" t="s">
        <v>117</v>
      </c>
      <c r="C1313">
        <v>2023</v>
      </c>
      <c r="D1313" t="s">
        <v>56</v>
      </c>
      <c r="E1313" s="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48</v>
      </c>
      <c r="N1313">
        <v>7</v>
      </c>
      <c r="O1313" t="s">
        <v>28</v>
      </c>
      <c r="P1313">
        <v>77.7</v>
      </c>
      <c r="Q1313">
        <v>2642</v>
      </c>
      <c r="R1313">
        <v>5</v>
      </c>
      <c r="S1313">
        <v>2</v>
      </c>
      <c r="T1313" t="s">
        <v>29</v>
      </c>
      <c r="U1313" t="s">
        <v>33</v>
      </c>
      <c r="V1313" s="3">
        <v>57167</v>
      </c>
      <c r="W1313">
        <v>3.32</v>
      </c>
      <c r="X1313">
        <v>8</v>
      </c>
      <c r="Y1313" s="1">
        <f>EV_Data4[[#This Row],[range_miles]]/EV_Data4[[#This Row],[battery_capacity_kwh]]</f>
        <v>3.5019455252918288</v>
      </c>
      <c r="Z1313" s="4">
        <f>EV_Data4[[#This Row],[price_usd]]/EV_Data4[[#This Row],[range_miles]]</f>
        <v>423.84566666666666</v>
      </c>
      <c r="AA1313" s="2">
        <f>(EV_Data4[[#This Row],[customer_rating]]*EV_Data4[[#This Row],[safety_rating]]*1000)/EV_Data4[[#This Row],[price_usd]]</f>
        <v>0.21758444045801781</v>
      </c>
      <c r="AB1313">
        <f>EV_Data4[[#This Row],[horsepower]]+EV_Data4[[#This Row],[torque_nm]]/EV_Data4[[#This Row],[acceleration_0_60_mph]]</f>
        <v>507.72727272727275</v>
      </c>
      <c r="AC1313" t="str">
        <f>IF(EV_Data4[[#This Row],[price_usd]]&gt;=80000,"Luxury",IF(EV_Data4[[#This Row],[price_usd]]&gt;=40000,"Mid-Range","Budget"))</f>
        <v>Mid-Range</v>
      </c>
      <c r="AD1313" t="str">
        <f>IF(EV_Data4[[#This Row],[range_miles]]&gt;=350,"Long-Range",IF(EV_Data4[[#This Row],[range_miles]]&gt;=250,"Medium-Range","Short-Range"))</f>
        <v>Short-Range</v>
      </c>
      <c r="AE1313" t="str">
        <f>IF(EV_Data4[[#This Row],[charging_speed_kw]]&gt;=250,"Ultra-Fast",IF(EV_Data4[[#This Row],[charging_speed_kw]]&gt;=150,"Fast-Charging","Standard-Charging"))</f>
        <v>Standard-Charging</v>
      </c>
      <c r="AF1313" t="str">
        <f>IF(EV_Data4[[#This Row],[acceleration_0_60_mph]]&lt;=3,"SportsPerformance",IF(EV_Data4[[#This Row],[acceleration_0_60_mph]]&lt;=5,"HighPerformance","Standard"))</f>
        <v>Standard</v>
      </c>
      <c r="AG1313" t="str">
        <f>IF(EV_Data4[[#This Row],[customer_rating]]&gt;=4.5,"Excellent",IF(EV_Data4[[#This Row],[customer_rating]]&gt;=3.5,"Good","Average"))</f>
        <v>Average</v>
      </c>
      <c r="AH131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14" spans="1:34" x14ac:dyDescent="0.3">
      <c r="A1314" t="s">
        <v>42</v>
      </c>
      <c r="B1314" t="s">
        <v>80</v>
      </c>
      <c r="C1314">
        <v>2020</v>
      </c>
      <c r="D1314" t="s">
        <v>44</v>
      </c>
      <c r="E1314" s="3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34</v>
      </c>
      <c r="N1314">
        <v>5</v>
      </c>
      <c r="O1314" t="s">
        <v>35</v>
      </c>
      <c r="P1314">
        <v>45.1</v>
      </c>
      <c r="Q1314">
        <v>2118</v>
      </c>
      <c r="R1314">
        <v>5</v>
      </c>
      <c r="S1314">
        <v>0</v>
      </c>
      <c r="T1314" t="s">
        <v>45</v>
      </c>
      <c r="U1314" t="s">
        <v>33</v>
      </c>
      <c r="V1314" s="3">
        <v>63318</v>
      </c>
      <c r="W1314">
        <v>3.7</v>
      </c>
      <c r="X1314">
        <v>4</v>
      </c>
      <c r="Y1314" s="1">
        <f>EV_Data4[[#This Row],[range_miles]]/EV_Data4[[#This Row],[battery_capacity_kwh]]</f>
        <v>3.5321528424976703</v>
      </c>
      <c r="Z1314" s="4">
        <f>EV_Data4[[#This Row],[price_usd]]/EV_Data4[[#This Row],[range_miles]]</f>
        <v>184.75978891820583</v>
      </c>
      <c r="AA1314" s="2">
        <f>(EV_Data4[[#This Row],[customer_rating]]*EV_Data4[[#This Row],[safety_rating]]*1000)/EV_Data4[[#This Row],[price_usd]]</f>
        <v>0.26419528401421455</v>
      </c>
      <c r="AB1314">
        <f>EV_Data4[[#This Row],[horsepower]]+EV_Data4[[#This Row],[torque_nm]]/EV_Data4[[#This Row],[acceleration_0_60_mph]]</f>
        <v>936.80760095011874</v>
      </c>
      <c r="AC1314" t="str">
        <f>IF(EV_Data4[[#This Row],[price_usd]]&gt;=80000,"Luxury",IF(EV_Data4[[#This Row],[price_usd]]&gt;=40000,"Mid-Range","Budget"))</f>
        <v>Mid-Range</v>
      </c>
      <c r="AD1314" t="str">
        <f>IF(EV_Data4[[#This Row],[range_miles]]&gt;=350,"Long-Range",IF(EV_Data4[[#This Row],[range_miles]]&gt;=250,"Medium-Range","Short-Range"))</f>
        <v>Long-Range</v>
      </c>
      <c r="AE1314" t="str">
        <f>IF(EV_Data4[[#This Row],[charging_speed_kw]]&gt;=250,"Ultra-Fast",IF(EV_Data4[[#This Row],[charging_speed_kw]]&gt;=150,"Fast-Charging","Standard-Charging"))</f>
        <v>Standard-Charging</v>
      </c>
      <c r="AF1314" t="str">
        <f>IF(EV_Data4[[#This Row],[acceleration_0_60_mph]]&lt;=3,"SportsPerformance",IF(EV_Data4[[#This Row],[acceleration_0_60_mph]]&lt;=5,"HighPerformance","Standard"))</f>
        <v>HighPerformance</v>
      </c>
      <c r="AG1314" t="str">
        <f>IF(EV_Data4[[#This Row],[customer_rating]]&gt;=4.5,"Excellent",IF(EV_Data4[[#This Row],[customer_rating]]&gt;=3.5,"Good","Average"))</f>
        <v>Good</v>
      </c>
      <c r="AH131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15" spans="1:34" x14ac:dyDescent="0.3">
      <c r="A1315" t="s">
        <v>76</v>
      </c>
      <c r="B1315" t="s">
        <v>98</v>
      </c>
      <c r="C1315">
        <v>2026</v>
      </c>
      <c r="D1315" t="s">
        <v>56</v>
      </c>
      <c r="E1315" s="3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48</v>
      </c>
      <c r="N1315">
        <v>7</v>
      </c>
      <c r="O1315" t="s">
        <v>58</v>
      </c>
      <c r="P1315">
        <v>39.799999999999997</v>
      </c>
      <c r="Q1315">
        <v>1714</v>
      </c>
      <c r="R1315">
        <v>4</v>
      </c>
      <c r="S1315">
        <v>0</v>
      </c>
      <c r="T1315" t="s">
        <v>41</v>
      </c>
      <c r="U1315" t="s">
        <v>37</v>
      </c>
      <c r="V1315" s="3">
        <v>57282</v>
      </c>
      <c r="W1315">
        <v>3.51</v>
      </c>
      <c r="X1315">
        <v>4</v>
      </c>
      <c r="Y1315" s="1">
        <f>EV_Data4[[#This Row],[range_miles]]/EV_Data4[[#This Row],[battery_capacity_kwh]]</f>
        <v>3.6636245110821379</v>
      </c>
      <c r="Z1315" s="4">
        <f>EV_Data4[[#This Row],[price_usd]]/EV_Data4[[#This Row],[range_miles]]</f>
        <v>217.94950177935942</v>
      </c>
      <c r="AA1315" s="2">
        <f>(EV_Data4[[#This Row],[customer_rating]]*EV_Data4[[#This Row],[safety_rating]]*1000)/EV_Data4[[#This Row],[price_usd]]</f>
        <v>0.22924765784493159</v>
      </c>
      <c r="AB1315">
        <f>EV_Data4[[#This Row],[horsepower]]+EV_Data4[[#This Row],[torque_nm]]/EV_Data4[[#This Row],[acceleration_0_60_mph]]</f>
        <v>755.05369127516781</v>
      </c>
      <c r="AC1315" t="str">
        <f>IF(EV_Data4[[#This Row],[price_usd]]&gt;=80000,"Luxury",IF(EV_Data4[[#This Row],[price_usd]]&gt;=40000,"Mid-Range","Budget"))</f>
        <v>Mid-Range</v>
      </c>
      <c r="AD1315" t="str">
        <f>IF(EV_Data4[[#This Row],[range_miles]]&gt;=350,"Long-Range",IF(EV_Data4[[#This Row],[range_miles]]&gt;=250,"Medium-Range","Short-Range"))</f>
        <v>Medium-Range</v>
      </c>
      <c r="AE1315" t="str">
        <f>IF(EV_Data4[[#This Row],[charging_speed_kw]]&gt;=250,"Ultra-Fast",IF(EV_Data4[[#This Row],[charging_speed_kw]]&gt;=150,"Fast-Charging","Standard-Charging"))</f>
        <v>Standard-Charging</v>
      </c>
      <c r="AF1315" t="str">
        <f>IF(EV_Data4[[#This Row],[acceleration_0_60_mph]]&lt;=3,"SportsPerformance",IF(EV_Data4[[#This Row],[acceleration_0_60_mph]]&lt;=5,"HighPerformance","Standard"))</f>
        <v>Standard</v>
      </c>
      <c r="AG1315" t="str">
        <f>IF(EV_Data4[[#This Row],[customer_rating]]&gt;=4.5,"Excellent",IF(EV_Data4[[#This Row],[customer_rating]]&gt;=3.5,"Good","Average"))</f>
        <v>Good</v>
      </c>
      <c r="AH131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16" spans="1:34" x14ac:dyDescent="0.3">
      <c r="A1316" t="s">
        <v>24</v>
      </c>
      <c r="B1316" t="s">
        <v>25</v>
      </c>
      <c r="C1316">
        <v>2024</v>
      </c>
      <c r="D1316" t="s">
        <v>26</v>
      </c>
      <c r="E1316" s="3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27</v>
      </c>
      <c r="N1316">
        <v>7</v>
      </c>
      <c r="O1316" t="s">
        <v>28</v>
      </c>
      <c r="P1316">
        <v>58.9</v>
      </c>
      <c r="Q1316">
        <v>2556</v>
      </c>
      <c r="R1316">
        <v>5</v>
      </c>
      <c r="S1316">
        <v>1</v>
      </c>
      <c r="T1316" t="s">
        <v>29</v>
      </c>
      <c r="U1316" t="s">
        <v>37</v>
      </c>
      <c r="V1316" s="3">
        <v>257710</v>
      </c>
      <c r="W1316">
        <v>3.56</v>
      </c>
      <c r="X1316">
        <v>3</v>
      </c>
      <c r="Y1316" s="1">
        <f>EV_Data4[[#This Row],[range_miles]]/EV_Data4[[#This Row],[battery_capacity_kwh]]</f>
        <v>3.3861551292743952</v>
      </c>
      <c r="Z1316" s="4">
        <f>EV_Data4[[#This Row],[price_usd]]/EV_Data4[[#This Row],[range_miles]]</f>
        <v>150.06987684729066</v>
      </c>
      <c r="AA1316" s="2">
        <f>(EV_Data4[[#This Row],[customer_rating]]*EV_Data4[[#This Row],[safety_rating]]*1000)/EV_Data4[[#This Row],[price_usd]]</f>
        <v>0.29214633511449589</v>
      </c>
      <c r="AB1316">
        <f>EV_Data4[[#This Row],[horsepower]]+EV_Data4[[#This Row],[torque_nm]]/EV_Data4[[#This Row],[acceleration_0_60_mph]]</f>
        <v>791.10810810810813</v>
      </c>
      <c r="AC1316" t="str">
        <f>IF(EV_Data4[[#This Row],[price_usd]]&gt;=80000,"Luxury",IF(EV_Data4[[#This Row],[price_usd]]&gt;=40000,"Mid-Range","Budget"))</f>
        <v>Mid-Range</v>
      </c>
      <c r="AD1316" t="str">
        <f>IF(EV_Data4[[#This Row],[range_miles]]&gt;=350,"Long-Range",IF(EV_Data4[[#This Row],[range_miles]]&gt;=250,"Medium-Range","Short-Range"))</f>
        <v>Long-Range</v>
      </c>
      <c r="AE1316" t="str">
        <f>IF(EV_Data4[[#This Row],[charging_speed_kw]]&gt;=250,"Ultra-Fast",IF(EV_Data4[[#This Row],[charging_speed_kw]]&gt;=150,"Fast-Charging","Standard-Charging"))</f>
        <v>Fast-Charging</v>
      </c>
      <c r="AF1316" t="str">
        <f>IF(EV_Data4[[#This Row],[acceleration_0_60_mph]]&lt;=3,"SportsPerformance",IF(EV_Data4[[#This Row],[acceleration_0_60_mph]]&lt;=5,"HighPerformance","Standard"))</f>
        <v>HighPerformance</v>
      </c>
      <c r="AG1316" t="str">
        <f>IF(EV_Data4[[#This Row],[customer_rating]]&gt;=4.5,"Excellent",IF(EV_Data4[[#This Row],[customer_rating]]&gt;=3.5,"Good","Average"))</f>
        <v>Good</v>
      </c>
      <c r="AH131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17" spans="1:34" x14ac:dyDescent="0.3">
      <c r="A1317" t="s">
        <v>83</v>
      </c>
      <c r="B1317" t="s">
        <v>89</v>
      </c>
      <c r="C1317">
        <v>2021</v>
      </c>
      <c r="D1317" t="s">
        <v>33</v>
      </c>
      <c r="E1317" s="3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27</v>
      </c>
      <c r="N1317">
        <v>5</v>
      </c>
      <c r="O1317" t="s">
        <v>40</v>
      </c>
      <c r="P1317">
        <v>73.900000000000006</v>
      </c>
      <c r="Q1317">
        <v>1533</v>
      </c>
      <c r="R1317">
        <v>5</v>
      </c>
      <c r="S1317">
        <v>1</v>
      </c>
      <c r="T1317" t="s">
        <v>29</v>
      </c>
      <c r="U1317" t="s">
        <v>30</v>
      </c>
      <c r="V1317" s="3">
        <v>47944</v>
      </c>
      <c r="W1317">
        <v>3.44</v>
      </c>
      <c r="X1317">
        <v>6</v>
      </c>
      <c r="Y1317" s="1">
        <f>EV_Data4[[#This Row],[range_miles]]/EV_Data4[[#This Row],[battery_capacity_kwh]]</f>
        <v>3.4417344173441737</v>
      </c>
      <c r="Z1317" s="4">
        <f>EV_Data4[[#This Row],[price_usd]]/EV_Data4[[#This Row],[range_miles]]</f>
        <v>470.45755905511811</v>
      </c>
      <c r="AA1317" s="2">
        <f>(EV_Data4[[#This Row],[customer_rating]]*EV_Data4[[#This Row],[safety_rating]]*1000)/EV_Data4[[#This Row],[price_usd]]</f>
        <v>0.14393760739879471</v>
      </c>
      <c r="AB1317">
        <f>EV_Data4[[#This Row],[horsepower]]+EV_Data4[[#This Row],[torque_nm]]/EV_Data4[[#This Row],[acceleration_0_60_mph]]</f>
        <v>1118.0645161290322</v>
      </c>
      <c r="AC1317" t="str">
        <f>IF(EV_Data4[[#This Row],[price_usd]]&gt;=80000,"Luxury",IF(EV_Data4[[#This Row],[price_usd]]&gt;=40000,"Mid-Range","Budget"))</f>
        <v>Luxury</v>
      </c>
      <c r="AD1317" t="str">
        <f>IF(EV_Data4[[#This Row],[range_miles]]&gt;=350,"Long-Range",IF(EV_Data4[[#This Row],[range_miles]]&gt;=250,"Medium-Range","Short-Range"))</f>
        <v>Medium-Range</v>
      </c>
      <c r="AE1317" t="str">
        <f>IF(EV_Data4[[#This Row],[charging_speed_kw]]&gt;=250,"Ultra-Fast",IF(EV_Data4[[#This Row],[charging_speed_kw]]&gt;=150,"Fast-Charging","Standard-Charging"))</f>
        <v>Standard-Charging</v>
      </c>
      <c r="AF1317" t="str">
        <f>IF(EV_Data4[[#This Row],[acceleration_0_60_mph]]&lt;=3,"SportsPerformance",IF(EV_Data4[[#This Row],[acceleration_0_60_mph]]&lt;=5,"HighPerformance","Standard"))</f>
        <v>Standard</v>
      </c>
      <c r="AG1317" t="str">
        <f>IF(EV_Data4[[#This Row],[customer_rating]]&gt;=4.5,"Excellent",IF(EV_Data4[[#This Row],[customer_rating]]&gt;=3.5,"Good","Average"))</f>
        <v>Average</v>
      </c>
      <c r="AH131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18" spans="1:34" x14ac:dyDescent="0.3">
      <c r="A1318" t="s">
        <v>68</v>
      </c>
      <c r="B1318" t="s">
        <v>109</v>
      </c>
      <c r="C1318">
        <v>2025</v>
      </c>
      <c r="D1318" t="s">
        <v>61</v>
      </c>
      <c r="E1318" s="3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34</v>
      </c>
      <c r="N1318">
        <v>7</v>
      </c>
      <c r="O1318" t="s">
        <v>51</v>
      </c>
      <c r="P1318">
        <v>21.5</v>
      </c>
      <c r="Q1318">
        <v>1500</v>
      </c>
      <c r="R1318">
        <v>4</v>
      </c>
      <c r="S1318">
        <v>0</v>
      </c>
      <c r="T1318" t="s">
        <v>45</v>
      </c>
      <c r="U1318" t="s">
        <v>33</v>
      </c>
      <c r="V1318" s="3">
        <v>125248</v>
      </c>
      <c r="W1318">
        <v>3.22</v>
      </c>
      <c r="X1318">
        <v>3</v>
      </c>
      <c r="Y1318" s="1">
        <f>EV_Data4[[#This Row],[range_miles]]/EV_Data4[[#This Row],[battery_capacity_kwh]]</f>
        <v>3.8795986622073579</v>
      </c>
      <c r="Z1318" s="4">
        <f>EV_Data4[[#This Row],[price_usd]]/EV_Data4[[#This Row],[range_miles]]</f>
        <v>286.09922413793106</v>
      </c>
      <c r="AA1318" s="2">
        <f>(EV_Data4[[#This Row],[customer_rating]]*EV_Data4[[#This Row],[safety_rating]]*1000)/EV_Data4[[#This Row],[price_usd]]</f>
        <v>0.19404890574797565</v>
      </c>
      <c r="AB1318">
        <f>EV_Data4[[#This Row],[horsepower]]+EV_Data4[[#This Row],[torque_nm]]/EV_Data4[[#This Row],[acceleration_0_60_mph]]</f>
        <v>829</v>
      </c>
      <c r="AC1318" t="str">
        <f>IF(EV_Data4[[#This Row],[price_usd]]&gt;=80000,"Luxury",IF(EV_Data4[[#This Row],[price_usd]]&gt;=40000,"Mid-Range","Budget"))</f>
        <v>Mid-Range</v>
      </c>
      <c r="AD1318" t="str">
        <f>IF(EV_Data4[[#This Row],[range_miles]]&gt;=350,"Long-Range",IF(EV_Data4[[#This Row],[range_miles]]&gt;=250,"Medium-Range","Short-Range"))</f>
        <v>Short-Range</v>
      </c>
      <c r="AE1318" t="str">
        <f>IF(EV_Data4[[#This Row],[charging_speed_kw]]&gt;=250,"Ultra-Fast",IF(EV_Data4[[#This Row],[charging_speed_kw]]&gt;=150,"Fast-Charging","Standard-Charging"))</f>
        <v>Standard-Charging</v>
      </c>
      <c r="AF1318" t="str">
        <f>IF(EV_Data4[[#This Row],[acceleration_0_60_mph]]&lt;=3,"SportsPerformance",IF(EV_Data4[[#This Row],[acceleration_0_60_mph]]&lt;=5,"HighPerformance","Standard"))</f>
        <v>Standard</v>
      </c>
      <c r="AG1318" t="str">
        <f>IF(EV_Data4[[#This Row],[customer_rating]]&gt;=4.5,"Excellent",IF(EV_Data4[[#This Row],[customer_rating]]&gt;=3.5,"Good","Average"))</f>
        <v>Average</v>
      </c>
      <c r="AH131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19" spans="1:34" x14ac:dyDescent="0.3">
      <c r="A1319" t="s">
        <v>38</v>
      </c>
      <c r="B1319" t="s">
        <v>101</v>
      </c>
      <c r="C1319">
        <v>2025</v>
      </c>
      <c r="D1319" t="s">
        <v>26</v>
      </c>
      <c r="E1319" s="3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34</v>
      </c>
      <c r="N1319">
        <v>5</v>
      </c>
      <c r="O1319" t="s">
        <v>35</v>
      </c>
      <c r="P1319">
        <v>36.5</v>
      </c>
      <c r="Q1319">
        <v>2177</v>
      </c>
      <c r="R1319">
        <v>5</v>
      </c>
      <c r="S1319">
        <v>0</v>
      </c>
      <c r="T1319" t="s">
        <v>41</v>
      </c>
      <c r="U1319" t="s">
        <v>33</v>
      </c>
      <c r="V1319" s="3">
        <v>27343</v>
      </c>
      <c r="W1319">
        <v>3.55</v>
      </c>
      <c r="X1319">
        <v>4</v>
      </c>
      <c r="Y1319" s="1">
        <f>EV_Data4[[#This Row],[range_miles]]/EV_Data4[[#This Row],[battery_capacity_kwh]]</f>
        <v>3.4987593052109185</v>
      </c>
      <c r="Z1319" s="4">
        <f>EV_Data4[[#This Row],[price_usd]]/EV_Data4[[#This Row],[range_miles]]</f>
        <v>243.09780141843973</v>
      </c>
      <c r="AA1319" s="2">
        <f>(EV_Data4[[#This Row],[customer_rating]]*EV_Data4[[#This Row],[safety_rating]]*1000)/EV_Data4[[#This Row],[price_usd]]</f>
        <v>0.25892156179152132</v>
      </c>
      <c r="AB1319">
        <f>EV_Data4[[#This Row],[horsepower]]+EV_Data4[[#This Row],[torque_nm]]/EV_Data4[[#This Row],[acceleration_0_60_mph]]</f>
        <v>1220.3398328690807</v>
      </c>
      <c r="AC1319" t="str">
        <f>IF(EV_Data4[[#This Row],[price_usd]]&gt;=80000,"Luxury",IF(EV_Data4[[#This Row],[price_usd]]&gt;=40000,"Mid-Range","Budget"))</f>
        <v>Mid-Range</v>
      </c>
      <c r="AD1319" t="str">
        <f>IF(EV_Data4[[#This Row],[range_miles]]&gt;=350,"Long-Range",IF(EV_Data4[[#This Row],[range_miles]]&gt;=250,"Medium-Range","Short-Range"))</f>
        <v>Medium-Range</v>
      </c>
      <c r="AE1319" t="str">
        <f>IF(EV_Data4[[#This Row],[charging_speed_kw]]&gt;=250,"Ultra-Fast",IF(EV_Data4[[#This Row],[charging_speed_kw]]&gt;=150,"Fast-Charging","Standard-Charging"))</f>
        <v>Fast-Charging</v>
      </c>
      <c r="AF1319" t="str">
        <f>IF(EV_Data4[[#This Row],[acceleration_0_60_mph]]&lt;=3,"SportsPerformance",IF(EV_Data4[[#This Row],[acceleration_0_60_mph]]&lt;=5,"HighPerformance","Standard"))</f>
        <v>HighPerformance</v>
      </c>
      <c r="AG1319" t="str">
        <f>IF(EV_Data4[[#This Row],[customer_rating]]&gt;=4.5,"Excellent",IF(EV_Data4[[#This Row],[customer_rating]]&gt;=3.5,"Good","Average"))</f>
        <v>Good</v>
      </c>
      <c r="AH131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20" spans="1:34" x14ac:dyDescent="0.3">
      <c r="A1320" t="s">
        <v>46</v>
      </c>
      <c r="B1320" t="s">
        <v>72</v>
      </c>
      <c r="C1320">
        <v>2026</v>
      </c>
      <c r="D1320" t="s">
        <v>61</v>
      </c>
      <c r="E1320" s="3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48</v>
      </c>
      <c r="N1320">
        <v>7</v>
      </c>
      <c r="O1320" t="s">
        <v>28</v>
      </c>
      <c r="P1320">
        <v>60.2</v>
      </c>
      <c r="Q1320">
        <v>2600</v>
      </c>
      <c r="R1320">
        <v>4</v>
      </c>
      <c r="S1320">
        <v>2</v>
      </c>
      <c r="T1320" t="s">
        <v>41</v>
      </c>
      <c r="U1320" t="s">
        <v>33</v>
      </c>
      <c r="V1320" s="3">
        <v>212130</v>
      </c>
      <c r="W1320">
        <v>3.66</v>
      </c>
      <c r="X1320">
        <v>4</v>
      </c>
      <c r="Y1320" s="1">
        <f>EV_Data4[[#This Row],[range_miles]]/EV_Data4[[#This Row],[battery_capacity_kwh]]</f>
        <v>3.6996904024767807</v>
      </c>
      <c r="Z1320" s="4">
        <f>EV_Data4[[#This Row],[price_usd]]/EV_Data4[[#This Row],[range_miles]]</f>
        <v>338.06238493723851</v>
      </c>
      <c r="AA1320" s="2">
        <f>(EV_Data4[[#This Row],[customer_rating]]*EV_Data4[[#This Row],[safety_rating]]*1000)/EV_Data4[[#This Row],[price_usd]]</f>
        <v>0.18119504817696616</v>
      </c>
      <c r="AB1320">
        <f>EV_Data4[[#This Row],[horsepower]]+EV_Data4[[#This Row],[torque_nm]]/EV_Data4[[#This Row],[acceleration_0_60_mph]]</f>
        <v>697.96566523605156</v>
      </c>
      <c r="AC1320" t="str">
        <f>IF(EV_Data4[[#This Row],[price_usd]]&gt;=80000,"Luxury",IF(EV_Data4[[#This Row],[price_usd]]&gt;=40000,"Mid-Range","Budget"))</f>
        <v>Luxury</v>
      </c>
      <c r="AD1320" t="str">
        <f>IF(EV_Data4[[#This Row],[range_miles]]&gt;=350,"Long-Range",IF(EV_Data4[[#This Row],[range_miles]]&gt;=250,"Medium-Range","Short-Range"))</f>
        <v>Short-Range</v>
      </c>
      <c r="AE1320" t="str">
        <f>IF(EV_Data4[[#This Row],[charging_speed_kw]]&gt;=250,"Ultra-Fast",IF(EV_Data4[[#This Row],[charging_speed_kw]]&gt;=150,"Fast-Charging","Standard-Charging"))</f>
        <v>Ultra-Fast</v>
      </c>
      <c r="AF1320" t="str">
        <f>IF(EV_Data4[[#This Row],[acceleration_0_60_mph]]&lt;=3,"SportsPerformance",IF(EV_Data4[[#This Row],[acceleration_0_60_mph]]&lt;=5,"HighPerformance","Standard"))</f>
        <v>Standard</v>
      </c>
      <c r="AG1320" t="str">
        <f>IF(EV_Data4[[#This Row],[customer_rating]]&gt;=4.5,"Excellent",IF(EV_Data4[[#This Row],[customer_rating]]&gt;=3.5,"Good","Average"))</f>
        <v>Good</v>
      </c>
      <c r="AH132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21" spans="1:34" x14ac:dyDescent="0.3">
      <c r="A1321" t="s">
        <v>46</v>
      </c>
      <c r="B1321" t="s">
        <v>49</v>
      </c>
      <c r="C1321">
        <v>2021</v>
      </c>
      <c r="D1321" t="s">
        <v>56</v>
      </c>
      <c r="E1321" s="3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27</v>
      </c>
      <c r="N1321">
        <v>5</v>
      </c>
      <c r="O1321" t="s">
        <v>40</v>
      </c>
      <c r="P1321">
        <v>63</v>
      </c>
      <c r="Q1321">
        <v>1500</v>
      </c>
      <c r="R1321">
        <v>4</v>
      </c>
      <c r="S1321">
        <v>3</v>
      </c>
      <c r="T1321" t="s">
        <v>41</v>
      </c>
      <c r="U1321" t="s">
        <v>37</v>
      </c>
      <c r="V1321" s="3">
        <v>446207</v>
      </c>
      <c r="W1321">
        <v>3.67</v>
      </c>
      <c r="X1321">
        <v>6</v>
      </c>
      <c r="Y1321" s="1">
        <f>EV_Data4[[#This Row],[range_miles]]/EV_Data4[[#This Row],[battery_capacity_kwh]]</f>
        <v>3.4634974533106964</v>
      </c>
      <c r="Z1321" s="4">
        <f>EV_Data4[[#This Row],[price_usd]]/EV_Data4[[#This Row],[range_miles]]</f>
        <v>293.21578431372546</v>
      </c>
      <c r="AA1321" s="2">
        <f>(EV_Data4[[#This Row],[customer_rating]]*EV_Data4[[#This Row],[safety_rating]]*1000)/EV_Data4[[#This Row],[price_usd]]</f>
        <v>0.24541920375177087</v>
      </c>
      <c r="AB1321">
        <f>EV_Data4[[#This Row],[horsepower]]+EV_Data4[[#This Row],[torque_nm]]/EV_Data4[[#This Row],[acceleration_0_60_mph]]</f>
        <v>496.42372881355931</v>
      </c>
      <c r="AC1321" t="str">
        <f>IF(EV_Data4[[#This Row],[price_usd]]&gt;=80000,"Luxury",IF(EV_Data4[[#This Row],[price_usd]]&gt;=40000,"Mid-Range","Budget"))</f>
        <v>Mid-Range</v>
      </c>
      <c r="AD1321" t="str">
        <f>IF(EV_Data4[[#This Row],[range_miles]]&gt;=350,"Long-Range",IF(EV_Data4[[#This Row],[range_miles]]&gt;=250,"Medium-Range","Short-Range"))</f>
        <v>Short-Range</v>
      </c>
      <c r="AE1321" t="str">
        <f>IF(EV_Data4[[#This Row],[charging_speed_kw]]&gt;=250,"Ultra-Fast",IF(EV_Data4[[#This Row],[charging_speed_kw]]&gt;=150,"Fast-Charging","Standard-Charging"))</f>
        <v>Ultra-Fast</v>
      </c>
      <c r="AF1321" t="str">
        <f>IF(EV_Data4[[#This Row],[acceleration_0_60_mph]]&lt;=3,"SportsPerformance",IF(EV_Data4[[#This Row],[acceleration_0_60_mph]]&lt;=5,"HighPerformance","Standard"))</f>
        <v>Standard</v>
      </c>
      <c r="AG1321" t="str">
        <f>IF(EV_Data4[[#This Row],[customer_rating]]&gt;=4.5,"Excellent",IF(EV_Data4[[#This Row],[customer_rating]]&gt;=3.5,"Good","Average"))</f>
        <v>Good</v>
      </c>
      <c r="AH1321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322" spans="1:34" x14ac:dyDescent="0.3">
      <c r="A1322" t="s">
        <v>63</v>
      </c>
      <c r="B1322" t="s">
        <v>64</v>
      </c>
      <c r="C1322">
        <v>2020</v>
      </c>
      <c r="D1322" t="s">
        <v>26</v>
      </c>
      <c r="E1322" s="3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27</v>
      </c>
      <c r="N1322">
        <v>5</v>
      </c>
      <c r="O1322" t="s">
        <v>58</v>
      </c>
      <c r="P1322">
        <v>28.7</v>
      </c>
      <c r="Q1322">
        <v>1600</v>
      </c>
      <c r="R1322">
        <v>5</v>
      </c>
      <c r="S1322">
        <v>0</v>
      </c>
      <c r="T1322" t="s">
        <v>65</v>
      </c>
      <c r="U1322" t="s">
        <v>37</v>
      </c>
      <c r="V1322" s="3">
        <v>190643</v>
      </c>
      <c r="W1322">
        <v>3.93</v>
      </c>
      <c r="X1322">
        <v>5</v>
      </c>
      <c r="Y1322" s="1">
        <f>EV_Data4[[#This Row],[range_miles]]/EV_Data4[[#This Row],[battery_capacity_kwh]]</f>
        <v>3.4957264957264957</v>
      </c>
      <c r="Z1322" s="4">
        <f>EV_Data4[[#This Row],[price_usd]]/EV_Data4[[#This Row],[range_miles]]</f>
        <v>150.57229828850856</v>
      </c>
      <c r="AA1322" s="2">
        <f>(EV_Data4[[#This Row],[customer_rating]]*EV_Data4[[#This Row],[safety_rating]]*1000)/EV_Data4[[#This Row],[price_usd]]</f>
        <v>0.31907602079563763</v>
      </c>
      <c r="AB1322">
        <f>EV_Data4[[#This Row],[horsepower]]+EV_Data4[[#This Row],[torque_nm]]/EV_Data4[[#This Row],[acceleration_0_60_mph]]</f>
        <v>852.625</v>
      </c>
      <c r="AC1322" t="str">
        <f>IF(EV_Data4[[#This Row],[price_usd]]&gt;=80000,"Luxury",IF(EV_Data4[[#This Row],[price_usd]]&gt;=40000,"Mid-Range","Budget"))</f>
        <v>Mid-Range</v>
      </c>
      <c r="AD1322" t="str">
        <f>IF(EV_Data4[[#This Row],[range_miles]]&gt;=350,"Long-Range",IF(EV_Data4[[#This Row],[range_miles]]&gt;=250,"Medium-Range","Short-Range"))</f>
        <v>Long-Range</v>
      </c>
      <c r="AE1322" t="str">
        <f>IF(EV_Data4[[#This Row],[charging_speed_kw]]&gt;=250,"Ultra-Fast",IF(EV_Data4[[#This Row],[charging_speed_kw]]&gt;=150,"Fast-Charging","Standard-Charging"))</f>
        <v>Fast-Charging</v>
      </c>
      <c r="AF1322" t="str">
        <f>IF(EV_Data4[[#This Row],[acceleration_0_60_mph]]&lt;=3,"SportsPerformance",IF(EV_Data4[[#This Row],[acceleration_0_60_mph]]&lt;=5,"HighPerformance","Standard"))</f>
        <v>HighPerformance</v>
      </c>
      <c r="AG1322" t="str">
        <f>IF(EV_Data4[[#This Row],[customer_rating]]&gt;=4.5,"Excellent",IF(EV_Data4[[#This Row],[customer_rating]]&gt;=3.5,"Good","Average"))</f>
        <v>Good</v>
      </c>
      <c r="AH132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23" spans="1:34" x14ac:dyDescent="0.3">
      <c r="A1323" t="s">
        <v>46</v>
      </c>
      <c r="B1323" t="s">
        <v>78</v>
      </c>
      <c r="C1323">
        <v>2024</v>
      </c>
      <c r="D1323" t="s">
        <v>56</v>
      </c>
      <c r="E1323" s="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48</v>
      </c>
      <c r="N1323">
        <v>5</v>
      </c>
      <c r="O1323" t="s">
        <v>51</v>
      </c>
      <c r="P1323">
        <v>26.4</v>
      </c>
      <c r="Q1323">
        <v>1638</v>
      </c>
      <c r="R1323">
        <v>3</v>
      </c>
      <c r="S1323">
        <v>2</v>
      </c>
      <c r="T1323" t="s">
        <v>41</v>
      </c>
      <c r="U1323" t="s">
        <v>33</v>
      </c>
      <c r="V1323" s="3">
        <v>177987</v>
      </c>
      <c r="W1323">
        <v>3.6</v>
      </c>
      <c r="X1323">
        <v>6</v>
      </c>
      <c r="Y1323" s="1">
        <f>EV_Data4[[#This Row],[range_miles]]/EV_Data4[[#This Row],[battery_capacity_kwh]]</f>
        <v>3.5398230088495577</v>
      </c>
      <c r="Z1323" s="4">
        <f>EV_Data4[[#This Row],[price_usd]]/EV_Data4[[#This Row],[range_miles]]</f>
        <v>495.71620000000001</v>
      </c>
      <c r="AA1323" s="2">
        <f>(EV_Data4[[#This Row],[customer_rating]]*EV_Data4[[#This Row],[safety_rating]]*1000)/EV_Data4[[#This Row],[price_usd]]</f>
        <v>0.10893329691464591</v>
      </c>
      <c r="AB1323">
        <f>EV_Data4[[#This Row],[horsepower]]+EV_Data4[[#This Row],[torque_nm]]/EV_Data4[[#This Row],[acceleration_0_60_mph]]</f>
        <v>772.2675250357654</v>
      </c>
      <c r="AC1323" t="str">
        <f>IF(EV_Data4[[#This Row],[price_usd]]&gt;=80000,"Luxury",IF(EV_Data4[[#This Row],[price_usd]]&gt;=40000,"Mid-Range","Budget"))</f>
        <v>Luxury</v>
      </c>
      <c r="AD1323" t="str">
        <f>IF(EV_Data4[[#This Row],[range_miles]]&gt;=350,"Long-Range",IF(EV_Data4[[#This Row],[range_miles]]&gt;=250,"Medium-Range","Short-Range"))</f>
        <v>Short-Range</v>
      </c>
      <c r="AE1323" t="str">
        <f>IF(EV_Data4[[#This Row],[charging_speed_kw]]&gt;=250,"Ultra-Fast",IF(EV_Data4[[#This Row],[charging_speed_kw]]&gt;=150,"Fast-Charging","Standard-Charging"))</f>
        <v>Ultra-Fast</v>
      </c>
      <c r="AF1323" t="str">
        <f>IF(EV_Data4[[#This Row],[acceleration_0_60_mph]]&lt;=3,"SportsPerformance",IF(EV_Data4[[#This Row],[acceleration_0_60_mph]]&lt;=5,"HighPerformance","Standard"))</f>
        <v>Standard</v>
      </c>
      <c r="AG1323" t="str">
        <f>IF(EV_Data4[[#This Row],[customer_rating]]&gt;=4.5,"Excellent",IF(EV_Data4[[#This Row],[customer_rating]]&gt;=3.5,"Good","Average"))</f>
        <v>Good</v>
      </c>
      <c r="AH132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24" spans="1:34" x14ac:dyDescent="0.3">
      <c r="A1324" t="s">
        <v>52</v>
      </c>
      <c r="B1324" t="s">
        <v>53</v>
      </c>
      <c r="C1324">
        <v>2023</v>
      </c>
      <c r="D1324" t="s">
        <v>56</v>
      </c>
      <c r="E1324" s="3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34</v>
      </c>
      <c r="N1324">
        <v>7</v>
      </c>
      <c r="O1324" t="s">
        <v>50</v>
      </c>
      <c r="P1324">
        <v>30.6</v>
      </c>
      <c r="Q1324">
        <v>1739</v>
      </c>
      <c r="R1324">
        <v>5</v>
      </c>
      <c r="S1324">
        <v>1</v>
      </c>
      <c r="T1324" t="s">
        <v>29</v>
      </c>
      <c r="U1324" t="s">
        <v>30</v>
      </c>
      <c r="V1324" s="3">
        <v>24901</v>
      </c>
      <c r="W1324">
        <v>3.81</v>
      </c>
      <c r="X1324">
        <v>6</v>
      </c>
      <c r="Y1324" s="1">
        <f>EV_Data4[[#This Row],[range_miles]]/EV_Data4[[#This Row],[battery_capacity_kwh]]</f>
        <v>4.0498442367601246</v>
      </c>
      <c r="Z1324" s="4">
        <f>EV_Data4[[#This Row],[price_usd]]/EV_Data4[[#This Row],[range_miles]]</f>
        <v>498.40284615384616</v>
      </c>
      <c r="AA1324" s="2">
        <f>(EV_Data4[[#This Row],[customer_rating]]*EV_Data4[[#This Row],[safety_rating]]*1000)/EV_Data4[[#This Row],[price_usd]]</f>
        <v>0.1470080504849568</v>
      </c>
      <c r="AB1324">
        <f>EV_Data4[[#This Row],[horsepower]]+EV_Data4[[#This Row],[torque_nm]]/EV_Data4[[#This Row],[acceleration_0_60_mph]]</f>
        <v>883.46632124352334</v>
      </c>
      <c r="AC1324" t="str">
        <f>IF(EV_Data4[[#This Row],[price_usd]]&gt;=80000,"Luxury",IF(EV_Data4[[#This Row],[price_usd]]&gt;=40000,"Mid-Range","Budget"))</f>
        <v>Luxury</v>
      </c>
      <c r="AD1324" t="str">
        <f>IF(EV_Data4[[#This Row],[range_miles]]&gt;=350,"Long-Range",IF(EV_Data4[[#This Row],[range_miles]]&gt;=250,"Medium-Range","Short-Range"))</f>
        <v>Medium-Range</v>
      </c>
      <c r="AE1324" t="str">
        <f>IF(EV_Data4[[#This Row],[charging_speed_kw]]&gt;=250,"Ultra-Fast",IF(EV_Data4[[#This Row],[charging_speed_kw]]&gt;=150,"Fast-Charging","Standard-Charging"))</f>
        <v>Standard-Charging</v>
      </c>
      <c r="AF1324" t="str">
        <f>IF(EV_Data4[[#This Row],[acceleration_0_60_mph]]&lt;=3,"SportsPerformance",IF(EV_Data4[[#This Row],[acceleration_0_60_mph]]&lt;=5,"HighPerformance","Standard"))</f>
        <v>Standard</v>
      </c>
      <c r="AG1324" t="str">
        <f>IF(EV_Data4[[#This Row],[customer_rating]]&gt;=4.5,"Excellent",IF(EV_Data4[[#This Row],[customer_rating]]&gt;=3.5,"Good","Average"))</f>
        <v>Good</v>
      </c>
      <c r="AH132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25" spans="1:34" x14ac:dyDescent="0.3">
      <c r="A1325" t="s">
        <v>63</v>
      </c>
      <c r="B1325" t="s">
        <v>64</v>
      </c>
      <c r="C1325">
        <v>2021</v>
      </c>
      <c r="D1325" t="s">
        <v>26</v>
      </c>
      <c r="E1325" s="3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27</v>
      </c>
      <c r="N1325">
        <v>5</v>
      </c>
      <c r="O1325" t="s">
        <v>58</v>
      </c>
      <c r="P1325">
        <v>32.5</v>
      </c>
      <c r="Q1325">
        <v>1675</v>
      </c>
      <c r="R1325">
        <v>5</v>
      </c>
      <c r="S1325">
        <v>0</v>
      </c>
      <c r="T1325" t="s">
        <v>65</v>
      </c>
      <c r="U1325" t="s">
        <v>33</v>
      </c>
      <c r="V1325" s="3">
        <v>126447</v>
      </c>
      <c r="W1325">
        <v>3.92</v>
      </c>
      <c r="X1325">
        <v>3</v>
      </c>
      <c r="Y1325" s="1">
        <f>EV_Data4[[#This Row],[range_miles]]/EV_Data4[[#This Row],[battery_capacity_kwh]]</f>
        <v>3.3884297520661155</v>
      </c>
      <c r="Z1325" s="4">
        <f>EV_Data4[[#This Row],[price_usd]]/EV_Data4[[#This Row],[range_miles]]</f>
        <v>270.42373983739839</v>
      </c>
      <c r="AA1325" s="2">
        <f>(EV_Data4[[#This Row],[customer_rating]]*EV_Data4[[#This Row],[safety_rating]]*1000)/EV_Data4[[#This Row],[price_usd]]</f>
        <v>0.19641963089945358</v>
      </c>
      <c r="AB1325">
        <f>EV_Data4[[#This Row],[horsepower]]+EV_Data4[[#This Row],[torque_nm]]/EV_Data4[[#This Row],[acceleration_0_60_mph]]</f>
        <v>1266.5634674922601</v>
      </c>
      <c r="AC1325" t="str">
        <f>IF(EV_Data4[[#This Row],[price_usd]]&gt;=80000,"Luxury",IF(EV_Data4[[#This Row],[price_usd]]&gt;=40000,"Mid-Range","Budget"))</f>
        <v>Luxury</v>
      </c>
      <c r="AD1325" t="str">
        <f>IF(EV_Data4[[#This Row],[range_miles]]&gt;=350,"Long-Range",IF(EV_Data4[[#This Row],[range_miles]]&gt;=250,"Medium-Range","Short-Range"))</f>
        <v>Long-Range</v>
      </c>
      <c r="AE1325" t="str">
        <f>IF(EV_Data4[[#This Row],[charging_speed_kw]]&gt;=250,"Ultra-Fast",IF(EV_Data4[[#This Row],[charging_speed_kw]]&gt;=150,"Fast-Charging","Standard-Charging"))</f>
        <v>Fast-Charging</v>
      </c>
      <c r="AF1325" t="str">
        <f>IF(EV_Data4[[#This Row],[acceleration_0_60_mph]]&lt;=3,"SportsPerformance",IF(EV_Data4[[#This Row],[acceleration_0_60_mph]]&lt;=5,"HighPerformance","Standard"))</f>
        <v>HighPerformance</v>
      </c>
      <c r="AG1325" t="str">
        <f>IF(EV_Data4[[#This Row],[customer_rating]]&gt;=4.5,"Excellent",IF(EV_Data4[[#This Row],[customer_rating]]&gt;=3.5,"Good","Average"))</f>
        <v>Good</v>
      </c>
      <c r="AH132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26" spans="1:34" x14ac:dyDescent="0.3">
      <c r="A1326" t="s">
        <v>124</v>
      </c>
      <c r="B1326" t="s">
        <v>125</v>
      </c>
      <c r="C1326">
        <v>2026</v>
      </c>
      <c r="D1326" t="s">
        <v>56</v>
      </c>
      <c r="E1326" s="3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34</v>
      </c>
      <c r="N1326">
        <v>7</v>
      </c>
      <c r="O1326" t="s">
        <v>28</v>
      </c>
      <c r="P1326">
        <v>53.2</v>
      </c>
      <c r="Q1326">
        <v>2482</v>
      </c>
      <c r="R1326">
        <v>5</v>
      </c>
      <c r="S1326">
        <v>1</v>
      </c>
      <c r="T1326" t="s">
        <v>41</v>
      </c>
      <c r="U1326" t="s">
        <v>30</v>
      </c>
      <c r="V1326" s="3">
        <v>21377</v>
      </c>
      <c r="W1326">
        <v>3.21</v>
      </c>
      <c r="X1326">
        <v>5</v>
      </c>
      <c r="Y1326" s="1">
        <f>EV_Data4[[#This Row],[range_miles]]/EV_Data4[[#This Row],[battery_capacity_kwh]]</f>
        <v>3.6319612590799033</v>
      </c>
      <c r="Z1326" s="4">
        <f>EV_Data4[[#This Row],[price_usd]]/EV_Data4[[#This Row],[range_miles]]</f>
        <v>919.20053333333328</v>
      </c>
      <c r="AA1326" s="2">
        <f>(EV_Data4[[#This Row],[customer_rating]]*EV_Data4[[#This Row],[safety_rating]]*1000)/EV_Data4[[#This Row],[price_usd]]</f>
        <v>0.11640550252074122</v>
      </c>
      <c r="AB1326">
        <f>EV_Data4[[#This Row],[horsepower]]+EV_Data4[[#This Row],[torque_nm]]/EV_Data4[[#This Row],[acceleration_0_60_mph]]</f>
        <v>545.53768844221111</v>
      </c>
      <c r="AC1326" t="str">
        <f>IF(EV_Data4[[#This Row],[price_usd]]&gt;=80000,"Luxury",IF(EV_Data4[[#This Row],[price_usd]]&gt;=40000,"Mid-Range","Budget"))</f>
        <v>Luxury</v>
      </c>
      <c r="AD1326" t="str">
        <f>IF(EV_Data4[[#This Row],[range_miles]]&gt;=350,"Long-Range",IF(EV_Data4[[#This Row],[range_miles]]&gt;=250,"Medium-Range","Short-Range"))</f>
        <v>Short-Range</v>
      </c>
      <c r="AE1326" t="str">
        <f>IF(EV_Data4[[#This Row],[charging_speed_kw]]&gt;=250,"Ultra-Fast",IF(EV_Data4[[#This Row],[charging_speed_kw]]&gt;=150,"Fast-Charging","Standard-Charging"))</f>
        <v>Ultra-Fast</v>
      </c>
      <c r="AF1326" t="str">
        <f>IF(EV_Data4[[#This Row],[acceleration_0_60_mph]]&lt;=3,"SportsPerformance",IF(EV_Data4[[#This Row],[acceleration_0_60_mph]]&lt;=5,"HighPerformance","Standard"))</f>
        <v>Standard</v>
      </c>
      <c r="AG1326" t="str">
        <f>IF(EV_Data4[[#This Row],[customer_rating]]&gt;=4.5,"Excellent",IF(EV_Data4[[#This Row],[customer_rating]]&gt;=3.5,"Good","Average"))</f>
        <v>Average</v>
      </c>
      <c r="AH132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27" spans="1:34" x14ac:dyDescent="0.3">
      <c r="A1327" t="s">
        <v>63</v>
      </c>
      <c r="B1327" t="s">
        <v>64</v>
      </c>
      <c r="C1327">
        <v>2025</v>
      </c>
      <c r="D1327" t="s">
        <v>44</v>
      </c>
      <c r="E1327" s="3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27</v>
      </c>
      <c r="N1327">
        <v>5</v>
      </c>
      <c r="O1327" t="s">
        <v>51</v>
      </c>
      <c r="P1327">
        <v>34.200000000000003</v>
      </c>
      <c r="Q1327">
        <v>1878</v>
      </c>
      <c r="R1327">
        <v>4</v>
      </c>
      <c r="S1327">
        <v>2</v>
      </c>
      <c r="T1327" t="s">
        <v>65</v>
      </c>
      <c r="U1327" t="s">
        <v>37</v>
      </c>
      <c r="V1327" s="3">
        <v>108943</v>
      </c>
      <c r="W1327">
        <v>4.12</v>
      </c>
      <c r="X1327">
        <v>4</v>
      </c>
      <c r="Y1327" s="1">
        <f>EV_Data4[[#This Row],[range_miles]]/EV_Data4[[#This Row],[battery_capacity_kwh]]</f>
        <v>3.6098020735155516</v>
      </c>
      <c r="Z1327" s="4">
        <f>EV_Data4[[#This Row],[price_usd]]/EV_Data4[[#This Row],[range_miles]]</f>
        <v>150.75130548302872</v>
      </c>
      <c r="AA1327" s="2">
        <f>(EV_Data4[[#This Row],[customer_rating]]*EV_Data4[[#This Row],[safety_rating]]*1000)/EV_Data4[[#This Row],[price_usd]]</f>
        <v>0.28542851080965226</v>
      </c>
      <c r="AB1327">
        <f>EV_Data4[[#This Row],[horsepower]]+EV_Data4[[#This Row],[torque_nm]]/EV_Data4[[#This Row],[acceleration_0_60_mph]]</f>
        <v>796.87943262411341</v>
      </c>
      <c r="AC1327" t="str">
        <f>IF(EV_Data4[[#This Row],[price_usd]]&gt;=80000,"Luxury",IF(EV_Data4[[#This Row],[price_usd]]&gt;=40000,"Mid-Range","Budget"))</f>
        <v>Mid-Range</v>
      </c>
      <c r="AD1327" t="str">
        <f>IF(EV_Data4[[#This Row],[range_miles]]&gt;=350,"Long-Range",IF(EV_Data4[[#This Row],[range_miles]]&gt;=250,"Medium-Range","Short-Range"))</f>
        <v>Long-Range</v>
      </c>
      <c r="AE1327" t="str">
        <f>IF(EV_Data4[[#This Row],[charging_speed_kw]]&gt;=250,"Ultra-Fast",IF(EV_Data4[[#This Row],[charging_speed_kw]]&gt;=150,"Fast-Charging","Standard-Charging"))</f>
        <v>Standard-Charging</v>
      </c>
      <c r="AF1327" t="str">
        <f>IF(EV_Data4[[#This Row],[acceleration_0_60_mph]]&lt;=3,"SportsPerformance",IF(EV_Data4[[#This Row],[acceleration_0_60_mph]]&lt;=5,"HighPerformance","Standard"))</f>
        <v>HighPerformance</v>
      </c>
      <c r="AG1327" t="str">
        <f>IF(EV_Data4[[#This Row],[customer_rating]]&gt;=4.5,"Excellent",IF(EV_Data4[[#This Row],[customer_rating]]&gt;=3.5,"Good","Average"))</f>
        <v>Good</v>
      </c>
      <c r="AH132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28" spans="1:34" x14ac:dyDescent="0.3">
      <c r="A1328" t="s">
        <v>46</v>
      </c>
      <c r="B1328" t="s">
        <v>49</v>
      </c>
      <c r="C1328">
        <v>2023</v>
      </c>
      <c r="D1328" t="s">
        <v>56</v>
      </c>
      <c r="E1328" s="3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34</v>
      </c>
      <c r="N1328">
        <v>5</v>
      </c>
      <c r="O1328" t="s">
        <v>40</v>
      </c>
      <c r="P1328">
        <v>63.4</v>
      </c>
      <c r="Q1328">
        <v>1500</v>
      </c>
      <c r="R1328">
        <v>5</v>
      </c>
      <c r="S1328">
        <v>3</v>
      </c>
      <c r="T1328" t="s">
        <v>41</v>
      </c>
      <c r="U1328" t="s">
        <v>30</v>
      </c>
      <c r="V1328" s="3">
        <v>485203</v>
      </c>
      <c r="W1328">
        <v>3.66</v>
      </c>
      <c r="X1328">
        <v>4</v>
      </c>
      <c r="Y1328" s="1">
        <f>EV_Data4[[#This Row],[range_miles]]/EV_Data4[[#This Row],[battery_capacity_kwh]]</f>
        <v>3.2032301480484522</v>
      </c>
      <c r="Z1328" s="4">
        <f>EV_Data4[[#This Row],[price_usd]]/EV_Data4[[#This Row],[range_miles]]</f>
        <v>472.57315126050423</v>
      </c>
      <c r="AA1328" s="2">
        <f>(EV_Data4[[#This Row],[customer_rating]]*EV_Data4[[#This Row],[safety_rating]]*1000)/EV_Data4[[#This Row],[price_usd]]</f>
        <v>0.16270656954892315</v>
      </c>
      <c r="AB1328">
        <f>EV_Data4[[#This Row],[horsepower]]+EV_Data4[[#This Row],[torque_nm]]/EV_Data4[[#This Row],[acceleration_0_60_mph]]</f>
        <v>901.22950819672133</v>
      </c>
      <c r="AC1328" t="str">
        <f>IF(EV_Data4[[#This Row],[price_usd]]&gt;=80000,"Luxury",IF(EV_Data4[[#This Row],[price_usd]]&gt;=40000,"Mid-Range","Budget"))</f>
        <v>Luxury</v>
      </c>
      <c r="AD1328" t="str">
        <f>IF(EV_Data4[[#This Row],[range_miles]]&gt;=350,"Long-Range",IF(EV_Data4[[#This Row],[range_miles]]&gt;=250,"Medium-Range","Short-Range"))</f>
        <v>Short-Range</v>
      </c>
      <c r="AE1328" t="str">
        <f>IF(EV_Data4[[#This Row],[charging_speed_kw]]&gt;=250,"Ultra-Fast",IF(EV_Data4[[#This Row],[charging_speed_kw]]&gt;=150,"Fast-Charging","Standard-Charging"))</f>
        <v>Ultra-Fast</v>
      </c>
      <c r="AF1328" t="str">
        <f>IF(EV_Data4[[#This Row],[acceleration_0_60_mph]]&lt;=3,"SportsPerformance",IF(EV_Data4[[#This Row],[acceleration_0_60_mph]]&lt;=5,"HighPerformance","Standard"))</f>
        <v>Standard</v>
      </c>
      <c r="AG1328" t="str">
        <f>IF(EV_Data4[[#This Row],[customer_rating]]&gt;=4.5,"Excellent",IF(EV_Data4[[#This Row],[customer_rating]]&gt;=3.5,"Good","Average"))</f>
        <v>Good</v>
      </c>
      <c r="AH132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329" spans="1:34" x14ac:dyDescent="0.3">
      <c r="A1329" t="s">
        <v>76</v>
      </c>
      <c r="B1329" t="s">
        <v>81</v>
      </c>
      <c r="C1329">
        <v>2025</v>
      </c>
      <c r="D1329" t="s">
        <v>44</v>
      </c>
      <c r="E1329" s="3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27</v>
      </c>
      <c r="N1329">
        <v>5</v>
      </c>
      <c r="O1329" t="s">
        <v>40</v>
      </c>
      <c r="P1329">
        <v>61.8</v>
      </c>
      <c r="Q1329">
        <v>1886</v>
      </c>
      <c r="R1329">
        <v>3</v>
      </c>
      <c r="S1329">
        <v>1</v>
      </c>
      <c r="T1329" t="s">
        <v>41</v>
      </c>
      <c r="U1329" t="s">
        <v>37</v>
      </c>
      <c r="V1329" s="3">
        <v>50891</v>
      </c>
      <c r="W1329">
        <v>3.53</v>
      </c>
      <c r="X1329">
        <v>4</v>
      </c>
      <c r="Y1329" s="1">
        <f>EV_Data4[[#This Row],[range_miles]]/EV_Data4[[#This Row],[battery_capacity_kwh]]</f>
        <v>3.5833333333333335</v>
      </c>
      <c r="Z1329" s="4">
        <f>EV_Data4[[#This Row],[price_usd]]/EV_Data4[[#This Row],[range_miles]]</f>
        <v>158.72732558139535</v>
      </c>
      <c r="AA1329" s="2">
        <f>(EV_Data4[[#This Row],[customer_rating]]*EV_Data4[[#This Row],[safety_rating]]*1000)/EV_Data4[[#This Row],[price_usd]]</f>
        <v>0.19394822919223037</v>
      </c>
      <c r="AB1329">
        <f>EV_Data4[[#This Row],[horsepower]]+EV_Data4[[#This Row],[torque_nm]]/EV_Data4[[#This Row],[acceleration_0_60_mph]]</f>
        <v>674.15730337078651</v>
      </c>
      <c r="AC1329" t="str">
        <f>IF(EV_Data4[[#This Row],[price_usd]]&gt;=80000,"Luxury",IF(EV_Data4[[#This Row],[price_usd]]&gt;=40000,"Mid-Range","Budget"))</f>
        <v>Mid-Range</v>
      </c>
      <c r="AD1329" t="str">
        <f>IF(EV_Data4[[#This Row],[range_miles]]&gt;=350,"Long-Range",IF(EV_Data4[[#This Row],[range_miles]]&gt;=250,"Medium-Range","Short-Range"))</f>
        <v>Medium-Range</v>
      </c>
      <c r="AE1329" t="str">
        <f>IF(EV_Data4[[#This Row],[charging_speed_kw]]&gt;=250,"Ultra-Fast",IF(EV_Data4[[#This Row],[charging_speed_kw]]&gt;=150,"Fast-Charging","Standard-Charging"))</f>
        <v>Standard-Charging</v>
      </c>
      <c r="AF1329" t="str">
        <f>IF(EV_Data4[[#This Row],[acceleration_0_60_mph]]&lt;=3,"SportsPerformance",IF(EV_Data4[[#This Row],[acceleration_0_60_mph]]&lt;=5,"HighPerformance","Standard"))</f>
        <v>HighPerformance</v>
      </c>
      <c r="AG1329" t="str">
        <f>IF(EV_Data4[[#This Row],[customer_rating]]&gt;=4.5,"Excellent",IF(EV_Data4[[#This Row],[customer_rating]]&gt;=3.5,"Good","Average"))</f>
        <v>Good</v>
      </c>
      <c r="AH132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30" spans="1:34" x14ac:dyDescent="0.3">
      <c r="A1330" t="s">
        <v>83</v>
      </c>
      <c r="B1330" t="s">
        <v>104</v>
      </c>
      <c r="C1330">
        <v>2021</v>
      </c>
      <c r="D1330" t="s">
        <v>44</v>
      </c>
      <c r="E1330" s="3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48</v>
      </c>
      <c r="N1330">
        <v>5</v>
      </c>
      <c r="O1330" t="s">
        <v>35</v>
      </c>
      <c r="P1330">
        <v>63.9</v>
      </c>
      <c r="Q1330">
        <v>2095</v>
      </c>
      <c r="R1330">
        <v>3</v>
      </c>
      <c r="S1330">
        <v>2</v>
      </c>
      <c r="T1330" t="s">
        <v>29</v>
      </c>
      <c r="U1330" t="s">
        <v>33</v>
      </c>
      <c r="V1330" s="3">
        <v>40089</v>
      </c>
      <c r="W1330">
        <v>3.69</v>
      </c>
      <c r="X1330">
        <v>7</v>
      </c>
      <c r="Y1330" s="1">
        <f>EV_Data4[[#This Row],[range_miles]]/EV_Data4[[#This Row],[battery_capacity_kwh]]</f>
        <v>3.4018499486125386</v>
      </c>
      <c r="Z1330" s="4">
        <f>EV_Data4[[#This Row],[price_usd]]/EV_Data4[[#This Row],[range_miles]]</f>
        <v>261.94</v>
      </c>
      <c r="AA1330" s="2">
        <f>(EV_Data4[[#This Row],[customer_rating]]*EV_Data4[[#This Row],[safety_rating]]*1000)/EV_Data4[[#This Row],[price_usd]]</f>
        <v>0.12767850943471523</v>
      </c>
      <c r="AB1330">
        <f>EV_Data4[[#This Row],[horsepower]]+EV_Data4[[#This Row],[torque_nm]]/EV_Data4[[#This Row],[acceleration_0_60_mph]]</f>
        <v>783.31474103585663</v>
      </c>
      <c r="AC1330" t="str">
        <f>IF(EV_Data4[[#This Row],[price_usd]]&gt;=80000,"Luxury",IF(EV_Data4[[#This Row],[price_usd]]&gt;=40000,"Mid-Range","Budget"))</f>
        <v>Luxury</v>
      </c>
      <c r="AD1330" t="str">
        <f>IF(EV_Data4[[#This Row],[range_miles]]&gt;=350,"Long-Range",IF(EV_Data4[[#This Row],[range_miles]]&gt;=250,"Medium-Range","Short-Range"))</f>
        <v>Medium-Range</v>
      </c>
      <c r="AE1330" t="str">
        <f>IF(EV_Data4[[#This Row],[charging_speed_kw]]&gt;=250,"Ultra-Fast",IF(EV_Data4[[#This Row],[charging_speed_kw]]&gt;=150,"Fast-Charging","Standard-Charging"))</f>
        <v>Standard-Charging</v>
      </c>
      <c r="AF1330" t="str">
        <f>IF(EV_Data4[[#This Row],[acceleration_0_60_mph]]&lt;=3,"SportsPerformance",IF(EV_Data4[[#This Row],[acceleration_0_60_mph]]&lt;=5,"HighPerformance","Standard"))</f>
        <v>Standard</v>
      </c>
      <c r="AG1330" t="str">
        <f>IF(EV_Data4[[#This Row],[customer_rating]]&gt;=4.5,"Excellent",IF(EV_Data4[[#This Row],[customer_rating]]&gt;=3.5,"Good","Average"))</f>
        <v>Good</v>
      </c>
      <c r="AH133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31" spans="1:34" x14ac:dyDescent="0.3">
      <c r="A1331" t="s">
        <v>68</v>
      </c>
      <c r="B1331" t="s">
        <v>106</v>
      </c>
      <c r="C1331">
        <v>2023</v>
      </c>
      <c r="D1331" t="s">
        <v>26</v>
      </c>
      <c r="E1331" s="3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48</v>
      </c>
      <c r="N1331">
        <v>5</v>
      </c>
      <c r="O1331" t="s">
        <v>35</v>
      </c>
      <c r="P1331">
        <v>60.4</v>
      </c>
      <c r="Q1331">
        <v>2285</v>
      </c>
      <c r="R1331">
        <v>5</v>
      </c>
      <c r="S1331">
        <v>0</v>
      </c>
      <c r="T1331" t="s">
        <v>45</v>
      </c>
      <c r="U1331" t="s">
        <v>30</v>
      </c>
      <c r="V1331" s="3">
        <v>67872</v>
      </c>
      <c r="W1331">
        <v>3.44</v>
      </c>
      <c r="X1331">
        <v>4</v>
      </c>
      <c r="Y1331" s="1">
        <f>EV_Data4[[#This Row],[range_miles]]/EV_Data4[[#This Row],[battery_capacity_kwh]]</f>
        <v>3.4441489361702127</v>
      </c>
      <c r="Z1331" s="4">
        <f>EV_Data4[[#This Row],[price_usd]]/EV_Data4[[#This Row],[range_miles]]</f>
        <v>413.19409266409269</v>
      </c>
      <c r="AA1331" s="2">
        <f>(EV_Data4[[#This Row],[customer_rating]]*EV_Data4[[#This Row],[safety_rating]]*1000)/EV_Data4[[#This Row],[price_usd]]</f>
        <v>0.16072172276493316</v>
      </c>
      <c r="AB1331">
        <f>EV_Data4[[#This Row],[horsepower]]+EV_Data4[[#This Row],[torque_nm]]/EV_Data4[[#This Row],[acceleration_0_60_mph]]</f>
        <v>1225.4901960784314</v>
      </c>
      <c r="AC1331" t="str">
        <f>IF(EV_Data4[[#This Row],[price_usd]]&gt;=80000,"Luxury",IF(EV_Data4[[#This Row],[price_usd]]&gt;=40000,"Mid-Range","Budget"))</f>
        <v>Luxury</v>
      </c>
      <c r="AD1331" t="str">
        <f>IF(EV_Data4[[#This Row],[range_miles]]&gt;=350,"Long-Range",IF(EV_Data4[[#This Row],[range_miles]]&gt;=250,"Medium-Range","Short-Range"))</f>
        <v>Medium-Range</v>
      </c>
      <c r="AE1331" t="str">
        <f>IF(EV_Data4[[#This Row],[charging_speed_kw]]&gt;=250,"Ultra-Fast",IF(EV_Data4[[#This Row],[charging_speed_kw]]&gt;=150,"Fast-Charging","Standard-Charging"))</f>
        <v>Fast-Charging</v>
      </c>
      <c r="AF1331" t="str">
        <f>IF(EV_Data4[[#This Row],[acceleration_0_60_mph]]&lt;=3,"SportsPerformance",IF(EV_Data4[[#This Row],[acceleration_0_60_mph]]&lt;=5,"HighPerformance","Standard"))</f>
        <v>HighPerformance</v>
      </c>
      <c r="AG1331" t="str">
        <f>IF(EV_Data4[[#This Row],[customer_rating]]&gt;=4.5,"Excellent",IF(EV_Data4[[#This Row],[customer_rating]]&gt;=3.5,"Good","Average"))</f>
        <v>Average</v>
      </c>
      <c r="AH133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32" spans="1:34" x14ac:dyDescent="0.3">
      <c r="A1332" t="s">
        <v>42</v>
      </c>
      <c r="B1332" t="s">
        <v>43</v>
      </c>
      <c r="C1332">
        <v>2025</v>
      </c>
      <c r="D1332" t="s">
        <v>44</v>
      </c>
      <c r="E1332" s="3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48</v>
      </c>
      <c r="N1332">
        <v>5</v>
      </c>
      <c r="O1332" t="s">
        <v>35</v>
      </c>
      <c r="P1332">
        <v>60.2</v>
      </c>
      <c r="Q1332">
        <v>2168</v>
      </c>
      <c r="R1332">
        <v>4</v>
      </c>
      <c r="S1332">
        <v>0</v>
      </c>
      <c r="T1332" t="s">
        <v>45</v>
      </c>
      <c r="U1332" t="s">
        <v>33</v>
      </c>
      <c r="V1332" s="3">
        <v>116634</v>
      </c>
      <c r="W1332">
        <v>3.71</v>
      </c>
      <c r="X1332">
        <v>3</v>
      </c>
      <c r="Y1332" s="1">
        <f>EV_Data4[[#This Row],[range_miles]]/EV_Data4[[#This Row],[battery_capacity_kwh]]</f>
        <v>3.6472148541114056</v>
      </c>
      <c r="Z1332" s="4">
        <f>EV_Data4[[#This Row],[price_usd]]/EV_Data4[[#This Row],[range_miles]]</f>
        <v>279.22654545454549</v>
      </c>
      <c r="AA1332" s="2">
        <f>(EV_Data4[[#This Row],[customer_rating]]*EV_Data4[[#This Row],[safety_rating]]*1000)/EV_Data4[[#This Row],[price_usd]]</f>
        <v>0.19326112521211189</v>
      </c>
      <c r="AB1332">
        <f>EV_Data4[[#This Row],[horsepower]]+EV_Data4[[#This Row],[torque_nm]]/EV_Data4[[#This Row],[acceleration_0_60_mph]]</f>
        <v>1021.07917383821</v>
      </c>
      <c r="AC1332" t="str">
        <f>IF(EV_Data4[[#This Row],[price_usd]]&gt;=80000,"Luxury",IF(EV_Data4[[#This Row],[price_usd]]&gt;=40000,"Mid-Range","Budget"))</f>
        <v>Mid-Range</v>
      </c>
      <c r="AD1332" t="str">
        <f>IF(EV_Data4[[#This Row],[range_miles]]&gt;=350,"Long-Range",IF(EV_Data4[[#This Row],[range_miles]]&gt;=250,"Medium-Range","Short-Range"))</f>
        <v>Medium-Range</v>
      </c>
      <c r="AE1332" t="str">
        <f>IF(EV_Data4[[#This Row],[charging_speed_kw]]&gt;=250,"Ultra-Fast",IF(EV_Data4[[#This Row],[charging_speed_kw]]&gt;=150,"Fast-Charging","Standard-Charging"))</f>
        <v>Standard-Charging</v>
      </c>
      <c r="AF1332" t="str">
        <f>IF(EV_Data4[[#This Row],[acceleration_0_60_mph]]&lt;=3,"SportsPerformance",IF(EV_Data4[[#This Row],[acceleration_0_60_mph]]&lt;=5,"HighPerformance","Standard"))</f>
        <v>Standard</v>
      </c>
      <c r="AG1332" t="str">
        <f>IF(EV_Data4[[#This Row],[customer_rating]]&gt;=4.5,"Excellent",IF(EV_Data4[[#This Row],[customer_rating]]&gt;=3.5,"Good","Average"))</f>
        <v>Good</v>
      </c>
      <c r="AH133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33" spans="1:34" x14ac:dyDescent="0.3">
      <c r="A1333" t="s">
        <v>38</v>
      </c>
      <c r="B1333" t="s">
        <v>101</v>
      </c>
      <c r="C1333">
        <v>2024</v>
      </c>
      <c r="D1333" t="s">
        <v>44</v>
      </c>
      <c r="E1333" s="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27</v>
      </c>
      <c r="N1333">
        <v>7</v>
      </c>
      <c r="O1333" t="s">
        <v>28</v>
      </c>
      <c r="P1333">
        <v>59.3</v>
      </c>
      <c r="Q1333">
        <v>2617</v>
      </c>
      <c r="R1333">
        <v>4</v>
      </c>
      <c r="S1333">
        <v>0</v>
      </c>
      <c r="T1333" t="s">
        <v>41</v>
      </c>
      <c r="U1333" t="s">
        <v>37</v>
      </c>
      <c r="V1333" s="3">
        <v>4380</v>
      </c>
      <c r="W1333">
        <v>3.46</v>
      </c>
      <c r="X1333">
        <v>4</v>
      </c>
      <c r="Y1333" s="1">
        <f>EV_Data4[[#This Row],[range_miles]]/EV_Data4[[#This Row],[battery_capacity_kwh]]</f>
        <v>3.4970760233918128</v>
      </c>
      <c r="Z1333" s="4">
        <f>EV_Data4[[#This Row],[price_usd]]/EV_Data4[[#This Row],[range_miles]]</f>
        <v>181.21170568561874</v>
      </c>
      <c r="AA1333" s="2">
        <f>(EV_Data4[[#This Row],[customer_rating]]*EV_Data4[[#This Row],[safety_rating]]*1000)/EV_Data4[[#This Row],[price_usd]]</f>
        <v>0.25543397013415819</v>
      </c>
      <c r="AB1333">
        <f>EV_Data4[[#This Row],[horsepower]]+EV_Data4[[#This Row],[torque_nm]]/EV_Data4[[#This Row],[acceleration_0_60_mph]]</f>
        <v>768.20338983050851</v>
      </c>
      <c r="AC1333" t="str">
        <f>IF(EV_Data4[[#This Row],[price_usd]]&gt;=80000,"Luxury",IF(EV_Data4[[#This Row],[price_usd]]&gt;=40000,"Mid-Range","Budget"))</f>
        <v>Mid-Range</v>
      </c>
      <c r="AD1333" t="str">
        <f>IF(EV_Data4[[#This Row],[range_miles]]&gt;=350,"Long-Range",IF(EV_Data4[[#This Row],[range_miles]]&gt;=250,"Medium-Range","Short-Range"))</f>
        <v>Medium-Range</v>
      </c>
      <c r="AE1333" t="str">
        <f>IF(EV_Data4[[#This Row],[charging_speed_kw]]&gt;=250,"Ultra-Fast",IF(EV_Data4[[#This Row],[charging_speed_kw]]&gt;=150,"Fast-Charging","Standard-Charging"))</f>
        <v>Standard-Charging</v>
      </c>
      <c r="AF1333" t="str">
        <f>IF(EV_Data4[[#This Row],[acceleration_0_60_mph]]&lt;=3,"SportsPerformance",IF(EV_Data4[[#This Row],[acceleration_0_60_mph]]&lt;=5,"HighPerformance","Standard"))</f>
        <v>Standard</v>
      </c>
      <c r="AG1333" t="str">
        <f>IF(EV_Data4[[#This Row],[customer_rating]]&gt;=4.5,"Excellent",IF(EV_Data4[[#This Row],[customer_rating]]&gt;=3.5,"Good","Average"))</f>
        <v>Average</v>
      </c>
      <c r="AH133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34" spans="1:34" x14ac:dyDescent="0.3">
      <c r="A1334" t="s">
        <v>63</v>
      </c>
      <c r="B1334" t="s">
        <v>96</v>
      </c>
      <c r="C1334">
        <v>2022</v>
      </c>
      <c r="D1334" t="s">
        <v>44</v>
      </c>
      <c r="E1334" s="3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27</v>
      </c>
      <c r="N1334">
        <v>7</v>
      </c>
      <c r="O1334" t="s">
        <v>51</v>
      </c>
      <c r="P1334">
        <v>21.4</v>
      </c>
      <c r="Q1334">
        <v>1500</v>
      </c>
      <c r="R1334">
        <v>3</v>
      </c>
      <c r="S1334">
        <v>0</v>
      </c>
      <c r="T1334" t="s">
        <v>65</v>
      </c>
      <c r="U1334" t="s">
        <v>37</v>
      </c>
      <c r="V1334" s="3">
        <v>203792</v>
      </c>
      <c r="W1334">
        <v>3.47</v>
      </c>
      <c r="X1334">
        <v>3</v>
      </c>
      <c r="Y1334" s="1">
        <f>EV_Data4[[#This Row],[range_miles]]/EV_Data4[[#This Row],[battery_capacity_kwh]]</f>
        <v>3.4490010515247111</v>
      </c>
      <c r="Z1334" s="4">
        <f>EV_Data4[[#This Row],[price_usd]]/EV_Data4[[#This Row],[range_miles]]</f>
        <v>133.14518292682928</v>
      </c>
      <c r="AA1334" s="2">
        <f>(EV_Data4[[#This Row],[customer_rating]]*EV_Data4[[#This Row],[safety_rating]]*1000)/EV_Data4[[#This Row],[price_usd]]</f>
        <v>0.23836990704718533</v>
      </c>
      <c r="AB1334">
        <f>EV_Data4[[#This Row],[horsepower]]+EV_Data4[[#This Row],[torque_nm]]/EV_Data4[[#This Row],[acceleration_0_60_mph]]</f>
        <v>595.672032193159</v>
      </c>
      <c r="AC1334" t="str">
        <f>IF(EV_Data4[[#This Row],[price_usd]]&gt;=80000,"Luxury",IF(EV_Data4[[#This Row],[price_usd]]&gt;=40000,"Mid-Range","Budget"))</f>
        <v>Mid-Range</v>
      </c>
      <c r="AD1334" t="str">
        <f>IF(EV_Data4[[#This Row],[range_miles]]&gt;=350,"Long-Range",IF(EV_Data4[[#This Row],[range_miles]]&gt;=250,"Medium-Range","Short-Range"))</f>
        <v>Medium-Range</v>
      </c>
      <c r="AE1334" t="str">
        <f>IF(EV_Data4[[#This Row],[charging_speed_kw]]&gt;=250,"Ultra-Fast",IF(EV_Data4[[#This Row],[charging_speed_kw]]&gt;=150,"Fast-Charging","Standard-Charging"))</f>
        <v>Standard-Charging</v>
      </c>
      <c r="AF1334" t="str">
        <f>IF(EV_Data4[[#This Row],[acceleration_0_60_mph]]&lt;=3,"SportsPerformance",IF(EV_Data4[[#This Row],[acceleration_0_60_mph]]&lt;=5,"HighPerformance","Standard"))</f>
        <v>HighPerformance</v>
      </c>
      <c r="AG1334" t="str">
        <f>IF(EV_Data4[[#This Row],[customer_rating]]&gt;=4.5,"Excellent",IF(EV_Data4[[#This Row],[customer_rating]]&gt;=3.5,"Good","Average"))</f>
        <v>Average</v>
      </c>
      <c r="AH133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35" spans="1:34" x14ac:dyDescent="0.3">
      <c r="A1335" t="s">
        <v>131</v>
      </c>
      <c r="B1335" t="s">
        <v>132</v>
      </c>
      <c r="C1335">
        <v>2025</v>
      </c>
      <c r="D1335" t="s">
        <v>33</v>
      </c>
      <c r="E1335" s="3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27</v>
      </c>
      <c r="N1335">
        <v>5</v>
      </c>
      <c r="O1335" t="s">
        <v>58</v>
      </c>
      <c r="P1335">
        <v>21</v>
      </c>
      <c r="Q1335">
        <v>1521</v>
      </c>
      <c r="R1335">
        <v>4</v>
      </c>
      <c r="S1335">
        <v>0</v>
      </c>
      <c r="T1335" t="s">
        <v>65</v>
      </c>
      <c r="U1335" t="s">
        <v>37</v>
      </c>
      <c r="V1335" s="3">
        <v>22327</v>
      </c>
      <c r="W1335">
        <v>3.32</v>
      </c>
      <c r="X1335">
        <v>4</v>
      </c>
      <c r="Y1335" s="1">
        <f>EV_Data4[[#This Row],[range_miles]]/EV_Data4[[#This Row],[battery_capacity_kwh]]</f>
        <v>3.0800821355236137</v>
      </c>
      <c r="Z1335" s="4">
        <f>EV_Data4[[#This Row],[price_usd]]/EV_Data4[[#This Row],[range_miles]]</f>
        <v>370.09066666666666</v>
      </c>
      <c r="AA1335" s="2">
        <f>(EV_Data4[[#This Row],[customer_rating]]*EV_Data4[[#This Row],[safety_rating]]*1000)/EV_Data4[[#This Row],[price_usd]]</f>
        <v>0.23922065944201062</v>
      </c>
      <c r="AB1335">
        <f>EV_Data4[[#This Row],[horsepower]]+EV_Data4[[#This Row],[torque_nm]]/EV_Data4[[#This Row],[acceleration_0_60_mph]]</f>
        <v>496.12121212121212</v>
      </c>
      <c r="AC1335" t="str">
        <f>IF(EV_Data4[[#This Row],[price_usd]]&gt;=80000,"Luxury",IF(EV_Data4[[#This Row],[price_usd]]&gt;=40000,"Mid-Range","Budget"))</f>
        <v>Mid-Range</v>
      </c>
      <c r="AD1335" t="str">
        <f>IF(EV_Data4[[#This Row],[range_miles]]&gt;=350,"Long-Range",IF(EV_Data4[[#This Row],[range_miles]]&gt;=250,"Medium-Range","Short-Range"))</f>
        <v>Short-Range</v>
      </c>
      <c r="AE1335" t="str">
        <f>IF(EV_Data4[[#This Row],[charging_speed_kw]]&gt;=250,"Ultra-Fast",IF(EV_Data4[[#This Row],[charging_speed_kw]]&gt;=150,"Fast-Charging","Standard-Charging"))</f>
        <v>Standard-Charging</v>
      </c>
      <c r="AF1335" t="str">
        <f>IF(EV_Data4[[#This Row],[acceleration_0_60_mph]]&lt;=3,"SportsPerformance",IF(EV_Data4[[#This Row],[acceleration_0_60_mph]]&lt;=5,"HighPerformance","Standard"))</f>
        <v>Standard</v>
      </c>
      <c r="AG1335" t="str">
        <f>IF(EV_Data4[[#This Row],[customer_rating]]&gt;=4.5,"Excellent",IF(EV_Data4[[#This Row],[customer_rating]]&gt;=3.5,"Good","Average"))</f>
        <v>Average</v>
      </c>
      <c r="AH133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36" spans="1:34" x14ac:dyDescent="0.3">
      <c r="A1336" t="s">
        <v>124</v>
      </c>
      <c r="B1336" t="s">
        <v>125</v>
      </c>
      <c r="C1336">
        <v>2024</v>
      </c>
      <c r="D1336" t="s">
        <v>33</v>
      </c>
      <c r="E1336" s="3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27</v>
      </c>
      <c r="N1336">
        <v>7</v>
      </c>
      <c r="O1336" t="s">
        <v>50</v>
      </c>
      <c r="P1336">
        <v>16.600000000000001</v>
      </c>
      <c r="Q1336">
        <v>1560</v>
      </c>
      <c r="R1336">
        <v>4</v>
      </c>
      <c r="S1336">
        <v>1</v>
      </c>
      <c r="T1336" t="s">
        <v>41</v>
      </c>
      <c r="U1336" t="s">
        <v>30</v>
      </c>
      <c r="V1336" s="3">
        <v>4056</v>
      </c>
      <c r="W1336">
        <v>3.28</v>
      </c>
      <c r="X1336">
        <v>4</v>
      </c>
      <c r="Y1336" s="1">
        <f>EV_Data4[[#This Row],[range_miles]]/EV_Data4[[#This Row],[battery_capacity_kwh]]</f>
        <v>3.6173001310615991</v>
      </c>
      <c r="Z1336" s="4">
        <f>EV_Data4[[#This Row],[price_usd]]/EV_Data4[[#This Row],[range_miles]]</f>
        <v>977.44637681159429</v>
      </c>
      <c r="AA1336" s="2">
        <f>(EV_Data4[[#This Row],[customer_rating]]*EV_Data4[[#This Row],[safety_rating]]*1000)/EV_Data4[[#This Row],[price_usd]]</f>
        <v>4.8633084138200992E-2</v>
      </c>
      <c r="AB1336">
        <f>EV_Data4[[#This Row],[horsepower]]+EV_Data4[[#This Row],[torque_nm]]/EV_Data4[[#This Row],[acceleration_0_60_mph]]</f>
        <v>1181.6046966731899</v>
      </c>
      <c r="AC1336" t="str">
        <f>IF(EV_Data4[[#This Row],[price_usd]]&gt;=80000,"Luxury",IF(EV_Data4[[#This Row],[price_usd]]&gt;=40000,"Mid-Range","Budget"))</f>
        <v>Luxury</v>
      </c>
      <c r="AD1336" t="str">
        <f>IF(EV_Data4[[#This Row],[range_miles]]&gt;=350,"Long-Range",IF(EV_Data4[[#This Row],[range_miles]]&gt;=250,"Medium-Range","Short-Range"))</f>
        <v>Medium-Range</v>
      </c>
      <c r="AE1336" t="str">
        <f>IF(EV_Data4[[#This Row],[charging_speed_kw]]&gt;=250,"Ultra-Fast",IF(EV_Data4[[#This Row],[charging_speed_kw]]&gt;=150,"Fast-Charging","Standard-Charging"))</f>
        <v>Ultra-Fast</v>
      </c>
      <c r="AF1336" t="str">
        <f>IF(EV_Data4[[#This Row],[acceleration_0_60_mph]]&lt;=3,"SportsPerformance",IF(EV_Data4[[#This Row],[acceleration_0_60_mph]]&lt;=5,"HighPerformance","Standard"))</f>
        <v>Standard</v>
      </c>
      <c r="AG1336" t="str">
        <f>IF(EV_Data4[[#This Row],[customer_rating]]&gt;=4.5,"Excellent",IF(EV_Data4[[#This Row],[customer_rating]]&gt;=3.5,"Good","Average"))</f>
        <v>Average</v>
      </c>
      <c r="AH133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37" spans="1:34" x14ac:dyDescent="0.3">
      <c r="A1337" t="s">
        <v>83</v>
      </c>
      <c r="B1337" t="s">
        <v>84</v>
      </c>
      <c r="C1337">
        <v>2026</v>
      </c>
      <c r="D1337" t="s">
        <v>33</v>
      </c>
      <c r="E1337" s="3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48</v>
      </c>
      <c r="N1337">
        <v>5</v>
      </c>
      <c r="O1337" t="s">
        <v>50</v>
      </c>
      <c r="P1337">
        <v>28.2</v>
      </c>
      <c r="Q1337">
        <v>1713</v>
      </c>
      <c r="R1337">
        <v>5</v>
      </c>
      <c r="S1337">
        <v>2</v>
      </c>
      <c r="T1337" t="s">
        <v>29</v>
      </c>
      <c r="U1337" t="s">
        <v>30</v>
      </c>
      <c r="V1337" s="3">
        <v>47587</v>
      </c>
      <c r="W1337">
        <v>3.56</v>
      </c>
      <c r="X1337">
        <v>7</v>
      </c>
      <c r="Y1337" s="1">
        <f>EV_Data4[[#This Row],[range_miles]]/EV_Data4[[#This Row],[battery_capacity_kwh]]</f>
        <v>3.5555555555555554</v>
      </c>
      <c r="Z1337" s="4">
        <f>EV_Data4[[#This Row],[price_usd]]/EV_Data4[[#This Row],[range_miles]]</f>
        <v>523.48870833333331</v>
      </c>
      <c r="AA1337" s="2">
        <f>(EV_Data4[[#This Row],[customer_rating]]*EV_Data4[[#This Row],[safety_rating]]*1000)/EV_Data4[[#This Row],[price_usd]]</f>
        <v>0.14167768184111582</v>
      </c>
      <c r="AB1337">
        <f>EV_Data4[[#This Row],[horsepower]]+EV_Data4[[#This Row],[torque_nm]]/EV_Data4[[#This Row],[acceleration_0_60_mph]]</f>
        <v>1122.1910112359551</v>
      </c>
      <c r="AC1337" t="str">
        <f>IF(EV_Data4[[#This Row],[price_usd]]&gt;=80000,"Luxury",IF(EV_Data4[[#This Row],[price_usd]]&gt;=40000,"Mid-Range","Budget"))</f>
        <v>Luxury</v>
      </c>
      <c r="AD1337" t="str">
        <f>IF(EV_Data4[[#This Row],[range_miles]]&gt;=350,"Long-Range",IF(EV_Data4[[#This Row],[range_miles]]&gt;=250,"Medium-Range","Short-Range"))</f>
        <v>Short-Range</v>
      </c>
      <c r="AE1337" t="str">
        <f>IF(EV_Data4[[#This Row],[charging_speed_kw]]&gt;=250,"Ultra-Fast",IF(EV_Data4[[#This Row],[charging_speed_kw]]&gt;=150,"Fast-Charging","Standard-Charging"))</f>
        <v>Standard-Charging</v>
      </c>
      <c r="AF1337" t="str">
        <f>IF(EV_Data4[[#This Row],[acceleration_0_60_mph]]&lt;=3,"SportsPerformance",IF(EV_Data4[[#This Row],[acceleration_0_60_mph]]&lt;=5,"HighPerformance","Standard"))</f>
        <v>Standard</v>
      </c>
      <c r="AG1337" t="str">
        <f>IF(EV_Data4[[#This Row],[customer_rating]]&gt;=4.5,"Excellent",IF(EV_Data4[[#This Row],[customer_rating]]&gt;=3.5,"Good","Average"))</f>
        <v>Good</v>
      </c>
      <c r="AH133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38" spans="1:34" x14ac:dyDescent="0.3">
      <c r="A1338" t="s">
        <v>46</v>
      </c>
      <c r="B1338" t="s">
        <v>47</v>
      </c>
      <c r="C1338">
        <v>2024</v>
      </c>
      <c r="D1338" t="s">
        <v>33</v>
      </c>
      <c r="E1338" s="3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27</v>
      </c>
      <c r="N1338">
        <v>5</v>
      </c>
      <c r="O1338" t="s">
        <v>35</v>
      </c>
      <c r="P1338">
        <v>62.4</v>
      </c>
      <c r="Q1338">
        <v>1551</v>
      </c>
      <c r="R1338">
        <v>5</v>
      </c>
      <c r="S1338">
        <v>2</v>
      </c>
      <c r="T1338" t="s">
        <v>41</v>
      </c>
      <c r="U1338" t="s">
        <v>30</v>
      </c>
      <c r="V1338" s="3">
        <v>172863</v>
      </c>
      <c r="W1338">
        <v>3.88</v>
      </c>
      <c r="X1338">
        <v>5</v>
      </c>
      <c r="Y1338" s="1">
        <f>EV_Data4[[#This Row],[range_miles]]/EV_Data4[[#This Row],[battery_capacity_kwh]]</f>
        <v>3.5102533172496981</v>
      </c>
      <c r="Z1338" s="4">
        <f>EV_Data4[[#This Row],[price_usd]]/EV_Data4[[#This Row],[range_miles]]</f>
        <v>382.38907216494846</v>
      </c>
      <c r="AA1338" s="2">
        <f>(EV_Data4[[#This Row],[customer_rating]]*EV_Data4[[#This Row],[safety_rating]]*1000)/EV_Data4[[#This Row],[price_usd]]</f>
        <v>0.17434249961491877</v>
      </c>
      <c r="AB1338">
        <f>EV_Data4[[#This Row],[horsepower]]+EV_Data4[[#This Row],[torque_nm]]/EV_Data4[[#This Row],[acceleration_0_60_mph]]</f>
        <v>926.23938223938228</v>
      </c>
      <c r="AC1338" t="str">
        <f>IF(EV_Data4[[#This Row],[price_usd]]&gt;=80000,"Luxury",IF(EV_Data4[[#This Row],[price_usd]]&gt;=40000,"Mid-Range","Budget"))</f>
        <v>Luxury</v>
      </c>
      <c r="AD1338" t="str">
        <f>IF(EV_Data4[[#This Row],[range_miles]]&gt;=350,"Long-Range",IF(EV_Data4[[#This Row],[range_miles]]&gt;=250,"Medium-Range","Short-Range"))</f>
        <v>Medium-Range</v>
      </c>
      <c r="AE1338" t="str">
        <f>IF(EV_Data4[[#This Row],[charging_speed_kw]]&gt;=250,"Ultra-Fast",IF(EV_Data4[[#This Row],[charging_speed_kw]]&gt;=150,"Fast-Charging","Standard-Charging"))</f>
        <v>Fast-Charging</v>
      </c>
      <c r="AF1338" t="str">
        <f>IF(EV_Data4[[#This Row],[acceleration_0_60_mph]]&lt;=3,"SportsPerformance",IF(EV_Data4[[#This Row],[acceleration_0_60_mph]]&lt;=5,"HighPerformance","Standard"))</f>
        <v>Standard</v>
      </c>
      <c r="AG1338" t="str">
        <f>IF(EV_Data4[[#This Row],[customer_rating]]&gt;=4.5,"Excellent",IF(EV_Data4[[#This Row],[customer_rating]]&gt;=3.5,"Good","Average"))</f>
        <v>Good</v>
      </c>
      <c r="AH133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39" spans="1:34" x14ac:dyDescent="0.3">
      <c r="A1339" t="s">
        <v>83</v>
      </c>
      <c r="B1339" t="s">
        <v>116</v>
      </c>
      <c r="C1339">
        <v>2025</v>
      </c>
      <c r="D1339" t="s">
        <v>56</v>
      </c>
      <c r="E1339" s="3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27</v>
      </c>
      <c r="N1339">
        <v>5</v>
      </c>
      <c r="O1339" t="s">
        <v>50</v>
      </c>
      <c r="P1339">
        <v>32.4</v>
      </c>
      <c r="Q1339">
        <v>1644</v>
      </c>
      <c r="R1339">
        <v>4</v>
      </c>
      <c r="S1339">
        <v>2</v>
      </c>
      <c r="T1339" t="s">
        <v>29</v>
      </c>
      <c r="U1339" t="s">
        <v>33</v>
      </c>
      <c r="V1339" s="3">
        <v>25679</v>
      </c>
      <c r="W1339">
        <v>3.71</v>
      </c>
      <c r="X1339">
        <v>7</v>
      </c>
      <c r="Y1339" s="1">
        <f>EV_Data4[[#This Row],[range_miles]]/EV_Data4[[#This Row],[battery_capacity_kwh]]</f>
        <v>3.5705045278137129</v>
      </c>
      <c r="Z1339" s="4">
        <f>EV_Data4[[#This Row],[price_usd]]/EV_Data4[[#This Row],[range_miles]]</f>
        <v>306.26721014492756</v>
      </c>
      <c r="AA1339" s="2">
        <f>(EV_Data4[[#This Row],[customer_rating]]*EV_Data4[[#This Row],[safety_rating]]*1000)/EV_Data4[[#This Row],[price_usd]]</f>
        <v>0.17555949236807158</v>
      </c>
      <c r="AB1339">
        <f>EV_Data4[[#This Row],[horsepower]]+EV_Data4[[#This Row],[torque_nm]]/EV_Data4[[#This Row],[acceleration_0_60_mph]]</f>
        <v>717.18955512572529</v>
      </c>
      <c r="AC1339" t="str">
        <f>IF(EV_Data4[[#This Row],[price_usd]]&gt;=80000,"Luxury",IF(EV_Data4[[#This Row],[price_usd]]&gt;=40000,"Mid-Range","Budget"))</f>
        <v>Luxury</v>
      </c>
      <c r="AD1339" t="str">
        <f>IF(EV_Data4[[#This Row],[range_miles]]&gt;=350,"Long-Range",IF(EV_Data4[[#This Row],[range_miles]]&gt;=250,"Medium-Range","Short-Range"))</f>
        <v>Medium-Range</v>
      </c>
      <c r="AE1339" t="str">
        <f>IF(EV_Data4[[#This Row],[charging_speed_kw]]&gt;=250,"Ultra-Fast",IF(EV_Data4[[#This Row],[charging_speed_kw]]&gt;=150,"Fast-Charging","Standard-Charging"))</f>
        <v>Standard-Charging</v>
      </c>
      <c r="AF1339" t="str">
        <f>IF(EV_Data4[[#This Row],[acceleration_0_60_mph]]&lt;=3,"SportsPerformance",IF(EV_Data4[[#This Row],[acceleration_0_60_mph]]&lt;=5,"HighPerformance","Standard"))</f>
        <v>Standard</v>
      </c>
      <c r="AG1339" t="str">
        <f>IF(EV_Data4[[#This Row],[customer_rating]]&gt;=4.5,"Excellent",IF(EV_Data4[[#This Row],[customer_rating]]&gt;=3.5,"Good","Average"))</f>
        <v>Good</v>
      </c>
      <c r="AH133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40" spans="1:34" x14ac:dyDescent="0.3">
      <c r="A1340" t="s">
        <v>46</v>
      </c>
      <c r="B1340" t="s">
        <v>57</v>
      </c>
      <c r="C1340">
        <v>2025</v>
      </c>
      <c r="D1340" t="s">
        <v>56</v>
      </c>
      <c r="E1340" s="3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34</v>
      </c>
      <c r="N1340">
        <v>7</v>
      </c>
      <c r="O1340" t="s">
        <v>35</v>
      </c>
      <c r="P1340">
        <v>41.8</v>
      </c>
      <c r="Q1340">
        <v>2139</v>
      </c>
      <c r="R1340">
        <v>4</v>
      </c>
      <c r="S1340">
        <v>2</v>
      </c>
      <c r="T1340" t="s">
        <v>41</v>
      </c>
      <c r="U1340" t="s">
        <v>33</v>
      </c>
      <c r="V1340" s="3">
        <v>239872</v>
      </c>
      <c r="W1340">
        <v>3.7</v>
      </c>
      <c r="X1340">
        <v>5</v>
      </c>
      <c r="Y1340" s="1">
        <f>EV_Data4[[#This Row],[range_miles]]/EV_Data4[[#This Row],[battery_capacity_kwh]]</f>
        <v>3.3333333333333335</v>
      </c>
      <c r="Z1340" s="4">
        <f>EV_Data4[[#This Row],[price_usd]]/EV_Data4[[#This Row],[range_miles]]</f>
        <v>517.59627659574471</v>
      </c>
      <c r="AA1340" s="2">
        <f>(EV_Data4[[#This Row],[customer_rating]]*EV_Data4[[#This Row],[safety_rating]]*1000)/EV_Data4[[#This Row],[price_usd]]</f>
        <v>0.15209422442736009</v>
      </c>
      <c r="AB1340">
        <f>EV_Data4[[#This Row],[horsepower]]+EV_Data4[[#This Row],[torque_nm]]/EV_Data4[[#This Row],[acceleration_0_60_mph]]</f>
        <v>805.06145251396651</v>
      </c>
      <c r="AC1340" t="str">
        <f>IF(EV_Data4[[#This Row],[price_usd]]&gt;=80000,"Luxury",IF(EV_Data4[[#This Row],[price_usd]]&gt;=40000,"Mid-Range","Budget"))</f>
        <v>Luxury</v>
      </c>
      <c r="AD1340" t="str">
        <f>IF(EV_Data4[[#This Row],[range_miles]]&gt;=350,"Long-Range",IF(EV_Data4[[#This Row],[range_miles]]&gt;=250,"Medium-Range","Short-Range"))</f>
        <v>Short-Range</v>
      </c>
      <c r="AE1340" t="str">
        <f>IF(EV_Data4[[#This Row],[charging_speed_kw]]&gt;=250,"Ultra-Fast",IF(EV_Data4[[#This Row],[charging_speed_kw]]&gt;=150,"Fast-Charging","Standard-Charging"))</f>
        <v>Fast-Charging</v>
      </c>
      <c r="AF1340" t="str">
        <f>IF(EV_Data4[[#This Row],[acceleration_0_60_mph]]&lt;=3,"SportsPerformance",IF(EV_Data4[[#This Row],[acceleration_0_60_mph]]&lt;=5,"HighPerformance","Standard"))</f>
        <v>Standard</v>
      </c>
      <c r="AG1340" t="str">
        <f>IF(EV_Data4[[#This Row],[customer_rating]]&gt;=4.5,"Excellent",IF(EV_Data4[[#This Row],[customer_rating]]&gt;=3.5,"Good","Average"))</f>
        <v>Good</v>
      </c>
      <c r="AH134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41" spans="1:34" x14ac:dyDescent="0.3">
      <c r="A1341" t="s">
        <v>46</v>
      </c>
      <c r="B1341" t="s">
        <v>78</v>
      </c>
      <c r="C1341">
        <v>2025</v>
      </c>
      <c r="D1341" t="s">
        <v>33</v>
      </c>
      <c r="E1341" s="3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34</v>
      </c>
      <c r="N1341">
        <v>5</v>
      </c>
      <c r="O1341" t="s">
        <v>28</v>
      </c>
      <c r="P1341">
        <v>60</v>
      </c>
      <c r="Q1341">
        <v>2311</v>
      </c>
      <c r="R1341">
        <v>4</v>
      </c>
      <c r="S1341">
        <v>2</v>
      </c>
      <c r="T1341" t="s">
        <v>41</v>
      </c>
      <c r="U1341" t="s">
        <v>37</v>
      </c>
      <c r="V1341" s="3">
        <v>228295</v>
      </c>
      <c r="W1341">
        <v>3.58</v>
      </c>
      <c r="X1341">
        <v>4</v>
      </c>
      <c r="Y1341" s="1">
        <f>EV_Data4[[#This Row],[range_miles]]/EV_Data4[[#This Row],[battery_capacity_kwh]]</f>
        <v>3.1153846153846154</v>
      </c>
      <c r="Z1341" s="4">
        <f>EV_Data4[[#This Row],[price_usd]]/EV_Data4[[#This Row],[range_miles]]</f>
        <v>220.08629629629633</v>
      </c>
      <c r="AA1341" s="2">
        <f>(EV_Data4[[#This Row],[customer_rating]]*EV_Data4[[#This Row],[safety_rating]]*1000)/EV_Data4[[#This Row],[price_usd]]</f>
        <v>0.40163819018241437</v>
      </c>
      <c r="AB1341">
        <f>EV_Data4[[#This Row],[horsepower]]+EV_Data4[[#This Row],[torque_nm]]/EV_Data4[[#This Row],[acceleration_0_60_mph]]</f>
        <v>212.3951367781155</v>
      </c>
      <c r="AC1341" t="str">
        <f>IF(EV_Data4[[#This Row],[price_usd]]&gt;=80000,"Luxury",IF(EV_Data4[[#This Row],[price_usd]]&gt;=40000,"Mid-Range","Budget"))</f>
        <v>Budget</v>
      </c>
      <c r="AD1341" t="str">
        <f>IF(EV_Data4[[#This Row],[range_miles]]&gt;=350,"Long-Range",IF(EV_Data4[[#This Row],[range_miles]]&gt;=250,"Medium-Range","Short-Range"))</f>
        <v>Short-Range</v>
      </c>
      <c r="AE1341" t="str">
        <f>IF(EV_Data4[[#This Row],[charging_speed_kw]]&gt;=250,"Ultra-Fast",IF(EV_Data4[[#This Row],[charging_speed_kw]]&gt;=150,"Fast-Charging","Standard-Charging"))</f>
        <v>Ultra-Fast</v>
      </c>
      <c r="AF1341" t="str">
        <f>IF(EV_Data4[[#This Row],[acceleration_0_60_mph]]&lt;=3,"SportsPerformance",IF(EV_Data4[[#This Row],[acceleration_0_60_mph]]&lt;=5,"HighPerformance","Standard"))</f>
        <v>Standard</v>
      </c>
      <c r="AG1341" t="str">
        <f>IF(EV_Data4[[#This Row],[customer_rating]]&gt;=4.5,"Excellent",IF(EV_Data4[[#This Row],[customer_rating]]&gt;=3.5,"Good","Average"))</f>
        <v>Good</v>
      </c>
      <c r="AH134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42" spans="1:34" x14ac:dyDescent="0.3">
      <c r="A1342" t="s">
        <v>63</v>
      </c>
      <c r="B1342" t="s">
        <v>82</v>
      </c>
      <c r="C1342">
        <v>2026</v>
      </c>
      <c r="D1342" t="s">
        <v>44</v>
      </c>
      <c r="E1342" s="3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34</v>
      </c>
      <c r="N1342">
        <v>5</v>
      </c>
      <c r="O1342" t="s">
        <v>40</v>
      </c>
      <c r="P1342">
        <v>74.5</v>
      </c>
      <c r="Q1342">
        <v>1500</v>
      </c>
      <c r="R1342">
        <v>4</v>
      </c>
      <c r="S1342">
        <v>0</v>
      </c>
      <c r="T1342" t="s">
        <v>65</v>
      </c>
      <c r="U1342" t="s">
        <v>30</v>
      </c>
      <c r="V1342" s="3">
        <v>128300</v>
      </c>
      <c r="W1342">
        <v>3.96</v>
      </c>
      <c r="X1342">
        <v>5</v>
      </c>
      <c r="Y1342" s="1">
        <f>EV_Data4[[#This Row],[range_miles]]/EV_Data4[[#This Row],[battery_capacity_kwh]]</f>
        <v>3.5673624288425048</v>
      </c>
      <c r="Z1342" s="4">
        <f>EV_Data4[[#This Row],[price_usd]]/EV_Data4[[#This Row],[range_miles]]</f>
        <v>271.22303191489362</v>
      </c>
      <c r="AA1342" s="2">
        <f>(EV_Data4[[#This Row],[customer_rating]]*EV_Data4[[#This Row],[safety_rating]]*1000)/EV_Data4[[#This Row],[price_usd]]</f>
        <v>0.15532478667846769</v>
      </c>
      <c r="AB1342">
        <f>EV_Data4[[#This Row],[horsepower]]+EV_Data4[[#This Row],[torque_nm]]/EV_Data4[[#This Row],[acceleration_0_60_mph]]</f>
        <v>1200</v>
      </c>
      <c r="AC1342" t="str">
        <f>IF(EV_Data4[[#This Row],[price_usd]]&gt;=80000,"Luxury",IF(EV_Data4[[#This Row],[price_usd]]&gt;=40000,"Mid-Range","Budget"))</f>
        <v>Luxury</v>
      </c>
      <c r="AD1342" t="str">
        <f>IF(EV_Data4[[#This Row],[range_miles]]&gt;=350,"Long-Range",IF(EV_Data4[[#This Row],[range_miles]]&gt;=250,"Medium-Range","Short-Range"))</f>
        <v>Long-Range</v>
      </c>
      <c r="AE1342" t="str">
        <f>IF(EV_Data4[[#This Row],[charging_speed_kw]]&gt;=250,"Ultra-Fast",IF(EV_Data4[[#This Row],[charging_speed_kw]]&gt;=150,"Fast-Charging","Standard-Charging"))</f>
        <v>Standard-Charging</v>
      </c>
      <c r="AF1342" t="str">
        <f>IF(EV_Data4[[#This Row],[acceleration_0_60_mph]]&lt;=3,"SportsPerformance",IF(EV_Data4[[#This Row],[acceleration_0_60_mph]]&lt;=5,"HighPerformance","Standard"))</f>
        <v>HighPerformance</v>
      </c>
      <c r="AG1342" t="str">
        <f>IF(EV_Data4[[#This Row],[customer_rating]]&gt;=4.5,"Excellent",IF(EV_Data4[[#This Row],[customer_rating]]&gt;=3.5,"Good","Average"))</f>
        <v>Good</v>
      </c>
      <c r="AH134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43" spans="1:34" x14ac:dyDescent="0.3">
      <c r="A1343" t="s">
        <v>68</v>
      </c>
      <c r="B1343" t="s">
        <v>79</v>
      </c>
      <c r="C1343">
        <v>2025</v>
      </c>
      <c r="D1343" t="s">
        <v>44</v>
      </c>
      <c r="E1343" s="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27</v>
      </c>
      <c r="N1343">
        <v>5</v>
      </c>
      <c r="O1343" t="s">
        <v>28</v>
      </c>
      <c r="P1343">
        <v>59.1</v>
      </c>
      <c r="Q1343">
        <v>2281</v>
      </c>
      <c r="R1343">
        <v>5</v>
      </c>
      <c r="S1343">
        <v>0</v>
      </c>
      <c r="T1343" t="s">
        <v>45</v>
      </c>
      <c r="U1343" t="s">
        <v>33</v>
      </c>
      <c r="V1343" s="3">
        <v>146157</v>
      </c>
      <c r="W1343">
        <v>3.67</v>
      </c>
      <c r="X1343">
        <v>4</v>
      </c>
      <c r="Y1343" s="1">
        <f>EV_Data4[[#This Row],[range_miles]]/EV_Data4[[#This Row],[battery_capacity_kwh]]</f>
        <v>3.5018495684340323</v>
      </c>
      <c r="Z1343" s="4">
        <f>EV_Data4[[#This Row],[price_usd]]/EV_Data4[[#This Row],[range_miles]]</f>
        <v>281.83239436619715</v>
      </c>
      <c r="AA1343" s="2">
        <f>(EV_Data4[[#This Row],[customer_rating]]*EV_Data4[[#This Row],[safety_rating]]*1000)/EV_Data4[[#This Row],[price_usd]]</f>
        <v>0.22925922409183364</v>
      </c>
      <c r="AB1343">
        <f>EV_Data4[[#This Row],[horsepower]]+EV_Data4[[#This Row],[torque_nm]]/EV_Data4[[#This Row],[acceleration_0_60_mph]]</f>
        <v>1204.3378995433791</v>
      </c>
      <c r="AC1343" t="str">
        <f>IF(EV_Data4[[#This Row],[price_usd]]&gt;=80000,"Luxury",IF(EV_Data4[[#This Row],[price_usd]]&gt;=40000,"Mid-Range","Budget"))</f>
        <v>Luxury</v>
      </c>
      <c r="AD1343" t="str">
        <f>IF(EV_Data4[[#This Row],[range_miles]]&gt;=350,"Long-Range",IF(EV_Data4[[#This Row],[range_miles]]&gt;=250,"Medium-Range","Short-Range"))</f>
        <v>Medium-Range</v>
      </c>
      <c r="AE1343" t="str">
        <f>IF(EV_Data4[[#This Row],[charging_speed_kw]]&gt;=250,"Ultra-Fast",IF(EV_Data4[[#This Row],[charging_speed_kw]]&gt;=150,"Fast-Charging","Standard-Charging"))</f>
        <v>Standard-Charging</v>
      </c>
      <c r="AF1343" t="str">
        <f>IF(EV_Data4[[#This Row],[acceleration_0_60_mph]]&lt;=3,"SportsPerformance",IF(EV_Data4[[#This Row],[acceleration_0_60_mph]]&lt;=5,"HighPerformance","Standard"))</f>
        <v>HighPerformance</v>
      </c>
      <c r="AG1343" t="str">
        <f>IF(EV_Data4[[#This Row],[customer_rating]]&gt;=4.5,"Excellent",IF(EV_Data4[[#This Row],[customer_rating]]&gt;=3.5,"Good","Average"))</f>
        <v>Good</v>
      </c>
      <c r="AH134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44" spans="1:34" x14ac:dyDescent="0.3">
      <c r="A1344" t="s">
        <v>52</v>
      </c>
      <c r="B1344" t="s">
        <v>103</v>
      </c>
      <c r="C1344">
        <v>2026</v>
      </c>
      <c r="D1344" t="s">
        <v>26</v>
      </c>
      <c r="E1344" s="3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34</v>
      </c>
      <c r="N1344">
        <v>5</v>
      </c>
      <c r="O1344" t="s">
        <v>50</v>
      </c>
      <c r="P1344">
        <v>25.3</v>
      </c>
      <c r="Q1344">
        <v>1664</v>
      </c>
      <c r="R1344">
        <v>4</v>
      </c>
      <c r="S1344">
        <v>1</v>
      </c>
      <c r="T1344" t="s">
        <v>29</v>
      </c>
      <c r="U1344" t="s">
        <v>30</v>
      </c>
      <c r="V1344" s="3">
        <v>68955</v>
      </c>
      <c r="W1344">
        <v>4.3899999999999997</v>
      </c>
      <c r="X1344">
        <v>7</v>
      </c>
      <c r="Y1344" s="1">
        <f>EV_Data4[[#This Row],[range_miles]]/EV_Data4[[#This Row],[battery_capacity_kwh]]</f>
        <v>3.6884512085944494</v>
      </c>
      <c r="Z1344" s="4">
        <f>EV_Data4[[#This Row],[price_usd]]/EV_Data4[[#This Row],[range_miles]]</f>
        <v>253.77104368932038</v>
      </c>
      <c r="AA1344" s="2">
        <f>(EV_Data4[[#This Row],[customer_rating]]*EV_Data4[[#This Row],[safety_rating]]*1000)/EV_Data4[[#This Row],[price_usd]]</f>
        <v>0.16795201928349335</v>
      </c>
      <c r="AB1344">
        <f>EV_Data4[[#This Row],[horsepower]]+EV_Data4[[#This Row],[torque_nm]]/EV_Data4[[#This Row],[acceleration_0_60_mph]]</f>
        <v>694.30303030303025</v>
      </c>
      <c r="AC1344" t="str">
        <f>IF(EV_Data4[[#This Row],[price_usd]]&gt;=80000,"Luxury",IF(EV_Data4[[#This Row],[price_usd]]&gt;=40000,"Mid-Range","Budget"))</f>
        <v>Luxury</v>
      </c>
      <c r="AD1344" t="str">
        <f>IF(EV_Data4[[#This Row],[range_miles]]&gt;=350,"Long-Range",IF(EV_Data4[[#This Row],[range_miles]]&gt;=250,"Medium-Range","Short-Range"))</f>
        <v>Long-Range</v>
      </c>
      <c r="AE1344" t="str">
        <f>IF(EV_Data4[[#This Row],[charging_speed_kw]]&gt;=250,"Ultra-Fast",IF(EV_Data4[[#This Row],[charging_speed_kw]]&gt;=150,"Fast-Charging","Standard-Charging"))</f>
        <v>Fast-Charging</v>
      </c>
      <c r="AF1344" t="str">
        <f>IF(EV_Data4[[#This Row],[acceleration_0_60_mph]]&lt;=3,"SportsPerformance",IF(EV_Data4[[#This Row],[acceleration_0_60_mph]]&lt;=5,"HighPerformance","Standard"))</f>
        <v>HighPerformance</v>
      </c>
      <c r="AG1344" t="str">
        <f>IF(EV_Data4[[#This Row],[customer_rating]]&gt;=4.5,"Excellent",IF(EV_Data4[[#This Row],[customer_rating]]&gt;=3.5,"Good","Average"))</f>
        <v>Good</v>
      </c>
      <c r="AH134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45" spans="1:34" x14ac:dyDescent="0.3">
      <c r="A1345" t="s">
        <v>38</v>
      </c>
      <c r="B1345" t="s">
        <v>102</v>
      </c>
      <c r="C1345">
        <v>2023</v>
      </c>
      <c r="D1345" t="s">
        <v>44</v>
      </c>
      <c r="E1345" s="3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34</v>
      </c>
      <c r="N1345">
        <v>5</v>
      </c>
      <c r="O1345" t="s">
        <v>35</v>
      </c>
      <c r="P1345">
        <v>45.3</v>
      </c>
      <c r="Q1345">
        <v>1966</v>
      </c>
      <c r="R1345">
        <v>4</v>
      </c>
      <c r="S1345">
        <v>1</v>
      </c>
      <c r="T1345" t="s">
        <v>41</v>
      </c>
      <c r="U1345" t="s">
        <v>33</v>
      </c>
      <c r="V1345" s="3">
        <v>6658</v>
      </c>
      <c r="W1345">
        <v>3.7</v>
      </c>
      <c r="X1345">
        <v>4</v>
      </c>
      <c r="Y1345" s="1">
        <f>EV_Data4[[#This Row],[range_miles]]/EV_Data4[[#This Row],[battery_capacity_kwh]]</f>
        <v>3.4018499486125386</v>
      </c>
      <c r="Z1345" s="4">
        <f>EV_Data4[[#This Row],[price_usd]]/EV_Data4[[#This Row],[range_miles]]</f>
        <v>198.06465256797583</v>
      </c>
      <c r="AA1345" s="2">
        <f>(EV_Data4[[#This Row],[customer_rating]]*EV_Data4[[#This Row],[safety_rating]]*1000)/EV_Data4[[#This Row],[price_usd]]</f>
        <v>0.22574947299700732</v>
      </c>
      <c r="AB1345">
        <f>EV_Data4[[#This Row],[horsepower]]+EV_Data4[[#This Row],[torque_nm]]/EV_Data4[[#This Row],[acceleration_0_60_mph]]</f>
        <v>983.84063745019921</v>
      </c>
      <c r="AC1345" t="str">
        <f>IF(EV_Data4[[#This Row],[price_usd]]&gt;=80000,"Luxury",IF(EV_Data4[[#This Row],[price_usd]]&gt;=40000,"Mid-Range","Budget"))</f>
        <v>Mid-Range</v>
      </c>
      <c r="AD1345" t="str">
        <f>IF(EV_Data4[[#This Row],[range_miles]]&gt;=350,"Long-Range",IF(EV_Data4[[#This Row],[range_miles]]&gt;=250,"Medium-Range","Short-Range"))</f>
        <v>Medium-Range</v>
      </c>
      <c r="AE1345" t="str">
        <f>IF(EV_Data4[[#This Row],[charging_speed_kw]]&gt;=250,"Ultra-Fast",IF(EV_Data4[[#This Row],[charging_speed_kw]]&gt;=150,"Fast-Charging","Standard-Charging"))</f>
        <v>Standard-Charging</v>
      </c>
      <c r="AF1345" t="str">
        <f>IF(EV_Data4[[#This Row],[acceleration_0_60_mph]]&lt;=3,"SportsPerformance",IF(EV_Data4[[#This Row],[acceleration_0_60_mph]]&lt;=5,"HighPerformance","Standard"))</f>
        <v>Standard</v>
      </c>
      <c r="AG1345" t="str">
        <f>IF(EV_Data4[[#This Row],[customer_rating]]&gt;=4.5,"Excellent",IF(EV_Data4[[#This Row],[customer_rating]]&gt;=3.5,"Good","Average"))</f>
        <v>Good</v>
      </c>
      <c r="AH134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46" spans="1:34" x14ac:dyDescent="0.3">
      <c r="A1346" t="s">
        <v>38</v>
      </c>
      <c r="B1346" t="s">
        <v>102</v>
      </c>
      <c r="C1346">
        <v>2025</v>
      </c>
      <c r="D1346" t="s">
        <v>56</v>
      </c>
      <c r="E1346" s="3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27</v>
      </c>
      <c r="N1346">
        <v>7</v>
      </c>
      <c r="O1346" t="s">
        <v>35</v>
      </c>
      <c r="P1346">
        <v>45.9</v>
      </c>
      <c r="Q1346">
        <v>2008</v>
      </c>
      <c r="R1346">
        <v>4</v>
      </c>
      <c r="S1346">
        <v>2</v>
      </c>
      <c r="T1346" t="s">
        <v>41</v>
      </c>
      <c r="U1346" t="s">
        <v>37</v>
      </c>
      <c r="V1346" s="3">
        <v>23069</v>
      </c>
      <c r="W1346">
        <v>3.62</v>
      </c>
      <c r="X1346">
        <v>5</v>
      </c>
      <c r="Y1346" s="1">
        <f>EV_Data4[[#This Row],[range_miles]]/EV_Data4[[#This Row],[battery_capacity_kwh]]</f>
        <v>3.8079470198675498</v>
      </c>
      <c r="Z1346" s="4">
        <f>EV_Data4[[#This Row],[price_usd]]/EV_Data4[[#This Row],[range_miles]]</f>
        <v>281.52534782608694</v>
      </c>
      <c r="AA1346" s="2">
        <f>(EV_Data4[[#This Row],[customer_rating]]*EV_Data4[[#This Row],[safety_rating]]*1000)/EV_Data4[[#This Row],[price_usd]]</f>
        <v>0.22362647706600827</v>
      </c>
      <c r="AB1346">
        <f>EV_Data4[[#This Row],[horsepower]]+EV_Data4[[#This Row],[torque_nm]]/EV_Data4[[#This Row],[acceleration_0_60_mph]]</f>
        <v>1008.3667546174142</v>
      </c>
      <c r="AC1346" t="str">
        <f>IF(EV_Data4[[#This Row],[price_usd]]&gt;=80000,"Luxury",IF(EV_Data4[[#This Row],[price_usd]]&gt;=40000,"Mid-Range","Budget"))</f>
        <v>Mid-Range</v>
      </c>
      <c r="AD1346" t="str">
        <f>IF(EV_Data4[[#This Row],[range_miles]]&gt;=350,"Long-Range",IF(EV_Data4[[#This Row],[range_miles]]&gt;=250,"Medium-Range","Short-Range"))</f>
        <v>Short-Range</v>
      </c>
      <c r="AE1346" t="str">
        <f>IF(EV_Data4[[#This Row],[charging_speed_kw]]&gt;=250,"Ultra-Fast",IF(EV_Data4[[#This Row],[charging_speed_kw]]&gt;=150,"Fast-Charging","Standard-Charging"))</f>
        <v>Standard-Charging</v>
      </c>
      <c r="AF1346" t="str">
        <f>IF(EV_Data4[[#This Row],[acceleration_0_60_mph]]&lt;=3,"SportsPerformance",IF(EV_Data4[[#This Row],[acceleration_0_60_mph]]&lt;=5,"HighPerformance","Standard"))</f>
        <v>Standard</v>
      </c>
      <c r="AG1346" t="str">
        <f>IF(EV_Data4[[#This Row],[customer_rating]]&gt;=4.5,"Excellent",IF(EV_Data4[[#This Row],[customer_rating]]&gt;=3.5,"Good","Average"))</f>
        <v>Good</v>
      </c>
      <c r="AH134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47" spans="1:34" x14ac:dyDescent="0.3">
      <c r="A1347" t="s">
        <v>24</v>
      </c>
      <c r="B1347" t="s">
        <v>85</v>
      </c>
      <c r="C1347">
        <v>2023</v>
      </c>
      <c r="D1347" t="s">
        <v>61</v>
      </c>
      <c r="E1347" s="3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48</v>
      </c>
      <c r="N1347">
        <v>5</v>
      </c>
      <c r="O1347" t="s">
        <v>50</v>
      </c>
      <c r="P1347">
        <v>22.5</v>
      </c>
      <c r="Q1347">
        <v>1596</v>
      </c>
      <c r="R1347">
        <v>5</v>
      </c>
      <c r="S1347">
        <v>1</v>
      </c>
      <c r="T1347" t="s">
        <v>29</v>
      </c>
      <c r="U1347" t="s">
        <v>66</v>
      </c>
      <c r="V1347" s="3">
        <v>283336</v>
      </c>
      <c r="W1347">
        <v>3.52</v>
      </c>
      <c r="X1347">
        <v>3</v>
      </c>
      <c r="Y1347" s="1">
        <f>EV_Data4[[#This Row],[range_miles]]/EV_Data4[[#This Row],[battery_capacity_kwh]]</f>
        <v>3.4651600753295666</v>
      </c>
      <c r="Z1347" s="4">
        <f>EV_Data4[[#This Row],[price_usd]]/EV_Data4[[#This Row],[range_miles]]</f>
        <v>175.71826086956523</v>
      </c>
      <c r="AA1347" s="2">
        <f>(EV_Data4[[#This Row],[customer_rating]]*EV_Data4[[#This Row],[safety_rating]]*1000)/EV_Data4[[#This Row],[price_usd]]</f>
        <v>0.54434965062649698</v>
      </c>
      <c r="AB1347">
        <f>EV_Data4[[#This Row],[horsepower]]+EV_Data4[[#This Row],[torque_nm]]/EV_Data4[[#This Row],[acceleration_0_60_mph]]</f>
        <v>204.46099290780143</v>
      </c>
      <c r="AC1347" t="str">
        <f>IF(EV_Data4[[#This Row],[price_usd]]&gt;=80000,"Luxury",IF(EV_Data4[[#This Row],[price_usd]]&gt;=40000,"Mid-Range","Budget"))</f>
        <v>Budget</v>
      </c>
      <c r="AD1347" t="str">
        <f>IF(EV_Data4[[#This Row],[range_miles]]&gt;=350,"Long-Range",IF(EV_Data4[[#This Row],[range_miles]]&gt;=250,"Medium-Range","Short-Range"))</f>
        <v>Short-Range</v>
      </c>
      <c r="AE1347" t="str">
        <f>IF(EV_Data4[[#This Row],[charging_speed_kw]]&gt;=250,"Ultra-Fast",IF(EV_Data4[[#This Row],[charging_speed_kw]]&gt;=150,"Fast-Charging","Standard-Charging"))</f>
        <v>Standard-Charging</v>
      </c>
      <c r="AF1347" t="str">
        <f>IF(EV_Data4[[#This Row],[acceleration_0_60_mph]]&lt;=3,"SportsPerformance",IF(EV_Data4[[#This Row],[acceleration_0_60_mph]]&lt;=5,"HighPerformance","Standard"))</f>
        <v>Standard</v>
      </c>
      <c r="AG1347" t="str">
        <f>IF(EV_Data4[[#This Row],[customer_rating]]&gt;=4.5,"Excellent",IF(EV_Data4[[#This Row],[customer_rating]]&gt;=3.5,"Good","Average"))</f>
        <v>Good</v>
      </c>
      <c r="AH134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48" spans="1:34" x14ac:dyDescent="0.3">
      <c r="A1348" t="s">
        <v>63</v>
      </c>
      <c r="B1348" t="s">
        <v>107</v>
      </c>
      <c r="C1348">
        <v>2026</v>
      </c>
      <c r="D1348" t="s">
        <v>26</v>
      </c>
      <c r="E1348" s="3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48</v>
      </c>
      <c r="N1348">
        <v>7</v>
      </c>
      <c r="O1348" t="s">
        <v>35</v>
      </c>
      <c r="P1348">
        <v>38.6</v>
      </c>
      <c r="Q1348">
        <v>2173</v>
      </c>
      <c r="R1348">
        <v>3</v>
      </c>
      <c r="S1348">
        <v>0</v>
      </c>
      <c r="T1348" t="s">
        <v>65</v>
      </c>
      <c r="U1348" t="s">
        <v>30</v>
      </c>
      <c r="V1348" s="3">
        <v>201649</v>
      </c>
      <c r="W1348">
        <v>3.59</v>
      </c>
      <c r="X1348">
        <v>5</v>
      </c>
      <c r="Y1348" s="1">
        <f>EV_Data4[[#This Row],[range_miles]]/EV_Data4[[#This Row],[battery_capacity_kwh]]</f>
        <v>3.4577777777777778</v>
      </c>
      <c r="Z1348" s="4">
        <f>EV_Data4[[#This Row],[price_usd]]/EV_Data4[[#This Row],[range_miles]]</f>
        <v>287.93838046272492</v>
      </c>
      <c r="AA1348" s="2">
        <f>(EV_Data4[[#This Row],[customer_rating]]*EV_Data4[[#This Row],[safety_rating]]*1000)/EV_Data4[[#This Row],[price_usd]]</f>
        <v>9.6153820400198098E-2</v>
      </c>
      <c r="AB1348">
        <f>EV_Data4[[#This Row],[horsepower]]+EV_Data4[[#This Row],[torque_nm]]/EV_Data4[[#This Row],[acceleration_0_60_mph]]</f>
        <v>1272.644376899696</v>
      </c>
      <c r="AC1348" t="str">
        <f>IF(EV_Data4[[#This Row],[price_usd]]&gt;=80000,"Luxury",IF(EV_Data4[[#This Row],[price_usd]]&gt;=40000,"Mid-Range","Budget"))</f>
        <v>Luxury</v>
      </c>
      <c r="AD1348" t="str">
        <f>IF(EV_Data4[[#This Row],[range_miles]]&gt;=350,"Long-Range",IF(EV_Data4[[#This Row],[range_miles]]&gt;=250,"Medium-Range","Short-Range"))</f>
        <v>Long-Range</v>
      </c>
      <c r="AE1348" t="str">
        <f>IF(EV_Data4[[#This Row],[charging_speed_kw]]&gt;=250,"Ultra-Fast",IF(EV_Data4[[#This Row],[charging_speed_kw]]&gt;=150,"Fast-Charging","Standard-Charging"))</f>
        <v>Fast-Charging</v>
      </c>
      <c r="AF1348" t="str">
        <f>IF(EV_Data4[[#This Row],[acceleration_0_60_mph]]&lt;=3,"SportsPerformance",IF(EV_Data4[[#This Row],[acceleration_0_60_mph]]&lt;=5,"HighPerformance","Standard"))</f>
        <v>HighPerformance</v>
      </c>
      <c r="AG1348" t="str">
        <f>IF(EV_Data4[[#This Row],[customer_rating]]&gt;=4.5,"Excellent",IF(EV_Data4[[#This Row],[customer_rating]]&gt;=3.5,"Good","Average"))</f>
        <v>Good</v>
      </c>
      <c r="AH134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49" spans="1:34" x14ac:dyDescent="0.3">
      <c r="A1349" t="s">
        <v>24</v>
      </c>
      <c r="B1349" t="s">
        <v>25</v>
      </c>
      <c r="C1349">
        <v>2023</v>
      </c>
      <c r="D1349" t="s">
        <v>26</v>
      </c>
      <c r="E1349" s="3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48</v>
      </c>
      <c r="N1349">
        <v>7</v>
      </c>
      <c r="O1349" t="s">
        <v>35</v>
      </c>
      <c r="P1349">
        <v>35.700000000000003</v>
      </c>
      <c r="Q1349">
        <v>2254</v>
      </c>
      <c r="R1349">
        <v>4</v>
      </c>
      <c r="S1349">
        <v>1</v>
      </c>
      <c r="T1349" t="s">
        <v>29</v>
      </c>
      <c r="U1349" t="s">
        <v>30</v>
      </c>
      <c r="V1349" s="3">
        <v>297615</v>
      </c>
      <c r="W1349">
        <v>3.66</v>
      </c>
      <c r="X1349">
        <v>4</v>
      </c>
      <c r="Y1349" s="1">
        <f>EV_Data4[[#This Row],[range_miles]]/EV_Data4[[#This Row],[battery_capacity_kwh]]</f>
        <v>3.3587786259541987</v>
      </c>
      <c r="Z1349" s="4">
        <f>EV_Data4[[#This Row],[price_usd]]/EV_Data4[[#This Row],[range_miles]]</f>
        <v>325.70633522727275</v>
      </c>
      <c r="AA1349" s="2">
        <f>(EV_Data4[[#This Row],[customer_rating]]*EV_Data4[[#This Row],[safety_rating]]*1000)/EV_Data4[[#This Row],[price_usd]]</f>
        <v>0.1276945045047638</v>
      </c>
      <c r="AB1349">
        <f>EV_Data4[[#This Row],[horsepower]]+EV_Data4[[#This Row],[torque_nm]]/EV_Data4[[#This Row],[acceleration_0_60_mph]]</f>
        <v>1238.2653061224489</v>
      </c>
      <c r="AC1349" t="str">
        <f>IF(EV_Data4[[#This Row],[price_usd]]&gt;=80000,"Luxury",IF(EV_Data4[[#This Row],[price_usd]]&gt;=40000,"Mid-Range","Budget"))</f>
        <v>Luxury</v>
      </c>
      <c r="AD1349" t="str">
        <f>IF(EV_Data4[[#This Row],[range_miles]]&gt;=350,"Long-Range",IF(EV_Data4[[#This Row],[range_miles]]&gt;=250,"Medium-Range","Short-Range"))</f>
        <v>Long-Range</v>
      </c>
      <c r="AE1349" t="str">
        <f>IF(EV_Data4[[#This Row],[charging_speed_kw]]&gt;=250,"Ultra-Fast",IF(EV_Data4[[#This Row],[charging_speed_kw]]&gt;=150,"Fast-Charging","Standard-Charging"))</f>
        <v>Fast-Charging</v>
      </c>
      <c r="AF1349" t="str">
        <f>IF(EV_Data4[[#This Row],[acceleration_0_60_mph]]&lt;=3,"SportsPerformance",IF(EV_Data4[[#This Row],[acceleration_0_60_mph]]&lt;=5,"HighPerformance","Standard"))</f>
        <v>HighPerformance</v>
      </c>
      <c r="AG1349" t="str">
        <f>IF(EV_Data4[[#This Row],[customer_rating]]&gt;=4.5,"Excellent",IF(EV_Data4[[#This Row],[customer_rating]]&gt;=3.5,"Good","Average"))</f>
        <v>Good</v>
      </c>
      <c r="AH134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50" spans="1:34" x14ac:dyDescent="0.3">
      <c r="A1350" t="s">
        <v>99</v>
      </c>
      <c r="B1350" t="s">
        <v>113</v>
      </c>
      <c r="C1350">
        <v>2025</v>
      </c>
      <c r="D1350" t="s">
        <v>33</v>
      </c>
      <c r="E1350" s="3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48</v>
      </c>
      <c r="N1350">
        <v>7</v>
      </c>
      <c r="O1350" t="s">
        <v>40</v>
      </c>
      <c r="P1350">
        <v>79</v>
      </c>
      <c r="Q1350">
        <v>1500</v>
      </c>
      <c r="R1350">
        <v>5</v>
      </c>
      <c r="S1350">
        <v>1</v>
      </c>
      <c r="T1350" t="s">
        <v>29</v>
      </c>
      <c r="U1350" t="s">
        <v>30</v>
      </c>
      <c r="V1350" s="3">
        <v>5234</v>
      </c>
      <c r="W1350">
        <v>3.75</v>
      </c>
      <c r="X1350">
        <v>6</v>
      </c>
      <c r="Y1350" s="1">
        <f>EV_Data4[[#This Row],[range_miles]]/EV_Data4[[#This Row],[battery_capacity_kwh]]</f>
        <v>3.6065573770491808</v>
      </c>
      <c r="Z1350" s="4">
        <f>EV_Data4[[#This Row],[price_usd]]/EV_Data4[[#This Row],[range_miles]]</f>
        <v>459.93371900826446</v>
      </c>
      <c r="AA1350" s="2">
        <f>(EV_Data4[[#This Row],[customer_rating]]*EV_Data4[[#This Row],[safety_rating]]*1000)/EV_Data4[[#This Row],[price_usd]]</f>
        <v>0.16845761821951347</v>
      </c>
      <c r="AB1350">
        <f>EV_Data4[[#This Row],[horsepower]]+EV_Data4[[#This Row],[torque_nm]]/EV_Data4[[#This Row],[acceleration_0_60_mph]]</f>
        <v>436.86486486486484</v>
      </c>
      <c r="AC1350" t="str">
        <f>IF(EV_Data4[[#This Row],[price_usd]]&gt;=80000,"Luxury",IF(EV_Data4[[#This Row],[price_usd]]&gt;=40000,"Mid-Range","Budget"))</f>
        <v>Luxury</v>
      </c>
      <c r="AD1350" t="str">
        <f>IF(EV_Data4[[#This Row],[range_miles]]&gt;=350,"Long-Range",IF(EV_Data4[[#This Row],[range_miles]]&gt;=250,"Medium-Range","Short-Range"))</f>
        <v>Short-Range</v>
      </c>
      <c r="AE1350" t="str">
        <f>IF(EV_Data4[[#This Row],[charging_speed_kw]]&gt;=250,"Ultra-Fast",IF(EV_Data4[[#This Row],[charging_speed_kw]]&gt;=150,"Fast-Charging","Standard-Charging"))</f>
        <v>Ultra-Fast</v>
      </c>
      <c r="AF1350" t="str">
        <f>IF(EV_Data4[[#This Row],[acceleration_0_60_mph]]&lt;=3,"SportsPerformance",IF(EV_Data4[[#This Row],[acceleration_0_60_mph]]&lt;=5,"HighPerformance","Standard"))</f>
        <v>Standard</v>
      </c>
      <c r="AG1350" t="str">
        <f>IF(EV_Data4[[#This Row],[customer_rating]]&gt;=4.5,"Excellent",IF(EV_Data4[[#This Row],[customer_rating]]&gt;=3.5,"Good","Average"))</f>
        <v>Good</v>
      </c>
      <c r="AH135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51" spans="1:34" x14ac:dyDescent="0.3">
      <c r="A1351" t="s">
        <v>46</v>
      </c>
      <c r="B1351" t="s">
        <v>49</v>
      </c>
      <c r="C1351">
        <v>2021</v>
      </c>
      <c r="D1351" t="s">
        <v>33</v>
      </c>
      <c r="E1351" s="3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27</v>
      </c>
      <c r="N1351">
        <v>7</v>
      </c>
      <c r="O1351" t="s">
        <v>58</v>
      </c>
      <c r="P1351">
        <v>17.399999999999999</v>
      </c>
      <c r="Q1351">
        <v>1624</v>
      </c>
      <c r="R1351">
        <v>5</v>
      </c>
      <c r="S1351">
        <v>2</v>
      </c>
      <c r="T1351" t="s">
        <v>41</v>
      </c>
      <c r="U1351" t="s">
        <v>37</v>
      </c>
      <c r="V1351" s="3">
        <v>438670</v>
      </c>
      <c r="W1351">
        <v>3.68</v>
      </c>
      <c r="X1351">
        <v>4</v>
      </c>
      <c r="Y1351" s="1">
        <f>EV_Data4[[#This Row],[range_miles]]/EV_Data4[[#This Row],[battery_capacity_kwh]]</f>
        <v>3.2005689900426746</v>
      </c>
      <c r="Z1351" s="4">
        <f>EV_Data4[[#This Row],[price_usd]]/EV_Data4[[#This Row],[range_miles]]</f>
        <v>268.29053333333337</v>
      </c>
      <c r="AA1351" s="2">
        <f>(EV_Data4[[#This Row],[customer_rating]]*EV_Data4[[#This Row],[safety_rating]]*1000)/EV_Data4[[#This Row],[price_usd]]</f>
        <v>0.30481052298693778</v>
      </c>
      <c r="AB1351">
        <f>EV_Data4[[#This Row],[horsepower]]+EV_Data4[[#This Row],[torque_nm]]/EV_Data4[[#This Row],[acceleration_0_60_mph]]</f>
        <v>448.40554592720969</v>
      </c>
      <c r="AC1351" t="str">
        <f>IF(EV_Data4[[#This Row],[price_usd]]&gt;=80000,"Luxury",IF(EV_Data4[[#This Row],[price_usd]]&gt;=40000,"Mid-Range","Budget"))</f>
        <v>Mid-Range</v>
      </c>
      <c r="AD1351" t="str">
        <f>IF(EV_Data4[[#This Row],[range_miles]]&gt;=350,"Long-Range",IF(EV_Data4[[#This Row],[range_miles]]&gt;=250,"Medium-Range","Short-Range"))</f>
        <v>Short-Range</v>
      </c>
      <c r="AE1351" t="str">
        <f>IF(EV_Data4[[#This Row],[charging_speed_kw]]&gt;=250,"Ultra-Fast",IF(EV_Data4[[#This Row],[charging_speed_kw]]&gt;=150,"Fast-Charging","Standard-Charging"))</f>
        <v>Fast-Charging</v>
      </c>
      <c r="AF1351" t="str">
        <f>IF(EV_Data4[[#This Row],[acceleration_0_60_mph]]&lt;=3,"SportsPerformance",IF(EV_Data4[[#This Row],[acceleration_0_60_mph]]&lt;=5,"HighPerformance","Standard"))</f>
        <v>Standard</v>
      </c>
      <c r="AG1351" t="str">
        <f>IF(EV_Data4[[#This Row],[customer_rating]]&gt;=4.5,"Excellent",IF(EV_Data4[[#This Row],[customer_rating]]&gt;=3.5,"Good","Average"))</f>
        <v>Good</v>
      </c>
      <c r="AH135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52" spans="1:34" x14ac:dyDescent="0.3">
      <c r="A1352" t="s">
        <v>52</v>
      </c>
      <c r="B1352" t="s">
        <v>126</v>
      </c>
      <c r="C1352">
        <v>2025</v>
      </c>
      <c r="D1352" t="s">
        <v>33</v>
      </c>
      <c r="E1352" s="3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48</v>
      </c>
      <c r="N1352">
        <v>5</v>
      </c>
      <c r="O1352" t="s">
        <v>35</v>
      </c>
      <c r="P1352">
        <v>66.5</v>
      </c>
      <c r="Q1352">
        <v>2382</v>
      </c>
      <c r="R1352">
        <v>5</v>
      </c>
      <c r="S1352">
        <v>1</v>
      </c>
      <c r="T1352" t="s">
        <v>29</v>
      </c>
      <c r="U1352" t="s">
        <v>30</v>
      </c>
      <c r="V1352" s="3">
        <v>77200</v>
      </c>
      <c r="W1352">
        <v>3.68</v>
      </c>
      <c r="X1352">
        <v>6</v>
      </c>
      <c r="Y1352" s="1">
        <f>EV_Data4[[#This Row],[range_miles]]/EV_Data4[[#This Row],[battery_capacity_kwh]]</f>
        <v>3.4892086330935252</v>
      </c>
      <c r="Z1352" s="4">
        <f>EV_Data4[[#This Row],[price_usd]]/EV_Data4[[#This Row],[range_miles]]</f>
        <v>1024.5779896907218</v>
      </c>
      <c r="AA1352" s="2">
        <f>(EV_Data4[[#This Row],[customer_rating]]*EV_Data4[[#This Row],[safety_rating]]*1000)/EV_Data4[[#This Row],[price_usd]]</f>
        <v>9.2570172089459224E-2</v>
      </c>
      <c r="AB1352">
        <f>EV_Data4[[#This Row],[horsepower]]+EV_Data4[[#This Row],[torque_nm]]/EV_Data4[[#This Row],[acceleration_0_60_mph]]</f>
        <v>1177.2727272727273</v>
      </c>
      <c r="AC1352" t="str">
        <f>IF(EV_Data4[[#This Row],[price_usd]]&gt;=80000,"Luxury",IF(EV_Data4[[#This Row],[price_usd]]&gt;=40000,"Mid-Range","Budget"))</f>
        <v>Luxury</v>
      </c>
      <c r="AD1352" t="str">
        <f>IF(EV_Data4[[#This Row],[range_miles]]&gt;=350,"Long-Range",IF(EV_Data4[[#This Row],[range_miles]]&gt;=250,"Medium-Range","Short-Range"))</f>
        <v>Short-Range</v>
      </c>
      <c r="AE1352" t="str">
        <f>IF(EV_Data4[[#This Row],[charging_speed_kw]]&gt;=250,"Ultra-Fast",IF(EV_Data4[[#This Row],[charging_speed_kw]]&gt;=150,"Fast-Charging","Standard-Charging"))</f>
        <v>Standard-Charging</v>
      </c>
      <c r="AF1352" t="str">
        <f>IF(EV_Data4[[#This Row],[acceleration_0_60_mph]]&lt;=3,"SportsPerformance",IF(EV_Data4[[#This Row],[acceleration_0_60_mph]]&lt;=5,"HighPerformance","Standard"))</f>
        <v>Standard</v>
      </c>
      <c r="AG1352" t="str">
        <f>IF(EV_Data4[[#This Row],[customer_rating]]&gt;=4.5,"Excellent",IF(EV_Data4[[#This Row],[customer_rating]]&gt;=3.5,"Good","Average"))</f>
        <v>Good</v>
      </c>
      <c r="AH135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53" spans="1:34" x14ac:dyDescent="0.3">
      <c r="A1353" t="s">
        <v>42</v>
      </c>
      <c r="B1353" t="s">
        <v>71</v>
      </c>
      <c r="C1353">
        <v>2024</v>
      </c>
      <c r="D1353" t="s">
        <v>61</v>
      </c>
      <c r="E1353" s="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34</v>
      </c>
      <c r="N1353">
        <v>5</v>
      </c>
      <c r="O1353" t="s">
        <v>50</v>
      </c>
      <c r="P1353">
        <v>20.8</v>
      </c>
      <c r="Q1353">
        <v>1510</v>
      </c>
      <c r="R1353">
        <v>4</v>
      </c>
      <c r="S1353">
        <v>0</v>
      </c>
      <c r="T1353" t="s">
        <v>45</v>
      </c>
      <c r="U1353" t="s">
        <v>66</v>
      </c>
      <c r="V1353" s="3">
        <v>123543</v>
      </c>
      <c r="W1353">
        <v>3.02</v>
      </c>
      <c r="X1353">
        <v>3</v>
      </c>
      <c r="Y1353" s="1">
        <f>EV_Data4[[#This Row],[range_miles]]/EV_Data4[[#This Row],[battery_capacity_kwh]]</f>
        <v>3.8961038961038961</v>
      </c>
      <c r="Z1353" s="4">
        <f>EV_Data4[[#This Row],[price_usd]]/EV_Data4[[#This Row],[range_miles]]</f>
        <v>180.91166666666666</v>
      </c>
      <c r="AA1353" s="2">
        <f>(EV_Data4[[#This Row],[customer_rating]]*EV_Data4[[#This Row],[safety_rating]]*1000)/EV_Data4[[#This Row],[price_usd]]</f>
        <v>0.37096065913076059</v>
      </c>
      <c r="AB1353">
        <f>EV_Data4[[#This Row],[horsepower]]+EV_Data4[[#This Row],[torque_nm]]/EV_Data4[[#This Row],[acceleration_0_60_mph]]</f>
        <v>253.58258258258257</v>
      </c>
      <c r="AC1353" t="str">
        <f>IF(EV_Data4[[#This Row],[price_usd]]&gt;=80000,"Luxury",IF(EV_Data4[[#This Row],[price_usd]]&gt;=40000,"Mid-Range","Budget"))</f>
        <v>Budget</v>
      </c>
      <c r="AD1353" t="str">
        <f>IF(EV_Data4[[#This Row],[range_miles]]&gt;=350,"Long-Range",IF(EV_Data4[[#This Row],[range_miles]]&gt;=250,"Medium-Range","Short-Range"))</f>
        <v>Short-Range</v>
      </c>
      <c r="AE1353" t="str">
        <f>IF(EV_Data4[[#This Row],[charging_speed_kw]]&gt;=250,"Ultra-Fast",IF(EV_Data4[[#This Row],[charging_speed_kw]]&gt;=150,"Fast-Charging","Standard-Charging"))</f>
        <v>Standard-Charging</v>
      </c>
      <c r="AF1353" t="str">
        <f>IF(EV_Data4[[#This Row],[acceleration_0_60_mph]]&lt;=3,"SportsPerformance",IF(EV_Data4[[#This Row],[acceleration_0_60_mph]]&lt;=5,"HighPerformance","Standard"))</f>
        <v>Standard</v>
      </c>
      <c r="AG1353" t="str">
        <f>IF(EV_Data4[[#This Row],[customer_rating]]&gt;=4.5,"Excellent",IF(EV_Data4[[#This Row],[customer_rating]]&gt;=3.5,"Good","Average"))</f>
        <v>Average</v>
      </c>
      <c r="AH135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54" spans="1:34" x14ac:dyDescent="0.3">
      <c r="A1354" t="s">
        <v>24</v>
      </c>
      <c r="B1354" t="s">
        <v>25</v>
      </c>
      <c r="C1354">
        <v>2025</v>
      </c>
      <c r="D1354" t="s">
        <v>33</v>
      </c>
      <c r="E1354" s="3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48</v>
      </c>
      <c r="N1354">
        <v>5</v>
      </c>
      <c r="O1354" t="s">
        <v>40</v>
      </c>
      <c r="P1354">
        <v>61.6</v>
      </c>
      <c r="Q1354">
        <v>1580</v>
      </c>
      <c r="R1354">
        <v>3</v>
      </c>
      <c r="S1354">
        <v>2</v>
      </c>
      <c r="T1354" t="s">
        <v>29</v>
      </c>
      <c r="U1354" t="s">
        <v>30</v>
      </c>
      <c r="V1354" s="3">
        <v>202014</v>
      </c>
      <c r="W1354">
        <v>3.21</v>
      </c>
      <c r="X1354">
        <v>3</v>
      </c>
      <c r="Y1354" s="1">
        <f>EV_Data4[[#This Row],[range_miles]]/EV_Data4[[#This Row],[battery_capacity_kwh]]</f>
        <v>3.2851985559566788</v>
      </c>
      <c r="Z1354" s="4">
        <f>EV_Data4[[#This Row],[price_usd]]/EV_Data4[[#This Row],[range_miles]]</f>
        <v>640.53890109890108</v>
      </c>
      <c r="AA1354" s="2">
        <f>(EV_Data4[[#This Row],[customer_rating]]*EV_Data4[[#This Row],[safety_rating]]*1000)/EV_Data4[[#This Row],[price_usd]]</f>
        <v>8.2605580740393036E-2</v>
      </c>
      <c r="AB1354">
        <f>EV_Data4[[#This Row],[horsepower]]+EV_Data4[[#This Row],[torque_nm]]/EV_Data4[[#This Row],[acceleration_0_60_mph]]</f>
        <v>1129.395218002813</v>
      </c>
      <c r="AC1354" t="str">
        <f>IF(EV_Data4[[#This Row],[price_usd]]&gt;=80000,"Luxury",IF(EV_Data4[[#This Row],[price_usd]]&gt;=40000,"Mid-Range","Budget"))</f>
        <v>Luxury</v>
      </c>
      <c r="AD1354" t="str">
        <f>IF(EV_Data4[[#This Row],[range_miles]]&gt;=350,"Long-Range",IF(EV_Data4[[#This Row],[range_miles]]&gt;=250,"Medium-Range","Short-Range"))</f>
        <v>Short-Range</v>
      </c>
      <c r="AE1354" t="str">
        <f>IF(EV_Data4[[#This Row],[charging_speed_kw]]&gt;=250,"Ultra-Fast",IF(EV_Data4[[#This Row],[charging_speed_kw]]&gt;=150,"Fast-Charging","Standard-Charging"))</f>
        <v>Standard-Charging</v>
      </c>
      <c r="AF1354" t="str">
        <f>IF(EV_Data4[[#This Row],[acceleration_0_60_mph]]&lt;=3,"SportsPerformance",IF(EV_Data4[[#This Row],[acceleration_0_60_mph]]&lt;=5,"HighPerformance","Standard"))</f>
        <v>Standard</v>
      </c>
      <c r="AG1354" t="str">
        <f>IF(EV_Data4[[#This Row],[customer_rating]]&gt;=4.5,"Excellent",IF(EV_Data4[[#This Row],[customer_rating]]&gt;=3.5,"Good","Average"))</f>
        <v>Average</v>
      </c>
      <c r="AH135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55" spans="1:34" x14ac:dyDescent="0.3">
      <c r="A1355" t="s">
        <v>38</v>
      </c>
      <c r="B1355" t="s">
        <v>39</v>
      </c>
      <c r="C1355">
        <v>2022</v>
      </c>
      <c r="D1355" t="s">
        <v>56</v>
      </c>
      <c r="E1355" s="3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34</v>
      </c>
      <c r="N1355">
        <v>5</v>
      </c>
      <c r="O1355" t="s">
        <v>40</v>
      </c>
      <c r="P1355">
        <v>78</v>
      </c>
      <c r="Q1355">
        <v>1500</v>
      </c>
      <c r="R1355">
        <v>5</v>
      </c>
      <c r="S1355">
        <v>1</v>
      </c>
      <c r="T1355" t="s">
        <v>41</v>
      </c>
      <c r="U1355" t="s">
        <v>37</v>
      </c>
      <c r="V1355" s="3">
        <v>19383</v>
      </c>
      <c r="W1355">
        <v>3.42</v>
      </c>
      <c r="X1355">
        <v>4</v>
      </c>
      <c r="Y1355" s="1">
        <f>EV_Data4[[#This Row],[range_miles]]/EV_Data4[[#This Row],[battery_capacity_kwh]]</f>
        <v>3.4720229555236726</v>
      </c>
      <c r="Z1355" s="4">
        <f>EV_Data4[[#This Row],[price_usd]]/EV_Data4[[#This Row],[range_miles]]</f>
        <v>183.69239669421486</v>
      </c>
      <c r="AA1355" s="2">
        <f>(EV_Data4[[#This Row],[customer_rating]]*EV_Data4[[#This Row],[safety_rating]]*1000)/EV_Data4[[#This Row],[price_usd]]</f>
        <v>0.38467110395657855</v>
      </c>
      <c r="AB1355">
        <f>EV_Data4[[#This Row],[horsepower]]+EV_Data4[[#This Row],[torque_nm]]/EV_Data4[[#This Row],[acceleration_0_60_mph]]</f>
        <v>556.43621399176959</v>
      </c>
      <c r="AC1355" t="str">
        <f>IF(EV_Data4[[#This Row],[price_usd]]&gt;=80000,"Luxury",IF(EV_Data4[[#This Row],[price_usd]]&gt;=40000,"Mid-Range","Budget"))</f>
        <v>Mid-Range</v>
      </c>
      <c r="AD1355" t="str">
        <f>IF(EV_Data4[[#This Row],[range_miles]]&gt;=350,"Long-Range",IF(EV_Data4[[#This Row],[range_miles]]&gt;=250,"Medium-Range","Short-Range"))</f>
        <v>Short-Range</v>
      </c>
      <c r="AE1355" t="str">
        <f>IF(EV_Data4[[#This Row],[charging_speed_kw]]&gt;=250,"Ultra-Fast",IF(EV_Data4[[#This Row],[charging_speed_kw]]&gt;=150,"Fast-Charging","Standard-Charging"))</f>
        <v>Standard-Charging</v>
      </c>
      <c r="AF1355" t="str">
        <f>IF(EV_Data4[[#This Row],[acceleration_0_60_mph]]&lt;=3,"SportsPerformance",IF(EV_Data4[[#This Row],[acceleration_0_60_mph]]&lt;=5,"HighPerformance","Standard"))</f>
        <v>Standard</v>
      </c>
      <c r="AG1355" t="str">
        <f>IF(EV_Data4[[#This Row],[customer_rating]]&gt;=4.5,"Excellent",IF(EV_Data4[[#This Row],[customer_rating]]&gt;=3.5,"Good","Average"))</f>
        <v>Average</v>
      </c>
      <c r="AH135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56" spans="1:34" x14ac:dyDescent="0.3">
      <c r="A1356" t="s">
        <v>68</v>
      </c>
      <c r="B1356" t="s">
        <v>90</v>
      </c>
      <c r="C1356">
        <v>2021</v>
      </c>
      <c r="D1356" t="s">
        <v>61</v>
      </c>
      <c r="E1356" s="3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27</v>
      </c>
      <c r="N1356">
        <v>7</v>
      </c>
      <c r="O1356" t="s">
        <v>58</v>
      </c>
      <c r="P1356">
        <v>37</v>
      </c>
      <c r="Q1356">
        <v>1766</v>
      </c>
      <c r="R1356">
        <v>3</v>
      </c>
      <c r="S1356">
        <v>0</v>
      </c>
      <c r="T1356" t="s">
        <v>45</v>
      </c>
      <c r="U1356" t="s">
        <v>66</v>
      </c>
      <c r="V1356" s="3">
        <v>145242</v>
      </c>
      <c r="W1356">
        <v>3.32</v>
      </c>
      <c r="X1356">
        <v>3</v>
      </c>
      <c r="Y1356" s="1">
        <f>EV_Data4[[#This Row],[range_miles]]/EV_Data4[[#This Row],[battery_capacity_kwh]]</f>
        <v>3.5483870967741935</v>
      </c>
      <c r="Z1356" s="4">
        <f>EV_Data4[[#This Row],[price_usd]]/EV_Data4[[#This Row],[range_miles]]</f>
        <v>161.9490909090909</v>
      </c>
      <c r="AA1356" s="2">
        <f>(EV_Data4[[#This Row],[customer_rating]]*EV_Data4[[#This Row],[safety_rating]]*1000)/EV_Data4[[#This Row],[price_usd]]</f>
        <v>0.29426224083650832</v>
      </c>
      <c r="AB1356">
        <f>EV_Data4[[#This Row],[horsepower]]+EV_Data4[[#This Row],[torque_nm]]/EV_Data4[[#This Row],[acceleration_0_60_mph]]</f>
        <v>288.09836065573768</v>
      </c>
      <c r="AC1356" t="str">
        <f>IF(EV_Data4[[#This Row],[price_usd]]&gt;=80000,"Luxury",IF(EV_Data4[[#This Row],[price_usd]]&gt;=40000,"Mid-Range","Budget"))</f>
        <v>Budget</v>
      </c>
      <c r="AD1356" t="str">
        <f>IF(EV_Data4[[#This Row],[range_miles]]&gt;=350,"Long-Range",IF(EV_Data4[[#This Row],[range_miles]]&gt;=250,"Medium-Range","Short-Range"))</f>
        <v>Short-Range</v>
      </c>
      <c r="AE1356" t="str">
        <f>IF(EV_Data4[[#This Row],[charging_speed_kw]]&gt;=250,"Ultra-Fast",IF(EV_Data4[[#This Row],[charging_speed_kw]]&gt;=150,"Fast-Charging","Standard-Charging"))</f>
        <v>Standard-Charging</v>
      </c>
      <c r="AF1356" t="str">
        <f>IF(EV_Data4[[#This Row],[acceleration_0_60_mph]]&lt;=3,"SportsPerformance",IF(EV_Data4[[#This Row],[acceleration_0_60_mph]]&lt;=5,"HighPerformance","Standard"))</f>
        <v>Standard</v>
      </c>
      <c r="AG1356" t="str">
        <f>IF(EV_Data4[[#This Row],[customer_rating]]&gt;=4.5,"Excellent",IF(EV_Data4[[#This Row],[customer_rating]]&gt;=3.5,"Good","Average"))</f>
        <v>Average</v>
      </c>
      <c r="AH135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57" spans="1:34" x14ac:dyDescent="0.3">
      <c r="A1357" t="s">
        <v>86</v>
      </c>
      <c r="B1357" t="s">
        <v>105</v>
      </c>
      <c r="C1357">
        <v>2024</v>
      </c>
      <c r="D1357" t="s">
        <v>56</v>
      </c>
      <c r="E1357" s="3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48</v>
      </c>
      <c r="N1357">
        <v>7</v>
      </c>
      <c r="O1357" t="s">
        <v>58</v>
      </c>
      <c r="P1357">
        <v>32.4</v>
      </c>
      <c r="Q1357">
        <v>1704</v>
      </c>
      <c r="R1357">
        <v>4</v>
      </c>
      <c r="S1357">
        <v>1</v>
      </c>
      <c r="T1357" t="s">
        <v>29</v>
      </c>
      <c r="U1357" t="s">
        <v>37</v>
      </c>
      <c r="V1357" s="3">
        <v>64472</v>
      </c>
      <c r="W1357">
        <v>3.5</v>
      </c>
      <c r="X1357">
        <v>6</v>
      </c>
      <c r="Y1357" s="1">
        <f>EV_Data4[[#This Row],[range_miles]]/EV_Data4[[#This Row],[battery_capacity_kwh]]</f>
        <v>3.375350140056022</v>
      </c>
      <c r="Z1357" s="4">
        <f>EV_Data4[[#This Row],[price_usd]]/EV_Data4[[#This Row],[range_miles]]</f>
        <v>212.72709543568467</v>
      </c>
      <c r="AA1357" s="2">
        <f>(EV_Data4[[#This Row],[customer_rating]]*EV_Data4[[#This Row],[safety_rating]]*1000)/EV_Data4[[#This Row],[price_usd]]</f>
        <v>0.27307892390519245</v>
      </c>
      <c r="AB1357">
        <f>EV_Data4[[#This Row],[horsepower]]+EV_Data4[[#This Row],[torque_nm]]/EV_Data4[[#This Row],[acceleration_0_60_mph]]</f>
        <v>227.33333333333334</v>
      </c>
      <c r="AC1357" t="str">
        <f>IF(EV_Data4[[#This Row],[price_usd]]&gt;=80000,"Luxury",IF(EV_Data4[[#This Row],[price_usd]]&gt;=40000,"Mid-Range","Budget"))</f>
        <v>Mid-Range</v>
      </c>
      <c r="AD1357" t="str">
        <f>IF(EV_Data4[[#This Row],[range_miles]]&gt;=350,"Long-Range",IF(EV_Data4[[#This Row],[range_miles]]&gt;=250,"Medium-Range","Short-Range"))</f>
        <v>Short-Range</v>
      </c>
      <c r="AE1357" t="str">
        <f>IF(EV_Data4[[#This Row],[charging_speed_kw]]&gt;=250,"Ultra-Fast",IF(EV_Data4[[#This Row],[charging_speed_kw]]&gt;=150,"Fast-Charging","Standard-Charging"))</f>
        <v>Standard-Charging</v>
      </c>
      <c r="AF1357" t="str">
        <f>IF(EV_Data4[[#This Row],[acceleration_0_60_mph]]&lt;=3,"SportsPerformance",IF(EV_Data4[[#This Row],[acceleration_0_60_mph]]&lt;=5,"HighPerformance","Standard"))</f>
        <v>Standard</v>
      </c>
      <c r="AG1357" t="str">
        <f>IF(EV_Data4[[#This Row],[customer_rating]]&gt;=4.5,"Excellent",IF(EV_Data4[[#This Row],[customer_rating]]&gt;=3.5,"Good","Average"))</f>
        <v>Good</v>
      </c>
      <c r="AH135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58" spans="1:34" x14ac:dyDescent="0.3">
      <c r="A1358" t="s">
        <v>86</v>
      </c>
      <c r="B1358" t="s">
        <v>108</v>
      </c>
      <c r="C1358">
        <v>2025</v>
      </c>
      <c r="D1358" t="s">
        <v>61</v>
      </c>
      <c r="E1358" s="3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34</v>
      </c>
      <c r="N1358">
        <v>5</v>
      </c>
      <c r="O1358" t="s">
        <v>40</v>
      </c>
      <c r="P1358">
        <v>70.099999999999994</v>
      </c>
      <c r="Q1358">
        <v>1701</v>
      </c>
      <c r="R1358">
        <v>5</v>
      </c>
      <c r="S1358">
        <v>2</v>
      </c>
      <c r="T1358" t="s">
        <v>29</v>
      </c>
      <c r="U1358" t="s">
        <v>33</v>
      </c>
      <c r="V1358" s="3">
        <v>67104</v>
      </c>
      <c r="W1358">
        <v>3.14</v>
      </c>
      <c r="X1358">
        <v>5</v>
      </c>
      <c r="Y1358" s="1">
        <f>EV_Data4[[#This Row],[range_miles]]/EV_Data4[[#This Row],[battery_capacity_kwh]]</f>
        <v>3.9828693790149892</v>
      </c>
      <c r="Z1358" s="4">
        <f>EV_Data4[[#This Row],[price_usd]]/EV_Data4[[#This Row],[range_miles]]</f>
        <v>418.3223655913979</v>
      </c>
      <c r="AA1358" s="2">
        <f>(EV_Data4[[#This Row],[customer_rating]]*EV_Data4[[#This Row],[safety_rating]]*1000)/EV_Data4[[#This Row],[price_usd]]</f>
        <v>0.20177884113656239</v>
      </c>
      <c r="AB1358">
        <f>EV_Data4[[#This Row],[horsepower]]+EV_Data4[[#This Row],[torque_nm]]/EV_Data4[[#This Row],[acceleration_0_60_mph]]</f>
        <v>482.67914438502675</v>
      </c>
      <c r="AC1358" t="str">
        <f>IF(EV_Data4[[#This Row],[price_usd]]&gt;=80000,"Luxury",IF(EV_Data4[[#This Row],[price_usd]]&gt;=40000,"Mid-Range","Budget"))</f>
        <v>Mid-Range</v>
      </c>
      <c r="AD1358" t="str">
        <f>IF(EV_Data4[[#This Row],[range_miles]]&gt;=350,"Long-Range",IF(EV_Data4[[#This Row],[range_miles]]&gt;=250,"Medium-Range","Short-Range"))</f>
        <v>Short-Range</v>
      </c>
      <c r="AE1358" t="str">
        <f>IF(EV_Data4[[#This Row],[charging_speed_kw]]&gt;=250,"Ultra-Fast",IF(EV_Data4[[#This Row],[charging_speed_kw]]&gt;=150,"Fast-Charging","Standard-Charging"))</f>
        <v>Standard-Charging</v>
      </c>
      <c r="AF1358" t="str">
        <f>IF(EV_Data4[[#This Row],[acceleration_0_60_mph]]&lt;=3,"SportsPerformance",IF(EV_Data4[[#This Row],[acceleration_0_60_mph]]&lt;=5,"HighPerformance","Standard"))</f>
        <v>Standard</v>
      </c>
      <c r="AG1358" t="str">
        <f>IF(EV_Data4[[#This Row],[customer_rating]]&gt;=4.5,"Excellent",IF(EV_Data4[[#This Row],[customer_rating]]&gt;=3.5,"Good","Average"))</f>
        <v>Average</v>
      </c>
      <c r="AH135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59" spans="1:34" x14ac:dyDescent="0.3">
      <c r="A1359" t="s">
        <v>24</v>
      </c>
      <c r="B1359" t="s">
        <v>70</v>
      </c>
      <c r="C1359">
        <v>2025</v>
      </c>
      <c r="D1359" t="s">
        <v>56</v>
      </c>
      <c r="E1359" s="3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34</v>
      </c>
      <c r="N1359">
        <v>7</v>
      </c>
      <c r="O1359" t="s">
        <v>40</v>
      </c>
      <c r="P1359">
        <v>61.9</v>
      </c>
      <c r="Q1359">
        <v>1553</v>
      </c>
      <c r="R1359">
        <v>5</v>
      </c>
      <c r="S1359">
        <v>0</v>
      </c>
      <c r="T1359" t="s">
        <v>29</v>
      </c>
      <c r="U1359" t="s">
        <v>33</v>
      </c>
      <c r="V1359" s="3">
        <v>283626</v>
      </c>
      <c r="W1359">
        <v>3.43</v>
      </c>
      <c r="X1359">
        <v>4</v>
      </c>
      <c r="Y1359" s="1">
        <f>EV_Data4[[#This Row],[range_miles]]/EV_Data4[[#This Row],[battery_capacity_kwh]]</f>
        <v>3.5320417287630406</v>
      </c>
      <c r="Z1359" s="4">
        <f>EV_Data4[[#This Row],[price_usd]]/EV_Data4[[#This Row],[range_miles]]</f>
        <v>332.926329113924</v>
      </c>
      <c r="AA1359" s="2">
        <f>(EV_Data4[[#This Row],[customer_rating]]*EV_Data4[[#This Row],[safety_rating]]*1000)/EV_Data4[[#This Row],[price_usd]]</f>
        <v>0.21735399957974008</v>
      </c>
      <c r="AB1359">
        <f>EV_Data4[[#This Row],[horsepower]]+EV_Data4[[#This Row],[torque_nm]]/EV_Data4[[#This Row],[acceleration_0_60_mph]]</f>
        <v>1014.1016635859519</v>
      </c>
      <c r="AC1359" t="str">
        <f>IF(EV_Data4[[#This Row],[price_usd]]&gt;=80000,"Luxury",IF(EV_Data4[[#This Row],[price_usd]]&gt;=40000,"Mid-Range","Budget"))</f>
        <v>Mid-Range</v>
      </c>
      <c r="AD1359" t="str">
        <f>IF(EV_Data4[[#This Row],[range_miles]]&gt;=350,"Long-Range",IF(EV_Data4[[#This Row],[range_miles]]&gt;=250,"Medium-Range","Short-Range"))</f>
        <v>Short-Range</v>
      </c>
      <c r="AE1359" t="str">
        <f>IF(EV_Data4[[#This Row],[charging_speed_kw]]&gt;=250,"Ultra-Fast",IF(EV_Data4[[#This Row],[charging_speed_kw]]&gt;=150,"Fast-Charging","Standard-Charging"))</f>
        <v>Standard-Charging</v>
      </c>
      <c r="AF1359" t="str">
        <f>IF(EV_Data4[[#This Row],[acceleration_0_60_mph]]&lt;=3,"SportsPerformance",IF(EV_Data4[[#This Row],[acceleration_0_60_mph]]&lt;=5,"HighPerformance","Standard"))</f>
        <v>Standard</v>
      </c>
      <c r="AG1359" t="str">
        <f>IF(EV_Data4[[#This Row],[customer_rating]]&gt;=4.5,"Excellent",IF(EV_Data4[[#This Row],[customer_rating]]&gt;=3.5,"Good","Average"))</f>
        <v>Average</v>
      </c>
      <c r="AH135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60" spans="1:34" x14ac:dyDescent="0.3">
      <c r="A1360" t="s">
        <v>63</v>
      </c>
      <c r="B1360" t="s">
        <v>82</v>
      </c>
      <c r="C1360">
        <v>2024</v>
      </c>
      <c r="D1360" t="s">
        <v>44</v>
      </c>
      <c r="E1360" s="3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34</v>
      </c>
      <c r="N1360">
        <v>5</v>
      </c>
      <c r="O1360" t="s">
        <v>58</v>
      </c>
      <c r="P1360">
        <v>32.200000000000003</v>
      </c>
      <c r="Q1360">
        <v>1759</v>
      </c>
      <c r="R1360">
        <v>4</v>
      </c>
      <c r="S1360">
        <v>0</v>
      </c>
      <c r="T1360" t="s">
        <v>65</v>
      </c>
      <c r="U1360" t="s">
        <v>33</v>
      </c>
      <c r="V1360" s="3">
        <v>220772</v>
      </c>
      <c r="W1360">
        <v>3.68</v>
      </c>
      <c r="X1360">
        <v>3</v>
      </c>
      <c r="Y1360" s="1">
        <f>EV_Data4[[#This Row],[range_miles]]/EV_Data4[[#This Row],[battery_capacity_kwh]]</f>
        <v>3.6806342015855043</v>
      </c>
      <c r="Z1360" s="4">
        <f>EV_Data4[[#This Row],[price_usd]]/EV_Data4[[#This Row],[range_miles]]</f>
        <v>231.13243076923075</v>
      </c>
      <c r="AA1360" s="2">
        <f>(EV_Data4[[#This Row],[customer_rating]]*EV_Data4[[#This Row],[safety_rating]]*1000)/EV_Data4[[#This Row],[price_usd]]</f>
        <v>0.19595825450184803</v>
      </c>
      <c r="AB1360">
        <f>EV_Data4[[#This Row],[horsepower]]+EV_Data4[[#This Row],[torque_nm]]/EV_Data4[[#This Row],[acceleration_0_60_mph]]</f>
        <v>1032.5120772946859</v>
      </c>
      <c r="AC1360" t="str">
        <f>IF(EV_Data4[[#This Row],[price_usd]]&gt;=80000,"Luxury",IF(EV_Data4[[#This Row],[price_usd]]&gt;=40000,"Mid-Range","Budget"))</f>
        <v>Mid-Range</v>
      </c>
      <c r="AD1360" t="str">
        <f>IF(EV_Data4[[#This Row],[range_miles]]&gt;=350,"Long-Range",IF(EV_Data4[[#This Row],[range_miles]]&gt;=250,"Medium-Range","Short-Range"))</f>
        <v>Medium-Range</v>
      </c>
      <c r="AE1360" t="str">
        <f>IF(EV_Data4[[#This Row],[charging_speed_kw]]&gt;=250,"Ultra-Fast",IF(EV_Data4[[#This Row],[charging_speed_kw]]&gt;=150,"Fast-Charging","Standard-Charging"))</f>
        <v>Standard-Charging</v>
      </c>
      <c r="AF1360" t="str">
        <f>IF(EV_Data4[[#This Row],[acceleration_0_60_mph]]&lt;=3,"SportsPerformance",IF(EV_Data4[[#This Row],[acceleration_0_60_mph]]&lt;=5,"HighPerformance","Standard"))</f>
        <v>HighPerformance</v>
      </c>
      <c r="AG1360" t="str">
        <f>IF(EV_Data4[[#This Row],[customer_rating]]&gt;=4.5,"Excellent",IF(EV_Data4[[#This Row],[customer_rating]]&gt;=3.5,"Good","Average"))</f>
        <v>Good</v>
      </c>
      <c r="AH136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61" spans="1:34" x14ac:dyDescent="0.3">
      <c r="A1361" t="s">
        <v>42</v>
      </c>
      <c r="B1361" t="s">
        <v>80</v>
      </c>
      <c r="C1361">
        <v>2023</v>
      </c>
      <c r="D1361" t="s">
        <v>26</v>
      </c>
      <c r="E1361" s="3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27</v>
      </c>
      <c r="N1361">
        <v>5</v>
      </c>
      <c r="O1361" t="s">
        <v>35</v>
      </c>
      <c r="P1361">
        <v>55.3</v>
      </c>
      <c r="Q1361">
        <v>2179</v>
      </c>
      <c r="R1361">
        <v>4</v>
      </c>
      <c r="S1361">
        <v>0</v>
      </c>
      <c r="T1361" t="s">
        <v>45</v>
      </c>
      <c r="U1361" t="s">
        <v>33</v>
      </c>
      <c r="V1361" s="3">
        <v>99948</v>
      </c>
      <c r="W1361">
        <v>3.66</v>
      </c>
      <c r="X1361">
        <v>5</v>
      </c>
      <c r="Y1361" s="1">
        <f>EV_Data4[[#This Row],[range_miles]]/EV_Data4[[#This Row],[battery_capacity_kwh]]</f>
        <v>3.5034482758620689</v>
      </c>
      <c r="Z1361" s="4">
        <f>EV_Data4[[#This Row],[price_usd]]/EV_Data4[[#This Row],[range_miles]]</f>
        <v>302.27251968503936</v>
      </c>
      <c r="AA1361" s="2">
        <f>(EV_Data4[[#This Row],[customer_rating]]*EV_Data4[[#This Row],[safety_rating]]*1000)/EV_Data4[[#This Row],[price_usd]]</f>
        <v>0.19068155893115171</v>
      </c>
      <c r="AB1361">
        <f>EV_Data4[[#This Row],[horsepower]]+EV_Data4[[#This Row],[torque_nm]]/EV_Data4[[#This Row],[acceleration_0_60_mph]]</f>
        <v>1190.8253968253969</v>
      </c>
      <c r="AC1361" t="str">
        <f>IF(EV_Data4[[#This Row],[price_usd]]&gt;=80000,"Luxury",IF(EV_Data4[[#This Row],[price_usd]]&gt;=40000,"Mid-Range","Budget"))</f>
        <v>Mid-Range</v>
      </c>
      <c r="AD1361" t="str">
        <f>IF(EV_Data4[[#This Row],[range_miles]]&gt;=350,"Long-Range",IF(EV_Data4[[#This Row],[range_miles]]&gt;=250,"Medium-Range","Short-Range"))</f>
        <v>Medium-Range</v>
      </c>
      <c r="AE1361" t="str">
        <f>IF(EV_Data4[[#This Row],[charging_speed_kw]]&gt;=250,"Ultra-Fast",IF(EV_Data4[[#This Row],[charging_speed_kw]]&gt;=150,"Fast-Charging","Standard-Charging"))</f>
        <v>Fast-Charging</v>
      </c>
      <c r="AF1361" t="str">
        <f>IF(EV_Data4[[#This Row],[acceleration_0_60_mph]]&lt;=3,"SportsPerformance",IF(EV_Data4[[#This Row],[acceleration_0_60_mph]]&lt;=5,"HighPerformance","Standard"))</f>
        <v>SportsPerformance</v>
      </c>
      <c r="AG1361" t="str">
        <f>IF(EV_Data4[[#This Row],[customer_rating]]&gt;=4.5,"Excellent",IF(EV_Data4[[#This Row],[customer_rating]]&gt;=3.5,"Good","Average"))</f>
        <v>Good</v>
      </c>
      <c r="AH136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62" spans="1:34" x14ac:dyDescent="0.3">
      <c r="A1362" t="s">
        <v>86</v>
      </c>
      <c r="B1362" t="s">
        <v>117</v>
      </c>
      <c r="C1362">
        <v>2025</v>
      </c>
      <c r="D1362" t="s">
        <v>61</v>
      </c>
      <c r="E1362" s="3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48</v>
      </c>
      <c r="N1362">
        <v>5</v>
      </c>
      <c r="O1362" t="s">
        <v>58</v>
      </c>
      <c r="P1362">
        <v>28.1</v>
      </c>
      <c r="Q1362">
        <v>1635</v>
      </c>
      <c r="R1362">
        <v>5</v>
      </c>
      <c r="S1362">
        <v>2</v>
      </c>
      <c r="T1362" t="s">
        <v>29</v>
      </c>
      <c r="U1362" t="s">
        <v>30</v>
      </c>
      <c r="V1362" s="3">
        <v>48973</v>
      </c>
      <c r="W1362">
        <v>3.68</v>
      </c>
      <c r="X1362">
        <v>6</v>
      </c>
      <c r="Y1362" s="1">
        <f>EV_Data4[[#This Row],[range_miles]]/EV_Data4[[#This Row],[battery_capacity_kwh]]</f>
        <v>3.454301075268817</v>
      </c>
      <c r="Z1362" s="4">
        <f>EV_Data4[[#This Row],[price_usd]]/EV_Data4[[#This Row],[range_miles]]</f>
        <v>466.34451361867701</v>
      </c>
      <c r="AA1362" s="2">
        <f>(EV_Data4[[#This Row],[customer_rating]]*EV_Data4[[#This Row],[safety_rating]]*1000)/EV_Data4[[#This Row],[price_usd]]</f>
        <v>0.15352454815806424</v>
      </c>
      <c r="AB1362">
        <f>EV_Data4[[#This Row],[horsepower]]+EV_Data4[[#This Row],[torque_nm]]/EV_Data4[[#This Row],[acceleration_0_60_mph]]</f>
        <v>1078.948717948718</v>
      </c>
      <c r="AC1362" t="str">
        <f>IF(EV_Data4[[#This Row],[price_usd]]&gt;=80000,"Luxury",IF(EV_Data4[[#This Row],[price_usd]]&gt;=40000,"Mid-Range","Budget"))</f>
        <v>Luxury</v>
      </c>
      <c r="AD1362" t="str">
        <f>IF(EV_Data4[[#This Row],[range_miles]]&gt;=350,"Long-Range",IF(EV_Data4[[#This Row],[range_miles]]&gt;=250,"Medium-Range","Short-Range"))</f>
        <v>Medium-Range</v>
      </c>
      <c r="AE1362" t="str">
        <f>IF(EV_Data4[[#This Row],[charging_speed_kw]]&gt;=250,"Ultra-Fast",IF(EV_Data4[[#This Row],[charging_speed_kw]]&gt;=150,"Fast-Charging","Standard-Charging"))</f>
        <v>Standard-Charging</v>
      </c>
      <c r="AF1362" t="str">
        <f>IF(EV_Data4[[#This Row],[acceleration_0_60_mph]]&lt;=3,"SportsPerformance",IF(EV_Data4[[#This Row],[acceleration_0_60_mph]]&lt;=5,"HighPerformance","Standard"))</f>
        <v>Standard</v>
      </c>
      <c r="AG1362" t="str">
        <f>IF(EV_Data4[[#This Row],[customer_rating]]&gt;=4.5,"Excellent",IF(EV_Data4[[#This Row],[customer_rating]]&gt;=3.5,"Good","Average"))</f>
        <v>Good</v>
      </c>
      <c r="AH136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63" spans="1:34" x14ac:dyDescent="0.3">
      <c r="A1363" t="s">
        <v>63</v>
      </c>
      <c r="B1363" t="s">
        <v>67</v>
      </c>
      <c r="C1363">
        <v>2025</v>
      </c>
      <c r="D1363" t="s">
        <v>33</v>
      </c>
      <c r="E1363" s="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27</v>
      </c>
      <c r="N1363">
        <v>5</v>
      </c>
      <c r="O1363" t="s">
        <v>35</v>
      </c>
      <c r="P1363">
        <v>43.8</v>
      </c>
      <c r="Q1363">
        <v>2109</v>
      </c>
      <c r="R1363">
        <v>5</v>
      </c>
      <c r="S1363">
        <v>0</v>
      </c>
      <c r="T1363" t="s">
        <v>65</v>
      </c>
      <c r="U1363" t="s">
        <v>37</v>
      </c>
      <c r="V1363" s="3">
        <v>119429</v>
      </c>
      <c r="W1363">
        <v>3.24</v>
      </c>
      <c r="X1363">
        <v>5</v>
      </c>
      <c r="Y1363" s="1">
        <f>EV_Data4[[#This Row],[range_miles]]/EV_Data4[[#This Row],[battery_capacity_kwh]]</f>
        <v>3.3379694019471486</v>
      </c>
      <c r="Z1363" s="4">
        <f>EV_Data4[[#This Row],[price_usd]]/EV_Data4[[#This Row],[range_miles]]</f>
        <v>189.80737499999998</v>
      </c>
      <c r="AA1363" s="2">
        <f>(EV_Data4[[#This Row],[customer_rating]]*EV_Data4[[#This Row],[safety_rating]]*1000)/EV_Data4[[#This Row],[price_usd]]</f>
        <v>0.35562369481164796</v>
      </c>
      <c r="AB1363">
        <f>EV_Data4[[#This Row],[horsepower]]+EV_Data4[[#This Row],[torque_nm]]/EV_Data4[[#This Row],[acceleration_0_60_mph]]</f>
        <v>518.03571428571433</v>
      </c>
      <c r="AC1363" t="str">
        <f>IF(EV_Data4[[#This Row],[price_usd]]&gt;=80000,"Luxury",IF(EV_Data4[[#This Row],[price_usd]]&gt;=40000,"Mid-Range","Budget"))</f>
        <v>Mid-Range</v>
      </c>
      <c r="AD1363" t="str">
        <f>IF(EV_Data4[[#This Row],[range_miles]]&gt;=350,"Long-Range",IF(EV_Data4[[#This Row],[range_miles]]&gt;=250,"Medium-Range","Short-Range"))</f>
        <v>Short-Range</v>
      </c>
      <c r="AE1363" t="str">
        <f>IF(EV_Data4[[#This Row],[charging_speed_kw]]&gt;=250,"Ultra-Fast",IF(EV_Data4[[#This Row],[charging_speed_kw]]&gt;=150,"Fast-Charging","Standard-Charging"))</f>
        <v>Standard-Charging</v>
      </c>
      <c r="AF1363" t="str">
        <f>IF(EV_Data4[[#This Row],[acceleration_0_60_mph]]&lt;=3,"SportsPerformance",IF(EV_Data4[[#This Row],[acceleration_0_60_mph]]&lt;=5,"HighPerformance","Standard"))</f>
        <v>Standard</v>
      </c>
      <c r="AG1363" t="str">
        <f>IF(EV_Data4[[#This Row],[customer_rating]]&gt;=4.5,"Excellent",IF(EV_Data4[[#This Row],[customer_rating]]&gt;=3.5,"Good","Average"))</f>
        <v>Average</v>
      </c>
      <c r="AH136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64" spans="1:34" x14ac:dyDescent="0.3">
      <c r="A1364" t="s">
        <v>83</v>
      </c>
      <c r="B1364" t="s">
        <v>89</v>
      </c>
      <c r="C1364">
        <v>2023</v>
      </c>
      <c r="D1364" t="s">
        <v>26</v>
      </c>
      <c r="E1364" s="3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48</v>
      </c>
      <c r="N1364">
        <v>5</v>
      </c>
      <c r="O1364" t="s">
        <v>51</v>
      </c>
      <c r="P1364">
        <v>24.4</v>
      </c>
      <c r="Q1364">
        <v>1636</v>
      </c>
      <c r="R1364">
        <v>4</v>
      </c>
      <c r="S1364">
        <v>1</v>
      </c>
      <c r="T1364" t="s">
        <v>29</v>
      </c>
      <c r="U1364" t="s">
        <v>30</v>
      </c>
      <c r="V1364" s="3">
        <v>41408</v>
      </c>
      <c r="W1364">
        <v>3.72</v>
      </c>
      <c r="X1364">
        <v>6</v>
      </c>
      <c r="Y1364" s="1">
        <f>EV_Data4[[#This Row],[range_miles]]/EV_Data4[[#This Row],[battery_capacity_kwh]]</f>
        <v>3.4220072551390568</v>
      </c>
      <c r="Z1364" s="4">
        <f>EV_Data4[[#This Row],[price_usd]]/EV_Data4[[#This Row],[range_miles]]</f>
        <v>393.97784452296816</v>
      </c>
      <c r="AA1364" s="2">
        <f>(EV_Data4[[#This Row],[customer_rating]]*EV_Data4[[#This Row],[safety_rating]]*1000)/EV_Data4[[#This Row],[price_usd]]</f>
        <v>0.13345802570197082</v>
      </c>
      <c r="AB1364">
        <f>EV_Data4[[#This Row],[horsepower]]+EV_Data4[[#This Row],[torque_nm]]/EV_Data4[[#This Row],[acceleration_0_60_mph]]</f>
        <v>1151.7775061124694</v>
      </c>
      <c r="AC1364" t="str">
        <f>IF(EV_Data4[[#This Row],[price_usd]]&gt;=80000,"Luxury",IF(EV_Data4[[#This Row],[price_usd]]&gt;=40000,"Mid-Range","Budget"))</f>
        <v>Luxury</v>
      </c>
      <c r="AD1364" t="str">
        <f>IF(EV_Data4[[#This Row],[range_miles]]&gt;=350,"Long-Range",IF(EV_Data4[[#This Row],[range_miles]]&gt;=250,"Medium-Range","Short-Range"))</f>
        <v>Medium-Range</v>
      </c>
      <c r="AE1364" t="str">
        <f>IF(EV_Data4[[#This Row],[charging_speed_kw]]&gt;=250,"Ultra-Fast",IF(EV_Data4[[#This Row],[charging_speed_kw]]&gt;=150,"Fast-Charging","Standard-Charging"))</f>
        <v>Fast-Charging</v>
      </c>
      <c r="AF1364" t="str">
        <f>IF(EV_Data4[[#This Row],[acceleration_0_60_mph]]&lt;=3,"SportsPerformance",IF(EV_Data4[[#This Row],[acceleration_0_60_mph]]&lt;=5,"HighPerformance","Standard"))</f>
        <v>HighPerformance</v>
      </c>
      <c r="AG1364" t="str">
        <f>IF(EV_Data4[[#This Row],[customer_rating]]&gt;=4.5,"Excellent",IF(EV_Data4[[#This Row],[customer_rating]]&gt;=3.5,"Good","Average"))</f>
        <v>Good</v>
      </c>
      <c r="AH136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65" spans="1:34" x14ac:dyDescent="0.3">
      <c r="A1365" t="s">
        <v>83</v>
      </c>
      <c r="B1365" t="s">
        <v>104</v>
      </c>
      <c r="C1365">
        <v>2024</v>
      </c>
      <c r="D1365" t="s">
        <v>26</v>
      </c>
      <c r="E1365" s="3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27</v>
      </c>
      <c r="N1365">
        <v>5</v>
      </c>
      <c r="O1365" t="s">
        <v>51</v>
      </c>
      <c r="P1365">
        <v>32.5</v>
      </c>
      <c r="Q1365">
        <v>1939</v>
      </c>
      <c r="R1365">
        <v>5</v>
      </c>
      <c r="S1365">
        <v>2</v>
      </c>
      <c r="T1365" t="s">
        <v>29</v>
      </c>
      <c r="U1365" t="s">
        <v>30</v>
      </c>
      <c r="V1365" s="3">
        <v>68965</v>
      </c>
      <c r="W1365">
        <v>3.76</v>
      </c>
      <c r="X1365">
        <v>7</v>
      </c>
      <c r="Y1365" s="1">
        <f>EV_Data4[[#This Row],[range_miles]]/EV_Data4[[#This Row],[battery_capacity_kwh]]</f>
        <v>3.403314917127072</v>
      </c>
      <c r="Z1365" s="4">
        <f>EV_Data4[[#This Row],[price_usd]]/EV_Data4[[#This Row],[range_miles]]</f>
        <v>437.07035714285718</v>
      </c>
      <c r="AA1365" s="2">
        <f>(EV_Data4[[#This Row],[customer_rating]]*EV_Data4[[#This Row],[safety_rating]]*1000)/EV_Data4[[#This Row],[price_usd]]</f>
        <v>0.13965477191812928</v>
      </c>
      <c r="AB1365">
        <f>EV_Data4[[#This Row],[horsepower]]+EV_Data4[[#This Row],[torque_nm]]/EV_Data4[[#This Row],[acceleration_0_60_mph]]</f>
        <v>1223.6144578313254</v>
      </c>
      <c r="AC1365" t="str">
        <f>IF(EV_Data4[[#This Row],[price_usd]]&gt;=80000,"Luxury",IF(EV_Data4[[#This Row],[price_usd]]&gt;=40000,"Mid-Range","Budget"))</f>
        <v>Luxury</v>
      </c>
      <c r="AD1365" t="str">
        <f>IF(EV_Data4[[#This Row],[range_miles]]&gt;=350,"Long-Range",IF(EV_Data4[[#This Row],[range_miles]]&gt;=250,"Medium-Range","Short-Range"))</f>
        <v>Medium-Range</v>
      </c>
      <c r="AE1365" t="str">
        <f>IF(EV_Data4[[#This Row],[charging_speed_kw]]&gt;=250,"Ultra-Fast",IF(EV_Data4[[#This Row],[charging_speed_kw]]&gt;=150,"Fast-Charging","Standard-Charging"))</f>
        <v>Fast-Charging</v>
      </c>
      <c r="AF1365" t="str">
        <f>IF(EV_Data4[[#This Row],[acceleration_0_60_mph]]&lt;=3,"SportsPerformance",IF(EV_Data4[[#This Row],[acceleration_0_60_mph]]&lt;=5,"HighPerformance","Standard"))</f>
        <v>HighPerformance</v>
      </c>
      <c r="AG1365" t="str">
        <f>IF(EV_Data4[[#This Row],[customer_rating]]&gt;=4.5,"Excellent",IF(EV_Data4[[#This Row],[customer_rating]]&gt;=3.5,"Good","Average"))</f>
        <v>Good</v>
      </c>
      <c r="AH136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66" spans="1:34" x14ac:dyDescent="0.3">
      <c r="A1366" t="s">
        <v>38</v>
      </c>
      <c r="B1366" t="s">
        <v>39</v>
      </c>
      <c r="C1366">
        <v>2024</v>
      </c>
      <c r="D1366" t="s">
        <v>44</v>
      </c>
      <c r="E1366" s="3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48</v>
      </c>
      <c r="N1366">
        <v>5</v>
      </c>
      <c r="O1366" t="s">
        <v>51</v>
      </c>
      <c r="P1366">
        <v>28.5</v>
      </c>
      <c r="Q1366">
        <v>1500</v>
      </c>
      <c r="R1366">
        <v>5</v>
      </c>
      <c r="S1366">
        <v>1</v>
      </c>
      <c r="T1366" t="s">
        <v>41</v>
      </c>
      <c r="U1366" t="s">
        <v>37</v>
      </c>
      <c r="V1366" s="3">
        <v>805</v>
      </c>
      <c r="W1366">
        <v>3.76</v>
      </c>
      <c r="X1366">
        <v>3</v>
      </c>
      <c r="Y1366" s="1">
        <f>EV_Data4[[#This Row],[range_miles]]/EV_Data4[[#This Row],[battery_capacity_kwh]]</f>
        <v>3.6507936507936507</v>
      </c>
      <c r="Z1366" s="4">
        <f>EV_Data4[[#This Row],[price_usd]]/EV_Data4[[#This Row],[range_miles]]</f>
        <v>184.67023411371238</v>
      </c>
      <c r="AA1366" s="2">
        <f>(EV_Data4[[#This Row],[customer_rating]]*EV_Data4[[#This Row],[safety_rating]]*1000)/EV_Data4[[#This Row],[price_usd]]</f>
        <v>0.34047855347324341</v>
      </c>
      <c r="AB1366">
        <f>EV_Data4[[#This Row],[horsepower]]+EV_Data4[[#This Row],[torque_nm]]/EV_Data4[[#This Row],[acceleration_0_60_mph]]</f>
        <v>773.91304347826087</v>
      </c>
      <c r="AC1366" t="str">
        <f>IF(EV_Data4[[#This Row],[price_usd]]&gt;=80000,"Luxury",IF(EV_Data4[[#This Row],[price_usd]]&gt;=40000,"Mid-Range","Budget"))</f>
        <v>Mid-Range</v>
      </c>
      <c r="AD1366" t="str">
        <f>IF(EV_Data4[[#This Row],[range_miles]]&gt;=350,"Long-Range",IF(EV_Data4[[#This Row],[range_miles]]&gt;=250,"Medium-Range","Short-Range"))</f>
        <v>Medium-Range</v>
      </c>
      <c r="AE1366" t="str">
        <f>IF(EV_Data4[[#This Row],[charging_speed_kw]]&gt;=250,"Ultra-Fast",IF(EV_Data4[[#This Row],[charging_speed_kw]]&gt;=150,"Fast-Charging","Standard-Charging"))</f>
        <v>Standard-Charging</v>
      </c>
      <c r="AF1366" t="str">
        <f>IF(EV_Data4[[#This Row],[acceleration_0_60_mph]]&lt;=3,"SportsPerformance",IF(EV_Data4[[#This Row],[acceleration_0_60_mph]]&lt;=5,"HighPerformance","Standard"))</f>
        <v>Standard</v>
      </c>
      <c r="AG1366" t="str">
        <f>IF(EV_Data4[[#This Row],[customer_rating]]&gt;=4.5,"Excellent",IF(EV_Data4[[#This Row],[customer_rating]]&gt;=3.5,"Good","Average"))</f>
        <v>Good</v>
      </c>
      <c r="AH136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67" spans="1:34" x14ac:dyDescent="0.3">
      <c r="A1367" t="s">
        <v>46</v>
      </c>
      <c r="B1367" t="s">
        <v>57</v>
      </c>
      <c r="C1367">
        <v>2023</v>
      </c>
      <c r="D1367" t="s">
        <v>33</v>
      </c>
      <c r="E1367" s="3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27</v>
      </c>
      <c r="N1367">
        <v>7</v>
      </c>
      <c r="O1367" t="s">
        <v>50</v>
      </c>
      <c r="P1367">
        <v>38.9</v>
      </c>
      <c r="Q1367">
        <v>1689</v>
      </c>
      <c r="R1367">
        <v>4</v>
      </c>
      <c r="S1367">
        <v>2</v>
      </c>
      <c r="T1367" t="s">
        <v>41</v>
      </c>
      <c r="U1367" t="s">
        <v>30</v>
      </c>
      <c r="V1367" s="3">
        <v>220716</v>
      </c>
      <c r="W1367">
        <v>3.73</v>
      </c>
      <c r="X1367">
        <v>5</v>
      </c>
      <c r="Y1367" s="1">
        <f>EV_Data4[[#This Row],[range_miles]]/EV_Data4[[#This Row],[battery_capacity_kwh]]</f>
        <v>3.296703296703297</v>
      </c>
      <c r="Z1367" s="4">
        <f>EV_Data4[[#This Row],[price_usd]]/EV_Data4[[#This Row],[range_miles]]</f>
        <v>680.50254166666662</v>
      </c>
      <c r="AA1367" s="2">
        <f>(EV_Data4[[#This Row],[customer_rating]]*EV_Data4[[#This Row],[safety_rating]]*1000)/EV_Data4[[#This Row],[price_usd]]</f>
        <v>9.1354055069963316E-2</v>
      </c>
      <c r="AB1367">
        <f>EV_Data4[[#This Row],[horsepower]]+EV_Data4[[#This Row],[torque_nm]]/EV_Data4[[#This Row],[acceleration_0_60_mph]]</f>
        <v>1128.8888888888889</v>
      </c>
      <c r="AC1367" t="str">
        <f>IF(EV_Data4[[#This Row],[price_usd]]&gt;=80000,"Luxury",IF(EV_Data4[[#This Row],[price_usd]]&gt;=40000,"Mid-Range","Budget"))</f>
        <v>Luxury</v>
      </c>
      <c r="AD1367" t="str">
        <f>IF(EV_Data4[[#This Row],[range_miles]]&gt;=350,"Long-Range",IF(EV_Data4[[#This Row],[range_miles]]&gt;=250,"Medium-Range","Short-Range"))</f>
        <v>Short-Range</v>
      </c>
      <c r="AE1367" t="str">
        <f>IF(EV_Data4[[#This Row],[charging_speed_kw]]&gt;=250,"Ultra-Fast",IF(EV_Data4[[#This Row],[charging_speed_kw]]&gt;=150,"Fast-Charging","Standard-Charging"))</f>
        <v>Ultra-Fast</v>
      </c>
      <c r="AF1367" t="str">
        <f>IF(EV_Data4[[#This Row],[acceleration_0_60_mph]]&lt;=3,"SportsPerformance",IF(EV_Data4[[#This Row],[acceleration_0_60_mph]]&lt;=5,"HighPerformance","Standard"))</f>
        <v>Standard</v>
      </c>
      <c r="AG1367" t="str">
        <f>IF(EV_Data4[[#This Row],[customer_rating]]&gt;=4.5,"Excellent",IF(EV_Data4[[#This Row],[customer_rating]]&gt;=3.5,"Good","Average"))</f>
        <v>Good</v>
      </c>
      <c r="AH136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68" spans="1:34" x14ac:dyDescent="0.3">
      <c r="A1368" t="s">
        <v>38</v>
      </c>
      <c r="B1368" t="s">
        <v>101</v>
      </c>
      <c r="C1368">
        <v>2026</v>
      </c>
      <c r="D1368" t="s">
        <v>33</v>
      </c>
      <c r="E1368" s="3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27</v>
      </c>
      <c r="N1368">
        <v>5</v>
      </c>
      <c r="O1368" t="s">
        <v>28</v>
      </c>
      <c r="P1368">
        <v>64.7</v>
      </c>
      <c r="Q1368">
        <v>2568</v>
      </c>
      <c r="R1368">
        <v>5</v>
      </c>
      <c r="S1368">
        <v>1</v>
      </c>
      <c r="T1368" t="s">
        <v>41</v>
      </c>
      <c r="U1368" t="s">
        <v>37</v>
      </c>
      <c r="V1368" s="3">
        <v>5490</v>
      </c>
      <c r="W1368">
        <v>3.27</v>
      </c>
      <c r="X1368">
        <v>3</v>
      </c>
      <c r="Y1368" s="1">
        <f>EV_Data4[[#This Row],[range_miles]]/EV_Data4[[#This Row],[battery_capacity_kwh]]</f>
        <v>3.2492113564668772</v>
      </c>
      <c r="Z1368" s="4">
        <f>EV_Data4[[#This Row],[price_usd]]/EV_Data4[[#This Row],[range_miles]]</f>
        <v>257.25601941747573</v>
      </c>
      <c r="AA1368" s="2">
        <f>(EV_Data4[[#This Row],[customer_rating]]*EV_Data4[[#This Row],[safety_rating]]*1000)/EV_Data4[[#This Row],[price_usd]]</f>
        <v>0.30852118531008932</v>
      </c>
      <c r="AB1368">
        <f>EV_Data4[[#This Row],[horsepower]]+EV_Data4[[#This Row],[torque_nm]]/EV_Data4[[#This Row],[acceleration_0_60_mph]]</f>
        <v>758.79139504563227</v>
      </c>
      <c r="AC1368" t="str">
        <f>IF(EV_Data4[[#This Row],[price_usd]]&gt;=80000,"Luxury",IF(EV_Data4[[#This Row],[price_usd]]&gt;=40000,"Mid-Range","Budget"))</f>
        <v>Mid-Range</v>
      </c>
      <c r="AD1368" t="str">
        <f>IF(EV_Data4[[#This Row],[range_miles]]&gt;=350,"Long-Range",IF(EV_Data4[[#This Row],[range_miles]]&gt;=250,"Medium-Range","Short-Range"))</f>
        <v>Short-Range</v>
      </c>
      <c r="AE1368" t="str">
        <f>IF(EV_Data4[[#This Row],[charging_speed_kw]]&gt;=250,"Ultra-Fast",IF(EV_Data4[[#This Row],[charging_speed_kw]]&gt;=150,"Fast-Charging","Standard-Charging"))</f>
        <v>Standard-Charging</v>
      </c>
      <c r="AF1368" t="str">
        <f>IF(EV_Data4[[#This Row],[acceleration_0_60_mph]]&lt;=3,"SportsPerformance",IF(EV_Data4[[#This Row],[acceleration_0_60_mph]]&lt;=5,"HighPerformance","Standard"))</f>
        <v>Standard</v>
      </c>
      <c r="AG1368" t="str">
        <f>IF(EV_Data4[[#This Row],[customer_rating]]&gt;=4.5,"Excellent",IF(EV_Data4[[#This Row],[customer_rating]]&gt;=3.5,"Good","Average"))</f>
        <v>Average</v>
      </c>
      <c r="AH136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69" spans="1:34" x14ac:dyDescent="0.3">
      <c r="A1369" t="s">
        <v>86</v>
      </c>
      <c r="B1369" t="s">
        <v>108</v>
      </c>
      <c r="C1369">
        <v>2024</v>
      </c>
      <c r="D1369" t="s">
        <v>61</v>
      </c>
      <c r="E1369" s="3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34</v>
      </c>
      <c r="N1369">
        <v>5</v>
      </c>
      <c r="O1369" t="s">
        <v>50</v>
      </c>
      <c r="P1369">
        <v>26.3</v>
      </c>
      <c r="Q1369">
        <v>1707</v>
      </c>
      <c r="R1369">
        <v>5</v>
      </c>
      <c r="S1369">
        <v>1</v>
      </c>
      <c r="T1369" t="s">
        <v>29</v>
      </c>
      <c r="U1369" t="s">
        <v>30</v>
      </c>
      <c r="V1369" s="3">
        <v>58813</v>
      </c>
      <c r="W1369">
        <v>3.28</v>
      </c>
      <c r="X1369">
        <v>8</v>
      </c>
      <c r="Y1369" s="1">
        <f>EV_Data4[[#This Row],[range_miles]]/EV_Data4[[#This Row],[battery_capacity_kwh]]</f>
        <v>3.7011173184357546</v>
      </c>
      <c r="Z1369" s="4">
        <f>EV_Data4[[#This Row],[price_usd]]/EV_Data4[[#This Row],[range_miles]]</f>
        <v>421.02909433962265</v>
      </c>
      <c r="AA1369" s="2">
        <f>(EV_Data4[[#This Row],[customer_rating]]*EV_Data4[[#This Row],[safety_rating]]*1000)/EV_Data4[[#This Row],[price_usd]]</f>
        <v>0.14698934891874543</v>
      </c>
      <c r="AB1369">
        <f>EV_Data4[[#This Row],[horsepower]]+EV_Data4[[#This Row],[torque_nm]]/EV_Data4[[#This Row],[acceleration_0_60_mph]]</f>
        <v>939.9019607843137</v>
      </c>
      <c r="AC1369" t="str">
        <f>IF(EV_Data4[[#This Row],[price_usd]]&gt;=80000,"Luxury",IF(EV_Data4[[#This Row],[price_usd]]&gt;=40000,"Mid-Range","Budget"))</f>
        <v>Luxury</v>
      </c>
      <c r="AD1369" t="str">
        <f>IF(EV_Data4[[#This Row],[range_miles]]&gt;=350,"Long-Range",IF(EV_Data4[[#This Row],[range_miles]]&gt;=250,"Medium-Range","Short-Range"))</f>
        <v>Medium-Range</v>
      </c>
      <c r="AE1369" t="str">
        <f>IF(EV_Data4[[#This Row],[charging_speed_kw]]&gt;=250,"Ultra-Fast",IF(EV_Data4[[#This Row],[charging_speed_kw]]&gt;=150,"Fast-Charging","Standard-Charging"))</f>
        <v>Standard-Charging</v>
      </c>
      <c r="AF1369" t="str">
        <f>IF(EV_Data4[[#This Row],[acceleration_0_60_mph]]&lt;=3,"SportsPerformance",IF(EV_Data4[[#This Row],[acceleration_0_60_mph]]&lt;=5,"HighPerformance","Standard"))</f>
        <v>Standard</v>
      </c>
      <c r="AG1369" t="str">
        <f>IF(EV_Data4[[#This Row],[customer_rating]]&gt;=4.5,"Excellent",IF(EV_Data4[[#This Row],[customer_rating]]&gt;=3.5,"Good","Average"))</f>
        <v>Average</v>
      </c>
      <c r="AH136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70" spans="1:34" x14ac:dyDescent="0.3">
      <c r="A1370" t="s">
        <v>46</v>
      </c>
      <c r="B1370" t="s">
        <v>78</v>
      </c>
      <c r="C1370">
        <v>2024</v>
      </c>
      <c r="D1370" t="s">
        <v>26</v>
      </c>
      <c r="E1370" s="3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48</v>
      </c>
      <c r="N1370">
        <v>5</v>
      </c>
      <c r="O1370" t="s">
        <v>35</v>
      </c>
      <c r="P1370">
        <v>40.6</v>
      </c>
      <c r="Q1370">
        <v>2108</v>
      </c>
      <c r="R1370">
        <v>5</v>
      </c>
      <c r="S1370">
        <v>3</v>
      </c>
      <c r="T1370" t="s">
        <v>41</v>
      </c>
      <c r="U1370" t="s">
        <v>33</v>
      </c>
      <c r="V1370" s="3">
        <v>136484</v>
      </c>
      <c r="W1370">
        <v>3.83</v>
      </c>
      <c r="X1370">
        <v>6</v>
      </c>
      <c r="Y1370" s="1">
        <f>EV_Data4[[#This Row],[range_miles]]/EV_Data4[[#This Row],[battery_capacity_kwh]]</f>
        <v>3.5738068812430637</v>
      </c>
      <c r="Z1370" s="4">
        <f>EV_Data4[[#This Row],[price_usd]]/EV_Data4[[#This Row],[range_miles]]</f>
        <v>247.6504347826087</v>
      </c>
      <c r="AA1370" s="2">
        <f>(EV_Data4[[#This Row],[customer_rating]]*EV_Data4[[#This Row],[safety_rating]]*1000)/EV_Data4[[#This Row],[price_usd]]</f>
        <v>0.24014514548155935</v>
      </c>
      <c r="AB1370">
        <f>EV_Data4[[#This Row],[horsepower]]+EV_Data4[[#This Row],[torque_nm]]/EV_Data4[[#This Row],[acceleration_0_60_mph]]</f>
        <v>636.49650349650346</v>
      </c>
      <c r="AC1370" t="str">
        <f>IF(EV_Data4[[#This Row],[price_usd]]&gt;=80000,"Luxury",IF(EV_Data4[[#This Row],[price_usd]]&gt;=40000,"Mid-Range","Budget"))</f>
        <v>Mid-Range</v>
      </c>
      <c r="AD1370" t="str">
        <f>IF(EV_Data4[[#This Row],[range_miles]]&gt;=350,"Long-Range",IF(EV_Data4[[#This Row],[range_miles]]&gt;=250,"Medium-Range","Short-Range"))</f>
        <v>Medium-Range</v>
      </c>
      <c r="AE1370" t="str">
        <f>IF(EV_Data4[[#This Row],[charging_speed_kw]]&gt;=250,"Ultra-Fast",IF(EV_Data4[[#This Row],[charging_speed_kw]]&gt;=150,"Fast-Charging","Standard-Charging"))</f>
        <v>Fast-Charging</v>
      </c>
      <c r="AF1370" t="str">
        <f>IF(EV_Data4[[#This Row],[acceleration_0_60_mph]]&lt;=3,"SportsPerformance",IF(EV_Data4[[#This Row],[acceleration_0_60_mph]]&lt;=5,"HighPerformance","Standard"))</f>
        <v>HighPerformance</v>
      </c>
      <c r="AG1370" t="str">
        <f>IF(EV_Data4[[#This Row],[customer_rating]]&gt;=4.5,"Excellent",IF(EV_Data4[[#This Row],[customer_rating]]&gt;=3.5,"Good","Average"))</f>
        <v>Good</v>
      </c>
      <c r="AH1370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371" spans="1:34" x14ac:dyDescent="0.3">
      <c r="A1371" t="s">
        <v>63</v>
      </c>
      <c r="B1371" t="s">
        <v>67</v>
      </c>
      <c r="C1371">
        <v>2025</v>
      </c>
      <c r="D1371" t="s">
        <v>33</v>
      </c>
      <c r="E1371" s="3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48</v>
      </c>
      <c r="N1371">
        <v>5</v>
      </c>
      <c r="O1371" t="s">
        <v>40</v>
      </c>
      <c r="P1371">
        <v>75.900000000000006</v>
      </c>
      <c r="Q1371">
        <v>1505</v>
      </c>
      <c r="R1371">
        <v>4</v>
      </c>
      <c r="S1371">
        <v>0</v>
      </c>
      <c r="T1371" t="s">
        <v>65</v>
      </c>
      <c r="U1371" t="s">
        <v>66</v>
      </c>
      <c r="V1371" s="3">
        <v>129109</v>
      </c>
      <c r="W1371">
        <v>3.09</v>
      </c>
      <c r="X1371">
        <v>4</v>
      </c>
      <c r="Y1371" s="1">
        <f>EV_Data4[[#This Row],[range_miles]]/EV_Data4[[#This Row],[battery_capacity_kwh]]</f>
        <v>3.5128805620608898</v>
      </c>
      <c r="Z1371" s="4">
        <f>EV_Data4[[#This Row],[price_usd]]/EV_Data4[[#This Row],[range_miles]]</f>
        <v>175.5112</v>
      </c>
      <c r="AA1371" s="2">
        <f>(EV_Data4[[#This Row],[customer_rating]]*EV_Data4[[#This Row],[safety_rating]]*1000)/EV_Data4[[#This Row],[price_usd]]</f>
        <v>0.46948570803458695</v>
      </c>
      <c r="AB1371">
        <f>EV_Data4[[#This Row],[horsepower]]+EV_Data4[[#This Row],[torque_nm]]/EV_Data4[[#This Row],[acceleration_0_60_mph]]</f>
        <v>300.19108280254778</v>
      </c>
      <c r="AC1371" t="str">
        <f>IF(EV_Data4[[#This Row],[price_usd]]&gt;=80000,"Luxury",IF(EV_Data4[[#This Row],[price_usd]]&gt;=40000,"Mid-Range","Budget"))</f>
        <v>Budget</v>
      </c>
      <c r="AD1371" t="str">
        <f>IF(EV_Data4[[#This Row],[range_miles]]&gt;=350,"Long-Range",IF(EV_Data4[[#This Row],[range_miles]]&gt;=250,"Medium-Range","Short-Range"))</f>
        <v>Short-Range</v>
      </c>
      <c r="AE1371" t="str">
        <f>IF(EV_Data4[[#This Row],[charging_speed_kw]]&gt;=250,"Ultra-Fast",IF(EV_Data4[[#This Row],[charging_speed_kw]]&gt;=150,"Fast-Charging","Standard-Charging"))</f>
        <v>Standard-Charging</v>
      </c>
      <c r="AF1371" t="str">
        <f>IF(EV_Data4[[#This Row],[acceleration_0_60_mph]]&lt;=3,"SportsPerformance",IF(EV_Data4[[#This Row],[acceleration_0_60_mph]]&lt;=5,"HighPerformance","Standard"))</f>
        <v>Standard</v>
      </c>
      <c r="AG1371" t="str">
        <f>IF(EV_Data4[[#This Row],[customer_rating]]&gt;=4.5,"Excellent",IF(EV_Data4[[#This Row],[customer_rating]]&gt;=3.5,"Good","Average"))</f>
        <v>Average</v>
      </c>
      <c r="AH137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72" spans="1:34" x14ac:dyDescent="0.3">
      <c r="A1372" t="s">
        <v>59</v>
      </c>
      <c r="B1372" t="s">
        <v>111</v>
      </c>
      <c r="C1372">
        <v>2026</v>
      </c>
      <c r="D1372" t="s">
        <v>61</v>
      </c>
      <c r="E1372" s="3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27</v>
      </c>
      <c r="N1372">
        <v>5</v>
      </c>
      <c r="O1372" t="s">
        <v>58</v>
      </c>
      <c r="P1372">
        <v>16</v>
      </c>
      <c r="Q1372">
        <v>1500</v>
      </c>
      <c r="R1372">
        <v>5</v>
      </c>
      <c r="S1372">
        <v>0</v>
      </c>
      <c r="T1372" t="s">
        <v>41</v>
      </c>
      <c r="U1372" t="s">
        <v>33</v>
      </c>
      <c r="V1372" s="3">
        <v>26063</v>
      </c>
      <c r="W1372">
        <v>3.56</v>
      </c>
      <c r="X1372">
        <v>4</v>
      </c>
      <c r="Y1372" s="1">
        <f>EV_Data4[[#This Row],[range_miles]]/EV_Data4[[#This Row],[battery_capacity_kwh]]</f>
        <v>3.5826296743063928</v>
      </c>
      <c r="Z1372" s="4">
        <f>EV_Data4[[#This Row],[price_usd]]/EV_Data4[[#This Row],[range_miles]]</f>
        <v>228.36703703703702</v>
      </c>
      <c r="AA1372" s="2">
        <f>(EV_Data4[[#This Row],[customer_rating]]*EV_Data4[[#This Row],[safety_rating]]*1000)/EV_Data4[[#This Row],[price_usd]]</f>
        <v>0.26244006451307567</v>
      </c>
      <c r="AB1372">
        <f>EV_Data4[[#This Row],[horsepower]]+EV_Data4[[#This Row],[torque_nm]]/EV_Data4[[#This Row],[acceleration_0_60_mph]]</f>
        <v>565.40418118466903</v>
      </c>
      <c r="AC1372" t="str">
        <f>IF(EV_Data4[[#This Row],[price_usd]]&gt;=80000,"Luxury",IF(EV_Data4[[#This Row],[price_usd]]&gt;=40000,"Mid-Range","Budget"))</f>
        <v>Mid-Range</v>
      </c>
      <c r="AD1372" t="str">
        <f>IF(EV_Data4[[#This Row],[range_miles]]&gt;=350,"Long-Range",IF(EV_Data4[[#This Row],[range_miles]]&gt;=250,"Medium-Range","Short-Range"))</f>
        <v>Medium-Range</v>
      </c>
      <c r="AE1372" t="str">
        <f>IF(EV_Data4[[#This Row],[charging_speed_kw]]&gt;=250,"Ultra-Fast",IF(EV_Data4[[#This Row],[charging_speed_kw]]&gt;=150,"Fast-Charging","Standard-Charging"))</f>
        <v>Standard-Charging</v>
      </c>
      <c r="AF1372" t="str">
        <f>IF(EV_Data4[[#This Row],[acceleration_0_60_mph]]&lt;=3,"SportsPerformance",IF(EV_Data4[[#This Row],[acceleration_0_60_mph]]&lt;=5,"HighPerformance","Standard"))</f>
        <v>Standard</v>
      </c>
      <c r="AG1372" t="str">
        <f>IF(EV_Data4[[#This Row],[customer_rating]]&gt;=4.5,"Excellent",IF(EV_Data4[[#This Row],[customer_rating]]&gt;=3.5,"Good","Average"))</f>
        <v>Good</v>
      </c>
      <c r="AH137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73" spans="1:34" x14ac:dyDescent="0.3">
      <c r="A1373" t="s">
        <v>46</v>
      </c>
      <c r="B1373" t="s">
        <v>78</v>
      </c>
      <c r="C1373">
        <v>2022</v>
      </c>
      <c r="D1373" t="s">
        <v>33</v>
      </c>
      <c r="E1373" s="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27</v>
      </c>
      <c r="N1373">
        <v>5</v>
      </c>
      <c r="O1373" t="s">
        <v>50</v>
      </c>
      <c r="P1373">
        <v>37.4</v>
      </c>
      <c r="Q1373">
        <v>1500</v>
      </c>
      <c r="R1373">
        <v>4</v>
      </c>
      <c r="S1373">
        <v>2</v>
      </c>
      <c r="T1373" t="s">
        <v>41</v>
      </c>
      <c r="U1373" t="s">
        <v>33</v>
      </c>
      <c r="V1373" s="3">
        <v>114033</v>
      </c>
      <c r="W1373">
        <v>3.63</v>
      </c>
      <c r="X1373">
        <v>4</v>
      </c>
      <c r="Y1373" s="1">
        <f>EV_Data4[[#This Row],[range_miles]]/EV_Data4[[#This Row],[battery_capacity_kwh]]</f>
        <v>3.4711779448621556</v>
      </c>
      <c r="Z1373" s="4">
        <f>EV_Data4[[#This Row],[price_usd]]/EV_Data4[[#This Row],[range_miles]]</f>
        <v>282.141083032491</v>
      </c>
      <c r="AA1373" s="2">
        <f>(EV_Data4[[#This Row],[customer_rating]]*EV_Data4[[#This Row],[safety_rating]]*1000)/EV_Data4[[#This Row],[price_usd]]</f>
        <v>0.1857892228943504</v>
      </c>
      <c r="AB1373">
        <f>EV_Data4[[#This Row],[horsepower]]+EV_Data4[[#This Row],[torque_nm]]/EV_Data4[[#This Row],[acceleration_0_60_mph]]</f>
        <v>614.678391959799</v>
      </c>
      <c r="AC1373" t="str">
        <f>IF(EV_Data4[[#This Row],[price_usd]]&gt;=80000,"Luxury",IF(EV_Data4[[#This Row],[price_usd]]&gt;=40000,"Mid-Range","Budget"))</f>
        <v>Mid-Range</v>
      </c>
      <c r="AD1373" t="str">
        <f>IF(EV_Data4[[#This Row],[range_miles]]&gt;=350,"Long-Range",IF(EV_Data4[[#This Row],[range_miles]]&gt;=250,"Medium-Range","Short-Range"))</f>
        <v>Medium-Range</v>
      </c>
      <c r="AE1373" t="str">
        <f>IF(EV_Data4[[#This Row],[charging_speed_kw]]&gt;=250,"Ultra-Fast",IF(EV_Data4[[#This Row],[charging_speed_kw]]&gt;=150,"Fast-Charging","Standard-Charging"))</f>
        <v>Ultra-Fast</v>
      </c>
      <c r="AF1373" t="str">
        <f>IF(EV_Data4[[#This Row],[acceleration_0_60_mph]]&lt;=3,"SportsPerformance",IF(EV_Data4[[#This Row],[acceleration_0_60_mph]]&lt;=5,"HighPerformance","Standard"))</f>
        <v>Standard</v>
      </c>
      <c r="AG1373" t="str">
        <f>IF(EV_Data4[[#This Row],[customer_rating]]&gt;=4.5,"Excellent",IF(EV_Data4[[#This Row],[customer_rating]]&gt;=3.5,"Good","Average"))</f>
        <v>Good</v>
      </c>
      <c r="AH137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74" spans="1:34" x14ac:dyDescent="0.3">
      <c r="A1374" t="s">
        <v>52</v>
      </c>
      <c r="B1374" t="s">
        <v>103</v>
      </c>
      <c r="C1374">
        <v>2022</v>
      </c>
      <c r="D1374" t="s">
        <v>33</v>
      </c>
      <c r="E1374" s="3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27</v>
      </c>
      <c r="N1374">
        <v>7</v>
      </c>
      <c r="O1374" t="s">
        <v>40</v>
      </c>
      <c r="P1374">
        <v>62.1</v>
      </c>
      <c r="Q1374">
        <v>1800</v>
      </c>
      <c r="R1374">
        <v>5</v>
      </c>
      <c r="S1374">
        <v>1</v>
      </c>
      <c r="T1374" t="s">
        <v>29</v>
      </c>
      <c r="U1374" t="s">
        <v>33</v>
      </c>
      <c r="V1374" s="3">
        <v>32471</v>
      </c>
      <c r="W1374">
        <v>3.81</v>
      </c>
      <c r="X1374">
        <v>8</v>
      </c>
      <c r="Y1374" s="1">
        <f>EV_Data4[[#This Row],[range_miles]]/EV_Data4[[#This Row],[battery_capacity_kwh]]</f>
        <v>3.6376021798365121</v>
      </c>
      <c r="Z1374" s="4">
        <f>EV_Data4[[#This Row],[price_usd]]/EV_Data4[[#This Row],[range_miles]]</f>
        <v>351.12898876404495</v>
      </c>
      <c r="AA1374" s="2">
        <f>(EV_Data4[[#This Row],[customer_rating]]*EV_Data4[[#This Row],[safety_rating]]*1000)/EV_Data4[[#This Row],[price_usd]]</f>
        <v>0.20319687889594015</v>
      </c>
      <c r="AB1374">
        <f>EV_Data4[[#This Row],[horsepower]]+EV_Data4[[#This Row],[torque_nm]]/EV_Data4[[#This Row],[acceleration_0_60_mph]]</f>
        <v>597.02898550724638</v>
      </c>
      <c r="AC1374" t="str">
        <f>IF(EV_Data4[[#This Row],[price_usd]]&gt;=80000,"Luxury",IF(EV_Data4[[#This Row],[price_usd]]&gt;=40000,"Mid-Range","Budget"))</f>
        <v>Luxury</v>
      </c>
      <c r="AD1374" t="str">
        <f>IF(EV_Data4[[#This Row],[range_miles]]&gt;=350,"Long-Range",IF(EV_Data4[[#This Row],[range_miles]]&gt;=250,"Medium-Range","Short-Range"))</f>
        <v>Medium-Range</v>
      </c>
      <c r="AE1374" t="str">
        <f>IF(EV_Data4[[#This Row],[charging_speed_kw]]&gt;=250,"Ultra-Fast",IF(EV_Data4[[#This Row],[charging_speed_kw]]&gt;=150,"Fast-Charging","Standard-Charging"))</f>
        <v>Standard-Charging</v>
      </c>
      <c r="AF1374" t="str">
        <f>IF(EV_Data4[[#This Row],[acceleration_0_60_mph]]&lt;=3,"SportsPerformance",IF(EV_Data4[[#This Row],[acceleration_0_60_mph]]&lt;=5,"HighPerformance","Standard"))</f>
        <v>Standard</v>
      </c>
      <c r="AG1374" t="str">
        <f>IF(EV_Data4[[#This Row],[customer_rating]]&gt;=4.5,"Excellent",IF(EV_Data4[[#This Row],[customer_rating]]&gt;=3.5,"Good","Average"))</f>
        <v>Good</v>
      </c>
      <c r="AH137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75" spans="1:34" x14ac:dyDescent="0.3">
      <c r="A1375" t="s">
        <v>68</v>
      </c>
      <c r="B1375" t="s">
        <v>69</v>
      </c>
      <c r="C1375">
        <v>2026</v>
      </c>
      <c r="D1375" t="s">
        <v>61</v>
      </c>
      <c r="E1375" s="3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34</v>
      </c>
      <c r="N1375">
        <v>5</v>
      </c>
      <c r="O1375" t="s">
        <v>50</v>
      </c>
      <c r="P1375">
        <v>25.8</v>
      </c>
      <c r="Q1375">
        <v>1607</v>
      </c>
      <c r="R1375">
        <v>5</v>
      </c>
      <c r="S1375">
        <v>1</v>
      </c>
      <c r="T1375" t="s">
        <v>45</v>
      </c>
      <c r="U1375" t="s">
        <v>33</v>
      </c>
      <c r="V1375" s="3">
        <v>75804</v>
      </c>
      <c r="W1375">
        <v>3.31</v>
      </c>
      <c r="X1375">
        <v>3</v>
      </c>
      <c r="Y1375" s="1">
        <f>EV_Data4[[#This Row],[range_miles]]/EV_Data4[[#This Row],[battery_capacity_kwh]]</f>
        <v>3.2831737346101235</v>
      </c>
      <c r="Z1375" s="4">
        <f>EV_Data4[[#This Row],[price_usd]]/EV_Data4[[#This Row],[range_miles]]</f>
        <v>284.36650000000003</v>
      </c>
      <c r="AA1375" s="2">
        <f>(EV_Data4[[#This Row],[customer_rating]]*EV_Data4[[#This Row],[safety_rating]]*1000)/EV_Data4[[#This Row],[price_usd]]</f>
        <v>0.2424980907854242</v>
      </c>
      <c r="AB1375">
        <f>EV_Data4[[#This Row],[horsepower]]+EV_Data4[[#This Row],[torque_nm]]/EV_Data4[[#This Row],[acceleration_0_60_mph]]</f>
        <v>1000.5669291338583</v>
      </c>
      <c r="AC1375" t="str">
        <f>IF(EV_Data4[[#This Row],[price_usd]]&gt;=80000,"Luxury",IF(EV_Data4[[#This Row],[price_usd]]&gt;=40000,"Mid-Range","Budget"))</f>
        <v>Mid-Range</v>
      </c>
      <c r="AD1375" t="str">
        <f>IF(EV_Data4[[#This Row],[range_miles]]&gt;=350,"Long-Range",IF(EV_Data4[[#This Row],[range_miles]]&gt;=250,"Medium-Range","Short-Range"))</f>
        <v>Short-Range</v>
      </c>
      <c r="AE1375" t="str">
        <f>IF(EV_Data4[[#This Row],[charging_speed_kw]]&gt;=250,"Ultra-Fast",IF(EV_Data4[[#This Row],[charging_speed_kw]]&gt;=150,"Fast-Charging","Standard-Charging"))</f>
        <v>Standard-Charging</v>
      </c>
      <c r="AF1375" t="str">
        <f>IF(EV_Data4[[#This Row],[acceleration_0_60_mph]]&lt;=3,"SportsPerformance",IF(EV_Data4[[#This Row],[acceleration_0_60_mph]]&lt;=5,"HighPerformance","Standard"))</f>
        <v>Standard</v>
      </c>
      <c r="AG1375" t="str">
        <f>IF(EV_Data4[[#This Row],[customer_rating]]&gt;=4.5,"Excellent",IF(EV_Data4[[#This Row],[customer_rating]]&gt;=3.5,"Good","Average"))</f>
        <v>Average</v>
      </c>
      <c r="AH137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76" spans="1:34" x14ac:dyDescent="0.3">
      <c r="A1376" t="s">
        <v>63</v>
      </c>
      <c r="B1376" t="s">
        <v>107</v>
      </c>
      <c r="C1376">
        <v>2023</v>
      </c>
      <c r="D1376" t="s">
        <v>26</v>
      </c>
      <c r="E1376" s="3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27</v>
      </c>
      <c r="N1376">
        <v>5</v>
      </c>
      <c r="O1376" t="s">
        <v>50</v>
      </c>
      <c r="P1376">
        <v>19.7</v>
      </c>
      <c r="Q1376">
        <v>1555</v>
      </c>
      <c r="R1376">
        <v>5</v>
      </c>
      <c r="S1376">
        <v>0</v>
      </c>
      <c r="T1376" t="s">
        <v>65</v>
      </c>
      <c r="U1376" t="s">
        <v>33</v>
      </c>
      <c r="V1376" s="3">
        <v>198687</v>
      </c>
      <c r="W1376">
        <v>4</v>
      </c>
      <c r="X1376">
        <v>3</v>
      </c>
      <c r="Y1376" s="1">
        <f>EV_Data4[[#This Row],[range_miles]]/EV_Data4[[#This Row],[battery_capacity_kwh]]</f>
        <v>3.3167825223435949</v>
      </c>
      <c r="Z1376" s="4">
        <f>EV_Data4[[#This Row],[price_usd]]/EV_Data4[[#This Row],[range_miles]]</f>
        <v>268.30643712574852</v>
      </c>
      <c r="AA1376" s="2">
        <f>(EV_Data4[[#This Row],[customer_rating]]*EV_Data4[[#This Row],[safety_rating]]*1000)/EV_Data4[[#This Row],[price_usd]]</f>
        <v>0.22317854227587433</v>
      </c>
      <c r="AB1376">
        <f>EV_Data4[[#This Row],[horsepower]]+EV_Data4[[#This Row],[torque_nm]]/EV_Data4[[#This Row],[acceleration_0_60_mph]]</f>
        <v>1223.8329238329238</v>
      </c>
      <c r="AC1376" t="str">
        <f>IF(EV_Data4[[#This Row],[price_usd]]&gt;=80000,"Luxury",IF(EV_Data4[[#This Row],[price_usd]]&gt;=40000,"Mid-Range","Budget"))</f>
        <v>Luxury</v>
      </c>
      <c r="AD1376" t="str">
        <f>IF(EV_Data4[[#This Row],[range_miles]]&gt;=350,"Long-Range",IF(EV_Data4[[#This Row],[range_miles]]&gt;=250,"Medium-Range","Short-Range"))</f>
        <v>Medium-Range</v>
      </c>
      <c r="AE1376" t="str">
        <f>IF(EV_Data4[[#This Row],[charging_speed_kw]]&gt;=250,"Ultra-Fast",IF(EV_Data4[[#This Row],[charging_speed_kw]]&gt;=150,"Fast-Charging","Standard-Charging"))</f>
        <v>Fast-Charging</v>
      </c>
      <c r="AF1376" t="str">
        <f>IF(EV_Data4[[#This Row],[acceleration_0_60_mph]]&lt;=3,"SportsPerformance",IF(EV_Data4[[#This Row],[acceleration_0_60_mph]]&lt;=5,"HighPerformance","Standard"))</f>
        <v>HighPerformance</v>
      </c>
      <c r="AG1376" t="str">
        <f>IF(EV_Data4[[#This Row],[customer_rating]]&gt;=4.5,"Excellent",IF(EV_Data4[[#This Row],[customer_rating]]&gt;=3.5,"Good","Average"))</f>
        <v>Good</v>
      </c>
      <c r="AH137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77" spans="1:34" x14ac:dyDescent="0.3">
      <c r="A1377" t="s">
        <v>52</v>
      </c>
      <c r="B1377" t="s">
        <v>97</v>
      </c>
      <c r="C1377">
        <v>2026</v>
      </c>
      <c r="D1377" t="s">
        <v>26</v>
      </c>
      <c r="E1377" s="3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34</v>
      </c>
      <c r="N1377">
        <v>7</v>
      </c>
      <c r="O1377" t="s">
        <v>51</v>
      </c>
      <c r="P1377">
        <v>26.6</v>
      </c>
      <c r="Q1377">
        <v>1500</v>
      </c>
      <c r="R1377">
        <v>4</v>
      </c>
      <c r="S1377">
        <v>1</v>
      </c>
      <c r="T1377" t="s">
        <v>29</v>
      </c>
      <c r="U1377" t="s">
        <v>30</v>
      </c>
      <c r="V1377" s="3">
        <v>51560</v>
      </c>
      <c r="W1377">
        <v>3.97</v>
      </c>
      <c r="X1377">
        <v>7</v>
      </c>
      <c r="Y1377" s="1">
        <f>EV_Data4[[#This Row],[range_miles]]/EV_Data4[[#This Row],[battery_capacity_kwh]]</f>
        <v>3.3302411873840447</v>
      </c>
      <c r="Z1377" s="4">
        <f>EV_Data4[[#This Row],[price_usd]]/EV_Data4[[#This Row],[range_miles]]</f>
        <v>516.97175487465177</v>
      </c>
      <c r="AA1377" s="2">
        <f>(EV_Data4[[#This Row],[customer_rating]]*EV_Data4[[#This Row],[safety_rating]]*1000)/EV_Data4[[#This Row],[price_usd]]</f>
        <v>8.5563636445927932E-2</v>
      </c>
      <c r="AB1377">
        <f>EV_Data4[[#This Row],[horsepower]]+EV_Data4[[#This Row],[torque_nm]]/EV_Data4[[#This Row],[acceleration_0_60_mph]]</f>
        <v>1218.0778032036612</v>
      </c>
      <c r="AC1377" t="str">
        <f>IF(EV_Data4[[#This Row],[price_usd]]&gt;=80000,"Luxury",IF(EV_Data4[[#This Row],[price_usd]]&gt;=40000,"Mid-Range","Budget"))</f>
        <v>Luxury</v>
      </c>
      <c r="AD1377" t="str">
        <f>IF(EV_Data4[[#This Row],[range_miles]]&gt;=350,"Long-Range",IF(EV_Data4[[#This Row],[range_miles]]&gt;=250,"Medium-Range","Short-Range"))</f>
        <v>Long-Range</v>
      </c>
      <c r="AE1377" t="str">
        <f>IF(EV_Data4[[#This Row],[charging_speed_kw]]&gt;=250,"Ultra-Fast",IF(EV_Data4[[#This Row],[charging_speed_kw]]&gt;=150,"Fast-Charging","Standard-Charging"))</f>
        <v>Fast-Charging</v>
      </c>
      <c r="AF1377" t="str">
        <f>IF(EV_Data4[[#This Row],[acceleration_0_60_mph]]&lt;=3,"SportsPerformance",IF(EV_Data4[[#This Row],[acceleration_0_60_mph]]&lt;=5,"HighPerformance","Standard"))</f>
        <v>HighPerformance</v>
      </c>
      <c r="AG1377" t="str">
        <f>IF(EV_Data4[[#This Row],[customer_rating]]&gt;=4.5,"Excellent",IF(EV_Data4[[#This Row],[customer_rating]]&gt;=3.5,"Good","Average"))</f>
        <v>Good</v>
      </c>
      <c r="AH137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78" spans="1:34" x14ac:dyDescent="0.3">
      <c r="A1378" t="s">
        <v>24</v>
      </c>
      <c r="B1378" t="s">
        <v>75</v>
      </c>
      <c r="C1378">
        <v>2024</v>
      </c>
      <c r="D1378" t="s">
        <v>56</v>
      </c>
      <c r="E1378" s="3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27</v>
      </c>
      <c r="N1378">
        <v>5</v>
      </c>
      <c r="O1378" t="s">
        <v>35</v>
      </c>
      <c r="P1378">
        <v>47.3</v>
      </c>
      <c r="Q1378">
        <v>2163</v>
      </c>
      <c r="R1378">
        <v>5</v>
      </c>
      <c r="S1378">
        <v>1</v>
      </c>
      <c r="T1378" t="s">
        <v>29</v>
      </c>
      <c r="U1378" t="s">
        <v>37</v>
      </c>
      <c r="V1378" s="3">
        <v>231690</v>
      </c>
      <c r="W1378">
        <v>3.59</v>
      </c>
      <c r="X1378">
        <v>4</v>
      </c>
      <c r="Y1378" s="1">
        <f>EV_Data4[[#This Row],[range_miles]]/EV_Data4[[#This Row],[battery_capacity_kwh]]</f>
        <v>3.6557610241820768</v>
      </c>
      <c r="Z1378" s="4">
        <f>EV_Data4[[#This Row],[price_usd]]/EV_Data4[[#This Row],[range_miles]]</f>
        <v>204.08918287937743</v>
      </c>
      <c r="AA1378" s="2">
        <f>(EV_Data4[[#This Row],[customer_rating]]*EV_Data4[[#This Row],[safety_rating]]*1000)/EV_Data4[[#This Row],[price_usd]]</f>
        <v>0.3422246931035719</v>
      </c>
      <c r="AB1378">
        <f>EV_Data4[[#This Row],[horsepower]]+EV_Data4[[#This Row],[torque_nm]]/EV_Data4[[#This Row],[acceleration_0_60_mph]]</f>
        <v>506.85122897800778</v>
      </c>
      <c r="AC1378" t="str">
        <f>IF(EV_Data4[[#This Row],[price_usd]]&gt;=80000,"Luxury",IF(EV_Data4[[#This Row],[price_usd]]&gt;=40000,"Mid-Range","Budget"))</f>
        <v>Mid-Range</v>
      </c>
      <c r="AD1378" t="str">
        <f>IF(EV_Data4[[#This Row],[range_miles]]&gt;=350,"Long-Range",IF(EV_Data4[[#This Row],[range_miles]]&gt;=250,"Medium-Range","Short-Range"))</f>
        <v>Medium-Range</v>
      </c>
      <c r="AE1378" t="str">
        <f>IF(EV_Data4[[#This Row],[charging_speed_kw]]&gt;=250,"Ultra-Fast",IF(EV_Data4[[#This Row],[charging_speed_kw]]&gt;=150,"Fast-Charging","Standard-Charging"))</f>
        <v>Standard-Charging</v>
      </c>
      <c r="AF1378" t="str">
        <f>IF(EV_Data4[[#This Row],[acceleration_0_60_mph]]&lt;=3,"SportsPerformance",IF(EV_Data4[[#This Row],[acceleration_0_60_mph]]&lt;=5,"HighPerformance","Standard"))</f>
        <v>Standard</v>
      </c>
      <c r="AG1378" t="str">
        <f>IF(EV_Data4[[#This Row],[customer_rating]]&gt;=4.5,"Excellent",IF(EV_Data4[[#This Row],[customer_rating]]&gt;=3.5,"Good","Average"))</f>
        <v>Good</v>
      </c>
      <c r="AH137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79" spans="1:34" x14ac:dyDescent="0.3">
      <c r="A1379" t="s">
        <v>68</v>
      </c>
      <c r="B1379" t="s">
        <v>109</v>
      </c>
      <c r="C1379">
        <v>2024</v>
      </c>
      <c r="D1379" t="s">
        <v>56</v>
      </c>
      <c r="E1379" s="3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34</v>
      </c>
      <c r="N1379">
        <v>7</v>
      </c>
      <c r="O1379" t="s">
        <v>58</v>
      </c>
      <c r="P1379">
        <v>22.6</v>
      </c>
      <c r="Q1379">
        <v>1500</v>
      </c>
      <c r="R1379">
        <v>5</v>
      </c>
      <c r="S1379">
        <v>0</v>
      </c>
      <c r="T1379" t="s">
        <v>45</v>
      </c>
      <c r="U1379" t="s">
        <v>37</v>
      </c>
      <c r="V1379" s="3">
        <v>55119</v>
      </c>
      <c r="W1379">
        <v>3.5</v>
      </c>
      <c r="X1379">
        <v>5</v>
      </c>
      <c r="Y1379" s="1">
        <f>EV_Data4[[#This Row],[range_miles]]/EV_Data4[[#This Row],[battery_capacity_kwh]]</f>
        <v>3.8129496402877696</v>
      </c>
      <c r="Z1379" s="4">
        <f>EV_Data4[[#This Row],[price_usd]]/EV_Data4[[#This Row],[range_miles]]</f>
        <v>203.15762264150942</v>
      </c>
      <c r="AA1379" s="2">
        <f>(EV_Data4[[#This Row],[customer_rating]]*EV_Data4[[#This Row],[safety_rating]]*1000)/EV_Data4[[#This Row],[price_usd]]</f>
        <v>0.3250566480864287</v>
      </c>
      <c r="AB1379">
        <f>EV_Data4[[#This Row],[horsepower]]+EV_Data4[[#This Row],[torque_nm]]/EV_Data4[[#This Row],[acceleration_0_60_mph]]</f>
        <v>633.81151832460728</v>
      </c>
      <c r="AC1379" t="str">
        <f>IF(EV_Data4[[#This Row],[price_usd]]&gt;=80000,"Luxury",IF(EV_Data4[[#This Row],[price_usd]]&gt;=40000,"Mid-Range","Budget"))</f>
        <v>Mid-Range</v>
      </c>
      <c r="AD1379" t="str">
        <f>IF(EV_Data4[[#This Row],[range_miles]]&gt;=350,"Long-Range",IF(EV_Data4[[#This Row],[range_miles]]&gt;=250,"Medium-Range","Short-Range"))</f>
        <v>Medium-Range</v>
      </c>
      <c r="AE1379" t="str">
        <f>IF(EV_Data4[[#This Row],[charging_speed_kw]]&gt;=250,"Ultra-Fast",IF(EV_Data4[[#This Row],[charging_speed_kw]]&gt;=150,"Fast-Charging","Standard-Charging"))</f>
        <v>Standard-Charging</v>
      </c>
      <c r="AF1379" t="str">
        <f>IF(EV_Data4[[#This Row],[acceleration_0_60_mph]]&lt;=3,"SportsPerformance",IF(EV_Data4[[#This Row],[acceleration_0_60_mph]]&lt;=5,"HighPerformance","Standard"))</f>
        <v>Standard</v>
      </c>
      <c r="AG1379" t="str">
        <f>IF(EV_Data4[[#This Row],[customer_rating]]&gt;=4.5,"Excellent",IF(EV_Data4[[#This Row],[customer_rating]]&gt;=3.5,"Good","Average"))</f>
        <v>Good</v>
      </c>
      <c r="AH137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80" spans="1:34" x14ac:dyDescent="0.3">
      <c r="A1380" t="s">
        <v>24</v>
      </c>
      <c r="B1380" t="s">
        <v>75</v>
      </c>
      <c r="C1380">
        <v>2022</v>
      </c>
      <c r="D1380" t="s">
        <v>56</v>
      </c>
      <c r="E1380" s="3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27</v>
      </c>
      <c r="N1380">
        <v>5</v>
      </c>
      <c r="O1380" t="s">
        <v>40</v>
      </c>
      <c r="P1380">
        <v>69.599999999999994</v>
      </c>
      <c r="Q1380">
        <v>1799</v>
      </c>
      <c r="R1380">
        <v>5</v>
      </c>
      <c r="S1380">
        <v>0</v>
      </c>
      <c r="T1380" t="s">
        <v>29</v>
      </c>
      <c r="U1380" t="s">
        <v>66</v>
      </c>
      <c r="V1380" s="3">
        <v>200434</v>
      </c>
      <c r="W1380">
        <v>3.19</v>
      </c>
      <c r="X1380">
        <v>5</v>
      </c>
      <c r="Y1380" s="1">
        <f>EV_Data4[[#This Row],[range_miles]]/EV_Data4[[#This Row],[battery_capacity_kwh]]</f>
        <v>3.7037037037037037</v>
      </c>
      <c r="Z1380" s="4">
        <f>EV_Data4[[#This Row],[price_usd]]/EV_Data4[[#This Row],[range_miles]]</f>
        <v>199.41886666666667</v>
      </c>
      <c r="AA1380" s="2">
        <f>(EV_Data4[[#This Row],[customer_rating]]*EV_Data4[[#This Row],[safety_rating]]*1000)/EV_Data4[[#This Row],[price_usd]]</f>
        <v>0.53321601466661628</v>
      </c>
      <c r="AB1380">
        <f>EV_Data4[[#This Row],[horsepower]]+EV_Data4[[#This Row],[torque_nm]]/EV_Data4[[#This Row],[acceleration_0_60_mph]]</f>
        <v>179.67359050445103</v>
      </c>
      <c r="AC1380" t="str">
        <f>IF(EV_Data4[[#This Row],[price_usd]]&gt;=80000,"Luxury",IF(EV_Data4[[#This Row],[price_usd]]&gt;=40000,"Mid-Range","Budget"))</f>
        <v>Budget</v>
      </c>
      <c r="AD1380" t="str">
        <f>IF(EV_Data4[[#This Row],[range_miles]]&gt;=350,"Long-Range",IF(EV_Data4[[#This Row],[range_miles]]&gt;=250,"Medium-Range","Short-Range"))</f>
        <v>Short-Range</v>
      </c>
      <c r="AE1380" t="str">
        <f>IF(EV_Data4[[#This Row],[charging_speed_kw]]&gt;=250,"Ultra-Fast",IF(EV_Data4[[#This Row],[charging_speed_kw]]&gt;=150,"Fast-Charging","Standard-Charging"))</f>
        <v>Standard-Charging</v>
      </c>
      <c r="AF1380" t="str">
        <f>IF(EV_Data4[[#This Row],[acceleration_0_60_mph]]&lt;=3,"SportsPerformance",IF(EV_Data4[[#This Row],[acceleration_0_60_mph]]&lt;=5,"HighPerformance","Standard"))</f>
        <v>Standard</v>
      </c>
      <c r="AG1380" t="str">
        <f>IF(EV_Data4[[#This Row],[customer_rating]]&gt;=4.5,"Excellent",IF(EV_Data4[[#This Row],[customer_rating]]&gt;=3.5,"Good","Average"))</f>
        <v>Average</v>
      </c>
      <c r="AH138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81" spans="1:34" x14ac:dyDescent="0.3">
      <c r="A1381" t="s">
        <v>42</v>
      </c>
      <c r="B1381" t="s">
        <v>71</v>
      </c>
      <c r="C1381">
        <v>2024</v>
      </c>
      <c r="D1381" t="s">
        <v>56</v>
      </c>
      <c r="E1381" s="3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34</v>
      </c>
      <c r="N1381">
        <v>5</v>
      </c>
      <c r="O1381" t="s">
        <v>40</v>
      </c>
      <c r="P1381">
        <v>69.599999999999994</v>
      </c>
      <c r="Q1381">
        <v>1642</v>
      </c>
      <c r="R1381">
        <v>4</v>
      </c>
      <c r="S1381">
        <v>2</v>
      </c>
      <c r="T1381" t="s">
        <v>45</v>
      </c>
      <c r="U1381" t="s">
        <v>66</v>
      </c>
      <c r="V1381" s="3">
        <v>143619</v>
      </c>
      <c r="W1381">
        <v>3.26</v>
      </c>
      <c r="X1381">
        <v>4</v>
      </c>
      <c r="Y1381" s="1">
        <f>EV_Data4[[#This Row],[range_miles]]/EV_Data4[[#This Row],[battery_capacity_kwh]]</f>
        <v>3.5431918008784775</v>
      </c>
      <c r="Z1381" s="4">
        <f>EV_Data4[[#This Row],[price_usd]]/EV_Data4[[#This Row],[range_miles]]</f>
        <v>141.73578512396693</v>
      </c>
      <c r="AA1381" s="2">
        <f>(EV_Data4[[#This Row],[customer_rating]]*EV_Data4[[#This Row],[safety_rating]]*1000)/EV_Data4[[#This Row],[price_usd]]</f>
        <v>0.38017426208583893</v>
      </c>
      <c r="AB1381">
        <f>EV_Data4[[#This Row],[horsepower]]+EV_Data4[[#This Row],[torque_nm]]/EV_Data4[[#This Row],[acceleration_0_60_mph]]</f>
        <v>226.24091778202677</v>
      </c>
      <c r="AC1381" t="str">
        <f>IF(EV_Data4[[#This Row],[price_usd]]&gt;=80000,"Luxury",IF(EV_Data4[[#This Row],[price_usd]]&gt;=40000,"Mid-Range","Budget"))</f>
        <v>Budget</v>
      </c>
      <c r="AD1381" t="str">
        <f>IF(EV_Data4[[#This Row],[range_miles]]&gt;=350,"Long-Range",IF(EV_Data4[[#This Row],[range_miles]]&gt;=250,"Medium-Range","Short-Range"))</f>
        <v>Short-Range</v>
      </c>
      <c r="AE1381" t="str">
        <f>IF(EV_Data4[[#This Row],[charging_speed_kw]]&gt;=250,"Ultra-Fast",IF(EV_Data4[[#This Row],[charging_speed_kw]]&gt;=150,"Fast-Charging","Standard-Charging"))</f>
        <v>Standard-Charging</v>
      </c>
      <c r="AF1381" t="str">
        <f>IF(EV_Data4[[#This Row],[acceleration_0_60_mph]]&lt;=3,"SportsPerformance",IF(EV_Data4[[#This Row],[acceleration_0_60_mph]]&lt;=5,"HighPerformance","Standard"))</f>
        <v>Standard</v>
      </c>
      <c r="AG1381" t="str">
        <f>IF(EV_Data4[[#This Row],[customer_rating]]&gt;=4.5,"Excellent",IF(EV_Data4[[#This Row],[customer_rating]]&gt;=3.5,"Good","Average"))</f>
        <v>Average</v>
      </c>
      <c r="AH138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82" spans="1:34" x14ac:dyDescent="0.3">
      <c r="A1382" t="s">
        <v>46</v>
      </c>
      <c r="B1382" t="s">
        <v>47</v>
      </c>
      <c r="C1382">
        <v>2025</v>
      </c>
      <c r="D1382" t="s">
        <v>33</v>
      </c>
      <c r="E1382" s="3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27</v>
      </c>
      <c r="N1382">
        <v>7</v>
      </c>
      <c r="O1382" t="s">
        <v>50</v>
      </c>
      <c r="P1382">
        <v>20.3</v>
      </c>
      <c r="Q1382">
        <v>1630</v>
      </c>
      <c r="R1382">
        <v>4</v>
      </c>
      <c r="S1382">
        <v>2</v>
      </c>
      <c r="T1382" t="s">
        <v>41</v>
      </c>
      <c r="U1382" t="s">
        <v>30</v>
      </c>
      <c r="V1382" s="3">
        <v>190536</v>
      </c>
      <c r="W1382">
        <v>3.76</v>
      </c>
      <c r="X1382">
        <v>5</v>
      </c>
      <c r="Y1382" s="1">
        <f>EV_Data4[[#This Row],[range_miles]]/EV_Data4[[#This Row],[battery_capacity_kwh]]</f>
        <v>3.3426966292134832</v>
      </c>
      <c r="Z1382" s="4">
        <f>EV_Data4[[#This Row],[price_usd]]/EV_Data4[[#This Row],[range_miles]]</f>
        <v>548.49394957983191</v>
      </c>
      <c r="AA1382" s="2">
        <f>(EV_Data4[[#This Row],[customer_rating]]*EV_Data4[[#This Row],[safety_rating]]*1000)/EV_Data4[[#This Row],[price_usd]]</f>
        <v>0.11521235076400191</v>
      </c>
      <c r="AB1382">
        <f>EV_Data4[[#This Row],[horsepower]]+EV_Data4[[#This Row],[torque_nm]]/EV_Data4[[#This Row],[acceleration_0_60_mph]]</f>
        <v>1126.5693430656934</v>
      </c>
      <c r="AC1382" t="str">
        <f>IF(EV_Data4[[#This Row],[price_usd]]&gt;=80000,"Luxury",IF(EV_Data4[[#This Row],[price_usd]]&gt;=40000,"Mid-Range","Budget"))</f>
        <v>Luxury</v>
      </c>
      <c r="AD1382" t="str">
        <f>IF(EV_Data4[[#This Row],[range_miles]]&gt;=350,"Long-Range",IF(EV_Data4[[#This Row],[range_miles]]&gt;=250,"Medium-Range","Short-Range"))</f>
        <v>Short-Range</v>
      </c>
      <c r="AE1382" t="str">
        <f>IF(EV_Data4[[#This Row],[charging_speed_kw]]&gt;=250,"Ultra-Fast",IF(EV_Data4[[#This Row],[charging_speed_kw]]&gt;=150,"Fast-Charging","Standard-Charging"))</f>
        <v>Ultra-Fast</v>
      </c>
      <c r="AF1382" t="str">
        <f>IF(EV_Data4[[#This Row],[acceleration_0_60_mph]]&lt;=3,"SportsPerformance",IF(EV_Data4[[#This Row],[acceleration_0_60_mph]]&lt;=5,"HighPerformance","Standard"))</f>
        <v>Standard</v>
      </c>
      <c r="AG1382" t="str">
        <f>IF(EV_Data4[[#This Row],[customer_rating]]&gt;=4.5,"Excellent",IF(EV_Data4[[#This Row],[customer_rating]]&gt;=3.5,"Good","Average"))</f>
        <v>Good</v>
      </c>
      <c r="AH138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83" spans="1:34" x14ac:dyDescent="0.3">
      <c r="A1383" t="s">
        <v>24</v>
      </c>
      <c r="B1383" t="s">
        <v>70</v>
      </c>
      <c r="C1383">
        <v>2026</v>
      </c>
      <c r="D1383" t="s">
        <v>56</v>
      </c>
      <c r="E1383" s="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27</v>
      </c>
      <c r="N1383">
        <v>5</v>
      </c>
      <c r="O1383" t="s">
        <v>58</v>
      </c>
      <c r="P1383">
        <v>37.1</v>
      </c>
      <c r="Q1383">
        <v>1759</v>
      </c>
      <c r="R1383">
        <v>4</v>
      </c>
      <c r="S1383">
        <v>1</v>
      </c>
      <c r="T1383" t="s">
        <v>29</v>
      </c>
      <c r="U1383" t="s">
        <v>37</v>
      </c>
      <c r="V1383" s="3">
        <v>295672</v>
      </c>
      <c r="W1383">
        <v>3.23</v>
      </c>
      <c r="X1383">
        <v>5</v>
      </c>
      <c r="Y1383" s="1">
        <f>EV_Data4[[#This Row],[range_miles]]/EV_Data4[[#This Row],[battery_capacity_kwh]]</f>
        <v>3.3403805496828753</v>
      </c>
      <c r="Z1383" s="4">
        <f>EV_Data4[[#This Row],[price_usd]]/EV_Data4[[#This Row],[range_miles]]</f>
        <v>313.77031645569622</v>
      </c>
      <c r="AA1383" s="2">
        <f>(EV_Data4[[#This Row],[customer_rating]]*EV_Data4[[#This Row],[safety_rating]]*1000)/EV_Data4[[#This Row],[price_usd]]</f>
        <v>0.26061149704159559</v>
      </c>
      <c r="AB1383">
        <f>EV_Data4[[#This Row],[horsepower]]+EV_Data4[[#This Row],[torque_nm]]/EV_Data4[[#This Row],[acceleration_0_60_mph]]</f>
        <v>492.78142076502729</v>
      </c>
      <c r="AC1383" t="str">
        <f>IF(EV_Data4[[#This Row],[price_usd]]&gt;=80000,"Luxury",IF(EV_Data4[[#This Row],[price_usd]]&gt;=40000,"Mid-Range","Budget"))</f>
        <v>Mid-Range</v>
      </c>
      <c r="AD1383" t="str">
        <f>IF(EV_Data4[[#This Row],[range_miles]]&gt;=350,"Long-Range",IF(EV_Data4[[#This Row],[range_miles]]&gt;=250,"Medium-Range","Short-Range"))</f>
        <v>Short-Range</v>
      </c>
      <c r="AE1383" t="str">
        <f>IF(EV_Data4[[#This Row],[charging_speed_kw]]&gt;=250,"Ultra-Fast",IF(EV_Data4[[#This Row],[charging_speed_kw]]&gt;=150,"Fast-Charging","Standard-Charging"))</f>
        <v>Standard-Charging</v>
      </c>
      <c r="AF1383" t="str">
        <f>IF(EV_Data4[[#This Row],[acceleration_0_60_mph]]&lt;=3,"SportsPerformance",IF(EV_Data4[[#This Row],[acceleration_0_60_mph]]&lt;=5,"HighPerformance","Standard"))</f>
        <v>Standard</v>
      </c>
      <c r="AG1383" t="str">
        <f>IF(EV_Data4[[#This Row],[customer_rating]]&gt;=4.5,"Excellent",IF(EV_Data4[[#This Row],[customer_rating]]&gt;=3.5,"Good","Average"))</f>
        <v>Average</v>
      </c>
      <c r="AH138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84" spans="1:34" x14ac:dyDescent="0.3">
      <c r="A1384" t="s">
        <v>59</v>
      </c>
      <c r="B1384" t="s">
        <v>60</v>
      </c>
      <c r="C1384">
        <v>2025</v>
      </c>
      <c r="D1384" t="s">
        <v>56</v>
      </c>
      <c r="E1384" s="3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27</v>
      </c>
      <c r="N1384">
        <v>7</v>
      </c>
      <c r="O1384" t="s">
        <v>40</v>
      </c>
      <c r="P1384">
        <v>69.2</v>
      </c>
      <c r="Q1384">
        <v>1757</v>
      </c>
      <c r="R1384">
        <v>5</v>
      </c>
      <c r="S1384">
        <v>0</v>
      </c>
      <c r="T1384" t="s">
        <v>41</v>
      </c>
      <c r="U1384" t="s">
        <v>37</v>
      </c>
      <c r="V1384" s="3">
        <v>2488</v>
      </c>
      <c r="W1384">
        <v>3.18</v>
      </c>
      <c r="X1384">
        <v>4</v>
      </c>
      <c r="Y1384" s="1">
        <f>EV_Data4[[#This Row],[range_miles]]/EV_Data4[[#This Row],[battery_capacity_kwh]]</f>
        <v>3.5128805620608898</v>
      </c>
      <c r="Z1384" s="4">
        <f>EV_Data4[[#This Row],[price_usd]]/EV_Data4[[#This Row],[range_miles]]</f>
        <v>406.57666666666665</v>
      </c>
      <c r="AA1384" s="2">
        <f>(EV_Data4[[#This Row],[customer_rating]]*EV_Data4[[#This Row],[safety_rating]]*1000)/EV_Data4[[#This Row],[price_usd]]</f>
        <v>0.26071343658022678</v>
      </c>
      <c r="AB1384">
        <f>EV_Data4[[#This Row],[horsepower]]+EV_Data4[[#This Row],[torque_nm]]/EV_Data4[[#This Row],[acceleration_0_60_mph]]</f>
        <v>529.03814713896463</v>
      </c>
      <c r="AC1384" t="str">
        <f>IF(EV_Data4[[#This Row],[price_usd]]&gt;=80000,"Luxury",IF(EV_Data4[[#This Row],[price_usd]]&gt;=40000,"Mid-Range","Budget"))</f>
        <v>Mid-Range</v>
      </c>
      <c r="AD1384" t="str">
        <f>IF(EV_Data4[[#This Row],[range_miles]]&gt;=350,"Long-Range",IF(EV_Data4[[#This Row],[range_miles]]&gt;=250,"Medium-Range","Short-Range"))</f>
        <v>Short-Range</v>
      </c>
      <c r="AE1384" t="str">
        <f>IF(EV_Data4[[#This Row],[charging_speed_kw]]&gt;=250,"Ultra-Fast",IF(EV_Data4[[#This Row],[charging_speed_kw]]&gt;=150,"Fast-Charging","Standard-Charging"))</f>
        <v>Standard-Charging</v>
      </c>
      <c r="AF1384" t="str">
        <f>IF(EV_Data4[[#This Row],[acceleration_0_60_mph]]&lt;=3,"SportsPerformance",IF(EV_Data4[[#This Row],[acceleration_0_60_mph]]&lt;=5,"HighPerformance","Standard"))</f>
        <v>Standard</v>
      </c>
      <c r="AG1384" t="str">
        <f>IF(EV_Data4[[#This Row],[customer_rating]]&gt;=4.5,"Excellent",IF(EV_Data4[[#This Row],[customer_rating]]&gt;=3.5,"Good","Average"))</f>
        <v>Average</v>
      </c>
      <c r="AH138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85" spans="1:34" x14ac:dyDescent="0.3">
      <c r="A1385" t="s">
        <v>63</v>
      </c>
      <c r="B1385" t="s">
        <v>82</v>
      </c>
      <c r="C1385">
        <v>2025</v>
      </c>
      <c r="D1385" t="s">
        <v>33</v>
      </c>
      <c r="E1385" s="3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27</v>
      </c>
      <c r="N1385">
        <v>7</v>
      </c>
      <c r="O1385" t="s">
        <v>50</v>
      </c>
      <c r="P1385">
        <v>37</v>
      </c>
      <c r="Q1385">
        <v>1619</v>
      </c>
      <c r="R1385">
        <v>3</v>
      </c>
      <c r="S1385">
        <v>1</v>
      </c>
      <c r="T1385" t="s">
        <v>65</v>
      </c>
      <c r="U1385" t="s">
        <v>33</v>
      </c>
      <c r="V1385" s="3">
        <v>232340</v>
      </c>
      <c r="W1385">
        <v>3.27</v>
      </c>
      <c r="X1385">
        <v>5</v>
      </c>
      <c r="Y1385" s="1">
        <f>EV_Data4[[#This Row],[range_miles]]/EV_Data4[[#This Row],[battery_capacity_kwh]]</f>
        <v>3.1485148514851486</v>
      </c>
      <c r="Z1385" s="4">
        <f>EV_Data4[[#This Row],[price_usd]]/EV_Data4[[#This Row],[range_miles]]</f>
        <v>604.87685534591196</v>
      </c>
      <c r="AA1385" s="2">
        <f>(EV_Data4[[#This Row],[customer_rating]]*EV_Data4[[#This Row],[safety_rating]]*1000)/EV_Data4[[#This Row],[price_usd]]</f>
        <v>0.10200111421400604</v>
      </c>
      <c r="AB1385">
        <f>EV_Data4[[#This Row],[horsepower]]+EV_Data4[[#This Row],[torque_nm]]/EV_Data4[[#This Row],[acceleration_0_60_mph]]</f>
        <v>1167.8765880217786</v>
      </c>
      <c r="AC1385" t="str">
        <f>IF(EV_Data4[[#This Row],[price_usd]]&gt;=80000,"Luxury",IF(EV_Data4[[#This Row],[price_usd]]&gt;=40000,"Mid-Range","Budget"))</f>
        <v>Luxury</v>
      </c>
      <c r="AD1385" t="str">
        <f>IF(EV_Data4[[#This Row],[range_miles]]&gt;=350,"Long-Range",IF(EV_Data4[[#This Row],[range_miles]]&gt;=250,"Medium-Range","Short-Range"))</f>
        <v>Short-Range</v>
      </c>
      <c r="AE1385" t="str">
        <f>IF(EV_Data4[[#This Row],[charging_speed_kw]]&gt;=250,"Ultra-Fast",IF(EV_Data4[[#This Row],[charging_speed_kw]]&gt;=150,"Fast-Charging","Standard-Charging"))</f>
        <v>Standard-Charging</v>
      </c>
      <c r="AF1385" t="str">
        <f>IF(EV_Data4[[#This Row],[acceleration_0_60_mph]]&lt;=3,"SportsPerformance",IF(EV_Data4[[#This Row],[acceleration_0_60_mph]]&lt;=5,"HighPerformance","Standard"))</f>
        <v>Standard</v>
      </c>
      <c r="AG1385" t="str">
        <f>IF(EV_Data4[[#This Row],[customer_rating]]&gt;=4.5,"Excellent",IF(EV_Data4[[#This Row],[customer_rating]]&gt;=3.5,"Good","Average"))</f>
        <v>Average</v>
      </c>
      <c r="AH138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86" spans="1:34" x14ac:dyDescent="0.3">
      <c r="A1386" t="s">
        <v>83</v>
      </c>
      <c r="B1386" t="s">
        <v>84</v>
      </c>
      <c r="C1386">
        <v>2025</v>
      </c>
      <c r="D1386" t="s">
        <v>26</v>
      </c>
      <c r="E1386" s="3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48</v>
      </c>
      <c r="N1386">
        <v>5</v>
      </c>
      <c r="O1386" t="s">
        <v>40</v>
      </c>
      <c r="P1386">
        <v>66.900000000000006</v>
      </c>
      <c r="Q1386">
        <v>1847</v>
      </c>
      <c r="R1386">
        <v>5</v>
      </c>
      <c r="S1386">
        <v>2</v>
      </c>
      <c r="T1386" t="s">
        <v>29</v>
      </c>
      <c r="U1386" t="s">
        <v>30</v>
      </c>
      <c r="V1386" s="3">
        <v>27119</v>
      </c>
      <c r="W1386">
        <v>3.48</v>
      </c>
      <c r="X1386">
        <v>6</v>
      </c>
      <c r="Y1386" s="1">
        <f>EV_Data4[[#This Row],[range_miles]]/EV_Data4[[#This Row],[battery_capacity_kwh]]</f>
        <v>3.5790494665373425</v>
      </c>
      <c r="Z1386" s="4">
        <f>EV_Data4[[#This Row],[price_usd]]/EV_Data4[[#This Row],[range_miles]]</f>
        <v>441.18436314363146</v>
      </c>
      <c r="AA1386" s="2">
        <f>(EV_Data4[[#This Row],[customer_rating]]*EV_Data4[[#This Row],[safety_rating]]*1000)/EV_Data4[[#This Row],[price_usd]]</f>
        <v>0.10688155674584481</v>
      </c>
      <c r="AB1386">
        <f>EV_Data4[[#This Row],[horsepower]]+EV_Data4[[#This Row],[torque_nm]]/EV_Data4[[#This Row],[acceleration_0_60_mph]]</f>
        <v>1219.8067632850241</v>
      </c>
      <c r="AC1386" t="str">
        <f>IF(EV_Data4[[#This Row],[price_usd]]&gt;=80000,"Luxury",IF(EV_Data4[[#This Row],[price_usd]]&gt;=40000,"Mid-Range","Budget"))</f>
        <v>Luxury</v>
      </c>
      <c r="AD1386" t="str">
        <f>IF(EV_Data4[[#This Row],[range_miles]]&gt;=350,"Long-Range",IF(EV_Data4[[#This Row],[range_miles]]&gt;=250,"Medium-Range","Short-Range"))</f>
        <v>Long-Range</v>
      </c>
      <c r="AE1386" t="str">
        <f>IF(EV_Data4[[#This Row],[charging_speed_kw]]&gt;=250,"Ultra-Fast",IF(EV_Data4[[#This Row],[charging_speed_kw]]&gt;=150,"Fast-Charging","Standard-Charging"))</f>
        <v>Fast-Charging</v>
      </c>
      <c r="AF1386" t="str">
        <f>IF(EV_Data4[[#This Row],[acceleration_0_60_mph]]&lt;=3,"SportsPerformance",IF(EV_Data4[[#This Row],[acceleration_0_60_mph]]&lt;=5,"HighPerformance","Standard"))</f>
        <v>HighPerformance</v>
      </c>
      <c r="AG1386" t="str">
        <f>IF(EV_Data4[[#This Row],[customer_rating]]&gt;=4.5,"Excellent",IF(EV_Data4[[#This Row],[customer_rating]]&gt;=3.5,"Good","Average"))</f>
        <v>Average</v>
      </c>
      <c r="AH138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87" spans="1:34" x14ac:dyDescent="0.3">
      <c r="A1387" t="s">
        <v>63</v>
      </c>
      <c r="B1387" t="s">
        <v>88</v>
      </c>
      <c r="C1387">
        <v>2023</v>
      </c>
      <c r="D1387" t="s">
        <v>26</v>
      </c>
      <c r="E1387" s="3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27</v>
      </c>
      <c r="N1387">
        <v>7</v>
      </c>
      <c r="O1387" t="s">
        <v>28</v>
      </c>
      <c r="P1387">
        <v>67.099999999999994</v>
      </c>
      <c r="Q1387">
        <v>2715</v>
      </c>
      <c r="R1387">
        <v>5</v>
      </c>
      <c r="S1387">
        <v>0</v>
      </c>
      <c r="T1387" t="s">
        <v>65</v>
      </c>
      <c r="U1387" t="s">
        <v>30</v>
      </c>
      <c r="V1387" s="3">
        <v>226612</v>
      </c>
      <c r="W1387">
        <v>3.99</v>
      </c>
      <c r="X1387">
        <v>4</v>
      </c>
      <c r="Y1387" s="1">
        <f>EV_Data4[[#This Row],[range_miles]]/EV_Data4[[#This Row],[battery_capacity_kwh]]</f>
        <v>3.6545138888888888</v>
      </c>
      <c r="Z1387" s="4">
        <f>EV_Data4[[#This Row],[price_usd]]/EV_Data4[[#This Row],[range_miles]]</f>
        <v>243.21731591448932</v>
      </c>
      <c r="AA1387" s="2">
        <f>(EV_Data4[[#This Row],[customer_rating]]*EV_Data4[[#This Row],[safety_rating]]*1000)/EV_Data4[[#This Row],[price_usd]]</f>
        <v>0.19483470253135693</v>
      </c>
      <c r="AB1387">
        <f>EV_Data4[[#This Row],[horsepower]]+EV_Data4[[#This Row],[torque_nm]]/EV_Data4[[#This Row],[acceleration_0_60_mph]]</f>
        <v>1209.7505668934241</v>
      </c>
      <c r="AC1387" t="str">
        <f>IF(EV_Data4[[#This Row],[price_usd]]&gt;=80000,"Luxury",IF(EV_Data4[[#This Row],[price_usd]]&gt;=40000,"Mid-Range","Budget"))</f>
        <v>Luxury</v>
      </c>
      <c r="AD1387" t="str">
        <f>IF(EV_Data4[[#This Row],[range_miles]]&gt;=350,"Long-Range",IF(EV_Data4[[#This Row],[range_miles]]&gt;=250,"Medium-Range","Short-Range"))</f>
        <v>Long-Range</v>
      </c>
      <c r="AE1387" t="str">
        <f>IF(EV_Data4[[#This Row],[charging_speed_kw]]&gt;=250,"Ultra-Fast",IF(EV_Data4[[#This Row],[charging_speed_kw]]&gt;=150,"Fast-Charging","Standard-Charging"))</f>
        <v>Fast-Charging</v>
      </c>
      <c r="AF1387" t="str">
        <f>IF(EV_Data4[[#This Row],[acceleration_0_60_mph]]&lt;=3,"SportsPerformance",IF(EV_Data4[[#This Row],[acceleration_0_60_mph]]&lt;=5,"HighPerformance","Standard"))</f>
        <v>HighPerformance</v>
      </c>
      <c r="AG1387" t="str">
        <f>IF(EV_Data4[[#This Row],[customer_rating]]&gt;=4.5,"Excellent",IF(EV_Data4[[#This Row],[customer_rating]]&gt;=3.5,"Good","Average"))</f>
        <v>Good</v>
      </c>
      <c r="AH138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88" spans="1:34" x14ac:dyDescent="0.3">
      <c r="A1388" t="s">
        <v>76</v>
      </c>
      <c r="B1388" t="s">
        <v>98</v>
      </c>
      <c r="C1388">
        <v>2025</v>
      </c>
      <c r="D1388" t="s">
        <v>33</v>
      </c>
      <c r="E1388" s="3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48</v>
      </c>
      <c r="N1388">
        <v>5</v>
      </c>
      <c r="O1388" t="s">
        <v>28</v>
      </c>
      <c r="P1388">
        <v>54.1</v>
      </c>
      <c r="Q1388">
        <v>2327</v>
      </c>
      <c r="R1388">
        <v>5</v>
      </c>
      <c r="S1388">
        <v>0</v>
      </c>
      <c r="T1388" t="s">
        <v>41</v>
      </c>
      <c r="U1388" t="s">
        <v>37</v>
      </c>
      <c r="V1388" s="3">
        <v>62617</v>
      </c>
      <c r="W1388">
        <v>3.81</v>
      </c>
      <c r="X1388">
        <v>5</v>
      </c>
      <c r="Y1388" s="1">
        <f>EV_Data4[[#This Row],[range_miles]]/EV_Data4[[#This Row],[battery_capacity_kwh]]</f>
        <v>3.671875</v>
      </c>
      <c r="Z1388" s="4">
        <f>EV_Data4[[#This Row],[price_usd]]/EV_Data4[[#This Row],[range_miles]]</f>
        <v>210.97631205673758</v>
      </c>
      <c r="AA1388" s="2">
        <f>(EV_Data4[[#This Row],[customer_rating]]*EV_Data4[[#This Row],[safety_rating]]*1000)/EV_Data4[[#This Row],[price_usd]]</f>
        <v>0.32019325217512906</v>
      </c>
      <c r="AB1388">
        <f>EV_Data4[[#This Row],[horsepower]]+EV_Data4[[#This Row],[torque_nm]]/EV_Data4[[#This Row],[acceleration_0_60_mph]]</f>
        <v>672.30303030303025</v>
      </c>
      <c r="AC1388" t="str">
        <f>IF(EV_Data4[[#This Row],[price_usd]]&gt;=80000,"Luxury",IF(EV_Data4[[#This Row],[price_usd]]&gt;=40000,"Mid-Range","Budget"))</f>
        <v>Mid-Range</v>
      </c>
      <c r="AD1388" t="str">
        <f>IF(EV_Data4[[#This Row],[range_miles]]&gt;=350,"Long-Range",IF(EV_Data4[[#This Row],[range_miles]]&gt;=250,"Medium-Range","Short-Range"))</f>
        <v>Medium-Range</v>
      </c>
      <c r="AE1388" t="str">
        <f>IF(EV_Data4[[#This Row],[charging_speed_kw]]&gt;=250,"Ultra-Fast",IF(EV_Data4[[#This Row],[charging_speed_kw]]&gt;=150,"Fast-Charging","Standard-Charging"))</f>
        <v>Standard-Charging</v>
      </c>
      <c r="AF1388" t="str">
        <f>IF(EV_Data4[[#This Row],[acceleration_0_60_mph]]&lt;=3,"SportsPerformance",IF(EV_Data4[[#This Row],[acceleration_0_60_mph]]&lt;=5,"HighPerformance","Standard"))</f>
        <v>Standard</v>
      </c>
      <c r="AG1388" t="str">
        <f>IF(EV_Data4[[#This Row],[customer_rating]]&gt;=4.5,"Excellent",IF(EV_Data4[[#This Row],[customer_rating]]&gt;=3.5,"Good","Average"))</f>
        <v>Good</v>
      </c>
      <c r="AH138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89" spans="1:34" x14ac:dyDescent="0.3">
      <c r="A1389" t="s">
        <v>46</v>
      </c>
      <c r="B1389" t="s">
        <v>47</v>
      </c>
      <c r="C1389">
        <v>2024</v>
      </c>
      <c r="D1389" t="s">
        <v>26</v>
      </c>
      <c r="E1389" s="3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27</v>
      </c>
      <c r="N1389">
        <v>5</v>
      </c>
      <c r="O1389" t="s">
        <v>28</v>
      </c>
      <c r="P1389">
        <v>53.4</v>
      </c>
      <c r="Q1389">
        <v>2409</v>
      </c>
      <c r="R1389">
        <v>4</v>
      </c>
      <c r="S1389">
        <v>2</v>
      </c>
      <c r="T1389" t="s">
        <v>41</v>
      </c>
      <c r="U1389" t="s">
        <v>33</v>
      </c>
      <c r="V1389" s="3">
        <v>186712</v>
      </c>
      <c r="W1389">
        <v>4.18</v>
      </c>
      <c r="X1389">
        <v>5</v>
      </c>
      <c r="Y1389" s="1">
        <f>EV_Data4[[#This Row],[range_miles]]/EV_Data4[[#This Row],[battery_capacity_kwh]]</f>
        <v>3.4375</v>
      </c>
      <c r="Z1389" s="4">
        <f>EV_Data4[[#This Row],[price_usd]]/EV_Data4[[#This Row],[range_miles]]</f>
        <v>283.46048295454545</v>
      </c>
      <c r="AA1389" s="2">
        <f>(EV_Data4[[#This Row],[customer_rating]]*EV_Data4[[#This Row],[safety_rating]]*1000)/EV_Data4[[#This Row],[price_usd]]</f>
        <v>0.16757185871166708</v>
      </c>
      <c r="AB1389">
        <f>EV_Data4[[#This Row],[horsepower]]+EV_Data4[[#This Row],[torque_nm]]/EV_Data4[[#This Row],[acceleration_0_60_mph]]</f>
        <v>1016.1162790697674</v>
      </c>
      <c r="AC1389" t="str">
        <f>IF(EV_Data4[[#This Row],[price_usd]]&gt;=80000,"Luxury",IF(EV_Data4[[#This Row],[price_usd]]&gt;=40000,"Mid-Range","Budget"))</f>
        <v>Luxury</v>
      </c>
      <c r="AD1389" t="str">
        <f>IF(EV_Data4[[#This Row],[range_miles]]&gt;=350,"Long-Range",IF(EV_Data4[[#This Row],[range_miles]]&gt;=250,"Medium-Range","Short-Range"))</f>
        <v>Long-Range</v>
      </c>
      <c r="AE1389" t="str">
        <f>IF(EV_Data4[[#This Row],[charging_speed_kw]]&gt;=250,"Ultra-Fast",IF(EV_Data4[[#This Row],[charging_speed_kw]]&gt;=150,"Fast-Charging","Standard-Charging"))</f>
        <v>Fast-Charging</v>
      </c>
      <c r="AF1389" t="str">
        <f>IF(EV_Data4[[#This Row],[acceleration_0_60_mph]]&lt;=3,"SportsPerformance",IF(EV_Data4[[#This Row],[acceleration_0_60_mph]]&lt;=5,"HighPerformance","Standard"))</f>
        <v>SportsPerformance</v>
      </c>
      <c r="AG1389" t="str">
        <f>IF(EV_Data4[[#This Row],[customer_rating]]&gt;=4.5,"Excellent",IF(EV_Data4[[#This Row],[customer_rating]]&gt;=3.5,"Good","Average"))</f>
        <v>Good</v>
      </c>
      <c r="AH138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90" spans="1:34" x14ac:dyDescent="0.3">
      <c r="A1390" t="s">
        <v>59</v>
      </c>
      <c r="B1390" t="s">
        <v>111</v>
      </c>
      <c r="C1390">
        <v>2025</v>
      </c>
      <c r="D1390" t="s">
        <v>44</v>
      </c>
      <c r="E1390" s="3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48</v>
      </c>
      <c r="N1390">
        <v>7</v>
      </c>
      <c r="O1390" t="s">
        <v>51</v>
      </c>
      <c r="P1390">
        <v>25.3</v>
      </c>
      <c r="Q1390">
        <v>1773</v>
      </c>
      <c r="R1390">
        <v>5</v>
      </c>
      <c r="S1390">
        <v>1</v>
      </c>
      <c r="T1390" t="s">
        <v>41</v>
      </c>
      <c r="U1390" t="s">
        <v>33</v>
      </c>
      <c r="V1390" s="3">
        <v>12789</v>
      </c>
      <c r="W1390">
        <v>3.33</v>
      </c>
      <c r="X1390">
        <v>4</v>
      </c>
      <c r="Y1390" s="1">
        <f>EV_Data4[[#This Row],[range_miles]]/EV_Data4[[#This Row],[battery_capacity_kwh]]</f>
        <v>3.0949839914621129</v>
      </c>
      <c r="Z1390" s="4">
        <f>EV_Data4[[#This Row],[price_usd]]/EV_Data4[[#This Row],[range_miles]]</f>
        <v>229.86362068965516</v>
      </c>
      <c r="AA1390" s="2">
        <f>(EV_Data4[[#This Row],[customer_rating]]*EV_Data4[[#This Row],[safety_rating]]*1000)/EV_Data4[[#This Row],[price_usd]]</f>
        <v>0.24977329135941928</v>
      </c>
      <c r="AB1390">
        <f>EV_Data4[[#This Row],[horsepower]]+EV_Data4[[#This Row],[torque_nm]]/EV_Data4[[#This Row],[acceleration_0_60_mph]]</f>
        <v>638.21739130434787</v>
      </c>
      <c r="AC1390" t="str">
        <f>IF(EV_Data4[[#This Row],[price_usd]]&gt;=80000,"Luxury",IF(EV_Data4[[#This Row],[price_usd]]&gt;=40000,"Mid-Range","Budget"))</f>
        <v>Mid-Range</v>
      </c>
      <c r="AD1390" t="str">
        <f>IF(EV_Data4[[#This Row],[range_miles]]&gt;=350,"Long-Range",IF(EV_Data4[[#This Row],[range_miles]]&gt;=250,"Medium-Range","Short-Range"))</f>
        <v>Medium-Range</v>
      </c>
      <c r="AE1390" t="str">
        <f>IF(EV_Data4[[#This Row],[charging_speed_kw]]&gt;=250,"Ultra-Fast",IF(EV_Data4[[#This Row],[charging_speed_kw]]&gt;=150,"Fast-Charging","Standard-Charging"))</f>
        <v>Standard-Charging</v>
      </c>
      <c r="AF1390" t="str">
        <f>IF(EV_Data4[[#This Row],[acceleration_0_60_mph]]&lt;=3,"SportsPerformance",IF(EV_Data4[[#This Row],[acceleration_0_60_mph]]&lt;=5,"HighPerformance","Standard"))</f>
        <v>HighPerformance</v>
      </c>
      <c r="AG1390" t="str">
        <f>IF(EV_Data4[[#This Row],[customer_rating]]&gt;=4.5,"Excellent",IF(EV_Data4[[#This Row],[customer_rating]]&gt;=3.5,"Good","Average"))</f>
        <v>Average</v>
      </c>
      <c r="AH139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91" spans="1:34" x14ac:dyDescent="0.3">
      <c r="A1391" t="s">
        <v>24</v>
      </c>
      <c r="B1391" t="s">
        <v>70</v>
      </c>
      <c r="C1391">
        <v>2023</v>
      </c>
      <c r="D1391" t="s">
        <v>33</v>
      </c>
      <c r="E1391" s="3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27</v>
      </c>
      <c r="N1391">
        <v>5</v>
      </c>
      <c r="O1391" t="s">
        <v>58</v>
      </c>
      <c r="P1391">
        <v>22.4</v>
      </c>
      <c r="Q1391">
        <v>1560</v>
      </c>
      <c r="R1391">
        <v>4</v>
      </c>
      <c r="S1391">
        <v>1</v>
      </c>
      <c r="T1391" t="s">
        <v>29</v>
      </c>
      <c r="U1391" t="s">
        <v>33</v>
      </c>
      <c r="V1391" s="3">
        <v>208905</v>
      </c>
      <c r="W1391">
        <v>3.41</v>
      </c>
      <c r="X1391">
        <v>4</v>
      </c>
      <c r="Y1391" s="1">
        <f>EV_Data4[[#This Row],[range_miles]]/EV_Data4[[#This Row],[battery_capacity_kwh]]</f>
        <v>3.4854771784232361</v>
      </c>
      <c r="Z1391" s="4">
        <f>EV_Data4[[#This Row],[price_usd]]/EV_Data4[[#This Row],[range_miles]]</f>
        <v>467.17238095238099</v>
      </c>
      <c r="AA1391" s="2">
        <f>(EV_Data4[[#This Row],[customer_rating]]*EV_Data4[[#This Row],[safety_rating]]*1000)/EV_Data4[[#This Row],[price_usd]]</f>
        <v>0.17379125886029628</v>
      </c>
      <c r="AB1391">
        <f>EV_Data4[[#This Row],[horsepower]]+EV_Data4[[#This Row],[torque_nm]]/EV_Data4[[#This Row],[acceleration_0_60_mph]]</f>
        <v>992.55720653789001</v>
      </c>
      <c r="AC1391" t="str">
        <f>IF(EV_Data4[[#This Row],[price_usd]]&gt;=80000,"Luxury",IF(EV_Data4[[#This Row],[price_usd]]&gt;=40000,"Mid-Range","Budget"))</f>
        <v>Mid-Range</v>
      </c>
      <c r="AD1391" t="str">
        <f>IF(EV_Data4[[#This Row],[range_miles]]&gt;=350,"Long-Range",IF(EV_Data4[[#This Row],[range_miles]]&gt;=250,"Medium-Range","Short-Range"))</f>
        <v>Short-Range</v>
      </c>
      <c r="AE1391" t="str">
        <f>IF(EV_Data4[[#This Row],[charging_speed_kw]]&gt;=250,"Ultra-Fast",IF(EV_Data4[[#This Row],[charging_speed_kw]]&gt;=150,"Fast-Charging","Standard-Charging"))</f>
        <v>Standard-Charging</v>
      </c>
      <c r="AF1391" t="str">
        <f>IF(EV_Data4[[#This Row],[acceleration_0_60_mph]]&lt;=3,"SportsPerformance",IF(EV_Data4[[#This Row],[acceleration_0_60_mph]]&lt;=5,"HighPerformance","Standard"))</f>
        <v>Standard</v>
      </c>
      <c r="AG1391" t="str">
        <f>IF(EV_Data4[[#This Row],[customer_rating]]&gt;=4.5,"Excellent",IF(EV_Data4[[#This Row],[customer_rating]]&gt;=3.5,"Good","Average"))</f>
        <v>Average</v>
      </c>
      <c r="AH139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92" spans="1:34" x14ac:dyDescent="0.3">
      <c r="A1392" t="s">
        <v>63</v>
      </c>
      <c r="B1392" t="s">
        <v>88</v>
      </c>
      <c r="C1392">
        <v>2023</v>
      </c>
      <c r="D1392" t="s">
        <v>44</v>
      </c>
      <c r="E1392" s="3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34</v>
      </c>
      <c r="N1392">
        <v>7</v>
      </c>
      <c r="O1392" t="s">
        <v>50</v>
      </c>
      <c r="P1392">
        <v>36.5</v>
      </c>
      <c r="Q1392">
        <v>1560</v>
      </c>
      <c r="R1392">
        <v>5</v>
      </c>
      <c r="S1392">
        <v>0</v>
      </c>
      <c r="T1392" t="s">
        <v>65</v>
      </c>
      <c r="U1392" t="s">
        <v>66</v>
      </c>
      <c r="V1392" s="3">
        <v>111239</v>
      </c>
      <c r="W1392">
        <v>3.49</v>
      </c>
      <c r="X1392">
        <v>4</v>
      </c>
      <c r="Y1392" s="1">
        <f>EV_Data4[[#This Row],[range_miles]]/EV_Data4[[#This Row],[battery_capacity_kwh]]</f>
        <v>3.4096692111959288</v>
      </c>
      <c r="Z1392" s="4">
        <f>EV_Data4[[#This Row],[price_usd]]/EV_Data4[[#This Row],[range_miles]]</f>
        <v>114.21339552238805</v>
      </c>
      <c r="AA1392" s="2">
        <f>(EV_Data4[[#This Row],[customer_rating]]*EV_Data4[[#This Row],[safety_rating]]*1000)/EV_Data4[[#This Row],[price_usd]]</f>
        <v>0.57009022453714076</v>
      </c>
      <c r="AB1392">
        <f>EV_Data4[[#This Row],[horsepower]]+EV_Data4[[#This Row],[torque_nm]]/EV_Data4[[#This Row],[acceleration_0_60_mph]]</f>
        <v>351.54545454545456</v>
      </c>
      <c r="AC1392" t="str">
        <f>IF(EV_Data4[[#This Row],[price_usd]]&gt;=80000,"Luxury",IF(EV_Data4[[#This Row],[price_usd]]&gt;=40000,"Mid-Range","Budget"))</f>
        <v>Budget</v>
      </c>
      <c r="AD1392" t="str">
        <f>IF(EV_Data4[[#This Row],[range_miles]]&gt;=350,"Long-Range",IF(EV_Data4[[#This Row],[range_miles]]&gt;=250,"Medium-Range","Short-Range"))</f>
        <v>Medium-Range</v>
      </c>
      <c r="AE1392" t="str">
        <f>IF(EV_Data4[[#This Row],[charging_speed_kw]]&gt;=250,"Ultra-Fast",IF(EV_Data4[[#This Row],[charging_speed_kw]]&gt;=150,"Fast-Charging","Standard-Charging"))</f>
        <v>Standard-Charging</v>
      </c>
      <c r="AF1392" t="str">
        <f>IF(EV_Data4[[#This Row],[acceleration_0_60_mph]]&lt;=3,"SportsPerformance",IF(EV_Data4[[#This Row],[acceleration_0_60_mph]]&lt;=5,"HighPerformance","Standard"))</f>
        <v>HighPerformance</v>
      </c>
      <c r="AG1392" t="str">
        <f>IF(EV_Data4[[#This Row],[customer_rating]]&gt;=4.5,"Excellent",IF(EV_Data4[[#This Row],[customer_rating]]&gt;=3.5,"Good","Average"))</f>
        <v>Average</v>
      </c>
      <c r="AH139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393" spans="1:34" x14ac:dyDescent="0.3">
      <c r="A1393" t="s">
        <v>46</v>
      </c>
      <c r="B1393" t="s">
        <v>78</v>
      </c>
      <c r="C1393">
        <v>2022</v>
      </c>
      <c r="D1393" t="s">
        <v>26</v>
      </c>
      <c r="E1393" s="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48</v>
      </c>
      <c r="N1393">
        <v>5</v>
      </c>
      <c r="O1393" t="s">
        <v>28</v>
      </c>
      <c r="P1393">
        <v>67.599999999999994</v>
      </c>
      <c r="Q1393">
        <v>2497</v>
      </c>
      <c r="R1393">
        <v>5</v>
      </c>
      <c r="S1393">
        <v>2</v>
      </c>
      <c r="T1393" t="s">
        <v>41</v>
      </c>
      <c r="U1393" t="s">
        <v>30</v>
      </c>
      <c r="V1393" s="3">
        <v>160982</v>
      </c>
      <c r="W1393">
        <v>3.75</v>
      </c>
      <c r="X1393">
        <v>4</v>
      </c>
      <c r="Y1393" s="1">
        <f>EV_Data4[[#This Row],[range_miles]]/EV_Data4[[#This Row],[battery_capacity_kwh]]</f>
        <v>3.4873949579831929</v>
      </c>
      <c r="Z1393" s="4">
        <f>EV_Data4[[#This Row],[price_usd]]/EV_Data4[[#This Row],[range_miles]]</f>
        <v>472.71638554216867</v>
      </c>
      <c r="AA1393" s="2">
        <f>(EV_Data4[[#This Row],[customer_rating]]*EV_Data4[[#This Row],[safety_rating]]*1000)/EV_Data4[[#This Row],[price_usd]]</f>
        <v>0.15929467884408643</v>
      </c>
      <c r="AB1393">
        <f>EV_Data4[[#This Row],[horsepower]]+EV_Data4[[#This Row],[torque_nm]]/EV_Data4[[#This Row],[acceleration_0_60_mph]]</f>
        <v>1072.1359223300972</v>
      </c>
      <c r="AC1393" t="str">
        <f>IF(EV_Data4[[#This Row],[price_usd]]&gt;=80000,"Luxury",IF(EV_Data4[[#This Row],[price_usd]]&gt;=40000,"Mid-Range","Budget"))</f>
        <v>Luxury</v>
      </c>
      <c r="AD1393" t="str">
        <f>IF(EV_Data4[[#This Row],[range_miles]]&gt;=350,"Long-Range",IF(EV_Data4[[#This Row],[range_miles]]&gt;=250,"Medium-Range","Short-Range"))</f>
        <v>Short-Range</v>
      </c>
      <c r="AE1393" t="str">
        <f>IF(EV_Data4[[#This Row],[charging_speed_kw]]&gt;=250,"Ultra-Fast",IF(EV_Data4[[#This Row],[charging_speed_kw]]&gt;=150,"Fast-Charging","Standard-Charging"))</f>
        <v>Ultra-Fast</v>
      </c>
      <c r="AF1393" t="str">
        <f>IF(EV_Data4[[#This Row],[acceleration_0_60_mph]]&lt;=3,"SportsPerformance",IF(EV_Data4[[#This Row],[acceleration_0_60_mph]]&lt;=5,"HighPerformance","Standard"))</f>
        <v>HighPerformance</v>
      </c>
      <c r="AG1393" t="str">
        <f>IF(EV_Data4[[#This Row],[customer_rating]]&gt;=4.5,"Excellent",IF(EV_Data4[[#This Row],[customer_rating]]&gt;=3.5,"Good","Average"))</f>
        <v>Good</v>
      </c>
      <c r="AH139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94" spans="1:34" x14ac:dyDescent="0.3">
      <c r="A1394" t="s">
        <v>46</v>
      </c>
      <c r="B1394" t="s">
        <v>72</v>
      </c>
      <c r="C1394">
        <v>2024</v>
      </c>
      <c r="D1394" t="s">
        <v>26</v>
      </c>
      <c r="E1394" s="3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48</v>
      </c>
      <c r="N1394">
        <v>7</v>
      </c>
      <c r="O1394" t="s">
        <v>28</v>
      </c>
      <c r="P1394">
        <v>52.7</v>
      </c>
      <c r="Q1394">
        <v>2604</v>
      </c>
      <c r="R1394">
        <v>3</v>
      </c>
      <c r="S1394">
        <v>2</v>
      </c>
      <c r="T1394" t="s">
        <v>41</v>
      </c>
      <c r="U1394" t="s">
        <v>30</v>
      </c>
      <c r="V1394" s="3">
        <v>156874</v>
      </c>
      <c r="W1394">
        <v>4.08</v>
      </c>
      <c r="X1394">
        <v>5</v>
      </c>
      <c r="Y1394" s="1">
        <f>EV_Data4[[#This Row],[range_miles]]/EV_Data4[[#This Row],[battery_capacity_kwh]]</f>
        <v>3.1070496083550911</v>
      </c>
      <c r="Z1394" s="4">
        <f>EV_Data4[[#This Row],[price_usd]]/EV_Data4[[#This Row],[range_miles]]</f>
        <v>297.11128851540616</v>
      </c>
      <c r="AA1394" s="2">
        <f>(EV_Data4[[#This Row],[customer_rating]]*EV_Data4[[#This Row],[safety_rating]]*1000)/EV_Data4[[#This Row],[price_usd]]</f>
        <v>0.11539687521477819</v>
      </c>
      <c r="AB1394">
        <f>EV_Data4[[#This Row],[horsepower]]+EV_Data4[[#This Row],[torque_nm]]/EV_Data4[[#This Row],[acceleration_0_60_mph]]</f>
        <v>991.65789473684208</v>
      </c>
      <c r="AC1394" t="str">
        <f>IF(EV_Data4[[#This Row],[price_usd]]&gt;=80000,"Luxury",IF(EV_Data4[[#This Row],[price_usd]]&gt;=40000,"Mid-Range","Budget"))</f>
        <v>Luxury</v>
      </c>
      <c r="AD1394" t="str">
        <f>IF(EV_Data4[[#This Row],[range_miles]]&gt;=350,"Long-Range",IF(EV_Data4[[#This Row],[range_miles]]&gt;=250,"Medium-Range","Short-Range"))</f>
        <v>Long-Range</v>
      </c>
      <c r="AE1394" t="str">
        <f>IF(EV_Data4[[#This Row],[charging_speed_kw]]&gt;=250,"Ultra-Fast",IF(EV_Data4[[#This Row],[charging_speed_kw]]&gt;=150,"Fast-Charging","Standard-Charging"))</f>
        <v>Ultra-Fast</v>
      </c>
      <c r="AF1394" t="str">
        <f>IF(EV_Data4[[#This Row],[acceleration_0_60_mph]]&lt;=3,"SportsPerformance",IF(EV_Data4[[#This Row],[acceleration_0_60_mph]]&lt;=5,"HighPerformance","Standard"))</f>
        <v>HighPerformance</v>
      </c>
      <c r="AG1394" t="str">
        <f>IF(EV_Data4[[#This Row],[customer_rating]]&gt;=4.5,"Excellent",IF(EV_Data4[[#This Row],[customer_rating]]&gt;=3.5,"Good","Average"))</f>
        <v>Good</v>
      </c>
      <c r="AH139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95" spans="1:34" x14ac:dyDescent="0.3">
      <c r="A1395" t="s">
        <v>68</v>
      </c>
      <c r="B1395" t="s">
        <v>109</v>
      </c>
      <c r="C1395">
        <v>2025</v>
      </c>
      <c r="D1395" t="s">
        <v>44</v>
      </c>
      <c r="E1395" s="3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34</v>
      </c>
      <c r="N1395">
        <v>7</v>
      </c>
      <c r="O1395" t="s">
        <v>35</v>
      </c>
      <c r="P1395">
        <v>54.6</v>
      </c>
      <c r="Q1395">
        <v>2251</v>
      </c>
      <c r="R1395">
        <v>4</v>
      </c>
      <c r="S1395">
        <v>2</v>
      </c>
      <c r="T1395" t="s">
        <v>45</v>
      </c>
      <c r="U1395" t="s">
        <v>33</v>
      </c>
      <c r="V1395" s="3">
        <v>50014</v>
      </c>
      <c r="W1395">
        <v>3.59</v>
      </c>
      <c r="X1395">
        <v>4</v>
      </c>
      <c r="Y1395" s="1">
        <f>EV_Data4[[#This Row],[range_miles]]/EV_Data4[[#This Row],[battery_capacity_kwh]]</f>
        <v>3.5640138408304498</v>
      </c>
      <c r="Z1395" s="4">
        <f>EV_Data4[[#This Row],[price_usd]]/EV_Data4[[#This Row],[range_miles]]</f>
        <v>228.74404530744337</v>
      </c>
      <c r="AA1395" s="2">
        <f>(EV_Data4[[#This Row],[customer_rating]]*EV_Data4[[#This Row],[safety_rating]]*1000)/EV_Data4[[#This Row],[price_usd]]</f>
        <v>0.20316372322140133</v>
      </c>
      <c r="AB1395">
        <f>EV_Data4[[#This Row],[horsepower]]+EV_Data4[[#This Row],[torque_nm]]/EV_Data4[[#This Row],[acceleration_0_60_mph]]</f>
        <v>1018.7253218884121</v>
      </c>
      <c r="AC1395" t="str">
        <f>IF(EV_Data4[[#This Row],[price_usd]]&gt;=80000,"Luxury",IF(EV_Data4[[#This Row],[price_usd]]&gt;=40000,"Mid-Range","Budget"))</f>
        <v>Mid-Range</v>
      </c>
      <c r="AD1395" t="str">
        <f>IF(EV_Data4[[#This Row],[range_miles]]&gt;=350,"Long-Range",IF(EV_Data4[[#This Row],[range_miles]]&gt;=250,"Medium-Range","Short-Range"))</f>
        <v>Medium-Range</v>
      </c>
      <c r="AE1395" t="str">
        <f>IF(EV_Data4[[#This Row],[charging_speed_kw]]&gt;=250,"Ultra-Fast",IF(EV_Data4[[#This Row],[charging_speed_kw]]&gt;=150,"Fast-Charging","Standard-Charging"))</f>
        <v>Standard-Charging</v>
      </c>
      <c r="AF1395" t="str">
        <f>IF(EV_Data4[[#This Row],[acceleration_0_60_mph]]&lt;=3,"SportsPerformance",IF(EV_Data4[[#This Row],[acceleration_0_60_mph]]&lt;=5,"HighPerformance","Standard"))</f>
        <v>HighPerformance</v>
      </c>
      <c r="AG1395" t="str">
        <f>IF(EV_Data4[[#This Row],[customer_rating]]&gt;=4.5,"Excellent",IF(EV_Data4[[#This Row],[customer_rating]]&gt;=3.5,"Good","Average"))</f>
        <v>Good</v>
      </c>
      <c r="AH139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396" spans="1:34" x14ac:dyDescent="0.3">
      <c r="A1396" t="s">
        <v>63</v>
      </c>
      <c r="B1396" t="s">
        <v>67</v>
      </c>
      <c r="C1396">
        <v>2024</v>
      </c>
      <c r="D1396" t="s">
        <v>44</v>
      </c>
      <c r="E1396" s="3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48</v>
      </c>
      <c r="N1396">
        <v>5</v>
      </c>
      <c r="O1396" t="s">
        <v>28</v>
      </c>
      <c r="P1396">
        <v>63.7</v>
      </c>
      <c r="Q1396">
        <v>2686</v>
      </c>
      <c r="R1396">
        <v>3</v>
      </c>
      <c r="S1396">
        <v>1</v>
      </c>
      <c r="T1396" t="s">
        <v>65</v>
      </c>
      <c r="U1396" t="s">
        <v>37</v>
      </c>
      <c r="V1396" s="3">
        <v>239018</v>
      </c>
      <c r="W1396">
        <v>3.7</v>
      </c>
      <c r="X1396">
        <v>3</v>
      </c>
      <c r="Y1396" s="1">
        <f>EV_Data4[[#This Row],[range_miles]]/EV_Data4[[#This Row],[battery_capacity_kwh]]</f>
        <v>3.6806342015855043</v>
      </c>
      <c r="Z1396" s="4">
        <f>EV_Data4[[#This Row],[price_usd]]/EV_Data4[[#This Row],[range_miles]]</f>
        <v>128.93793846153847</v>
      </c>
      <c r="AA1396" s="2">
        <f>(EV_Data4[[#This Row],[customer_rating]]*EV_Data4[[#This Row],[safety_rating]]*1000)/EV_Data4[[#This Row],[price_usd]]</f>
        <v>0.26488593319672221</v>
      </c>
      <c r="AB1396">
        <f>EV_Data4[[#This Row],[horsepower]]+EV_Data4[[#This Row],[torque_nm]]/EV_Data4[[#This Row],[acceleration_0_60_mph]]</f>
        <v>509.67166979362099</v>
      </c>
      <c r="AC1396" t="str">
        <f>IF(EV_Data4[[#This Row],[price_usd]]&gt;=80000,"Luxury",IF(EV_Data4[[#This Row],[price_usd]]&gt;=40000,"Mid-Range","Budget"))</f>
        <v>Mid-Range</v>
      </c>
      <c r="AD1396" t="str">
        <f>IF(EV_Data4[[#This Row],[range_miles]]&gt;=350,"Long-Range",IF(EV_Data4[[#This Row],[range_miles]]&gt;=250,"Medium-Range","Short-Range"))</f>
        <v>Medium-Range</v>
      </c>
      <c r="AE1396" t="str">
        <f>IF(EV_Data4[[#This Row],[charging_speed_kw]]&gt;=250,"Ultra-Fast",IF(EV_Data4[[#This Row],[charging_speed_kw]]&gt;=150,"Fast-Charging","Standard-Charging"))</f>
        <v>Standard-Charging</v>
      </c>
      <c r="AF1396" t="str">
        <f>IF(EV_Data4[[#This Row],[acceleration_0_60_mph]]&lt;=3,"SportsPerformance",IF(EV_Data4[[#This Row],[acceleration_0_60_mph]]&lt;=5,"HighPerformance","Standard"))</f>
        <v>Standard</v>
      </c>
      <c r="AG1396" t="str">
        <f>IF(EV_Data4[[#This Row],[customer_rating]]&gt;=4.5,"Excellent",IF(EV_Data4[[#This Row],[customer_rating]]&gt;=3.5,"Good","Average"))</f>
        <v>Good</v>
      </c>
      <c r="AH139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97" spans="1:34" x14ac:dyDescent="0.3">
      <c r="A1397" t="s">
        <v>52</v>
      </c>
      <c r="B1397" t="s">
        <v>53</v>
      </c>
      <c r="C1397">
        <v>2025</v>
      </c>
      <c r="D1397" t="s">
        <v>26</v>
      </c>
      <c r="E1397" s="3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27</v>
      </c>
      <c r="N1397">
        <v>5</v>
      </c>
      <c r="O1397" t="s">
        <v>35</v>
      </c>
      <c r="P1397">
        <v>38.200000000000003</v>
      </c>
      <c r="Q1397">
        <v>1893</v>
      </c>
      <c r="R1397">
        <v>4</v>
      </c>
      <c r="S1397">
        <v>1</v>
      </c>
      <c r="T1397" t="s">
        <v>29</v>
      </c>
      <c r="U1397" t="s">
        <v>33</v>
      </c>
      <c r="V1397" s="3">
        <v>56423</v>
      </c>
      <c r="W1397">
        <v>3.88</v>
      </c>
      <c r="X1397">
        <v>7</v>
      </c>
      <c r="Y1397" s="1">
        <f>EV_Data4[[#This Row],[range_miles]]/EV_Data4[[#This Row],[battery_capacity_kwh]]</f>
        <v>3.3820459290187892</v>
      </c>
      <c r="Z1397" s="4">
        <f>EV_Data4[[#This Row],[price_usd]]/EV_Data4[[#This Row],[range_miles]]</f>
        <v>291.17969135802468</v>
      </c>
      <c r="AA1397" s="2">
        <f>(EV_Data4[[#This Row],[customer_rating]]*EV_Data4[[#This Row],[safety_rating]]*1000)/EV_Data4[[#This Row],[price_usd]]</f>
        <v>0.16450747078031447</v>
      </c>
      <c r="AB1397">
        <f>EV_Data4[[#This Row],[horsepower]]+EV_Data4[[#This Row],[torque_nm]]/EV_Data4[[#This Row],[acceleration_0_60_mph]]</f>
        <v>539.93139841688651</v>
      </c>
      <c r="AC1397" t="str">
        <f>IF(EV_Data4[[#This Row],[price_usd]]&gt;=80000,"Luxury",IF(EV_Data4[[#This Row],[price_usd]]&gt;=40000,"Mid-Range","Budget"))</f>
        <v>Luxury</v>
      </c>
      <c r="AD1397" t="str">
        <f>IF(EV_Data4[[#This Row],[range_miles]]&gt;=350,"Long-Range",IF(EV_Data4[[#This Row],[range_miles]]&gt;=250,"Medium-Range","Short-Range"))</f>
        <v>Medium-Range</v>
      </c>
      <c r="AE1397" t="str">
        <f>IF(EV_Data4[[#This Row],[charging_speed_kw]]&gt;=250,"Ultra-Fast",IF(EV_Data4[[#This Row],[charging_speed_kw]]&gt;=150,"Fast-Charging","Standard-Charging"))</f>
        <v>Fast-Charging</v>
      </c>
      <c r="AF1397" t="str">
        <f>IF(EV_Data4[[#This Row],[acceleration_0_60_mph]]&lt;=3,"SportsPerformance",IF(EV_Data4[[#This Row],[acceleration_0_60_mph]]&lt;=5,"HighPerformance","Standard"))</f>
        <v>HighPerformance</v>
      </c>
      <c r="AG1397" t="str">
        <f>IF(EV_Data4[[#This Row],[customer_rating]]&gt;=4.5,"Excellent",IF(EV_Data4[[#This Row],[customer_rating]]&gt;=3.5,"Good","Average"))</f>
        <v>Good</v>
      </c>
      <c r="AH139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98" spans="1:34" x14ac:dyDescent="0.3">
      <c r="A1398" t="s">
        <v>24</v>
      </c>
      <c r="B1398" t="s">
        <v>75</v>
      </c>
      <c r="C1398">
        <v>2024</v>
      </c>
      <c r="D1398" t="s">
        <v>33</v>
      </c>
      <c r="E1398" s="3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48</v>
      </c>
      <c r="N1398">
        <v>7</v>
      </c>
      <c r="O1398" t="s">
        <v>51</v>
      </c>
      <c r="P1398">
        <v>32.4</v>
      </c>
      <c r="Q1398">
        <v>1615</v>
      </c>
      <c r="R1398">
        <v>4</v>
      </c>
      <c r="S1398">
        <v>1</v>
      </c>
      <c r="T1398" t="s">
        <v>29</v>
      </c>
      <c r="U1398" t="s">
        <v>37</v>
      </c>
      <c r="V1398" s="3">
        <v>268842</v>
      </c>
      <c r="W1398">
        <v>3.31</v>
      </c>
      <c r="X1398">
        <v>4</v>
      </c>
      <c r="Y1398" s="1">
        <f>EV_Data4[[#This Row],[range_miles]]/EV_Data4[[#This Row],[battery_capacity_kwh]]</f>
        <v>3.8444444444444446</v>
      </c>
      <c r="Z1398" s="4">
        <f>EV_Data4[[#This Row],[price_usd]]/EV_Data4[[#This Row],[range_miles]]</f>
        <v>234.60537572254336</v>
      </c>
      <c r="AA1398" s="2">
        <f>(EV_Data4[[#This Row],[customer_rating]]*EV_Data4[[#This Row],[safety_rating]]*1000)/EV_Data4[[#This Row],[price_usd]]</f>
        <v>0.32621499687213035</v>
      </c>
      <c r="AB1398">
        <f>EV_Data4[[#This Row],[horsepower]]+EV_Data4[[#This Row],[torque_nm]]/EV_Data4[[#This Row],[acceleration_0_60_mph]]</f>
        <v>377.67912772585669</v>
      </c>
      <c r="AC1398" t="str">
        <f>IF(EV_Data4[[#This Row],[price_usd]]&gt;=80000,"Luxury",IF(EV_Data4[[#This Row],[price_usd]]&gt;=40000,"Mid-Range","Budget"))</f>
        <v>Mid-Range</v>
      </c>
      <c r="AD1398" t="str">
        <f>IF(EV_Data4[[#This Row],[range_miles]]&gt;=350,"Long-Range",IF(EV_Data4[[#This Row],[range_miles]]&gt;=250,"Medium-Range","Short-Range"))</f>
        <v>Short-Range</v>
      </c>
      <c r="AE1398" t="str">
        <f>IF(EV_Data4[[#This Row],[charging_speed_kw]]&gt;=250,"Ultra-Fast",IF(EV_Data4[[#This Row],[charging_speed_kw]]&gt;=150,"Fast-Charging","Standard-Charging"))</f>
        <v>Standard-Charging</v>
      </c>
      <c r="AF1398" t="str">
        <f>IF(EV_Data4[[#This Row],[acceleration_0_60_mph]]&lt;=3,"SportsPerformance",IF(EV_Data4[[#This Row],[acceleration_0_60_mph]]&lt;=5,"HighPerformance","Standard"))</f>
        <v>Standard</v>
      </c>
      <c r="AG1398" t="str">
        <f>IF(EV_Data4[[#This Row],[customer_rating]]&gt;=4.5,"Excellent",IF(EV_Data4[[#This Row],[customer_rating]]&gt;=3.5,"Good","Average"))</f>
        <v>Average</v>
      </c>
      <c r="AH139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399" spans="1:34" x14ac:dyDescent="0.3">
      <c r="A1399" t="s">
        <v>63</v>
      </c>
      <c r="B1399" t="s">
        <v>67</v>
      </c>
      <c r="C1399">
        <v>2022</v>
      </c>
      <c r="D1399" t="s">
        <v>26</v>
      </c>
      <c r="E1399" s="3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48</v>
      </c>
      <c r="N1399">
        <v>7</v>
      </c>
      <c r="O1399" t="s">
        <v>51</v>
      </c>
      <c r="P1399">
        <v>33.299999999999997</v>
      </c>
      <c r="Q1399">
        <v>1500</v>
      </c>
      <c r="R1399">
        <v>4</v>
      </c>
      <c r="S1399">
        <v>0</v>
      </c>
      <c r="T1399" t="s">
        <v>65</v>
      </c>
      <c r="U1399" t="s">
        <v>33</v>
      </c>
      <c r="V1399" s="3">
        <v>130723</v>
      </c>
      <c r="W1399">
        <v>3.47</v>
      </c>
      <c r="X1399">
        <v>4</v>
      </c>
      <c r="Y1399" s="1">
        <f>EV_Data4[[#This Row],[range_miles]]/EV_Data4[[#This Row],[battery_capacity_kwh]]</f>
        <v>3.5732647814910026</v>
      </c>
      <c r="Z1399" s="4">
        <f>EV_Data4[[#This Row],[price_usd]]/EV_Data4[[#This Row],[range_miles]]</f>
        <v>355.33104316546763</v>
      </c>
      <c r="AA1399" s="2">
        <f>(EV_Data4[[#This Row],[customer_rating]]*EV_Data4[[#This Row],[safety_rating]]*1000)/EV_Data4[[#This Row],[price_usd]]</f>
        <v>0.14051138653457518</v>
      </c>
      <c r="AB1399">
        <f>EV_Data4[[#This Row],[horsepower]]+EV_Data4[[#This Row],[torque_nm]]/EV_Data4[[#This Row],[acceleration_0_60_mph]]</f>
        <v>1236.1185983827493</v>
      </c>
      <c r="AC1399" t="str">
        <f>IF(EV_Data4[[#This Row],[price_usd]]&gt;=80000,"Luxury",IF(EV_Data4[[#This Row],[price_usd]]&gt;=40000,"Mid-Range","Budget"))</f>
        <v>Luxury</v>
      </c>
      <c r="AD1399" t="str">
        <f>IF(EV_Data4[[#This Row],[range_miles]]&gt;=350,"Long-Range",IF(EV_Data4[[#This Row],[range_miles]]&gt;=250,"Medium-Range","Short-Range"))</f>
        <v>Medium-Range</v>
      </c>
      <c r="AE1399" t="str">
        <f>IF(EV_Data4[[#This Row],[charging_speed_kw]]&gt;=250,"Ultra-Fast",IF(EV_Data4[[#This Row],[charging_speed_kw]]&gt;=150,"Fast-Charging","Standard-Charging"))</f>
        <v>Fast-Charging</v>
      </c>
      <c r="AF1399" t="str">
        <f>IF(EV_Data4[[#This Row],[acceleration_0_60_mph]]&lt;=3,"SportsPerformance",IF(EV_Data4[[#This Row],[acceleration_0_60_mph]]&lt;=5,"HighPerformance","Standard"))</f>
        <v>HighPerformance</v>
      </c>
      <c r="AG1399" t="str">
        <f>IF(EV_Data4[[#This Row],[customer_rating]]&gt;=4.5,"Excellent",IF(EV_Data4[[#This Row],[customer_rating]]&gt;=3.5,"Good","Average"))</f>
        <v>Average</v>
      </c>
      <c r="AH139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00" spans="1:34" x14ac:dyDescent="0.3">
      <c r="A1400" t="s">
        <v>42</v>
      </c>
      <c r="B1400" t="s">
        <v>115</v>
      </c>
      <c r="C1400">
        <v>2022</v>
      </c>
      <c r="D1400" t="s">
        <v>33</v>
      </c>
      <c r="E1400" s="3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48</v>
      </c>
      <c r="N1400">
        <v>7</v>
      </c>
      <c r="O1400" t="s">
        <v>58</v>
      </c>
      <c r="P1400">
        <v>28.9</v>
      </c>
      <c r="Q1400">
        <v>1500</v>
      </c>
      <c r="R1400">
        <v>4</v>
      </c>
      <c r="S1400">
        <v>0</v>
      </c>
      <c r="T1400" t="s">
        <v>45</v>
      </c>
      <c r="U1400" t="s">
        <v>37</v>
      </c>
      <c r="V1400" s="3">
        <v>51025</v>
      </c>
      <c r="W1400">
        <v>3.4</v>
      </c>
      <c r="X1400">
        <v>5</v>
      </c>
      <c r="Y1400" s="1">
        <f>EV_Data4[[#This Row],[range_miles]]/EV_Data4[[#This Row],[battery_capacity_kwh]]</f>
        <v>3.7301587301587302</v>
      </c>
      <c r="Z1400" s="4">
        <f>EV_Data4[[#This Row],[price_usd]]/EV_Data4[[#This Row],[range_miles]]</f>
        <v>170.46825531914894</v>
      </c>
      <c r="AA1400" s="2">
        <f>(EV_Data4[[#This Row],[customer_rating]]*EV_Data4[[#This Row],[safety_rating]]*1000)/EV_Data4[[#This Row],[price_usd]]</f>
        <v>0.33949042487226672</v>
      </c>
      <c r="AB1400">
        <f>EV_Data4[[#This Row],[horsepower]]+EV_Data4[[#This Row],[torque_nm]]/EV_Data4[[#This Row],[acceleration_0_60_mph]]</f>
        <v>317.28318584070797</v>
      </c>
      <c r="AC1400" t="str">
        <f>IF(EV_Data4[[#This Row],[price_usd]]&gt;=80000,"Luxury",IF(EV_Data4[[#This Row],[price_usd]]&gt;=40000,"Mid-Range","Budget"))</f>
        <v>Mid-Range</v>
      </c>
      <c r="AD1400" t="str">
        <f>IF(EV_Data4[[#This Row],[range_miles]]&gt;=350,"Long-Range",IF(EV_Data4[[#This Row],[range_miles]]&gt;=250,"Medium-Range","Short-Range"))</f>
        <v>Short-Range</v>
      </c>
      <c r="AE1400" t="str">
        <f>IF(EV_Data4[[#This Row],[charging_speed_kw]]&gt;=250,"Ultra-Fast",IF(EV_Data4[[#This Row],[charging_speed_kw]]&gt;=150,"Fast-Charging","Standard-Charging"))</f>
        <v>Standard-Charging</v>
      </c>
      <c r="AF1400" t="str">
        <f>IF(EV_Data4[[#This Row],[acceleration_0_60_mph]]&lt;=3,"SportsPerformance",IF(EV_Data4[[#This Row],[acceleration_0_60_mph]]&lt;=5,"HighPerformance","Standard"))</f>
        <v>Standard</v>
      </c>
      <c r="AG1400" t="str">
        <f>IF(EV_Data4[[#This Row],[customer_rating]]&gt;=4.5,"Excellent",IF(EV_Data4[[#This Row],[customer_rating]]&gt;=3.5,"Good","Average"))</f>
        <v>Average</v>
      </c>
      <c r="AH140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01" spans="1:34" x14ac:dyDescent="0.3">
      <c r="A1401" t="s">
        <v>38</v>
      </c>
      <c r="B1401" t="s">
        <v>101</v>
      </c>
      <c r="C1401">
        <v>2023</v>
      </c>
      <c r="D1401" t="s">
        <v>26</v>
      </c>
      <c r="E1401" s="3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27</v>
      </c>
      <c r="N1401">
        <v>5</v>
      </c>
      <c r="O1401" t="s">
        <v>51</v>
      </c>
      <c r="P1401">
        <v>20.399999999999999</v>
      </c>
      <c r="Q1401">
        <v>2090</v>
      </c>
      <c r="R1401">
        <v>4</v>
      </c>
      <c r="S1401">
        <v>1</v>
      </c>
      <c r="T1401" t="s">
        <v>41</v>
      </c>
      <c r="U1401" t="s">
        <v>33</v>
      </c>
      <c r="V1401" s="3">
        <v>27191</v>
      </c>
      <c r="W1401">
        <v>3.61</v>
      </c>
      <c r="X1401">
        <v>3</v>
      </c>
      <c r="Y1401" s="1">
        <f>EV_Data4[[#This Row],[range_miles]]/EV_Data4[[#This Row],[battery_capacity_kwh]]</f>
        <v>3.4928229665071768</v>
      </c>
      <c r="Z1401" s="4">
        <f>EV_Data4[[#This Row],[price_usd]]/EV_Data4[[#This Row],[range_miles]]</f>
        <v>202.34032876712328</v>
      </c>
      <c r="AA1401" s="2">
        <f>(EV_Data4[[#This Row],[customer_rating]]*EV_Data4[[#This Row],[safety_rating]]*1000)/EV_Data4[[#This Row],[price_usd]]</f>
        <v>0.19552031014612301</v>
      </c>
      <c r="AB1401">
        <f>EV_Data4[[#This Row],[horsepower]]+EV_Data4[[#This Row],[torque_nm]]/EV_Data4[[#This Row],[acceleration_0_60_mph]]</f>
        <v>1274.4658385093167</v>
      </c>
      <c r="AC1401" t="str">
        <f>IF(EV_Data4[[#This Row],[price_usd]]&gt;=80000,"Luxury",IF(EV_Data4[[#This Row],[price_usd]]&gt;=40000,"Mid-Range","Budget"))</f>
        <v>Mid-Range</v>
      </c>
      <c r="AD1401" t="str">
        <f>IF(EV_Data4[[#This Row],[range_miles]]&gt;=350,"Long-Range",IF(EV_Data4[[#This Row],[range_miles]]&gt;=250,"Medium-Range","Short-Range"))</f>
        <v>Long-Range</v>
      </c>
      <c r="AE1401" t="str">
        <f>IF(EV_Data4[[#This Row],[charging_speed_kw]]&gt;=250,"Ultra-Fast",IF(EV_Data4[[#This Row],[charging_speed_kw]]&gt;=150,"Fast-Charging","Standard-Charging"))</f>
        <v>Fast-Charging</v>
      </c>
      <c r="AF1401" t="str">
        <f>IF(EV_Data4[[#This Row],[acceleration_0_60_mph]]&lt;=3,"SportsPerformance",IF(EV_Data4[[#This Row],[acceleration_0_60_mph]]&lt;=5,"HighPerformance","Standard"))</f>
        <v>HighPerformance</v>
      </c>
      <c r="AG1401" t="str">
        <f>IF(EV_Data4[[#This Row],[customer_rating]]&gt;=4.5,"Excellent",IF(EV_Data4[[#This Row],[customer_rating]]&gt;=3.5,"Good","Average"))</f>
        <v>Good</v>
      </c>
      <c r="AH140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02" spans="1:34" x14ac:dyDescent="0.3">
      <c r="A1402" t="s">
        <v>46</v>
      </c>
      <c r="B1402" t="s">
        <v>78</v>
      </c>
      <c r="C1402">
        <v>2022</v>
      </c>
      <c r="D1402" t="s">
        <v>56</v>
      </c>
      <c r="E1402" s="3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48</v>
      </c>
      <c r="N1402">
        <v>5</v>
      </c>
      <c r="O1402" t="s">
        <v>40</v>
      </c>
      <c r="P1402">
        <v>63.8</v>
      </c>
      <c r="Q1402">
        <v>1526</v>
      </c>
      <c r="R1402">
        <v>3</v>
      </c>
      <c r="S1402">
        <v>2</v>
      </c>
      <c r="T1402" t="s">
        <v>41</v>
      </c>
      <c r="U1402" t="s">
        <v>37</v>
      </c>
      <c r="V1402" s="3">
        <v>148395</v>
      </c>
      <c r="W1402">
        <v>3.64</v>
      </c>
      <c r="X1402">
        <v>6</v>
      </c>
      <c r="Y1402" s="1">
        <f>EV_Data4[[#This Row],[range_miles]]/EV_Data4[[#This Row],[battery_capacity_kwh]]</f>
        <v>3.4609494640122511</v>
      </c>
      <c r="Z1402" s="4">
        <f>EV_Data4[[#This Row],[price_usd]]/EV_Data4[[#This Row],[range_miles]]</f>
        <v>191.71743362831859</v>
      </c>
      <c r="AA1402" s="2">
        <f>(EV_Data4[[#This Row],[customer_rating]]*EV_Data4[[#This Row],[safety_rating]]*1000)/EV_Data4[[#This Row],[price_usd]]</f>
        <v>0.25203020485070443</v>
      </c>
      <c r="AB1402">
        <f>EV_Data4[[#This Row],[horsepower]]+EV_Data4[[#This Row],[torque_nm]]/EV_Data4[[#This Row],[acceleration_0_60_mph]]</f>
        <v>338.0739299610895</v>
      </c>
      <c r="AC1402" t="str">
        <f>IF(EV_Data4[[#This Row],[price_usd]]&gt;=80000,"Luxury",IF(EV_Data4[[#This Row],[price_usd]]&gt;=40000,"Mid-Range","Budget"))</f>
        <v>Mid-Range</v>
      </c>
      <c r="AD1402" t="str">
        <f>IF(EV_Data4[[#This Row],[range_miles]]&gt;=350,"Long-Range",IF(EV_Data4[[#This Row],[range_miles]]&gt;=250,"Medium-Range","Short-Range"))</f>
        <v>Short-Range</v>
      </c>
      <c r="AE1402" t="str">
        <f>IF(EV_Data4[[#This Row],[charging_speed_kw]]&gt;=250,"Ultra-Fast",IF(EV_Data4[[#This Row],[charging_speed_kw]]&gt;=150,"Fast-Charging","Standard-Charging"))</f>
        <v>Fast-Charging</v>
      </c>
      <c r="AF1402" t="str">
        <f>IF(EV_Data4[[#This Row],[acceleration_0_60_mph]]&lt;=3,"SportsPerformance",IF(EV_Data4[[#This Row],[acceleration_0_60_mph]]&lt;=5,"HighPerformance","Standard"))</f>
        <v>Standard</v>
      </c>
      <c r="AG1402" t="str">
        <f>IF(EV_Data4[[#This Row],[customer_rating]]&gt;=4.5,"Excellent",IF(EV_Data4[[#This Row],[customer_rating]]&gt;=3.5,"Good","Average"))</f>
        <v>Good</v>
      </c>
      <c r="AH140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03" spans="1:34" x14ac:dyDescent="0.3">
      <c r="A1403" t="s">
        <v>46</v>
      </c>
      <c r="B1403" t="s">
        <v>78</v>
      </c>
      <c r="C1403">
        <v>2025</v>
      </c>
      <c r="D1403" t="s">
        <v>44</v>
      </c>
      <c r="E1403" s="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48</v>
      </c>
      <c r="N1403">
        <v>7</v>
      </c>
      <c r="O1403" t="s">
        <v>50</v>
      </c>
      <c r="P1403">
        <v>36.6</v>
      </c>
      <c r="Q1403">
        <v>1849</v>
      </c>
      <c r="R1403">
        <v>4</v>
      </c>
      <c r="S1403">
        <v>3</v>
      </c>
      <c r="T1403" t="s">
        <v>41</v>
      </c>
      <c r="U1403" t="s">
        <v>30</v>
      </c>
      <c r="V1403" s="3">
        <v>197625</v>
      </c>
      <c r="W1403">
        <v>3.78</v>
      </c>
      <c r="X1403">
        <v>5</v>
      </c>
      <c r="Y1403" s="1">
        <f>EV_Data4[[#This Row],[range_miles]]/EV_Data4[[#This Row],[battery_capacity_kwh]]</f>
        <v>3.535242290748899</v>
      </c>
      <c r="Z1403" s="4">
        <f>EV_Data4[[#This Row],[price_usd]]/EV_Data4[[#This Row],[range_miles]]</f>
        <v>312.14816199376946</v>
      </c>
      <c r="AA1403" s="2">
        <f>(EV_Data4[[#This Row],[customer_rating]]*EV_Data4[[#This Row],[safety_rating]]*1000)/EV_Data4[[#This Row],[price_usd]]</f>
        <v>0.15089886622256626</v>
      </c>
      <c r="AB1403">
        <f>EV_Data4[[#This Row],[horsepower]]+EV_Data4[[#This Row],[torque_nm]]/EV_Data4[[#This Row],[acceleration_0_60_mph]]</f>
        <v>785.42066420664207</v>
      </c>
      <c r="AC1403" t="str">
        <f>IF(EV_Data4[[#This Row],[price_usd]]&gt;=80000,"Luxury",IF(EV_Data4[[#This Row],[price_usd]]&gt;=40000,"Mid-Range","Budget"))</f>
        <v>Luxury</v>
      </c>
      <c r="AD1403" t="str">
        <f>IF(EV_Data4[[#This Row],[range_miles]]&gt;=350,"Long-Range",IF(EV_Data4[[#This Row],[range_miles]]&gt;=250,"Medium-Range","Short-Range"))</f>
        <v>Medium-Range</v>
      </c>
      <c r="AE1403" t="str">
        <f>IF(EV_Data4[[#This Row],[charging_speed_kw]]&gt;=250,"Ultra-Fast",IF(EV_Data4[[#This Row],[charging_speed_kw]]&gt;=150,"Fast-Charging","Standard-Charging"))</f>
        <v>Ultra-Fast</v>
      </c>
      <c r="AF1403" t="str">
        <f>IF(EV_Data4[[#This Row],[acceleration_0_60_mph]]&lt;=3,"SportsPerformance",IF(EV_Data4[[#This Row],[acceleration_0_60_mph]]&lt;=5,"HighPerformance","Standard"))</f>
        <v>Standard</v>
      </c>
      <c r="AG1403" t="str">
        <f>IF(EV_Data4[[#This Row],[customer_rating]]&gt;=4.5,"Excellent",IF(EV_Data4[[#This Row],[customer_rating]]&gt;=3.5,"Good","Average"))</f>
        <v>Good</v>
      </c>
      <c r="AH1403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404" spans="1:34" x14ac:dyDescent="0.3">
      <c r="A1404" t="s">
        <v>46</v>
      </c>
      <c r="B1404" t="s">
        <v>49</v>
      </c>
      <c r="C1404">
        <v>2025</v>
      </c>
      <c r="D1404" t="s">
        <v>26</v>
      </c>
      <c r="E1404" s="3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27</v>
      </c>
      <c r="N1404">
        <v>7</v>
      </c>
      <c r="O1404" t="s">
        <v>58</v>
      </c>
      <c r="P1404">
        <v>19.2</v>
      </c>
      <c r="Q1404">
        <v>1500</v>
      </c>
      <c r="R1404">
        <v>5</v>
      </c>
      <c r="S1404">
        <v>3</v>
      </c>
      <c r="T1404" t="s">
        <v>41</v>
      </c>
      <c r="U1404" t="s">
        <v>30</v>
      </c>
      <c r="V1404" s="3">
        <v>419874</v>
      </c>
      <c r="W1404">
        <v>4.32</v>
      </c>
      <c r="X1404">
        <v>6</v>
      </c>
      <c r="Y1404" s="1">
        <f>EV_Data4[[#This Row],[range_miles]]/EV_Data4[[#This Row],[battery_capacity_kwh]]</f>
        <v>3.3762886597938144</v>
      </c>
      <c r="Z1404" s="4">
        <f>EV_Data4[[#This Row],[price_usd]]/EV_Data4[[#This Row],[range_miles]]</f>
        <v>343.68536895674299</v>
      </c>
      <c r="AA1404" s="2">
        <f>(EV_Data4[[#This Row],[customer_rating]]*EV_Data4[[#This Row],[safety_rating]]*1000)/EV_Data4[[#This Row],[price_usd]]</f>
        <v>0.15991903358558832</v>
      </c>
      <c r="AB1404">
        <f>EV_Data4[[#This Row],[horsepower]]+EV_Data4[[#This Row],[torque_nm]]/EV_Data4[[#This Row],[acceleration_0_60_mph]]</f>
        <v>1247.159090909091</v>
      </c>
      <c r="AC1404" t="str">
        <f>IF(EV_Data4[[#This Row],[price_usd]]&gt;=80000,"Luxury",IF(EV_Data4[[#This Row],[price_usd]]&gt;=40000,"Mid-Range","Budget"))</f>
        <v>Luxury</v>
      </c>
      <c r="AD1404" t="str">
        <f>IF(EV_Data4[[#This Row],[range_miles]]&gt;=350,"Long-Range",IF(EV_Data4[[#This Row],[range_miles]]&gt;=250,"Medium-Range","Short-Range"))</f>
        <v>Long-Range</v>
      </c>
      <c r="AE1404" t="str">
        <f>IF(EV_Data4[[#This Row],[charging_speed_kw]]&gt;=250,"Ultra-Fast",IF(EV_Data4[[#This Row],[charging_speed_kw]]&gt;=150,"Fast-Charging","Standard-Charging"))</f>
        <v>Ultra-Fast</v>
      </c>
      <c r="AF1404" t="str">
        <f>IF(EV_Data4[[#This Row],[acceleration_0_60_mph]]&lt;=3,"SportsPerformance",IF(EV_Data4[[#This Row],[acceleration_0_60_mph]]&lt;=5,"HighPerformance","Standard"))</f>
        <v>HighPerformance</v>
      </c>
      <c r="AG1404" t="str">
        <f>IF(EV_Data4[[#This Row],[customer_rating]]&gt;=4.5,"Excellent",IF(EV_Data4[[#This Row],[customer_rating]]&gt;=3.5,"Good","Average"))</f>
        <v>Good</v>
      </c>
      <c r="AH140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405" spans="1:34" x14ac:dyDescent="0.3">
      <c r="A1405" t="s">
        <v>38</v>
      </c>
      <c r="B1405" t="s">
        <v>118</v>
      </c>
      <c r="C1405">
        <v>2026</v>
      </c>
      <c r="D1405" t="s">
        <v>61</v>
      </c>
      <c r="E1405" s="3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48</v>
      </c>
      <c r="N1405">
        <v>7</v>
      </c>
      <c r="O1405" t="s">
        <v>40</v>
      </c>
      <c r="P1405">
        <v>66.599999999999994</v>
      </c>
      <c r="Q1405">
        <v>1781</v>
      </c>
      <c r="R1405">
        <v>4</v>
      </c>
      <c r="S1405">
        <v>2</v>
      </c>
      <c r="T1405" t="s">
        <v>41</v>
      </c>
      <c r="U1405" t="s">
        <v>37</v>
      </c>
      <c r="V1405" s="3">
        <v>16372</v>
      </c>
      <c r="W1405">
        <v>3.34</v>
      </c>
      <c r="X1405">
        <v>5</v>
      </c>
      <c r="Y1405" s="1">
        <f>EV_Data4[[#This Row],[range_miles]]/EV_Data4[[#This Row],[battery_capacity_kwh]]</f>
        <v>3.4736842105263159</v>
      </c>
      <c r="Z1405" s="4">
        <f>EV_Data4[[#This Row],[price_usd]]/EV_Data4[[#This Row],[range_miles]]</f>
        <v>245.66102272727272</v>
      </c>
      <c r="AA1405" s="2">
        <f>(EV_Data4[[#This Row],[customer_rating]]*EV_Data4[[#This Row],[safety_rating]]*1000)/EV_Data4[[#This Row],[price_usd]]</f>
        <v>0.2059995519201363</v>
      </c>
      <c r="AB1405">
        <f>EV_Data4[[#This Row],[horsepower]]+EV_Data4[[#This Row],[torque_nm]]/EV_Data4[[#This Row],[acceleration_0_60_mph]]</f>
        <v>996.03886925795052</v>
      </c>
      <c r="AC1405" t="str">
        <f>IF(EV_Data4[[#This Row],[price_usd]]&gt;=80000,"Luxury",IF(EV_Data4[[#This Row],[price_usd]]&gt;=40000,"Mid-Range","Budget"))</f>
        <v>Mid-Range</v>
      </c>
      <c r="AD1405" t="str">
        <f>IF(EV_Data4[[#This Row],[range_miles]]&gt;=350,"Long-Range",IF(EV_Data4[[#This Row],[range_miles]]&gt;=250,"Medium-Range","Short-Range"))</f>
        <v>Medium-Range</v>
      </c>
      <c r="AE1405" t="str">
        <f>IF(EV_Data4[[#This Row],[charging_speed_kw]]&gt;=250,"Ultra-Fast",IF(EV_Data4[[#This Row],[charging_speed_kw]]&gt;=150,"Fast-Charging","Standard-Charging"))</f>
        <v>Standard-Charging</v>
      </c>
      <c r="AF1405" t="str">
        <f>IF(EV_Data4[[#This Row],[acceleration_0_60_mph]]&lt;=3,"SportsPerformance",IF(EV_Data4[[#This Row],[acceleration_0_60_mph]]&lt;=5,"HighPerformance","Standard"))</f>
        <v>Standard</v>
      </c>
      <c r="AG1405" t="str">
        <f>IF(EV_Data4[[#This Row],[customer_rating]]&gt;=4.5,"Excellent",IF(EV_Data4[[#This Row],[customer_rating]]&gt;=3.5,"Good","Average"))</f>
        <v>Average</v>
      </c>
      <c r="AH140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06" spans="1:34" x14ac:dyDescent="0.3">
      <c r="A1406" t="s">
        <v>83</v>
      </c>
      <c r="B1406" t="s">
        <v>116</v>
      </c>
      <c r="C1406">
        <v>2022</v>
      </c>
      <c r="D1406" t="s">
        <v>26</v>
      </c>
      <c r="E1406" s="3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27</v>
      </c>
      <c r="N1406">
        <v>7</v>
      </c>
      <c r="O1406" t="s">
        <v>50</v>
      </c>
      <c r="P1406">
        <v>31.3</v>
      </c>
      <c r="Q1406">
        <v>1526</v>
      </c>
      <c r="R1406">
        <v>5</v>
      </c>
      <c r="S1406">
        <v>1</v>
      </c>
      <c r="T1406" t="s">
        <v>29</v>
      </c>
      <c r="U1406" t="s">
        <v>30</v>
      </c>
      <c r="V1406" s="3">
        <v>57345</v>
      </c>
      <c r="W1406">
        <v>3.89</v>
      </c>
      <c r="X1406">
        <v>5</v>
      </c>
      <c r="Y1406" s="1">
        <f>EV_Data4[[#This Row],[range_miles]]/EV_Data4[[#This Row],[battery_capacity_kwh]]</f>
        <v>3.427230046948357</v>
      </c>
      <c r="Z1406" s="4">
        <f>EV_Data4[[#This Row],[price_usd]]/EV_Data4[[#This Row],[range_miles]]</f>
        <v>280.37002739726029</v>
      </c>
      <c r="AA1406" s="2">
        <f>(EV_Data4[[#This Row],[customer_rating]]*EV_Data4[[#This Row],[safety_rating]]*1000)/EV_Data4[[#This Row],[price_usd]]</f>
        <v>0.19006193967150653</v>
      </c>
      <c r="AB1406">
        <f>EV_Data4[[#This Row],[horsepower]]+EV_Data4[[#This Row],[torque_nm]]/EV_Data4[[#This Row],[acceleration_0_60_mph]]</f>
        <v>1172.2673992673992</v>
      </c>
      <c r="AC1406" t="str">
        <f>IF(EV_Data4[[#This Row],[price_usd]]&gt;=80000,"Luxury",IF(EV_Data4[[#This Row],[price_usd]]&gt;=40000,"Mid-Range","Budget"))</f>
        <v>Luxury</v>
      </c>
      <c r="AD1406" t="str">
        <f>IF(EV_Data4[[#This Row],[range_miles]]&gt;=350,"Long-Range",IF(EV_Data4[[#This Row],[range_miles]]&gt;=250,"Medium-Range","Short-Range"))</f>
        <v>Long-Range</v>
      </c>
      <c r="AE1406" t="str">
        <f>IF(EV_Data4[[#This Row],[charging_speed_kw]]&gt;=250,"Ultra-Fast",IF(EV_Data4[[#This Row],[charging_speed_kw]]&gt;=150,"Fast-Charging","Standard-Charging"))</f>
        <v>Fast-Charging</v>
      </c>
      <c r="AF1406" t="str">
        <f>IF(EV_Data4[[#This Row],[acceleration_0_60_mph]]&lt;=3,"SportsPerformance",IF(EV_Data4[[#This Row],[acceleration_0_60_mph]]&lt;=5,"HighPerformance","Standard"))</f>
        <v>SportsPerformance</v>
      </c>
      <c r="AG1406" t="str">
        <f>IF(EV_Data4[[#This Row],[customer_rating]]&gt;=4.5,"Excellent",IF(EV_Data4[[#This Row],[customer_rating]]&gt;=3.5,"Good","Average"))</f>
        <v>Good</v>
      </c>
      <c r="AH140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07" spans="1:34" x14ac:dyDescent="0.3">
      <c r="A1407" t="s">
        <v>68</v>
      </c>
      <c r="B1407" t="s">
        <v>69</v>
      </c>
      <c r="C1407">
        <v>2026</v>
      </c>
      <c r="D1407" t="s">
        <v>33</v>
      </c>
      <c r="E1407" s="3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27</v>
      </c>
      <c r="N1407">
        <v>7</v>
      </c>
      <c r="O1407" t="s">
        <v>28</v>
      </c>
      <c r="P1407">
        <v>78.400000000000006</v>
      </c>
      <c r="Q1407">
        <v>2368</v>
      </c>
      <c r="R1407">
        <v>4</v>
      </c>
      <c r="S1407">
        <v>2</v>
      </c>
      <c r="T1407" t="s">
        <v>45</v>
      </c>
      <c r="U1407" t="s">
        <v>33</v>
      </c>
      <c r="V1407" s="3">
        <v>79142</v>
      </c>
      <c r="W1407">
        <v>3.33</v>
      </c>
      <c r="X1407">
        <v>3</v>
      </c>
      <c r="Y1407" s="1">
        <f>EV_Data4[[#This Row],[range_miles]]/EV_Data4[[#This Row],[battery_capacity_kwh]]</f>
        <v>3.6992840095465396</v>
      </c>
      <c r="Z1407" s="4">
        <f>EV_Data4[[#This Row],[price_usd]]/EV_Data4[[#This Row],[range_miles]]</f>
        <v>254.21954838709678</v>
      </c>
      <c r="AA1407" s="2">
        <f>(EV_Data4[[#This Row],[customer_rating]]*EV_Data4[[#This Row],[safety_rating]]*1000)/EV_Data4[[#This Row],[price_usd]]</f>
        <v>0.16901824508812932</v>
      </c>
      <c r="AB1407">
        <f>EV_Data4[[#This Row],[horsepower]]+EV_Data4[[#This Row],[torque_nm]]/EV_Data4[[#This Row],[acceleration_0_60_mph]]</f>
        <v>1141.0140105078808</v>
      </c>
      <c r="AC1407" t="str">
        <f>IF(EV_Data4[[#This Row],[price_usd]]&gt;=80000,"Luxury",IF(EV_Data4[[#This Row],[price_usd]]&gt;=40000,"Mid-Range","Budget"))</f>
        <v>Mid-Range</v>
      </c>
      <c r="AD1407" t="str">
        <f>IF(EV_Data4[[#This Row],[range_miles]]&gt;=350,"Long-Range",IF(EV_Data4[[#This Row],[range_miles]]&gt;=250,"Medium-Range","Short-Range"))</f>
        <v>Medium-Range</v>
      </c>
      <c r="AE1407" t="str">
        <f>IF(EV_Data4[[#This Row],[charging_speed_kw]]&gt;=250,"Ultra-Fast",IF(EV_Data4[[#This Row],[charging_speed_kw]]&gt;=150,"Fast-Charging","Standard-Charging"))</f>
        <v>Standard-Charging</v>
      </c>
      <c r="AF1407" t="str">
        <f>IF(EV_Data4[[#This Row],[acceleration_0_60_mph]]&lt;=3,"SportsPerformance",IF(EV_Data4[[#This Row],[acceleration_0_60_mph]]&lt;=5,"HighPerformance","Standard"))</f>
        <v>Standard</v>
      </c>
      <c r="AG1407" t="str">
        <f>IF(EV_Data4[[#This Row],[customer_rating]]&gt;=4.5,"Excellent",IF(EV_Data4[[#This Row],[customer_rating]]&gt;=3.5,"Good","Average"))</f>
        <v>Average</v>
      </c>
      <c r="AH140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08" spans="1:34" x14ac:dyDescent="0.3">
      <c r="A1408" t="s">
        <v>52</v>
      </c>
      <c r="B1408" t="s">
        <v>97</v>
      </c>
      <c r="C1408">
        <v>2026</v>
      </c>
      <c r="D1408" t="s">
        <v>33</v>
      </c>
      <c r="E1408" s="3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27</v>
      </c>
      <c r="N1408">
        <v>5</v>
      </c>
      <c r="O1408" t="s">
        <v>58</v>
      </c>
      <c r="P1408">
        <v>33.200000000000003</v>
      </c>
      <c r="Q1408">
        <v>1697</v>
      </c>
      <c r="R1408">
        <v>4</v>
      </c>
      <c r="S1408">
        <v>1</v>
      </c>
      <c r="T1408" t="s">
        <v>29</v>
      </c>
      <c r="U1408" t="s">
        <v>33</v>
      </c>
      <c r="V1408" s="3">
        <v>44745</v>
      </c>
      <c r="W1408">
        <v>3.43</v>
      </c>
      <c r="X1408">
        <v>7</v>
      </c>
      <c r="Y1408" s="1">
        <f>EV_Data4[[#This Row],[range_miles]]/EV_Data4[[#This Row],[battery_capacity_kwh]]</f>
        <v>3.348214285714286</v>
      </c>
      <c r="Z1408" s="4">
        <f>EV_Data4[[#This Row],[price_usd]]/EV_Data4[[#This Row],[range_miles]]</f>
        <v>598.44466666666665</v>
      </c>
      <c r="AA1408" s="2">
        <f>(EV_Data4[[#This Row],[customer_rating]]*EV_Data4[[#This Row],[safety_rating]]*1000)/EV_Data4[[#This Row],[price_usd]]</f>
        <v>0.15284064135141429</v>
      </c>
      <c r="AB1408">
        <f>EV_Data4[[#This Row],[horsepower]]+EV_Data4[[#This Row],[torque_nm]]/EV_Data4[[#This Row],[acceleration_0_60_mph]]</f>
        <v>451.00568181818181</v>
      </c>
      <c r="AC1408" t="str">
        <f>IF(EV_Data4[[#This Row],[price_usd]]&gt;=80000,"Luxury",IF(EV_Data4[[#This Row],[price_usd]]&gt;=40000,"Mid-Range","Budget"))</f>
        <v>Luxury</v>
      </c>
      <c r="AD1408" t="str">
        <f>IF(EV_Data4[[#This Row],[range_miles]]&gt;=350,"Long-Range",IF(EV_Data4[[#This Row],[range_miles]]&gt;=250,"Medium-Range","Short-Range"))</f>
        <v>Short-Range</v>
      </c>
      <c r="AE1408" t="str">
        <f>IF(EV_Data4[[#This Row],[charging_speed_kw]]&gt;=250,"Ultra-Fast",IF(EV_Data4[[#This Row],[charging_speed_kw]]&gt;=150,"Fast-Charging","Standard-Charging"))</f>
        <v>Standard-Charging</v>
      </c>
      <c r="AF1408" t="str">
        <f>IF(EV_Data4[[#This Row],[acceleration_0_60_mph]]&lt;=3,"SportsPerformance",IF(EV_Data4[[#This Row],[acceleration_0_60_mph]]&lt;=5,"HighPerformance","Standard"))</f>
        <v>Standard</v>
      </c>
      <c r="AG1408" t="str">
        <f>IF(EV_Data4[[#This Row],[customer_rating]]&gt;=4.5,"Excellent",IF(EV_Data4[[#This Row],[customer_rating]]&gt;=3.5,"Good","Average"))</f>
        <v>Average</v>
      </c>
      <c r="AH140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09" spans="1:34" x14ac:dyDescent="0.3">
      <c r="A1409" t="s">
        <v>76</v>
      </c>
      <c r="B1409" t="s">
        <v>98</v>
      </c>
      <c r="C1409">
        <v>2024</v>
      </c>
      <c r="D1409" t="s">
        <v>56</v>
      </c>
      <c r="E1409" s="3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27</v>
      </c>
      <c r="N1409">
        <v>7</v>
      </c>
      <c r="O1409" t="s">
        <v>50</v>
      </c>
      <c r="P1409">
        <v>22</v>
      </c>
      <c r="Q1409">
        <v>1624</v>
      </c>
      <c r="R1409">
        <v>4</v>
      </c>
      <c r="S1409">
        <v>0</v>
      </c>
      <c r="T1409" t="s">
        <v>41</v>
      </c>
      <c r="U1409" t="s">
        <v>37</v>
      </c>
      <c r="V1409" s="3">
        <v>26655</v>
      </c>
      <c r="W1409">
        <v>3.51</v>
      </c>
      <c r="X1409">
        <v>4</v>
      </c>
      <c r="Y1409" s="1">
        <f>EV_Data4[[#This Row],[range_miles]]/EV_Data4[[#This Row],[battery_capacity_kwh]]</f>
        <v>3.6079900124843949</v>
      </c>
      <c r="Z1409" s="4">
        <f>EV_Data4[[#This Row],[price_usd]]/EV_Data4[[#This Row],[range_miles]]</f>
        <v>187.4101384083045</v>
      </c>
      <c r="AA1409" s="2">
        <f>(EV_Data4[[#This Row],[customer_rating]]*EV_Data4[[#This Row],[safety_rating]]*1000)/EV_Data4[[#This Row],[price_usd]]</f>
        <v>0.25922458246655883</v>
      </c>
      <c r="AB1409">
        <f>EV_Data4[[#This Row],[horsepower]]+EV_Data4[[#This Row],[torque_nm]]/EV_Data4[[#This Row],[acceleration_0_60_mph]]</f>
        <v>571.35356200527701</v>
      </c>
      <c r="AC1409" t="str">
        <f>IF(EV_Data4[[#This Row],[price_usd]]&gt;=80000,"Luxury",IF(EV_Data4[[#This Row],[price_usd]]&gt;=40000,"Mid-Range","Budget"))</f>
        <v>Mid-Range</v>
      </c>
      <c r="AD1409" t="str">
        <f>IF(EV_Data4[[#This Row],[range_miles]]&gt;=350,"Long-Range",IF(EV_Data4[[#This Row],[range_miles]]&gt;=250,"Medium-Range","Short-Range"))</f>
        <v>Medium-Range</v>
      </c>
      <c r="AE1409" t="str">
        <f>IF(EV_Data4[[#This Row],[charging_speed_kw]]&gt;=250,"Ultra-Fast",IF(EV_Data4[[#This Row],[charging_speed_kw]]&gt;=150,"Fast-Charging","Standard-Charging"))</f>
        <v>Standard-Charging</v>
      </c>
      <c r="AF1409" t="str">
        <f>IF(EV_Data4[[#This Row],[acceleration_0_60_mph]]&lt;=3,"SportsPerformance",IF(EV_Data4[[#This Row],[acceleration_0_60_mph]]&lt;=5,"HighPerformance","Standard"))</f>
        <v>Standard</v>
      </c>
      <c r="AG1409" t="str">
        <f>IF(EV_Data4[[#This Row],[customer_rating]]&gt;=4.5,"Excellent",IF(EV_Data4[[#This Row],[customer_rating]]&gt;=3.5,"Good","Average"))</f>
        <v>Good</v>
      </c>
      <c r="AH140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10" spans="1:34" x14ac:dyDescent="0.3">
      <c r="A1410" t="s">
        <v>42</v>
      </c>
      <c r="B1410" t="s">
        <v>43</v>
      </c>
      <c r="C1410">
        <v>2022</v>
      </c>
      <c r="D1410" t="s">
        <v>61</v>
      </c>
      <c r="E1410" s="3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34</v>
      </c>
      <c r="N1410">
        <v>5</v>
      </c>
      <c r="O1410" t="s">
        <v>35</v>
      </c>
      <c r="P1410">
        <v>41.4</v>
      </c>
      <c r="Q1410">
        <v>1872</v>
      </c>
      <c r="R1410">
        <v>5</v>
      </c>
      <c r="S1410">
        <v>0</v>
      </c>
      <c r="T1410" t="s">
        <v>45</v>
      </c>
      <c r="U1410" t="s">
        <v>37</v>
      </c>
      <c r="V1410" s="3">
        <v>117943</v>
      </c>
      <c r="W1410">
        <v>3.08</v>
      </c>
      <c r="X1410">
        <v>3</v>
      </c>
      <c r="Y1410" s="1">
        <f>EV_Data4[[#This Row],[range_miles]]/EV_Data4[[#This Row],[battery_capacity_kwh]]</f>
        <v>3.4716157205240177</v>
      </c>
      <c r="Z1410" s="4">
        <f>EV_Data4[[#This Row],[price_usd]]/EV_Data4[[#This Row],[range_miles]]</f>
        <v>242.40993710691825</v>
      </c>
      <c r="AA1410" s="2">
        <f>(EV_Data4[[#This Row],[customer_rating]]*EV_Data4[[#This Row],[safety_rating]]*1000)/EV_Data4[[#This Row],[price_usd]]</f>
        <v>0.39955187921702362</v>
      </c>
      <c r="AB1410">
        <f>EV_Data4[[#This Row],[horsepower]]+EV_Data4[[#This Row],[torque_nm]]/EV_Data4[[#This Row],[acceleration_0_60_mph]]</f>
        <v>361.33586337760914</v>
      </c>
      <c r="AC1410" t="str">
        <f>IF(EV_Data4[[#This Row],[price_usd]]&gt;=80000,"Luxury",IF(EV_Data4[[#This Row],[price_usd]]&gt;=40000,"Mid-Range","Budget"))</f>
        <v>Budget</v>
      </c>
      <c r="AD1410" t="str">
        <f>IF(EV_Data4[[#This Row],[range_miles]]&gt;=350,"Long-Range",IF(EV_Data4[[#This Row],[range_miles]]&gt;=250,"Medium-Range","Short-Range"))</f>
        <v>Short-Range</v>
      </c>
      <c r="AE1410" t="str">
        <f>IF(EV_Data4[[#This Row],[charging_speed_kw]]&gt;=250,"Ultra-Fast",IF(EV_Data4[[#This Row],[charging_speed_kw]]&gt;=150,"Fast-Charging","Standard-Charging"))</f>
        <v>Standard-Charging</v>
      </c>
      <c r="AF1410" t="str">
        <f>IF(EV_Data4[[#This Row],[acceleration_0_60_mph]]&lt;=3,"SportsPerformance",IF(EV_Data4[[#This Row],[acceleration_0_60_mph]]&lt;=5,"HighPerformance","Standard"))</f>
        <v>Standard</v>
      </c>
      <c r="AG1410" t="str">
        <f>IF(EV_Data4[[#This Row],[customer_rating]]&gt;=4.5,"Excellent",IF(EV_Data4[[#This Row],[customer_rating]]&gt;=3.5,"Good","Average"))</f>
        <v>Average</v>
      </c>
      <c r="AH141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11" spans="1:34" x14ac:dyDescent="0.3">
      <c r="A1411" t="s">
        <v>52</v>
      </c>
      <c r="B1411" t="s">
        <v>126</v>
      </c>
      <c r="C1411">
        <v>2023</v>
      </c>
      <c r="D1411" t="s">
        <v>26</v>
      </c>
      <c r="E1411" s="3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48</v>
      </c>
      <c r="N1411">
        <v>5</v>
      </c>
      <c r="O1411" t="s">
        <v>40</v>
      </c>
      <c r="P1411">
        <v>78.099999999999994</v>
      </c>
      <c r="Q1411">
        <v>1713</v>
      </c>
      <c r="R1411">
        <v>5</v>
      </c>
      <c r="S1411">
        <v>2</v>
      </c>
      <c r="T1411" t="s">
        <v>29</v>
      </c>
      <c r="U1411" t="s">
        <v>33</v>
      </c>
      <c r="V1411" s="3">
        <v>45385</v>
      </c>
      <c r="W1411">
        <v>4.0599999999999996</v>
      </c>
      <c r="X1411">
        <v>5</v>
      </c>
      <c r="Y1411" s="1">
        <f>EV_Data4[[#This Row],[range_miles]]/EV_Data4[[#This Row],[battery_capacity_kwh]]</f>
        <v>3.4364640883977899</v>
      </c>
      <c r="Z1411" s="4">
        <f>EV_Data4[[#This Row],[price_usd]]/EV_Data4[[#This Row],[range_miles]]</f>
        <v>294.81858520900323</v>
      </c>
      <c r="AA1411" s="2">
        <f>(EV_Data4[[#This Row],[customer_rating]]*EV_Data4[[#This Row],[safety_rating]]*1000)/EV_Data4[[#This Row],[price_usd]]</f>
        <v>0.22140161839129799</v>
      </c>
      <c r="AB1411">
        <f>EV_Data4[[#This Row],[horsepower]]+EV_Data4[[#This Row],[torque_nm]]/EV_Data4[[#This Row],[acceleration_0_60_mph]]</f>
        <v>515.17966903073284</v>
      </c>
      <c r="AC1411" t="str">
        <f>IF(EV_Data4[[#This Row],[price_usd]]&gt;=80000,"Luxury",IF(EV_Data4[[#This Row],[price_usd]]&gt;=40000,"Mid-Range","Budget"))</f>
        <v>Luxury</v>
      </c>
      <c r="AD1411" t="str">
        <f>IF(EV_Data4[[#This Row],[range_miles]]&gt;=350,"Long-Range",IF(EV_Data4[[#This Row],[range_miles]]&gt;=250,"Medium-Range","Short-Range"))</f>
        <v>Medium-Range</v>
      </c>
      <c r="AE1411" t="str">
        <f>IF(EV_Data4[[#This Row],[charging_speed_kw]]&gt;=250,"Ultra-Fast",IF(EV_Data4[[#This Row],[charging_speed_kw]]&gt;=150,"Fast-Charging","Standard-Charging"))</f>
        <v>Fast-Charging</v>
      </c>
      <c r="AF1411" t="str">
        <f>IF(EV_Data4[[#This Row],[acceleration_0_60_mph]]&lt;=3,"SportsPerformance",IF(EV_Data4[[#This Row],[acceleration_0_60_mph]]&lt;=5,"HighPerformance","Standard"))</f>
        <v>HighPerformance</v>
      </c>
      <c r="AG1411" t="str">
        <f>IF(EV_Data4[[#This Row],[customer_rating]]&gt;=4.5,"Excellent",IF(EV_Data4[[#This Row],[customer_rating]]&gt;=3.5,"Good","Average"))</f>
        <v>Good</v>
      </c>
      <c r="AH141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12" spans="1:34" x14ac:dyDescent="0.3">
      <c r="A1412" t="s">
        <v>63</v>
      </c>
      <c r="B1412" t="s">
        <v>67</v>
      </c>
      <c r="C1412">
        <v>2023</v>
      </c>
      <c r="D1412" t="s">
        <v>33</v>
      </c>
      <c r="E1412" s="3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48</v>
      </c>
      <c r="N1412">
        <v>5</v>
      </c>
      <c r="O1412" t="s">
        <v>50</v>
      </c>
      <c r="P1412">
        <v>38.799999999999997</v>
      </c>
      <c r="Q1412">
        <v>1553</v>
      </c>
      <c r="R1412">
        <v>4</v>
      </c>
      <c r="S1412">
        <v>0</v>
      </c>
      <c r="T1412" t="s">
        <v>65</v>
      </c>
      <c r="U1412" t="s">
        <v>33</v>
      </c>
      <c r="V1412" s="3">
        <v>245833</v>
      </c>
      <c r="W1412">
        <v>3.12</v>
      </c>
      <c r="X1412">
        <v>3</v>
      </c>
      <c r="Y1412" s="1">
        <f>EV_Data4[[#This Row],[range_miles]]/EV_Data4[[#This Row],[battery_capacity_kwh]]</f>
        <v>3.6764705882352944</v>
      </c>
      <c r="Z1412" s="4">
        <f>EV_Data4[[#This Row],[price_usd]]/EV_Data4[[#This Row],[range_miles]]</f>
        <v>481.68520000000001</v>
      </c>
      <c r="AA1412" s="2">
        <f>(EV_Data4[[#This Row],[customer_rating]]*EV_Data4[[#This Row],[safety_rating]]*1000)/EV_Data4[[#This Row],[price_usd]]</f>
        <v>0.17272691791236269</v>
      </c>
      <c r="AB1412">
        <f>EV_Data4[[#This Row],[horsepower]]+EV_Data4[[#This Row],[torque_nm]]/EV_Data4[[#This Row],[acceleration_0_60_mph]]</f>
        <v>885.50906095551898</v>
      </c>
      <c r="AC1412" t="str">
        <f>IF(EV_Data4[[#This Row],[price_usd]]&gt;=80000,"Luxury",IF(EV_Data4[[#This Row],[price_usd]]&gt;=40000,"Mid-Range","Budget"))</f>
        <v>Mid-Range</v>
      </c>
      <c r="AD1412" t="str">
        <f>IF(EV_Data4[[#This Row],[range_miles]]&gt;=350,"Long-Range",IF(EV_Data4[[#This Row],[range_miles]]&gt;=250,"Medium-Range","Short-Range"))</f>
        <v>Short-Range</v>
      </c>
      <c r="AE1412" t="str">
        <f>IF(EV_Data4[[#This Row],[charging_speed_kw]]&gt;=250,"Ultra-Fast",IF(EV_Data4[[#This Row],[charging_speed_kw]]&gt;=150,"Fast-Charging","Standard-Charging"))</f>
        <v>Standard-Charging</v>
      </c>
      <c r="AF1412" t="str">
        <f>IF(EV_Data4[[#This Row],[acceleration_0_60_mph]]&lt;=3,"SportsPerformance",IF(EV_Data4[[#This Row],[acceleration_0_60_mph]]&lt;=5,"HighPerformance","Standard"))</f>
        <v>Standard</v>
      </c>
      <c r="AG1412" t="str">
        <f>IF(EV_Data4[[#This Row],[customer_rating]]&gt;=4.5,"Excellent",IF(EV_Data4[[#This Row],[customer_rating]]&gt;=3.5,"Good","Average"))</f>
        <v>Average</v>
      </c>
      <c r="AH141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13" spans="1:34" x14ac:dyDescent="0.3">
      <c r="A1413" t="s">
        <v>46</v>
      </c>
      <c r="B1413" t="s">
        <v>49</v>
      </c>
      <c r="C1413">
        <v>2025</v>
      </c>
      <c r="D1413" t="s">
        <v>61</v>
      </c>
      <c r="E1413" s="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27</v>
      </c>
      <c r="N1413">
        <v>7</v>
      </c>
      <c r="O1413" t="s">
        <v>35</v>
      </c>
      <c r="P1413">
        <v>48.1</v>
      </c>
      <c r="Q1413">
        <v>1677</v>
      </c>
      <c r="R1413">
        <v>3</v>
      </c>
      <c r="S1413">
        <v>2</v>
      </c>
      <c r="T1413" t="s">
        <v>41</v>
      </c>
      <c r="U1413" t="s">
        <v>66</v>
      </c>
      <c r="V1413" s="3">
        <v>412935</v>
      </c>
      <c r="W1413">
        <v>3.53</v>
      </c>
      <c r="X1413">
        <v>4</v>
      </c>
      <c r="Y1413" s="1">
        <f>EV_Data4[[#This Row],[range_miles]]/EV_Data4[[#This Row],[battery_capacity_kwh]]</f>
        <v>3.7220843672456576</v>
      </c>
      <c r="Z1413" s="4">
        <f>EV_Data4[[#This Row],[price_usd]]/EV_Data4[[#This Row],[range_miles]]</f>
        <v>187.92426666666665</v>
      </c>
      <c r="AA1413" s="2">
        <f>(EV_Data4[[#This Row],[customer_rating]]*EV_Data4[[#This Row],[safety_rating]]*1000)/EV_Data4[[#This Row],[price_usd]]</f>
        <v>0.37568325396329871</v>
      </c>
      <c r="AB1413">
        <f>EV_Data4[[#This Row],[horsepower]]+EV_Data4[[#This Row],[torque_nm]]/EV_Data4[[#This Row],[acceleration_0_60_mph]]</f>
        <v>186.58579881656806</v>
      </c>
      <c r="AC1413" t="str">
        <f>IF(EV_Data4[[#This Row],[price_usd]]&gt;=80000,"Luxury",IF(EV_Data4[[#This Row],[price_usd]]&gt;=40000,"Mid-Range","Budget"))</f>
        <v>Budget</v>
      </c>
      <c r="AD1413" t="str">
        <f>IF(EV_Data4[[#This Row],[range_miles]]&gt;=350,"Long-Range",IF(EV_Data4[[#This Row],[range_miles]]&gt;=250,"Medium-Range","Short-Range"))</f>
        <v>Short-Range</v>
      </c>
      <c r="AE1413" t="str">
        <f>IF(EV_Data4[[#This Row],[charging_speed_kw]]&gt;=250,"Ultra-Fast",IF(EV_Data4[[#This Row],[charging_speed_kw]]&gt;=150,"Fast-Charging","Standard-Charging"))</f>
        <v>Ultra-Fast</v>
      </c>
      <c r="AF1413" t="str">
        <f>IF(EV_Data4[[#This Row],[acceleration_0_60_mph]]&lt;=3,"SportsPerformance",IF(EV_Data4[[#This Row],[acceleration_0_60_mph]]&lt;=5,"HighPerformance","Standard"))</f>
        <v>Standard</v>
      </c>
      <c r="AG1413" t="str">
        <f>IF(EV_Data4[[#This Row],[customer_rating]]&gt;=4.5,"Excellent",IF(EV_Data4[[#This Row],[customer_rating]]&gt;=3.5,"Good","Average"))</f>
        <v>Good</v>
      </c>
      <c r="AH141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14" spans="1:34" x14ac:dyDescent="0.3">
      <c r="A1414" t="s">
        <v>63</v>
      </c>
      <c r="B1414" t="s">
        <v>73</v>
      </c>
      <c r="C1414">
        <v>2025</v>
      </c>
      <c r="D1414" t="s">
        <v>61</v>
      </c>
      <c r="E1414" s="3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48</v>
      </c>
      <c r="N1414">
        <v>5</v>
      </c>
      <c r="O1414" t="s">
        <v>28</v>
      </c>
      <c r="P1414">
        <v>53.4</v>
      </c>
      <c r="Q1414">
        <v>2335</v>
      </c>
      <c r="R1414">
        <v>5</v>
      </c>
      <c r="S1414">
        <v>1</v>
      </c>
      <c r="T1414" t="s">
        <v>65</v>
      </c>
      <c r="U1414" t="s">
        <v>66</v>
      </c>
      <c r="V1414" s="3">
        <v>106393</v>
      </c>
      <c r="W1414">
        <v>3.6</v>
      </c>
      <c r="X1414">
        <v>5</v>
      </c>
      <c r="Y1414" s="1">
        <f>EV_Data4[[#This Row],[range_miles]]/EV_Data4[[#This Row],[battery_capacity_kwh]]</f>
        <v>3.4874999999999998</v>
      </c>
      <c r="Z1414" s="4">
        <f>EV_Data4[[#This Row],[price_usd]]/EV_Data4[[#This Row],[range_miles]]</f>
        <v>116.96426523297491</v>
      </c>
      <c r="AA1414" s="2">
        <f>(EV_Data4[[#This Row],[customer_rating]]*EV_Data4[[#This Row],[safety_rating]]*1000)/EV_Data4[[#This Row],[price_usd]]</f>
        <v>0.55158837533627736</v>
      </c>
      <c r="AB1414">
        <f>EV_Data4[[#This Row],[horsepower]]+EV_Data4[[#This Row],[torque_nm]]/EV_Data4[[#This Row],[acceleration_0_60_mph]]</f>
        <v>361.96428571428572</v>
      </c>
      <c r="AC1414" t="str">
        <f>IF(EV_Data4[[#This Row],[price_usd]]&gt;=80000,"Luxury",IF(EV_Data4[[#This Row],[price_usd]]&gt;=40000,"Mid-Range","Budget"))</f>
        <v>Budget</v>
      </c>
      <c r="AD1414" t="str">
        <f>IF(EV_Data4[[#This Row],[range_miles]]&gt;=350,"Long-Range",IF(EV_Data4[[#This Row],[range_miles]]&gt;=250,"Medium-Range","Short-Range"))</f>
        <v>Medium-Range</v>
      </c>
      <c r="AE1414" t="str">
        <f>IF(EV_Data4[[#This Row],[charging_speed_kw]]&gt;=250,"Ultra-Fast",IF(EV_Data4[[#This Row],[charging_speed_kw]]&gt;=150,"Fast-Charging","Standard-Charging"))</f>
        <v>Standard-Charging</v>
      </c>
      <c r="AF1414" t="str">
        <f>IF(EV_Data4[[#This Row],[acceleration_0_60_mph]]&lt;=3,"SportsPerformance",IF(EV_Data4[[#This Row],[acceleration_0_60_mph]]&lt;=5,"HighPerformance","Standard"))</f>
        <v>Standard</v>
      </c>
      <c r="AG1414" t="str">
        <f>IF(EV_Data4[[#This Row],[customer_rating]]&gt;=4.5,"Excellent",IF(EV_Data4[[#This Row],[customer_rating]]&gt;=3.5,"Good","Average"))</f>
        <v>Good</v>
      </c>
      <c r="AH141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15" spans="1:34" x14ac:dyDescent="0.3">
      <c r="A1415" t="s">
        <v>46</v>
      </c>
      <c r="B1415" t="s">
        <v>57</v>
      </c>
      <c r="C1415">
        <v>2025</v>
      </c>
      <c r="D1415" t="s">
        <v>26</v>
      </c>
      <c r="E1415" s="3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27</v>
      </c>
      <c r="N1415">
        <v>5</v>
      </c>
      <c r="O1415" t="s">
        <v>58</v>
      </c>
      <c r="P1415">
        <v>16.600000000000001</v>
      </c>
      <c r="Q1415">
        <v>1663</v>
      </c>
      <c r="R1415">
        <v>5</v>
      </c>
      <c r="S1415">
        <v>2</v>
      </c>
      <c r="T1415" t="s">
        <v>41</v>
      </c>
      <c r="U1415" t="s">
        <v>37</v>
      </c>
      <c r="V1415" s="3">
        <v>214239</v>
      </c>
      <c r="W1415">
        <v>3.64</v>
      </c>
      <c r="X1415">
        <v>6</v>
      </c>
      <c r="Y1415" s="1">
        <f>EV_Data4[[#This Row],[range_miles]]/EV_Data4[[#This Row],[battery_capacity_kwh]]</f>
        <v>3.4512195121951219</v>
      </c>
      <c r="Z1415" s="4">
        <f>EV_Data4[[#This Row],[price_usd]]/EV_Data4[[#This Row],[range_miles]]</f>
        <v>218.34519434628976</v>
      </c>
      <c r="AA1415" s="2">
        <f>(EV_Data4[[#This Row],[customer_rating]]*EV_Data4[[#This Row],[safety_rating]]*1000)/EV_Data4[[#This Row],[price_usd]]</f>
        <v>0.29453798722773239</v>
      </c>
      <c r="AB1415">
        <f>EV_Data4[[#This Row],[horsepower]]+EV_Data4[[#This Row],[torque_nm]]/EV_Data4[[#This Row],[acceleration_0_60_mph]]</f>
        <v>532.28664495114003</v>
      </c>
      <c r="AC1415" t="str">
        <f>IF(EV_Data4[[#This Row],[price_usd]]&gt;=80000,"Luxury",IF(EV_Data4[[#This Row],[price_usd]]&gt;=40000,"Mid-Range","Budget"))</f>
        <v>Mid-Range</v>
      </c>
      <c r="AD1415" t="str">
        <f>IF(EV_Data4[[#This Row],[range_miles]]&gt;=350,"Long-Range",IF(EV_Data4[[#This Row],[range_miles]]&gt;=250,"Medium-Range","Short-Range"))</f>
        <v>Medium-Range</v>
      </c>
      <c r="AE1415" t="str">
        <f>IF(EV_Data4[[#This Row],[charging_speed_kw]]&gt;=250,"Ultra-Fast",IF(EV_Data4[[#This Row],[charging_speed_kw]]&gt;=150,"Fast-Charging","Standard-Charging"))</f>
        <v>Ultra-Fast</v>
      </c>
      <c r="AF1415" t="str">
        <f>IF(EV_Data4[[#This Row],[acceleration_0_60_mph]]&lt;=3,"SportsPerformance",IF(EV_Data4[[#This Row],[acceleration_0_60_mph]]&lt;=5,"HighPerformance","Standard"))</f>
        <v>HighPerformance</v>
      </c>
      <c r="AG1415" t="str">
        <f>IF(EV_Data4[[#This Row],[customer_rating]]&gt;=4.5,"Excellent",IF(EV_Data4[[#This Row],[customer_rating]]&gt;=3.5,"Good","Average"))</f>
        <v>Good</v>
      </c>
      <c r="AH141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16" spans="1:34" x14ac:dyDescent="0.3">
      <c r="A1416" t="s">
        <v>68</v>
      </c>
      <c r="B1416" t="s">
        <v>106</v>
      </c>
      <c r="C1416">
        <v>2025</v>
      </c>
      <c r="D1416" t="s">
        <v>26</v>
      </c>
      <c r="E1416" s="3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48</v>
      </c>
      <c r="N1416">
        <v>5</v>
      </c>
      <c r="O1416" t="s">
        <v>51</v>
      </c>
      <c r="P1416">
        <v>15.7</v>
      </c>
      <c r="Q1416">
        <v>1500</v>
      </c>
      <c r="R1416">
        <v>3</v>
      </c>
      <c r="S1416">
        <v>1</v>
      </c>
      <c r="T1416" t="s">
        <v>45</v>
      </c>
      <c r="U1416" t="s">
        <v>33</v>
      </c>
      <c r="V1416" s="3">
        <v>81695</v>
      </c>
      <c r="W1416">
        <v>3.65</v>
      </c>
      <c r="X1416">
        <v>3</v>
      </c>
      <c r="Y1416" s="1">
        <f>EV_Data4[[#This Row],[range_miles]]/EV_Data4[[#This Row],[battery_capacity_kwh]]</f>
        <v>3.284313725490196</v>
      </c>
      <c r="Z1416" s="4">
        <f>EV_Data4[[#This Row],[price_usd]]/EV_Data4[[#This Row],[range_miles]]</f>
        <v>290.89068656716421</v>
      </c>
      <c r="AA1416" s="2">
        <f>(EV_Data4[[#This Row],[customer_rating]]*EV_Data4[[#This Row],[safety_rating]]*1000)/EV_Data4[[#This Row],[price_usd]]</f>
        <v>0.11236718352834597</v>
      </c>
      <c r="AB1416">
        <f>EV_Data4[[#This Row],[horsepower]]+EV_Data4[[#This Row],[torque_nm]]/EV_Data4[[#This Row],[acceleration_0_60_mph]]</f>
        <v>1202.3148148148148</v>
      </c>
      <c r="AC1416" t="str">
        <f>IF(EV_Data4[[#This Row],[price_usd]]&gt;=80000,"Luxury",IF(EV_Data4[[#This Row],[price_usd]]&gt;=40000,"Mid-Range","Budget"))</f>
        <v>Luxury</v>
      </c>
      <c r="AD1416" t="str">
        <f>IF(EV_Data4[[#This Row],[range_miles]]&gt;=350,"Long-Range",IF(EV_Data4[[#This Row],[range_miles]]&gt;=250,"Medium-Range","Short-Range"))</f>
        <v>Medium-Range</v>
      </c>
      <c r="AE1416" t="str">
        <f>IF(EV_Data4[[#This Row],[charging_speed_kw]]&gt;=250,"Ultra-Fast",IF(EV_Data4[[#This Row],[charging_speed_kw]]&gt;=150,"Fast-Charging","Standard-Charging"))</f>
        <v>Fast-Charging</v>
      </c>
      <c r="AF1416" t="str">
        <f>IF(EV_Data4[[#This Row],[acceleration_0_60_mph]]&lt;=3,"SportsPerformance",IF(EV_Data4[[#This Row],[acceleration_0_60_mph]]&lt;=5,"HighPerformance","Standard"))</f>
        <v>HighPerformance</v>
      </c>
      <c r="AG1416" t="str">
        <f>IF(EV_Data4[[#This Row],[customer_rating]]&gt;=4.5,"Excellent",IF(EV_Data4[[#This Row],[customer_rating]]&gt;=3.5,"Good","Average"))</f>
        <v>Good</v>
      </c>
      <c r="AH141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17" spans="1:34" x14ac:dyDescent="0.3">
      <c r="A1417" t="s">
        <v>92</v>
      </c>
      <c r="B1417" t="s">
        <v>93</v>
      </c>
      <c r="C1417">
        <v>2025</v>
      </c>
      <c r="D1417" t="s">
        <v>56</v>
      </c>
      <c r="E1417" s="3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27</v>
      </c>
      <c r="N1417">
        <v>5</v>
      </c>
      <c r="O1417" t="s">
        <v>58</v>
      </c>
      <c r="P1417">
        <v>15.2</v>
      </c>
      <c r="Q1417">
        <v>1800</v>
      </c>
      <c r="R1417">
        <v>5</v>
      </c>
      <c r="S1417">
        <v>0</v>
      </c>
      <c r="T1417" t="s">
        <v>65</v>
      </c>
      <c r="U1417" t="s">
        <v>33</v>
      </c>
      <c r="V1417" s="3">
        <v>6090</v>
      </c>
      <c r="W1417">
        <v>3.63</v>
      </c>
      <c r="X1417">
        <v>4</v>
      </c>
      <c r="Y1417" s="1">
        <f>EV_Data4[[#This Row],[range_miles]]/EV_Data4[[#This Row],[battery_capacity_kwh]]</f>
        <v>3.4202898550724639</v>
      </c>
      <c r="Z1417" s="4">
        <f>EV_Data4[[#This Row],[price_usd]]/EV_Data4[[#This Row],[range_miles]]</f>
        <v>318.14686440677968</v>
      </c>
      <c r="AA1417" s="2">
        <f>(EV_Data4[[#This Row],[customer_rating]]*EV_Data4[[#This Row],[safety_rating]]*1000)/EV_Data4[[#This Row],[price_usd]]</f>
        <v>0.24173357736659834</v>
      </c>
      <c r="AB1417">
        <f>EV_Data4[[#This Row],[horsepower]]+EV_Data4[[#This Row],[torque_nm]]/EV_Data4[[#This Row],[acceleration_0_60_mph]]</f>
        <v>808.39622641509436</v>
      </c>
      <c r="AC1417" t="str">
        <f>IF(EV_Data4[[#This Row],[price_usd]]&gt;=80000,"Luxury",IF(EV_Data4[[#This Row],[price_usd]]&gt;=40000,"Mid-Range","Budget"))</f>
        <v>Mid-Range</v>
      </c>
      <c r="AD1417" t="str">
        <f>IF(EV_Data4[[#This Row],[range_miles]]&gt;=350,"Long-Range",IF(EV_Data4[[#This Row],[range_miles]]&gt;=250,"Medium-Range","Short-Range"))</f>
        <v>Short-Range</v>
      </c>
      <c r="AE1417" t="str">
        <f>IF(EV_Data4[[#This Row],[charging_speed_kw]]&gt;=250,"Ultra-Fast",IF(EV_Data4[[#This Row],[charging_speed_kw]]&gt;=150,"Fast-Charging","Standard-Charging"))</f>
        <v>Standard-Charging</v>
      </c>
      <c r="AF1417" t="str">
        <f>IF(EV_Data4[[#This Row],[acceleration_0_60_mph]]&lt;=3,"SportsPerformance",IF(EV_Data4[[#This Row],[acceleration_0_60_mph]]&lt;=5,"HighPerformance","Standard"))</f>
        <v>Standard</v>
      </c>
      <c r="AG1417" t="str">
        <f>IF(EV_Data4[[#This Row],[customer_rating]]&gt;=4.5,"Excellent",IF(EV_Data4[[#This Row],[customer_rating]]&gt;=3.5,"Good","Average"))</f>
        <v>Good</v>
      </c>
      <c r="AH141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18" spans="1:34" x14ac:dyDescent="0.3">
      <c r="A1418" t="s">
        <v>46</v>
      </c>
      <c r="B1418" t="s">
        <v>49</v>
      </c>
      <c r="C1418">
        <v>2025</v>
      </c>
      <c r="D1418" t="s">
        <v>33</v>
      </c>
      <c r="E1418" s="3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27</v>
      </c>
      <c r="N1418">
        <v>5</v>
      </c>
      <c r="O1418" t="s">
        <v>51</v>
      </c>
      <c r="P1418">
        <v>24</v>
      </c>
      <c r="Q1418">
        <v>1801</v>
      </c>
      <c r="R1418">
        <v>4</v>
      </c>
      <c r="S1418">
        <v>3</v>
      </c>
      <c r="T1418" t="s">
        <v>41</v>
      </c>
      <c r="U1418" t="s">
        <v>37</v>
      </c>
      <c r="V1418" s="3">
        <v>439817</v>
      </c>
      <c r="W1418">
        <v>3.53</v>
      </c>
      <c r="X1418">
        <v>4</v>
      </c>
      <c r="Y1418" s="1">
        <f>EV_Data4[[#This Row],[range_miles]]/EV_Data4[[#This Row],[battery_capacity_kwh]]</f>
        <v>3.3183856502242151</v>
      </c>
      <c r="Z1418" s="4">
        <f>EV_Data4[[#This Row],[price_usd]]/EV_Data4[[#This Row],[range_miles]]</f>
        <v>252.441981981982</v>
      </c>
      <c r="AA1418" s="2">
        <f>(EV_Data4[[#This Row],[customer_rating]]*EV_Data4[[#This Row],[safety_rating]]*1000)/EV_Data4[[#This Row],[price_usd]]</f>
        <v>0.25195335222864518</v>
      </c>
      <c r="AB1418">
        <f>EV_Data4[[#This Row],[horsepower]]+EV_Data4[[#This Row],[torque_nm]]/EV_Data4[[#This Row],[acceleration_0_60_mph]]</f>
        <v>427.24624624624624</v>
      </c>
      <c r="AC1418" t="str">
        <f>IF(EV_Data4[[#This Row],[price_usd]]&gt;=80000,"Luxury",IF(EV_Data4[[#This Row],[price_usd]]&gt;=40000,"Mid-Range","Budget"))</f>
        <v>Mid-Range</v>
      </c>
      <c r="AD1418" t="str">
        <f>IF(EV_Data4[[#This Row],[range_miles]]&gt;=350,"Long-Range",IF(EV_Data4[[#This Row],[range_miles]]&gt;=250,"Medium-Range","Short-Range"))</f>
        <v>Short-Range</v>
      </c>
      <c r="AE1418" t="str">
        <f>IF(EV_Data4[[#This Row],[charging_speed_kw]]&gt;=250,"Ultra-Fast",IF(EV_Data4[[#This Row],[charging_speed_kw]]&gt;=150,"Fast-Charging","Standard-Charging"))</f>
        <v>Ultra-Fast</v>
      </c>
      <c r="AF1418" t="str">
        <f>IF(EV_Data4[[#This Row],[acceleration_0_60_mph]]&lt;=3,"SportsPerformance",IF(EV_Data4[[#This Row],[acceleration_0_60_mph]]&lt;=5,"HighPerformance","Standard"))</f>
        <v>Standard</v>
      </c>
      <c r="AG1418" t="str">
        <f>IF(EV_Data4[[#This Row],[customer_rating]]&gt;=4.5,"Excellent",IF(EV_Data4[[#This Row],[customer_rating]]&gt;=3.5,"Good","Average"))</f>
        <v>Good</v>
      </c>
      <c r="AH141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419" spans="1:34" x14ac:dyDescent="0.3">
      <c r="A1419" t="s">
        <v>46</v>
      </c>
      <c r="B1419" t="s">
        <v>49</v>
      </c>
      <c r="C1419">
        <v>2025</v>
      </c>
      <c r="D1419" t="s">
        <v>56</v>
      </c>
      <c r="E1419" s="3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34</v>
      </c>
      <c r="N1419">
        <v>5</v>
      </c>
      <c r="O1419" t="s">
        <v>35</v>
      </c>
      <c r="P1419">
        <v>46.7</v>
      </c>
      <c r="Q1419">
        <v>1950</v>
      </c>
      <c r="R1419">
        <v>5</v>
      </c>
      <c r="S1419">
        <v>2</v>
      </c>
      <c r="T1419" t="s">
        <v>41</v>
      </c>
      <c r="U1419" t="s">
        <v>30</v>
      </c>
      <c r="V1419" s="3">
        <v>469259</v>
      </c>
      <c r="W1419">
        <v>3.73</v>
      </c>
      <c r="X1419">
        <v>4</v>
      </c>
      <c r="Y1419" s="1">
        <f>EV_Data4[[#This Row],[range_miles]]/EV_Data4[[#This Row],[battery_capacity_kwh]]</f>
        <v>3.7119675456389456</v>
      </c>
      <c r="Z1419" s="4">
        <f>EV_Data4[[#This Row],[price_usd]]/EV_Data4[[#This Row],[range_miles]]</f>
        <v>557.7304918032786</v>
      </c>
      <c r="AA1419" s="2">
        <f>(EV_Data4[[#This Row],[customer_rating]]*EV_Data4[[#This Row],[safety_rating]]*1000)/EV_Data4[[#This Row],[price_usd]]</f>
        <v>0.18272726667050737</v>
      </c>
      <c r="AB1419">
        <f>EV_Data4[[#This Row],[horsepower]]+EV_Data4[[#This Row],[torque_nm]]/EV_Data4[[#This Row],[acceleration_0_60_mph]]</f>
        <v>861.02777777777783</v>
      </c>
      <c r="AC1419" t="str">
        <f>IF(EV_Data4[[#This Row],[price_usd]]&gt;=80000,"Luxury",IF(EV_Data4[[#This Row],[price_usd]]&gt;=40000,"Mid-Range","Budget"))</f>
        <v>Luxury</v>
      </c>
      <c r="AD1419" t="str">
        <f>IF(EV_Data4[[#This Row],[range_miles]]&gt;=350,"Long-Range",IF(EV_Data4[[#This Row],[range_miles]]&gt;=250,"Medium-Range","Short-Range"))</f>
        <v>Short-Range</v>
      </c>
      <c r="AE1419" t="str">
        <f>IF(EV_Data4[[#This Row],[charging_speed_kw]]&gt;=250,"Ultra-Fast",IF(EV_Data4[[#This Row],[charging_speed_kw]]&gt;=150,"Fast-Charging","Standard-Charging"))</f>
        <v>Fast-Charging</v>
      </c>
      <c r="AF1419" t="str">
        <f>IF(EV_Data4[[#This Row],[acceleration_0_60_mph]]&lt;=3,"SportsPerformance",IF(EV_Data4[[#This Row],[acceleration_0_60_mph]]&lt;=5,"HighPerformance","Standard"))</f>
        <v>Standard</v>
      </c>
      <c r="AG1419" t="str">
        <f>IF(EV_Data4[[#This Row],[customer_rating]]&gt;=4.5,"Excellent",IF(EV_Data4[[#This Row],[customer_rating]]&gt;=3.5,"Good","Average"))</f>
        <v>Good</v>
      </c>
      <c r="AH141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20" spans="1:34" x14ac:dyDescent="0.3">
      <c r="A1420" t="s">
        <v>24</v>
      </c>
      <c r="B1420" t="s">
        <v>75</v>
      </c>
      <c r="C1420">
        <v>2024</v>
      </c>
      <c r="D1420" t="s">
        <v>26</v>
      </c>
      <c r="E1420" s="3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48</v>
      </c>
      <c r="N1420">
        <v>5</v>
      </c>
      <c r="O1420" t="s">
        <v>28</v>
      </c>
      <c r="P1420">
        <v>54</v>
      </c>
      <c r="Q1420">
        <v>2436</v>
      </c>
      <c r="R1420">
        <v>4</v>
      </c>
      <c r="S1420">
        <v>1</v>
      </c>
      <c r="T1420" t="s">
        <v>29</v>
      </c>
      <c r="U1420" t="s">
        <v>33</v>
      </c>
      <c r="V1420" s="3">
        <v>216375</v>
      </c>
      <c r="W1420">
        <v>3.43</v>
      </c>
      <c r="X1420">
        <v>5</v>
      </c>
      <c r="Y1420" s="1">
        <f>EV_Data4[[#This Row],[range_miles]]/EV_Data4[[#This Row],[battery_capacity_kwh]]</f>
        <v>3.4322033898305087</v>
      </c>
      <c r="Z1420" s="4">
        <f>EV_Data4[[#This Row],[price_usd]]/EV_Data4[[#This Row],[range_miles]]</f>
        <v>380.06185185185183</v>
      </c>
      <c r="AA1420" s="2">
        <f>(EV_Data4[[#This Row],[customer_rating]]*EV_Data4[[#This Row],[safety_rating]]*1000)/EV_Data4[[#This Row],[price_usd]]</f>
        <v>0.14855714951313426</v>
      </c>
      <c r="AB1420">
        <f>EV_Data4[[#This Row],[horsepower]]+EV_Data4[[#This Row],[torque_nm]]/EV_Data4[[#This Row],[acceleration_0_60_mph]]</f>
        <v>1253.6986301369864</v>
      </c>
      <c r="AC1420" t="str">
        <f>IF(EV_Data4[[#This Row],[price_usd]]&gt;=80000,"Luxury",IF(EV_Data4[[#This Row],[price_usd]]&gt;=40000,"Mid-Range","Budget"))</f>
        <v>Luxury</v>
      </c>
      <c r="AD1420" t="str">
        <f>IF(EV_Data4[[#This Row],[range_miles]]&gt;=350,"Long-Range",IF(EV_Data4[[#This Row],[range_miles]]&gt;=250,"Medium-Range","Short-Range"))</f>
        <v>Short-Range</v>
      </c>
      <c r="AE1420" t="str">
        <f>IF(EV_Data4[[#This Row],[charging_speed_kw]]&gt;=250,"Ultra-Fast",IF(EV_Data4[[#This Row],[charging_speed_kw]]&gt;=150,"Fast-Charging","Standard-Charging"))</f>
        <v>Fast-Charging</v>
      </c>
      <c r="AF1420" t="str">
        <f>IF(EV_Data4[[#This Row],[acceleration_0_60_mph]]&lt;=3,"SportsPerformance",IF(EV_Data4[[#This Row],[acceleration_0_60_mph]]&lt;=5,"HighPerformance","Standard"))</f>
        <v>HighPerformance</v>
      </c>
      <c r="AG1420" t="str">
        <f>IF(EV_Data4[[#This Row],[customer_rating]]&gt;=4.5,"Excellent",IF(EV_Data4[[#This Row],[customer_rating]]&gt;=3.5,"Good","Average"))</f>
        <v>Average</v>
      </c>
      <c r="AH142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21" spans="1:34" x14ac:dyDescent="0.3">
      <c r="A1421" t="s">
        <v>94</v>
      </c>
      <c r="B1421" t="s">
        <v>95</v>
      </c>
      <c r="C1421">
        <v>2025</v>
      </c>
      <c r="D1421" t="s">
        <v>44</v>
      </c>
      <c r="E1421" s="3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34</v>
      </c>
      <c r="N1421">
        <v>5</v>
      </c>
      <c r="O1421" t="s">
        <v>50</v>
      </c>
      <c r="P1421">
        <v>25.5</v>
      </c>
      <c r="Q1421">
        <v>1527</v>
      </c>
      <c r="R1421">
        <v>4</v>
      </c>
      <c r="S1421">
        <v>1</v>
      </c>
      <c r="T1421" t="s">
        <v>41</v>
      </c>
      <c r="U1421" t="s">
        <v>30</v>
      </c>
      <c r="V1421" s="3">
        <v>20140</v>
      </c>
      <c r="W1421">
        <v>3.46</v>
      </c>
      <c r="X1421">
        <v>5</v>
      </c>
      <c r="Y1421" s="1">
        <f>EV_Data4[[#This Row],[range_miles]]/EV_Data4[[#This Row],[battery_capacity_kwh]]</f>
        <v>3.2234432234432235</v>
      </c>
      <c r="Z1421" s="4">
        <f>EV_Data4[[#This Row],[price_usd]]/EV_Data4[[#This Row],[range_miles]]</f>
        <v>298.82218749999998</v>
      </c>
      <c r="AA1421" s="2">
        <f>(EV_Data4[[#This Row],[customer_rating]]*EV_Data4[[#This Row],[safety_rating]]*1000)/EV_Data4[[#This Row],[price_usd]]</f>
        <v>0.13157718356566753</v>
      </c>
      <c r="AB1421">
        <f>EV_Data4[[#This Row],[horsepower]]+EV_Data4[[#This Row],[torque_nm]]/EV_Data4[[#This Row],[acceleration_0_60_mph]]</f>
        <v>1215.8273381294964</v>
      </c>
      <c r="AC1421" t="str">
        <f>IF(EV_Data4[[#This Row],[price_usd]]&gt;=80000,"Luxury",IF(EV_Data4[[#This Row],[price_usd]]&gt;=40000,"Mid-Range","Budget"))</f>
        <v>Luxury</v>
      </c>
      <c r="AD1421" t="str">
        <f>IF(EV_Data4[[#This Row],[range_miles]]&gt;=350,"Long-Range",IF(EV_Data4[[#This Row],[range_miles]]&gt;=250,"Medium-Range","Short-Range"))</f>
        <v>Long-Range</v>
      </c>
      <c r="AE1421" t="str">
        <f>IF(EV_Data4[[#This Row],[charging_speed_kw]]&gt;=250,"Ultra-Fast",IF(EV_Data4[[#This Row],[charging_speed_kw]]&gt;=150,"Fast-Charging","Standard-Charging"))</f>
        <v>Standard-Charging</v>
      </c>
      <c r="AF1421" t="str">
        <f>IF(EV_Data4[[#This Row],[acceleration_0_60_mph]]&lt;=3,"SportsPerformance",IF(EV_Data4[[#This Row],[acceleration_0_60_mph]]&lt;=5,"HighPerformance","Standard"))</f>
        <v>HighPerformance</v>
      </c>
      <c r="AG1421" t="str">
        <f>IF(EV_Data4[[#This Row],[customer_rating]]&gt;=4.5,"Excellent",IF(EV_Data4[[#This Row],[customer_rating]]&gt;=3.5,"Good","Average"))</f>
        <v>Average</v>
      </c>
      <c r="AH142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22" spans="1:34" x14ac:dyDescent="0.3">
      <c r="A1422" t="s">
        <v>63</v>
      </c>
      <c r="B1422" t="s">
        <v>88</v>
      </c>
      <c r="C1422">
        <v>2023</v>
      </c>
      <c r="D1422" t="s">
        <v>56</v>
      </c>
      <c r="E1422" s="3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48</v>
      </c>
      <c r="N1422">
        <v>5</v>
      </c>
      <c r="O1422" t="s">
        <v>40</v>
      </c>
      <c r="P1422">
        <v>79.400000000000006</v>
      </c>
      <c r="Q1422">
        <v>1923</v>
      </c>
      <c r="R1422">
        <v>4</v>
      </c>
      <c r="S1422">
        <v>1</v>
      </c>
      <c r="T1422" t="s">
        <v>65</v>
      </c>
      <c r="U1422" t="s">
        <v>66</v>
      </c>
      <c r="V1422" s="3">
        <v>208014</v>
      </c>
      <c r="W1422">
        <v>3.15</v>
      </c>
      <c r="X1422">
        <v>4</v>
      </c>
      <c r="Y1422" s="1">
        <f>EV_Data4[[#This Row],[range_miles]]/EV_Data4[[#This Row],[battery_capacity_kwh]]</f>
        <v>3.4328358208955225</v>
      </c>
      <c r="Z1422" s="4">
        <f>EV_Data4[[#This Row],[price_usd]]/EV_Data4[[#This Row],[range_miles]]</f>
        <v>129.12298136645961</v>
      </c>
      <c r="AA1422" s="2">
        <f>(EV_Data4[[#This Row],[customer_rating]]*EV_Data4[[#This Row],[safety_rating]]*1000)/EV_Data4[[#This Row],[price_usd]]</f>
        <v>0.60609558993304091</v>
      </c>
      <c r="AB1422">
        <f>EV_Data4[[#This Row],[horsepower]]+EV_Data4[[#This Row],[torque_nm]]/EV_Data4[[#This Row],[acceleration_0_60_mph]]</f>
        <v>180.72196620583716</v>
      </c>
      <c r="AC1422" t="str">
        <f>IF(EV_Data4[[#This Row],[price_usd]]&gt;=80000,"Luxury",IF(EV_Data4[[#This Row],[price_usd]]&gt;=40000,"Mid-Range","Budget"))</f>
        <v>Budget</v>
      </c>
      <c r="AD1422" t="str">
        <f>IF(EV_Data4[[#This Row],[range_miles]]&gt;=350,"Long-Range",IF(EV_Data4[[#This Row],[range_miles]]&gt;=250,"Medium-Range","Short-Range"))</f>
        <v>Short-Range</v>
      </c>
      <c r="AE1422" t="str">
        <f>IF(EV_Data4[[#This Row],[charging_speed_kw]]&gt;=250,"Ultra-Fast",IF(EV_Data4[[#This Row],[charging_speed_kw]]&gt;=150,"Fast-Charging","Standard-Charging"))</f>
        <v>Standard-Charging</v>
      </c>
      <c r="AF1422" t="str">
        <f>IF(EV_Data4[[#This Row],[acceleration_0_60_mph]]&lt;=3,"SportsPerformance",IF(EV_Data4[[#This Row],[acceleration_0_60_mph]]&lt;=5,"HighPerformance","Standard"))</f>
        <v>Standard</v>
      </c>
      <c r="AG1422" t="str">
        <f>IF(EV_Data4[[#This Row],[customer_rating]]&gt;=4.5,"Excellent",IF(EV_Data4[[#This Row],[customer_rating]]&gt;=3.5,"Good","Average"))</f>
        <v>Average</v>
      </c>
      <c r="AH142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23" spans="1:34" x14ac:dyDescent="0.3">
      <c r="A1423" t="s">
        <v>68</v>
      </c>
      <c r="B1423" t="s">
        <v>79</v>
      </c>
      <c r="C1423">
        <v>2024</v>
      </c>
      <c r="D1423" t="s">
        <v>26</v>
      </c>
      <c r="E1423" s="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27</v>
      </c>
      <c r="N1423">
        <v>5</v>
      </c>
      <c r="O1423" t="s">
        <v>50</v>
      </c>
      <c r="P1423">
        <v>19.7</v>
      </c>
      <c r="Q1423">
        <v>1500</v>
      </c>
      <c r="R1423">
        <v>5</v>
      </c>
      <c r="S1423">
        <v>1</v>
      </c>
      <c r="T1423" t="s">
        <v>45</v>
      </c>
      <c r="U1423" t="s">
        <v>33</v>
      </c>
      <c r="V1423" s="3">
        <v>105426</v>
      </c>
      <c r="W1423">
        <v>3.83</v>
      </c>
      <c r="X1423">
        <v>4</v>
      </c>
      <c r="Y1423" s="1">
        <f>EV_Data4[[#This Row],[range_miles]]/EV_Data4[[#This Row],[battery_capacity_kwh]]</f>
        <v>3.6568848758465013</v>
      </c>
      <c r="Z1423" s="4">
        <f>EV_Data4[[#This Row],[price_usd]]/EV_Data4[[#This Row],[range_miles]]</f>
        <v>302.31225308641973</v>
      </c>
      <c r="AA1423" s="2">
        <f>(EV_Data4[[#This Row],[customer_rating]]*EV_Data4[[#This Row],[safety_rating]]*1000)/EV_Data4[[#This Row],[price_usd]]</f>
        <v>0.19550956889170168</v>
      </c>
      <c r="AB1423">
        <f>EV_Data4[[#This Row],[horsepower]]+EV_Data4[[#This Row],[torque_nm]]/EV_Data4[[#This Row],[acceleration_0_60_mph]]</f>
        <v>1287.1621621621621</v>
      </c>
      <c r="AC1423" t="str">
        <f>IF(EV_Data4[[#This Row],[price_usd]]&gt;=80000,"Luxury",IF(EV_Data4[[#This Row],[price_usd]]&gt;=40000,"Mid-Range","Budget"))</f>
        <v>Luxury</v>
      </c>
      <c r="AD1423" t="str">
        <f>IF(EV_Data4[[#This Row],[range_miles]]&gt;=350,"Long-Range",IF(EV_Data4[[#This Row],[range_miles]]&gt;=250,"Medium-Range","Short-Range"))</f>
        <v>Medium-Range</v>
      </c>
      <c r="AE1423" t="str">
        <f>IF(EV_Data4[[#This Row],[charging_speed_kw]]&gt;=250,"Ultra-Fast",IF(EV_Data4[[#This Row],[charging_speed_kw]]&gt;=150,"Fast-Charging","Standard-Charging"))</f>
        <v>Fast-Charging</v>
      </c>
      <c r="AF1423" t="str">
        <f>IF(EV_Data4[[#This Row],[acceleration_0_60_mph]]&lt;=3,"SportsPerformance",IF(EV_Data4[[#This Row],[acceleration_0_60_mph]]&lt;=5,"HighPerformance","Standard"))</f>
        <v>SportsPerformance</v>
      </c>
      <c r="AG1423" t="str">
        <f>IF(EV_Data4[[#This Row],[customer_rating]]&gt;=4.5,"Excellent",IF(EV_Data4[[#This Row],[customer_rating]]&gt;=3.5,"Good","Average"))</f>
        <v>Good</v>
      </c>
      <c r="AH142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24" spans="1:34" x14ac:dyDescent="0.3">
      <c r="A1424" t="s">
        <v>46</v>
      </c>
      <c r="B1424" t="s">
        <v>72</v>
      </c>
      <c r="C1424">
        <v>2024</v>
      </c>
      <c r="D1424" t="s">
        <v>33</v>
      </c>
      <c r="E1424" s="3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27</v>
      </c>
      <c r="N1424">
        <v>5</v>
      </c>
      <c r="O1424" t="s">
        <v>28</v>
      </c>
      <c r="P1424">
        <v>56.2</v>
      </c>
      <c r="Q1424">
        <v>2564</v>
      </c>
      <c r="R1424">
        <v>5</v>
      </c>
      <c r="S1424">
        <v>2</v>
      </c>
      <c r="T1424" t="s">
        <v>41</v>
      </c>
      <c r="U1424" t="s">
        <v>30</v>
      </c>
      <c r="V1424" s="3">
        <v>138409</v>
      </c>
      <c r="W1424">
        <v>3.94</v>
      </c>
      <c r="X1424">
        <v>5</v>
      </c>
      <c r="Y1424" s="1">
        <f>EV_Data4[[#This Row],[range_miles]]/EV_Data4[[#This Row],[battery_capacity_kwh]]</f>
        <v>3.5555555555555554</v>
      </c>
      <c r="Z1424" s="4">
        <f>EV_Data4[[#This Row],[price_usd]]/EV_Data4[[#This Row],[range_miles]]</f>
        <v>469.66474999999997</v>
      </c>
      <c r="AA1424" s="2">
        <f>(EV_Data4[[#This Row],[customer_rating]]*EV_Data4[[#This Row],[safety_rating]]*1000)/EV_Data4[[#This Row],[price_usd]]</f>
        <v>0.17477005317800268</v>
      </c>
      <c r="AB1424">
        <f>EV_Data4[[#This Row],[horsepower]]+EV_Data4[[#This Row],[torque_nm]]/EV_Data4[[#This Row],[acceleration_0_60_mph]]</f>
        <v>945.30499075785588</v>
      </c>
      <c r="AC1424" t="str">
        <f>IF(EV_Data4[[#This Row],[price_usd]]&gt;=80000,"Luxury",IF(EV_Data4[[#This Row],[price_usd]]&gt;=40000,"Mid-Range","Budget"))</f>
        <v>Luxury</v>
      </c>
      <c r="AD1424" t="str">
        <f>IF(EV_Data4[[#This Row],[range_miles]]&gt;=350,"Long-Range",IF(EV_Data4[[#This Row],[range_miles]]&gt;=250,"Medium-Range","Short-Range"))</f>
        <v>Short-Range</v>
      </c>
      <c r="AE1424" t="str">
        <f>IF(EV_Data4[[#This Row],[charging_speed_kw]]&gt;=250,"Ultra-Fast",IF(EV_Data4[[#This Row],[charging_speed_kw]]&gt;=150,"Fast-Charging","Standard-Charging"))</f>
        <v>Fast-Charging</v>
      </c>
      <c r="AF1424" t="str">
        <f>IF(EV_Data4[[#This Row],[acceleration_0_60_mph]]&lt;=3,"SportsPerformance",IF(EV_Data4[[#This Row],[acceleration_0_60_mph]]&lt;=5,"HighPerformance","Standard"))</f>
        <v>Standard</v>
      </c>
      <c r="AG1424" t="str">
        <f>IF(EV_Data4[[#This Row],[customer_rating]]&gt;=4.5,"Excellent",IF(EV_Data4[[#This Row],[customer_rating]]&gt;=3.5,"Good","Average"))</f>
        <v>Good</v>
      </c>
      <c r="AH142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25" spans="1:34" x14ac:dyDescent="0.3">
      <c r="A1425" t="s">
        <v>46</v>
      </c>
      <c r="B1425" t="s">
        <v>78</v>
      </c>
      <c r="C1425">
        <v>2025</v>
      </c>
      <c r="D1425" t="s">
        <v>33</v>
      </c>
      <c r="E1425" s="3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27</v>
      </c>
      <c r="N1425">
        <v>7</v>
      </c>
      <c r="O1425" t="s">
        <v>40</v>
      </c>
      <c r="P1425">
        <v>78.099999999999994</v>
      </c>
      <c r="Q1425">
        <v>1625</v>
      </c>
      <c r="R1425">
        <v>4</v>
      </c>
      <c r="S1425">
        <v>2</v>
      </c>
      <c r="T1425" t="s">
        <v>41</v>
      </c>
      <c r="U1425" t="s">
        <v>30</v>
      </c>
      <c r="V1425" s="3">
        <v>240825</v>
      </c>
      <c r="W1425">
        <v>3.17</v>
      </c>
      <c r="X1425">
        <v>6</v>
      </c>
      <c r="Y1425" s="1">
        <f>EV_Data4[[#This Row],[range_miles]]/EV_Data4[[#This Row],[battery_capacity_kwh]]</f>
        <v>3.2119914346895073</v>
      </c>
      <c r="Z1425" s="4">
        <f>EV_Data4[[#This Row],[price_usd]]/EV_Data4[[#This Row],[range_miles]]</f>
        <v>1037.3624666666667</v>
      </c>
      <c r="AA1425" s="2">
        <f>(EV_Data4[[#This Row],[customer_rating]]*EV_Data4[[#This Row],[safety_rating]]*1000)/EV_Data4[[#This Row],[price_usd]]</f>
        <v>8.1488713973778507E-2</v>
      </c>
      <c r="AB1425">
        <f>EV_Data4[[#This Row],[horsepower]]+EV_Data4[[#This Row],[torque_nm]]/EV_Data4[[#This Row],[acceleration_0_60_mph]]</f>
        <v>1179.6442687747035</v>
      </c>
      <c r="AC1425" t="str">
        <f>IF(EV_Data4[[#This Row],[price_usd]]&gt;=80000,"Luxury",IF(EV_Data4[[#This Row],[price_usd]]&gt;=40000,"Mid-Range","Budget"))</f>
        <v>Luxury</v>
      </c>
      <c r="AD1425" t="str">
        <f>IF(EV_Data4[[#This Row],[range_miles]]&gt;=350,"Long-Range",IF(EV_Data4[[#This Row],[range_miles]]&gt;=250,"Medium-Range","Short-Range"))</f>
        <v>Short-Range</v>
      </c>
      <c r="AE1425" t="str">
        <f>IF(EV_Data4[[#This Row],[charging_speed_kw]]&gt;=250,"Ultra-Fast",IF(EV_Data4[[#This Row],[charging_speed_kw]]&gt;=150,"Fast-Charging","Standard-Charging"))</f>
        <v>Ultra-Fast</v>
      </c>
      <c r="AF1425" t="str">
        <f>IF(EV_Data4[[#This Row],[acceleration_0_60_mph]]&lt;=3,"SportsPerformance",IF(EV_Data4[[#This Row],[acceleration_0_60_mph]]&lt;=5,"HighPerformance","Standard"))</f>
        <v>Standard</v>
      </c>
      <c r="AG1425" t="str">
        <f>IF(EV_Data4[[#This Row],[customer_rating]]&gt;=4.5,"Excellent",IF(EV_Data4[[#This Row],[customer_rating]]&gt;=3.5,"Good","Average"))</f>
        <v>Average</v>
      </c>
      <c r="AH142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26" spans="1:34" x14ac:dyDescent="0.3">
      <c r="A1426" t="s">
        <v>99</v>
      </c>
      <c r="B1426" t="s">
        <v>100</v>
      </c>
      <c r="C1426">
        <v>2023</v>
      </c>
      <c r="D1426" t="s">
        <v>61</v>
      </c>
      <c r="E1426" s="3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27</v>
      </c>
      <c r="N1426">
        <v>5</v>
      </c>
      <c r="O1426" t="s">
        <v>35</v>
      </c>
      <c r="P1426">
        <v>39.700000000000003</v>
      </c>
      <c r="Q1426">
        <v>1666</v>
      </c>
      <c r="R1426">
        <v>4</v>
      </c>
      <c r="S1426">
        <v>2</v>
      </c>
      <c r="T1426" t="s">
        <v>29</v>
      </c>
      <c r="U1426" t="s">
        <v>30</v>
      </c>
      <c r="V1426" s="3">
        <v>2249</v>
      </c>
      <c r="W1426">
        <v>3.5</v>
      </c>
      <c r="X1426">
        <v>8</v>
      </c>
      <c r="Y1426" s="1">
        <f>EV_Data4[[#This Row],[range_miles]]/EV_Data4[[#This Row],[battery_capacity_kwh]]</f>
        <v>3.6304700162074552</v>
      </c>
      <c r="Z1426" s="4">
        <f>EV_Data4[[#This Row],[price_usd]]/EV_Data4[[#This Row],[range_miles]]</f>
        <v>479.86758928571425</v>
      </c>
      <c r="AA1426" s="2">
        <f>(EV_Data4[[#This Row],[customer_rating]]*EV_Data4[[#This Row],[safety_rating]]*1000)/EV_Data4[[#This Row],[price_usd]]</f>
        <v>0.1302442619494924</v>
      </c>
      <c r="AB1426">
        <f>EV_Data4[[#This Row],[horsepower]]+EV_Data4[[#This Row],[torque_nm]]/EV_Data4[[#This Row],[acceleration_0_60_mph]]</f>
        <v>389.03252032520322</v>
      </c>
      <c r="AC1426" t="str">
        <f>IF(EV_Data4[[#This Row],[price_usd]]&gt;=80000,"Luxury",IF(EV_Data4[[#This Row],[price_usd]]&gt;=40000,"Mid-Range","Budget"))</f>
        <v>Luxury</v>
      </c>
      <c r="AD1426" t="str">
        <f>IF(EV_Data4[[#This Row],[range_miles]]&gt;=350,"Long-Range",IF(EV_Data4[[#This Row],[range_miles]]&gt;=250,"Medium-Range","Short-Range"))</f>
        <v>Short-Range</v>
      </c>
      <c r="AE1426" t="str">
        <f>IF(EV_Data4[[#This Row],[charging_speed_kw]]&gt;=250,"Ultra-Fast",IF(EV_Data4[[#This Row],[charging_speed_kw]]&gt;=150,"Fast-Charging","Standard-Charging"))</f>
        <v>Ultra-Fast</v>
      </c>
      <c r="AF1426" t="str">
        <f>IF(EV_Data4[[#This Row],[acceleration_0_60_mph]]&lt;=3,"SportsPerformance",IF(EV_Data4[[#This Row],[acceleration_0_60_mph]]&lt;=5,"HighPerformance","Standard"))</f>
        <v>Standard</v>
      </c>
      <c r="AG1426" t="str">
        <f>IF(EV_Data4[[#This Row],[customer_rating]]&gt;=4.5,"Excellent",IF(EV_Data4[[#This Row],[customer_rating]]&gt;=3.5,"Good","Average"))</f>
        <v>Good</v>
      </c>
      <c r="AH142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27" spans="1:34" x14ac:dyDescent="0.3">
      <c r="A1427" t="s">
        <v>59</v>
      </c>
      <c r="B1427" t="s">
        <v>111</v>
      </c>
      <c r="C1427">
        <v>2023</v>
      </c>
      <c r="D1427" t="s">
        <v>33</v>
      </c>
      <c r="E1427" s="3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27</v>
      </c>
      <c r="N1427">
        <v>5</v>
      </c>
      <c r="O1427" t="s">
        <v>58</v>
      </c>
      <c r="P1427">
        <v>36.700000000000003</v>
      </c>
      <c r="Q1427">
        <v>1500</v>
      </c>
      <c r="R1427">
        <v>5</v>
      </c>
      <c r="S1427">
        <v>0</v>
      </c>
      <c r="T1427" t="s">
        <v>41</v>
      </c>
      <c r="U1427" t="s">
        <v>30</v>
      </c>
      <c r="V1427" s="3">
        <v>27700</v>
      </c>
      <c r="W1427">
        <v>3.3</v>
      </c>
      <c r="X1427">
        <v>5</v>
      </c>
      <c r="Y1427" s="1">
        <f>EV_Data4[[#This Row],[range_miles]]/EV_Data4[[#This Row],[battery_capacity_kwh]]</f>
        <v>3.6173184357541901</v>
      </c>
      <c r="Z1427" s="4">
        <f>EV_Data4[[#This Row],[price_usd]]/EV_Data4[[#This Row],[range_miles]]</f>
        <v>389.33289575289575</v>
      </c>
      <c r="AA1427" s="2">
        <f>(EV_Data4[[#This Row],[customer_rating]]*EV_Data4[[#This Row],[safety_rating]]*1000)/EV_Data4[[#This Row],[price_usd]]</f>
        <v>0.16363005644146081</v>
      </c>
      <c r="AB1427">
        <f>EV_Data4[[#This Row],[horsepower]]+EV_Data4[[#This Row],[torque_nm]]/EV_Data4[[#This Row],[acceleration_0_60_mph]]</f>
        <v>976.60885608856086</v>
      </c>
      <c r="AC1427" t="str">
        <f>IF(EV_Data4[[#This Row],[price_usd]]&gt;=80000,"Luxury",IF(EV_Data4[[#This Row],[price_usd]]&gt;=40000,"Mid-Range","Budget"))</f>
        <v>Luxury</v>
      </c>
      <c r="AD1427" t="str">
        <f>IF(EV_Data4[[#This Row],[range_miles]]&gt;=350,"Long-Range",IF(EV_Data4[[#This Row],[range_miles]]&gt;=250,"Medium-Range","Short-Range"))</f>
        <v>Medium-Range</v>
      </c>
      <c r="AE1427" t="str">
        <f>IF(EV_Data4[[#This Row],[charging_speed_kw]]&gt;=250,"Ultra-Fast",IF(EV_Data4[[#This Row],[charging_speed_kw]]&gt;=150,"Fast-Charging","Standard-Charging"))</f>
        <v>Standard-Charging</v>
      </c>
      <c r="AF1427" t="str">
        <f>IF(EV_Data4[[#This Row],[acceleration_0_60_mph]]&lt;=3,"SportsPerformance",IF(EV_Data4[[#This Row],[acceleration_0_60_mph]]&lt;=5,"HighPerformance","Standard"))</f>
        <v>Standard</v>
      </c>
      <c r="AG1427" t="str">
        <f>IF(EV_Data4[[#This Row],[customer_rating]]&gt;=4.5,"Excellent",IF(EV_Data4[[#This Row],[customer_rating]]&gt;=3.5,"Good","Average"))</f>
        <v>Average</v>
      </c>
      <c r="AH142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28" spans="1:34" x14ac:dyDescent="0.3">
      <c r="A1428" t="s">
        <v>46</v>
      </c>
      <c r="B1428" t="s">
        <v>72</v>
      </c>
      <c r="C1428">
        <v>2024</v>
      </c>
      <c r="D1428" t="s">
        <v>56</v>
      </c>
      <c r="E1428" s="3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34</v>
      </c>
      <c r="N1428">
        <v>5</v>
      </c>
      <c r="O1428" t="s">
        <v>28</v>
      </c>
      <c r="P1428">
        <v>69.8</v>
      </c>
      <c r="Q1428">
        <v>2742</v>
      </c>
      <c r="R1428">
        <v>4</v>
      </c>
      <c r="S1428">
        <v>3</v>
      </c>
      <c r="T1428" t="s">
        <v>41</v>
      </c>
      <c r="U1428" t="s">
        <v>30</v>
      </c>
      <c r="V1428" s="3">
        <v>200169</v>
      </c>
      <c r="W1428">
        <v>3.59</v>
      </c>
      <c r="X1428">
        <v>5</v>
      </c>
      <c r="Y1428" s="1">
        <f>EV_Data4[[#This Row],[range_miles]]/EV_Data4[[#This Row],[battery_capacity_kwh]]</f>
        <v>3.4877384196185282</v>
      </c>
      <c r="Z1428" s="4">
        <f>EV_Data4[[#This Row],[price_usd]]/EV_Data4[[#This Row],[range_miles]]</f>
        <v>439.6014453125</v>
      </c>
      <c r="AA1428" s="2">
        <f>(EV_Data4[[#This Row],[customer_rating]]*EV_Data4[[#This Row],[safety_rating]]*1000)/EV_Data4[[#This Row],[price_usd]]</f>
        <v>0.12760137756172427</v>
      </c>
      <c r="AB1428">
        <f>EV_Data4[[#This Row],[horsepower]]+EV_Data4[[#This Row],[torque_nm]]/EV_Data4[[#This Row],[acceleration_0_60_mph]]</f>
        <v>941.1639344262295</v>
      </c>
      <c r="AC1428" t="str">
        <f>IF(EV_Data4[[#This Row],[price_usd]]&gt;=80000,"Luxury",IF(EV_Data4[[#This Row],[price_usd]]&gt;=40000,"Mid-Range","Budget"))</f>
        <v>Luxury</v>
      </c>
      <c r="AD1428" t="str">
        <f>IF(EV_Data4[[#This Row],[range_miles]]&gt;=350,"Long-Range",IF(EV_Data4[[#This Row],[range_miles]]&gt;=250,"Medium-Range","Short-Range"))</f>
        <v>Medium-Range</v>
      </c>
      <c r="AE1428" t="str">
        <f>IF(EV_Data4[[#This Row],[charging_speed_kw]]&gt;=250,"Ultra-Fast",IF(EV_Data4[[#This Row],[charging_speed_kw]]&gt;=150,"Fast-Charging","Standard-Charging"))</f>
        <v>Fast-Charging</v>
      </c>
      <c r="AF1428" t="str">
        <f>IF(EV_Data4[[#This Row],[acceleration_0_60_mph]]&lt;=3,"SportsPerformance",IF(EV_Data4[[#This Row],[acceleration_0_60_mph]]&lt;=5,"HighPerformance","Standard"))</f>
        <v>Standard</v>
      </c>
      <c r="AG1428" t="str">
        <f>IF(EV_Data4[[#This Row],[customer_rating]]&gt;=4.5,"Excellent",IF(EV_Data4[[#This Row],[customer_rating]]&gt;=3.5,"Good","Average"))</f>
        <v>Good</v>
      </c>
      <c r="AH142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429" spans="1:34" x14ac:dyDescent="0.3">
      <c r="A1429" t="s">
        <v>31</v>
      </c>
      <c r="B1429" t="s">
        <v>112</v>
      </c>
      <c r="C1429">
        <v>2024</v>
      </c>
      <c r="D1429" t="s">
        <v>61</v>
      </c>
      <c r="E1429" s="3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34</v>
      </c>
      <c r="N1429">
        <v>5</v>
      </c>
      <c r="O1429" t="s">
        <v>35</v>
      </c>
      <c r="P1429">
        <v>41.6</v>
      </c>
      <c r="Q1429">
        <v>2093</v>
      </c>
      <c r="R1429">
        <v>5</v>
      </c>
      <c r="S1429">
        <v>0</v>
      </c>
      <c r="T1429" t="s">
        <v>36</v>
      </c>
      <c r="U1429" t="s">
        <v>33</v>
      </c>
      <c r="V1429" s="3">
        <v>21633</v>
      </c>
      <c r="W1429">
        <v>3.39</v>
      </c>
      <c r="X1429">
        <v>5</v>
      </c>
      <c r="Y1429" s="1">
        <f>EV_Data4[[#This Row],[range_miles]]/EV_Data4[[#This Row],[battery_capacity_kwh]]</f>
        <v>3.3030303030303032</v>
      </c>
      <c r="Z1429" s="4">
        <f>EV_Data4[[#This Row],[price_usd]]/EV_Data4[[#This Row],[range_miles]]</f>
        <v>298.91853211009175</v>
      </c>
      <c r="AA1429" s="2">
        <f>(EV_Data4[[#This Row],[customer_rating]]*EV_Data4[[#This Row],[safety_rating]]*1000)/EV_Data4[[#This Row],[price_usd]]</f>
        <v>0.2601119878018987</v>
      </c>
      <c r="AB1429">
        <f>EV_Data4[[#This Row],[horsepower]]+EV_Data4[[#This Row],[torque_nm]]/EV_Data4[[#This Row],[acceleration_0_60_mph]]</f>
        <v>881.15151515151513</v>
      </c>
      <c r="AC1429" t="str">
        <f>IF(EV_Data4[[#This Row],[price_usd]]&gt;=80000,"Luxury",IF(EV_Data4[[#This Row],[price_usd]]&gt;=40000,"Mid-Range","Budget"))</f>
        <v>Mid-Range</v>
      </c>
      <c r="AD1429" t="str">
        <f>IF(EV_Data4[[#This Row],[range_miles]]&gt;=350,"Long-Range",IF(EV_Data4[[#This Row],[range_miles]]&gt;=250,"Medium-Range","Short-Range"))</f>
        <v>Short-Range</v>
      </c>
      <c r="AE1429" t="str">
        <f>IF(EV_Data4[[#This Row],[charging_speed_kw]]&gt;=250,"Ultra-Fast",IF(EV_Data4[[#This Row],[charging_speed_kw]]&gt;=150,"Fast-Charging","Standard-Charging"))</f>
        <v>Standard-Charging</v>
      </c>
      <c r="AF1429" t="str">
        <f>IF(EV_Data4[[#This Row],[acceleration_0_60_mph]]&lt;=3,"SportsPerformance",IF(EV_Data4[[#This Row],[acceleration_0_60_mph]]&lt;=5,"HighPerformance","Standard"))</f>
        <v>Standard</v>
      </c>
      <c r="AG1429" t="str">
        <f>IF(EV_Data4[[#This Row],[customer_rating]]&gt;=4.5,"Excellent",IF(EV_Data4[[#This Row],[customer_rating]]&gt;=3.5,"Good","Average"))</f>
        <v>Average</v>
      </c>
      <c r="AH142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30" spans="1:34" x14ac:dyDescent="0.3">
      <c r="A1430" t="s">
        <v>83</v>
      </c>
      <c r="B1430" t="s">
        <v>116</v>
      </c>
      <c r="C1430">
        <v>2025</v>
      </c>
      <c r="D1430" t="s">
        <v>33</v>
      </c>
      <c r="E1430" s="3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27</v>
      </c>
      <c r="N1430">
        <v>7</v>
      </c>
      <c r="O1430" t="s">
        <v>51</v>
      </c>
      <c r="P1430">
        <v>16</v>
      </c>
      <c r="Q1430">
        <v>1795</v>
      </c>
      <c r="R1430">
        <v>5</v>
      </c>
      <c r="S1430">
        <v>1</v>
      </c>
      <c r="T1430" t="s">
        <v>29</v>
      </c>
      <c r="U1430" t="s">
        <v>30</v>
      </c>
      <c r="V1430" s="3">
        <v>54751</v>
      </c>
      <c r="W1430">
        <v>3.42</v>
      </c>
      <c r="X1430">
        <v>8</v>
      </c>
      <c r="Y1430" s="1">
        <f>EV_Data4[[#This Row],[range_miles]]/EV_Data4[[#This Row],[battery_capacity_kwh]]</f>
        <v>3.1289910600255428</v>
      </c>
      <c r="Z1430" s="4">
        <f>EV_Data4[[#This Row],[price_usd]]/EV_Data4[[#This Row],[range_miles]]</f>
        <v>546.94722448979599</v>
      </c>
      <c r="AA1430" s="2">
        <f>(EV_Data4[[#This Row],[customer_rating]]*EV_Data4[[#This Row],[safety_rating]]*1000)/EV_Data4[[#This Row],[price_usd]]</f>
        <v>0.12760996901018021</v>
      </c>
      <c r="AB1430">
        <f>EV_Data4[[#This Row],[horsepower]]+EV_Data4[[#This Row],[torque_nm]]/EV_Data4[[#This Row],[acceleration_0_60_mph]]</f>
        <v>1119.0661478599222</v>
      </c>
      <c r="AC1430" t="str">
        <f>IF(EV_Data4[[#This Row],[price_usd]]&gt;=80000,"Luxury",IF(EV_Data4[[#This Row],[price_usd]]&gt;=40000,"Mid-Range","Budget"))</f>
        <v>Luxury</v>
      </c>
      <c r="AD1430" t="str">
        <f>IF(EV_Data4[[#This Row],[range_miles]]&gt;=350,"Long-Range",IF(EV_Data4[[#This Row],[range_miles]]&gt;=250,"Medium-Range","Short-Range"))</f>
        <v>Short-Range</v>
      </c>
      <c r="AE1430" t="str">
        <f>IF(EV_Data4[[#This Row],[charging_speed_kw]]&gt;=250,"Ultra-Fast",IF(EV_Data4[[#This Row],[charging_speed_kw]]&gt;=150,"Fast-Charging","Standard-Charging"))</f>
        <v>Standard-Charging</v>
      </c>
      <c r="AF1430" t="str">
        <f>IF(EV_Data4[[#This Row],[acceleration_0_60_mph]]&lt;=3,"SportsPerformance",IF(EV_Data4[[#This Row],[acceleration_0_60_mph]]&lt;=5,"HighPerformance","Standard"))</f>
        <v>Standard</v>
      </c>
      <c r="AG1430" t="str">
        <f>IF(EV_Data4[[#This Row],[customer_rating]]&gt;=4.5,"Excellent",IF(EV_Data4[[#This Row],[customer_rating]]&gt;=3.5,"Good","Average"))</f>
        <v>Average</v>
      </c>
      <c r="AH143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31" spans="1:34" x14ac:dyDescent="0.3">
      <c r="A1431" t="s">
        <v>52</v>
      </c>
      <c r="B1431" t="s">
        <v>126</v>
      </c>
      <c r="C1431">
        <v>2025</v>
      </c>
      <c r="D1431" t="s">
        <v>56</v>
      </c>
      <c r="E1431" s="3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34</v>
      </c>
      <c r="N1431">
        <v>7</v>
      </c>
      <c r="O1431" t="s">
        <v>28</v>
      </c>
      <c r="P1431">
        <v>74.400000000000006</v>
      </c>
      <c r="Q1431">
        <v>2720</v>
      </c>
      <c r="R1431">
        <v>4</v>
      </c>
      <c r="S1431">
        <v>1</v>
      </c>
      <c r="T1431" t="s">
        <v>29</v>
      </c>
      <c r="U1431" t="s">
        <v>30</v>
      </c>
      <c r="V1431" s="3">
        <v>50741</v>
      </c>
      <c r="W1431">
        <v>4.1900000000000004</v>
      </c>
      <c r="X1431">
        <v>7</v>
      </c>
      <c r="Y1431" s="1">
        <f>EV_Data4[[#This Row],[range_miles]]/EV_Data4[[#This Row],[battery_capacity_kwh]]</f>
        <v>3.4920634920634925</v>
      </c>
      <c r="Z1431" s="4">
        <f>EV_Data4[[#This Row],[price_usd]]/EV_Data4[[#This Row],[range_miles]]</f>
        <v>474.55901515151515</v>
      </c>
      <c r="AA1431" s="2">
        <f>(EV_Data4[[#This Row],[customer_rating]]*EV_Data4[[#This Row],[safety_rating]]*1000)/EV_Data4[[#This Row],[price_usd]]</f>
        <v>0.13377650926003232</v>
      </c>
      <c r="AB1431">
        <f>EV_Data4[[#This Row],[horsepower]]+EV_Data4[[#This Row],[torque_nm]]/EV_Data4[[#This Row],[acceleration_0_60_mph]]</f>
        <v>830.7516512549538</v>
      </c>
      <c r="AC1431" t="str">
        <f>IF(EV_Data4[[#This Row],[price_usd]]&gt;=80000,"Luxury",IF(EV_Data4[[#This Row],[price_usd]]&gt;=40000,"Mid-Range","Budget"))</f>
        <v>Luxury</v>
      </c>
      <c r="AD1431" t="str">
        <f>IF(EV_Data4[[#This Row],[range_miles]]&gt;=350,"Long-Range",IF(EV_Data4[[#This Row],[range_miles]]&gt;=250,"Medium-Range","Short-Range"))</f>
        <v>Medium-Range</v>
      </c>
      <c r="AE1431" t="str">
        <f>IF(EV_Data4[[#This Row],[charging_speed_kw]]&gt;=250,"Ultra-Fast",IF(EV_Data4[[#This Row],[charging_speed_kw]]&gt;=150,"Fast-Charging","Standard-Charging"))</f>
        <v>Standard-Charging</v>
      </c>
      <c r="AF1431" t="str">
        <f>IF(EV_Data4[[#This Row],[acceleration_0_60_mph]]&lt;=3,"SportsPerformance",IF(EV_Data4[[#This Row],[acceleration_0_60_mph]]&lt;=5,"HighPerformance","Standard"))</f>
        <v>Standard</v>
      </c>
      <c r="AG1431" t="str">
        <f>IF(EV_Data4[[#This Row],[customer_rating]]&gt;=4.5,"Excellent",IF(EV_Data4[[#This Row],[customer_rating]]&gt;=3.5,"Good","Average"))</f>
        <v>Good</v>
      </c>
      <c r="AH143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32" spans="1:34" x14ac:dyDescent="0.3">
      <c r="A1432" t="s">
        <v>24</v>
      </c>
      <c r="B1432" t="s">
        <v>85</v>
      </c>
      <c r="C1432">
        <v>2022</v>
      </c>
      <c r="D1432" t="s">
        <v>56</v>
      </c>
      <c r="E1432" s="3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34</v>
      </c>
      <c r="N1432">
        <v>5</v>
      </c>
      <c r="O1432" t="s">
        <v>35</v>
      </c>
      <c r="P1432">
        <v>44.8</v>
      </c>
      <c r="Q1432">
        <v>2264</v>
      </c>
      <c r="R1432">
        <v>4</v>
      </c>
      <c r="S1432">
        <v>0</v>
      </c>
      <c r="T1432" t="s">
        <v>29</v>
      </c>
      <c r="U1432" t="s">
        <v>37</v>
      </c>
      <c r="V1432" s="3">
        <v>208794</v>
      </c>
      <c r="W1432">
        <v>3.39</v>
      </c>
      <c r="X1432">
        <v>4</v>
      </c>
      <c r="Y1432" s="1">
        <f>EV_Data4[[#This Row],[range_miles]]/EV_Data4[[#This Row],[battery_capacity_kwh]]</f>
        <v>3.3437990580847723</v>
      </c>
      <c r="Z1432" s="4">
        <f>EV_Data4[[#This Row],[price_usd]]/EV_Data4[[#This Row],[range_miles]]</f>
        <v>251.71201877934274</v>
      </c>
      <c r="AA1432" s="2">
        <f>(EV_Data4[[#This Row],[customer_rating]]*EV_Data4[[#This Row],[safety_rating]]*1000)/EV_Data4[[#This Row],[price_usd]]</f>
        <v>0.25291590024071775</v>
      </c>
      <c r="AB1432">
        <f>EV_Data4[[#This Row],[horsepower]]+EV_Data4[[#This Row],[torque_nm]]/EV_Data4[[#This Row],[acceleration_0_60_mph]]</f>
        <v>618.40336134453787</v>
      </c>
      <c r="AC1432" t="str">
        <f>IF(EV_Data4[[#This Row],[price_usd]]&gt;=80000,"Luxury",IF(EV_Data4[[#This Row],[price_usd]]&gt;=40000,"Mid-Range","Budget"))</f>
        <v>Mid-Range</v>
      </c>
      <c r="AD1432" t="str">
        <f>IF(EV_Data4[[#This Row],[range_miles]]&gt;=350,"Long-Range",IF(EV_Data4[[#This Row],[range_miles]]&gt;=250,"Medium-Range","Short-Range"))</f>
        <v>Short-Range</v>
      </c>
      <c r="AE1432" t="str">
        <f>IF(EV_Data4[[#This Row],[charging_speed_kw]]&gt;=250,"Ultra-Fast",IF(EV_Data4[[#This Row],[charging_speed_kw]]&gt;=150,"Fast-Charging","Standard-Charging"))</f>
        <v>Standard-Charging</v>
      </c>
      <c r="AF1432" t="str">
        <f>IF(EV_Data4[[#This Row],[acceleration_0_60_mph]]&lt;=3,"SportsPerformance",IF(EV_Data4[[#This Row],[acceleration_0_60_mph]]&lt;=5,"HighPerformance","Standard"))</f>
        <v>Standard</v>
      </c>
      <c r="AG1432" t="str">
        <f>IF(EV_Data4[[#This Row],[customer_rating]]&gt;=4.5,"Excellent",IF(EV_Data4[[#This Row],[customer_rating]]&gt;=3.5,"Good","Average"))</f>
        <v>Average</v>
      </c>
      <c r="AH143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33" spans="1:34" x14ac:dyDescent="0.3">
      <c r="A1433" t="s">
        <v>68</v>
      </c>
      <c r="B1433" t="s">
        <v>90</v>
      </c>
      <c r="C1433">
        <v>2021</v>
      </c>
      <c r="D1433" t="s">
        <v>26</v>
      </c>
      <c r="E1433" s="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34</v>
      </c>
      <c r="N1433">
        <v>7</v>
      </c>
      <c r="O1433" t="s">
        <v>50</v>
      </c>
      <c r="P1433">
        <v>17.8</v>
      </c>
      <c r="Q1433">
        <v>1707</v>
      </c>
      <c r="R1433">
        <v>4</v>
      </c>
      <c r="S1433">
        <v>1</v>
      </c>
      <c r="T1433" t="s">
        <v>45</v>
      </c>
      <c r="U1433" t="s">
        <v>37</v>
      </c>
      <c r="V1433" s="3">
        <v>110889</v>
      </c>
      <c r="W1433">
        <v>3.69</v>
      </c>
      <c r="X1433">
        <v>4</v>
      </c>
      <c r="Y1433" s="1">
        <f>EV_Data4[[#This Row],[range_miles]]/EV_Data4[[#This Row],[battery_capacity_kwh]]</f>
        <v>3.1728880157170924</v>
      </c>
      <c r="Z1433" s="4">
        <f>EV_Data4[[#This Row],[price_usd]]/EV_Data4[[#This Row],[range_miles]]</f>
        <v>168.07829721362231</v>
      </c>
      <c r="AA1433" s="2">
        <f>(EV_Data4[[#This Row],[customer_rating]]*EV_Data4[[#This Row],[safety_rating]]*1000)/EV_Data4[[#This Row],[price_usd]]</f>
        <v>0.27187682874467506</v>
      </c>
      <c r="AB1433">
        <f>EV_Data4[[#This Row],[horsepower]]+EV_Data4[[#This Row],[torque_nm]]/EV_Data4[[#This Row],[acceleration_0_60_mph]]</f>
        <v>757.7683923705722</v>
      </c>
      <c r="AC1433" t="str">
        <f>IF(EV_Data4[[#This Row],[price_usd]]&gt;=80000,"Luxury",IF(EV_Data4[[#This Row],[price_usd]]&gt;=40000,"Mid-Range","Budget"))</f>
        <v>Mid-Range</v>
      </c>
      <c r="AD1433" t="str">
        <f>IF(EV_Data4[[#This Row],[range_miles]]&gt;=350,"Long-Range",IF(EV_Data4[[#This Row],[range_miles]]&gt;=250,"Medium-Range","Short-Range"))</f>
        <v>Medium-Range</v>
      </c>
      <c r="AE1433" t="str">
        <f>IF(EV_Data4[[#This Row],[charging_speed_kw]]&gt;=250,"Ultra-Fast",IF(EV_Data4[[#This Row],[charging_speed_kw]]&gt;=150,"Fast-Charging","Standard-Charging"))</f>
        <v>Fast-Charging</v>
      </c>
      <c r="AF1433" t="str">
        <f>IF(EV_Data4[[#This Row],[acceleration_0_60_mph]]&lt;=3,"SportsPerformance",IF(EV_Data4[[#This Row],[acceleration_0_60_mph]]&lt;=5,"HighPerformance","Standard"))</f>
        <v>HighPerformance</v>
      </c>
      <c r="AG1433" t="str">
        <f>IF(EV_Data4[[#This Row],[customer_rating]]&gt;=4.5,"Excellent",IF(EV_Data4[[#This Row],[customer_rating]]&gt;=3.5,"Good","Average"))</f>
        <v>Good</v>
      </c>
      <c r="AH143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34" spans="1:34" x14ac:dyDescent="0.3">
      <c r="A1434" t="s">
        <v>68</v>
      </c>
      <c r="B1434" t="s">
        <v>90</v>
      </c>
      <c r="C1434">
        <v>2023</v>
      </c>
      <c r="D1434" t="s">
        <v>26</v>
      </c>
      <c r="E1434" s="3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27</v>
      </c>
      <c r="N1434">
        <v>5</v>
      </c>
      <c r="O1434" t="s">
        <v>40</v>
      </c>
      <c r="P1434">
        <v>62</v>
      </c>
      <c r="Q1434">
        <v>1643</v>
      </c>
      <c r="R1434">
        <v>5</v>
      </c>
      <c r="S1434">
        <v>1</v>
      </c>
      <c r="T1434" t="s">
        <v>45</v>
      </c>
      <c r="U1434" t="s">
        <v>33</v>
      </c>
      <c r="V1434" s="3">
        <v>127527</v>
      </c>
      <c r="W1434">
        <v>3.55</v>
      </c>
      <c r="X1434">
        <v>4</v>
      </c>
      <c r="Y1434" s="1">
        <f>EV_Data4[[#This Row],[range_miles]]/EV_Data4[[#This Row],[battery_capacity_kwh]]</f>
        <v>3.6660777385159009</v>
      </c>
      <c r="Z1434" s="4">
        <f>EV_Data4[[#This Row],[price_usd]]/EV_Data4[[#This Row],[range_miles]]</f>
        <v>168.2338313253012</v>
      </c>
      <c r="AA1434" s="2">
        <f>(EV_Data4[[#This Row],[customer_rating]]*EV_Data4[[#This Row],[safety_rating]]*1000)/EV_Data4[[#This Row],[price_usd]]</f>
        <v>0.25423592865008315</v>
      </c>
      <c r="AB1434">
        <f>EV_Data4[[#This Row],[horsepower]]+EV_Data4[[#This Row],[torque_nm]]/EV_Data4[[#This Row],[acceleration_0_60_mph]]</f>
        <v>1174.7475083056479</v>
      </c>
      <c r="AC1434" t="str">
        <f>IF(EV_Data4[[#This Row],[price_usd]]&gt;=80000,"Luxury",IF(EV_Data4[[#This Row],[price_usd]]&gt;=40000,"Mid-Range","Budget"))</f>
        <v>Mid-Range</v>
      </c>
      <c r="AD1434" t="str">
        <f>IF(EV_Data4[[#This Row],[range_miles]]&gt;=350,"Long-Range",IF(EV_Data4[[#This Row],[range_miles]]&gt;=250,"Medium-Range","Short-Range"))</f>
        <v>Long-Range</v>
      </c>
      <c r="AE1434" t="str">
        <f>IF(EV_Data4[[#This Row],[charging_speed_kw]]&gt;=250,"Ultra-Fast",IF(EV_Data4[[#This Row],[charging_speed_kw]]&gt;=150,"Fast-Charging","Standard-Charging"))</f>
        <v>Fast-Charging</v>
      </c>
      <c r="AF1434" t="str">
        <f>IF(EV_Data4[[#This Row],[acceleration_0_60_mph]]&lt;=3,"SportsPerformance",IF(EV_Data4[[#This Row],[acceleration_0_60_mph]]&lt;=5,"HighPerformance","Standard"))</f>
        <v>HighPerformance</v>
      </c>
      <c r="AG1434" t="str">
        <f>IF(EV_Data4[[#This Row],[customer_rating]]&gt;=4.5,"Excellent",IF(EV_Data4[[#This Row],[customer_rating]]&gt;=3.5,"Good","Average"))</f>
        <v>Good</v>
      </c>
      <c r="AH143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35" spans="1:34" x14ac:dyDescent="0.3">
      <c r="A1435" t="s">
        <v>83</v>
      </c>
      <c r="B1435" t="s">
        <v>116</v>
      </c>
      <c r="C1435">
        <v>2024</v>
      </c>
      <c r="D1435" t="s">
        <v>56</v>
      </c>
      <c r="E1435" s="3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34</v>
      </c>
      <c r="N1435">
        <v>7</v>
      </c>
      <c r="O1435" t="s">
        <v>58</v>
      </c>
      <c r="P1435">
        <v>15.4</v>
      </c>
      <c r="Q1435">
        <v>1577</v>
      </c>
      <c r="R1435">
        <v>5</v>
      </c>
      <c r="S1435">
        <v>1</v>
      </c>
      <c r="T1435" t="s">
        <v>29</v>
      </c>
      <c r="U1435" t="s">
        <v>37</v>
      </c>
      <c r="V1435" s="3">
        <v>22877</v>
      </c>
      <c r="W1435">
        <v>3.56</v>
      </c>
      <c r="X1435">
        <v>7</v>
      </c>
      <c r="Y1435" s="1">
        <f>EV_Data4[[#This Row],[range_miles]]/EV_Data4[[#This Row],[battery_capacity_kwh]]</f>
        <v>3.5388409371146734</v>
      </c>
      <c r="Z1435" s="4">
        <f>EV_Data4[[#This Row],[price_usd]]/EV_Data4[[#This Row],[range_miles]]</f>
        <v>165.84299651567946</v>
      </c>
      <c r="AA1435" s="2">
        <f>(EV_Data4[[#This Row],[customer_rating]]*EV_Data4[[#This Row],[safety_rating]]*1000)/EV_Data4[[#This Row],[price_usd]]</f>
        <v>0.3739736209932823</v>
      </c>
      <c r="AB1435">
        <f>EV_Data4[[#This Row],[horsepower]]+EV_Data4[[#This Row],[torque_nm]]/EV_Data4[[#This Row],[acceleration_0_60_mph]]</f>
        <v>195.56042496679947</v>
      </c>
      <c r="AC1435" t="str">
        <f>IF(EV_Data4[[#This Row],[price_usd]]&gt;=80000,"Luxury",IF(EV_Data4[[#This Row],[price_usd]]&gt;=40000,"Mid-Range","Budget"))</f>
        <v>Mid-Range</v>
      </c>
      <c r="AD1435" t="str">
        <f>IF(EV_Data4[[#This Row],[range_miles]]&gt;=350,"Long-Range",IF(EV_Data4[[#This Row],[range_miles]]&gt;=250,"Medium-Range","Short-Range"))</f>
        <v>Medium-Range</v>
      </c>
      <c r="AE1435" t="str">
        <f>IF(EV_Data4[[#This Row],[charging_speed_kw]]&gt;=250,"Ultra-Fast",IF(EV_Data4[[#This Row],[charging_speed_kw]]&gt;=150,"Fast-Charging","Standard-Charging"))</f>
        <v>Standard-Charging</v>
      </c>
      <c r="AF1435" t="str">
        <f>IF(EV_Data4[[#This Row],[acceleration_0_60_mph]]&lt;=3,"SportsPerformance",IF(EV_Data4[[#This Row],[acceleration_0_60_mph]]&lt;=5,"HighPerformance","Standard"))</f>
        <v>Standard</v>
      </c>
      <c r="AG1435" t="str">
        <f>IF(EV_Data4[[#This Row],[customer_rating]]&gt;=4.5,"Excellent",IF(EV_Data4[[#This Row],[customer_rating]]&gt;=3.5,"Good","Average"))</f>
        <v>Good</v>
      </c>
      <c r="AH143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36" spans="1:34" x14ac:dyDescent="0.3">
      <c r="A1436" t="s">
        <v>46</v>
      </c>
      <c r="B1436" t="s">
        <v>49</v>
      </c>
      <c r="C1436">
        <v>2024</v>
      </c>
      <c r="D1436" t="s">
        <v>44</v>
      </c>
      <c r="E1436" s="3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48</v>
      </c>
      <c r="N1436">
        <v>5</v>
      </c>
      <c r="O1436" t="s">
        <v>58</v>
      </c>
      <c r="P1436">
        <v>24.1</v>
      </c>
      <c r="Q1436">
        <v>1587</v>
      </c>
      <c r="R1436">
        <v>4</v>
      </c>
      <c r="S1436">
        <v>2</v>
      </c>
      <c r="T1436" t="s">
        <v>41</v>
      </c>
      <c r="U1436" t="s">
        <v>37</v>
      </c>
      <c r="V1436" s="3">
        <v>444988</v>
      </c>
      <c r="W1436">
        <v>3.8</v>
      </c>
      <c r="X1436">
        <v>5</v>
      </c>
      <c r="Y1436" s="1">
        <f>EV_Data4[[#This Row],[range_miles]]/EV_Data4[[#This Row],[battery_capacity_kwh]]</f>
        <v>3.6363636363636362</v>
      </c>
      <c r="Z1436" s="4">
        <f>EV_Data4[[#This Row],[price_usd]]/EV_Data4[[#This Row],[range_miles]]</f>
        <v>150.05000000000001</v>
      </c>
      <c r="AA1436" s="2">
        <f>(EV_Data4[[#This Row],[customer_rating]]*EV_Data4[[#This Row],[safety_rating]]*1000)/EV_Data4[[#This Row],[price_usd]]</f>
        <v>0.30148680598530647</v>
      </c>
      <c r="AB1436">
        <f>EV_Data4[[#This Row],[horsepower]]+EV_Data4[[#This Row],[torque_nm]]/EV_Data4[[#This Row],[acceleration_0_60_mph]]</f>
        <v>420.53672316384183</v>
      </c>
      <c r="AC1436" t="str">
        <f>IF(EV_Data4[[#This Row],[price_usd]]&gt;=80000,"Luxury",IF(EV_Data4[[#This Row],[price_usd]]&gt;=40000,"Mid-Range","Budget"))</f>
        <v>Mid-Range</v>
      </c>
      <c r="AD1436" t="str">
        <f>IF(EV_Data4[[#This Row],[range_miles]]&gt;=350,"Long-Range",IF(EV_Data4[[#This Row],[range_miles]]&gt;=250,"Medium-Range","Short-Range"))</f>
        <v>Medium-Range</v>
      </c>
      <c r="AE1436" t="str">
        <f>IF(EV_Data4[[#This Row],[charging_speed_kw]]&gt;=250,"Ultra-Fast",IF(EV_Data4[[#This Row],[charging_speed_kw]]&gt;=150,"Fast-Charging","Standard-Charging"))</f>
        <v>Ultra-Fast</v>
      </c>
      <c r="AF1436" t="str">
        <f>IF(EV_Data4[[#This Row],[acceleration_0_60_mph]]&lt;=3,"SportsPerformance",IF(EV_Data4[[#This Row],[acceleration_0_60_mph]]&lt;=5,"HighPerformance","Standard"))</f>
        <v>Standard</v>
      </c>
      <c r="AG1436" t="str">
        <f>IF(EV_Data4[[#This Row],[customer_rating]]&gt;=4.5,"Excellent",IF(EV_Data4[[#This Row],[customer_rating]]&gt;=3.5,"Good","Average"))</f>
        <v>Good</v>
      </c>
      <c r="AH143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37" spans="1:34" x14ac:dyDescent="0.3">
      <c r="A1437" t="s">
        <v>46</v>
      </c>
      <c r="B1437" t="s">
        <v>47</v>
      </c>
      <c r="C1437">
        <v>2025</v>
      </c>
      <c r="D1437" t="s">
        <v>33</v>
      </c>
      <c r="E1437" s="3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34</v>
      </c>
      <c r="N1437">
        <v>5</v>
      </c>
      <c r="O1437" t="s">
        <v>35</v>
      </c>
      <c r="P1437">
        <v>61.8</v>
      </c>
      <c r="Q1437">
        <v>2152</v>
      </c>
      <c r="R1437">
        <v>5</v>
      </c>
      <c r="S1437">
        <v>2</v>
      </c>
      <c r="T1437" t="s">
        <v>41</v>
      </c>
      <c r="U1437" t="s">
        <v>30</v>
      </c>
      <c r="V1437" s="3">
        <v>125874</v>
      </c>
      <c r="W1437">
        <v>3.89</v>
      </c>
      <c r="X1437">
        <v>4</v>
      </c>
      <c r="Y1437" s="1">
        <f>EV_Data4[[#This Row],[range_miles]]/EV_Data4[[#This Row],[battery_capacity_kwh]]</f>
        <v>3.9693593314763231</v>
      </c>
      <c r="Z1437" s="4">
        <f>EV_Data4[[#This Row],[price_usd]]/EV_Data4[[#This Row],[range_miles]]</f>
        <v>448.62764912280704</v>
      </c>
      <c r="AA1437" s="2">
        <f>(EV_Data4[[#This Row],[customer_rating]]*EV_Data4[[#This Row],[safety_rating]]*1000)/EV_Data4[[#This Row],[price_usd]]</f>
        <v>0.1521208382241421</v>
      </c>
      <c r="AB1437">
        <f>EV_Data4[[#This Row],[horsepower]]+EV_Data4[[#This Row],[torque_nm]]/EV_Data4[[#This Row],[acceleration_0_60_mph]]</f>
        <v>1042.7496617050067</v>
      </c>
      <c r="AC1437" t="str">
        <f>IF(EV_Data4[[#This Row],[price_usd]]&gt;=80000,"Luxury",IF(EV_Data4[[#This Row],[price_usd]]&gt;=40000,"Mid-Range","Budget"))</f>
        <v>Luxury</v>
      </c>
      <c r="AD1437" t="str">
        <f>IF(EV_Data4[[#This Row],[range_miles]]&gt;=350,"Long-Range",IF(EV_Data4[[#This Row],[range_miles]]&gt;=250,"Medium-Range","Short-Range"))</f>
        <v>Medium-Range</v>
      </c>
      <c r="AE1437" t="str">
        <f>IF(EV_Data4[[#This Row],[charging_speed_kw]]&gt;=250,"Ultra-Fast",IF(EV_Data4[[#This Row],[charging_speed_kw]]&gt;=150,"Fast-Charging","Standard-Charging"))</f>
        <v>Ultra-Fast</v>
      </c>
      <c r="AF1437" t="str">
        <f>IF(EV_Data4[[#This Row],[acceleration_0_60_mph]]&lt;=3,"SportsPerformance",IF(EV_Data4[[#This Row],[acceleration_0_60_mph]]&lt;=5,"HighPerformance","Standard"))</f>
        <v>Standard</v>
      </c>
      <c r="AG1437" t="str">
        <f>IF(EV_Data4[[#This Row],[customer_rating]]&gt;=4.5,"Excellent",IF(EV_Data4[[#This Row],[customer_rating]]&gt;=3.5,"Good","Average"))</f>
        <v>Good</v>
      </c>
      <c r="AH143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38" spans="1:34" x14ac:dyDescent="0.3">
      <c r="A1438" t="s">
        <v>63</v>
      </c>
      <c r="B1438" t="s">
        <v>96</v>
      </c>
      <c r="C1438">
        <v>2026</v>
      </c>
      <c r="D1438" t="s">
        <v>56</v>
      </c>
      <c r="E1438" s="3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48</v>
      </c>
      <c r="N1438">
        <v>5</v>
      </c>
      <c r="O1438" t="s">
        <v>40</v>
      </c>
      <c r="P1438">
        <v>68.900000000000006</v>
      </c>
      <c r="Q1438">
        <v>1867</v>
      </c>
      <c r="R1438">
        <v>4</v>
      </c>
      <c r="S1438">
        <v>1</v>
      </c>
      <c r="T1438" t="s">
        <v>65</v>
      </c>
      <c r="U1438" t="s">
        <v>66</v>
      </c>
      <c r="V1438" s="3">
        <v>131662</v>
      </c>
      <c r="W1438">
        <v>3.35</v>
      </c>
      <c r="X1438">
        <v>5</v>
      </c>
      <c r="Y1438" s="1">
        <f>EV_Data4[[#This Row],[range_miles]]/EV_Data4[[#This Row],[battery_capacity_kwh]]</f>
        <v>3.3499170812603651</v>
      </c>
      <c r="Z1438" s="4">
        <f>EV_Data4[[#This Row],[price_usd]]/EV_Data4[[#This Row],[range_miles]]</f>
        <v>138.02707920792079</v>
      </c>
      <c r="AA1438" s="2">
        <f>(EV_Data4[[#This Row],[customer_rating]]*EV_Data4[[#This Row],[safety_rating]]*1000)/EV_Data4[[#This Row],[price_usd]]</f>
        <v>0.48060593648756683</v>
      </c>
      <c r="AB1438">
        <f>EV_Data4[[#This Row],[horsepower]]+EV_Data4[[#This Row],[torque_nm]]/EV_Data4[[#This Row],[acceleration_0_60_mph]]</f>
        <v>319.05882352941177</v>
      </c>
      <c r="AC1438" t="str">
        <f>IF(EV_Data4[[#This Row],[price_usd]]&gt;=80000,"Luxury",IF(EV_Data4[[#This Row],[price_usd]]&gt;=40000,"Mid-Range","Budget"))</f>
        <v>Budget</v>
      </c>
      <c r="AD1438" t="str">
        <f>IF(EV_Data4[[#This Row],[range_miles]]&gt;=350,"Long-Range",IF(EV_Data4[[#This Row],[range_miles]]&gt;=250,"Medium-Range","Short-Range"))</f>
        <v>Short-Range</v>
      </c>
      <c r="AE1438" t="str">
        <f>IF(EV_Data4[[#This Row],[charging_speed_kw]]&gt;=250,"Ultra-Fast",IF(EV_Data4[[#This Row],[charging_speed_kw]]&gt;=150,"Fast-Charging","Standard-Charging"))</f>
        <v>Standard-Charging</v>
      </c>
      <c r="AF1438" t="str">
        <f>IF(EV_Data4[[#This Row],[acceleration_0_60_mph]]&lt;=3,"SportsPerformance",IF(EV_Data4[[#This Row],[acceleration_0_60_mph]]&lt;=5,"HighPerformance","Standard"))</f>
        <v>Standard</v>
      </c>
      <c r="AG1438" t="str">
        <f>IF(EV_Data4[[#This Row],[customer_rating]]&gt;=4.5,"Excellent",IF(EV_Data4[[#This Row],[customer_rating]]&gt;=3.5,"Good","Average"))</f>
        <v>Average</v>
      </c>
      <c r="AH143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39" spans="1:34" x14ac:dyDescent="0.3">
      <c r="A1439" t="s">
        <v>38</v>
      </c>
      <c r="B1439" t="s">
        <v>101</v>
      </c>
      <c r="C1439">
        <v>2024</v>
      </c>
      <c r="D1439" t="s">
        <v>26</v>
      </c>
      <c r="E1439" s="3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34</v>
      </c>
      <c r="N1439">
        <v>5</v>
      </c>
      <c r="O1439" t="s">
        <v>58</v>
      </c>
      <c r="P1439">
        <v>17.100000000000001</v>
      </c>
      <c r="Q1439">
        <v>1500</v>
      </c>
      <c r="R1439">
        <v>5</v>
      </c>
      <c r="S1439">
        <v>0</v>
      </c>
      <c r="T1439" t="s">
        <v>41</v>
      </c>
      <c r="U1439" t="s">
        <v>33</v>
      </c>
      <c r="V1439" s="3">
        <v>23127</v>
      </c>
      <c r="W1439">
        <v>3.63</v>
      </c>
      <c r="X1439">
        <v>4</v>
      </c>
      <c r="Y1439" s="1">
        <f>EV_Data4[[#This Row],[range_miles]]/EV_Data4[[#This Row],[battery_capacity_kwh]]</f>
        <v>3.709856035437431</v>
      </c>
      <c r="Z1439" s="4">
        <f>EV_Data4[[#This Row],[price_usd]]/EV_Data4[[#This Row],[range_miles]]</f>
        <v>292.88826865671643</v>
      </c>
      <c r="AA1439" s="2">
        <f>(EV_Data4[[#This Row],[customer_rating]]*EV_Data4[[#This Row],[safety_rating]]*1000)/EV_Data4[[#This Row],[price_usd]]</f>
        <v>0.18498215966824288</v>
      </c>
      <c r="AB1439">
        <f>EV_Data4[[#This Row],[horsepower]]+EV_Data4[[#This Row],[torque_nm]]/EV_Data4[[#This Row],[acceleration_0_60_mph]]</f>
        <v>1218.1360201511334</v>
      </c>
      <c r="AC1439" t="str">
        <f>IF(EV_Data4[[#This Row],[price_usd]]&gt;=80000,"Luxury",IF(EV_Data4[[#This Row],[price_usd]]&gt;=40000,"Mid-Range","Budget"))</f>
        <v>Luxury</v>
      </c>
      <c r="AD1439" t="str">
        <f>IF(EV_Data4[[#This Row],[range_miles]]&gt;=350,"Long-Range",IF(EV_Data4[[#This Row],[range_miles]]&gt;=250,"Medium-Range","Short-Range"))</f>
        <v>Medium-Range</v>
      </c>
      <c r="AE1439" t="str">
        <f>IF(EV_Data4[[#This Row],[charging_speed_kw]]&gt;=250,"Ultra-Fast",IF(EV_Data4[[#This Row],[charging_speed_kw]]&gt;=150,"Fast-Charging","Standard-Charging"))</f>
        <v>Fast-Charging</v>
      </c>
      <c r="AF1439" t="str">
        <f>IF(EV_Data4[[#This Row],[acceleration_0_60_mph]]&lt;=3,"SportsPerformance",IF(EV_Data4[[#This Row],[acceleration_0_60_mph]]&lt;=5,"HighPerformance","Standard"))</f>
        <v>HighPerformance</v>
      </c>
      <c r="AG1439" t="str">
        <f>IF(EV_Data4[[#This Row],[customer_rating]]&gt;=4.5,"Excellent",IF(EV_Data4[[#This Row],[customer_rating]]&gt;=3.5,"Good","Average"))</f>
        <v>Good</v>
      </c>
      <c r="AH143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40" spans="1:34" x14ac:dyDescent="0.3">
      <c r="A1440" t="s">
        <v>46</v>
      </c>
      <c r="B1440" t="s">
        <v>72</v>
      </c>
      <c r="C1440">
        <v>2025</v>
      </c>
      <c r="D1440" t="s">
        <v>61</v>
      </c>
      <c r="E1440" s="3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27</v>
      </c>
      <c r="N1440">
        <v>7</v>
      </c>
      <c r="O1440" t="s">
        <v>28</v>
      </c>
      <c r="P1440">
        <v>60.4</v>
      </c>
      <c r="Q1440">
        <v>2681</v>
      </c>
      <c r="R1440">
        <v>5</v>
      </c>
      <c r="S1440">
        <v>2</v>
      </c>
      <c r="T1440" t="s">
        <v>41</v>
      </c>
      <c r="U1440" t="s">
        <v>30</v>
      </c>
      <c r="V1440" s="3">
        <v>169238</v>
      </c>
      <c r="W1440">
        <v>3.54</v>
      </c>
      <c r="X1440">
        <v>4</v>
      </c>
      <c r="Y1440" s="1">
        <f>EV_Data4[[#This Row],[range_miles]]/EV_Data4[[#This Row],[battery_capacity_kwh]]</f>
        <v>3.8131699846860645</v>
      </c>
      <c r="Z1440" s="4">
        <f>EV_Data4[[#This Row],[price_usd]]/EV_Data4[[#This Row],[range_miles]]</f>
        <v>457.9477108433735</v>
      </c>
      <c r="AA1440" s="2">
        <f>(EV_Data4[[#This Row],[customer_rating]]*EV_Data4[[#This Row],[safety_rating]]*1000)/EV_Data4[[#This Row],[price_usd]]</f>
        <v>0.15522369839667075</v>
      </c>
      <c r="AB1440">
        <f>EV_Data4[[#This Row],[horsepower]]+EV_Data4[[#This Row],[torque_nm]]/EV_Data4[[#This Row],[acceleration_0_60_mph]]</f>
        <v>911.13333333333333</v>
      </c>
      <c r="AC1440" t="str">
        <f>IF(EV_Data4[[#This Row],[price_usd]]&gt;=80000,"Luxury",IF(EV_Data4[[#This Row],[price_usd]]&gt;=40000,"Mid-Range","Budget"))</f>
        <v>Luxury</v>
      </c>
      <c r="AD1440" t="str">
        <f>IF(EV_Data4[[#This Row],[range_miles]]&gt;=350,"Long-Range",IF(EV_Data4[[#This Row],[range_miles]]&gt;=250,"Medium-Range","Short-Range"))</f>
        <v>Short-Range</v>
      </c>
      <c r="AE1440" t="str">
        <f>IF(EV_Data4[[#This Row],[charging_speed_kw]]&gt;=250,"Ultra-Fast",IF(EV_Data4[[#This Row],[charging_speed_kw]]&gt;=150,"Fast-Charging","Standard-Charging"))</f>
        <v>Ultra-Fast</v>
      </c>
      <c r="AF1440" t="str">
        <f>IF(EV_Data4[[#This Row],[acceleration_0_60_mph]]&lt;=3,"SportsPerformance",IF(EV_Data4[[#This Row],[acceleration_0_60_mph]]&lt;=5,"HighPerformance","Standard"))</f>
        <v>Standard</v>
      </c>
      <c r="AG1440" t="str">
        <f>IF(EV_Data4[[#This Row],[customer_rating]]&gt;=4.5,"Excellent",IF(EV_Data4[[#This Row],[customer_rating]]&gt;=3.5,"Good","Average"))</f>
        <v>Good</v>
      </c>
      <c r="AH144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41" spans="1:34" x14ac:dyDescent="0.3">
      <c r="A1441" t="s">
        <v>83</v>
      </c>
      <c r="B1441" t="s">
        <v>84</v>
      </c>
      <c r="C1441">
        <v>2021</v>
      </c>
      <c r="D1441" t="s">
        <v>56</v>
      </c>
      <c r="E1441" s="3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48</v>
      </c>
      <c r="N1441">
        <v>7</v>
      </c>
      <c r="O1441" t="s">
        <v>58</v>
      </c>
      <c r="P1441">
        <v>34.1</v>
      </c>
      <c r="Q1441">
        <v>1776</v>
      </c>
      <c r="R1441">
        <v>4</v>
      </c>
      <c r="S1441">
        <v>2</v>
      </c>
      <c r="T1441" t="s">
        <v>29</v>
      </c>
      <c r="U1441" t="s">
        <v>33</v>
      </c>
      <c r="V1441" s="3">
        <v>30267</v>
      </c>
      <c r="W1441">
        <v>3.08</v>
      </c>
      <c r="X1441">
        <v>5</v>
      </c>
      <c r="Y1441" s="1">
        <f>EV_Data4[[#This Row],[range_miles]]/EV_Data4[[#This Row],[battery_capacity_kwh]]</f>
        <v>3.1914893617021276</v>
      </c>
      <c r="Z1441" s="4">
        <f>EV_Data4[[#This Row],[price_usd]]/EV_Data4[[#This Row],[range_miles]]</f>
        <v>509.54239999999999</v>
      </c>
      <c r="AA1441" s="2">
        <f>(EV_Data4[[#This Row],[customer_rating]]*EV_Data4[[#This Row],[safety_rating]]*1000)/EV_Data4[[#This Row],[price_usd]]</f>
        <v>0.16119038049303322</v>
      </c>
      <c r="AB1441">
        <f>EV_Data4[[#This Row],[horsepower]]+EV_Data4[[#This Row],[torque_nm]]/EV_Data4[[#This Row],[acceleration_0_60_mph]]</f>
        <v>608.1584158415842</v>
      </c>
      <c r="AC1441" t="str">
        <f>IF(EV_Data4[[#This Row],[price_usd]]&gt;=80000,"Luxury",IF(EV_Data4[[#This Row],[price_usd]]&gt;=40000,"Mid-Range","Budget"))</f>
        <v>Mid-Range</v>
      </c>
      <c r="AD1441" t="str">
        <f>IF(EV_Data4[[#This Row],[range_miles]]&gt;=350,"Long-Range",IF(EV_Data4[[#This Row],[range_miles]]&gt;=250,"Medium-Range","Short-Range"))</f>
        <v>Short-Range</v>
      </c>
      <c r="AE1441" t="str">
        <f>IF(EV_Data4[[#This Row],[charging_speed_kw]]&gt;=250,"Ultra-Fast",IF(EV_Data4[[#This Row],[charging_speed_kw]]&gt;=150,"Fast-Charging","Standard-Charging"))</f>
        <v>Standard-Charging</v>
      </c>
      <c r="AF1441" t="str">
        <f>IF(EV_Data4[[#This Row],[acceleration_0_60_mph]]&lt;=3,"SportsPerformance",IF(EV_Data4[[#This Row],[acceleration_0_60_mph]]&lt;=5,"HighPerformance","Standard"))</f>
        <v>Standard</v>
      </c>
      <c r="AG1441" t="str">
        <f>IF(EV_Data4[[#This Row],[customer_rating]]&gt;=4.5,"Excellent",IF(EV_Data4[[#This Row],[customer_rating]]&gt;=3.5,"Good","Average"))</f>
        <v>Average</v>
      </c>
      <c r="AH144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42" spans="1:34" x14ac:dyDescent="0.3">
      <c r="A1442" t="s">
        <v>59</v>
      </c>
      <c r="B1442" t="s">
        <v>111</v>
      </c>
      <c r="C1442">
        <v>2025</v>
      </c>
      <c r="D1442" t="s">
        <v>61</v>
      </c>
      <c r="E1442" s="3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27</v>
      </c>
      <c r="N1442">
        <v>7</v>
      </c>
      <c r="O1442" t="s">
        <v>58</v>
      </c>
      <c r="P1442">
        <v>16.100000000000001</v>
      </c>
      <c r="Q1442">
        <v>1812</v>
      </c>
      <c r="R1442">
        <v>4</v>
      </c>
      <c r="S1442">
        <v>1</v>
      </c>
      <c r="T1442" t="s">
        <v>41</v>
      </c>
      <c r="U1442" t="s">
        <v>37</v>
      </c>
      <c r="V1442" s="3">
        <v>6983</v>
      </c>
      <c r="W1442">
        <v>3.23</v>
      </c>
      <c r="X1442">
        <v>3</v>
      </c>
      <c r="Y1442" s="1">
        <f>EV_Data4[[#This Row],[range_miles]]/EV_Data4[[#This Row],[battery_capacity_kwh]]</f>
        <v>3.7067545304777592</v>
      </c>
      <c r="Z1442" s="4">
        <f>EV_Data4[[#This Row],[price_usd]]/EV_Data4[[#This Row],[range_miles]]</f>
        <v>212.25151111111109</v>
      </c>
      <c r="AA1442" s="2">
        <f>(EV_Data4[[#This Row],[customer_rating]]*EV_Data4[[#This Row],[safety_rating]]*1000)/EV_Data4[[#This Row],[price_usd]]</f>
        <v>0.27053857907358964</v>
      </c>
      <c r="AB1442">
        <f>EV_Data4[[#This Row],[horsepower]]+EV_Data4[[#This Row],[torque_nm]]/EV_Data4[[#This Row],[acceleration_0_60_mph]]</f>
        <v>342.01993355481727</v>
      </c>
      <c r="AC1442" t="str">
        <f>IF(EV_Data4[[#This Row],[price_usd]]&gt;=80000,"Luxury",IF(EV_Data4[[#This Row],[price_usd]]&gt;=40000,"Mid-Range","Budget"))</f>
        <v>Mid-Range</v>
      </c>
      <c r="AD1442" t="str">
        <f>IF(EV_Data4[[#This Row],[range_miles]]&gt;=350,"Long-Range",IF(EV_Data4[[#This Row],[range_miles]]&gt;=250,"Medium-Range","Short-Range"))</f>
        <v>Short-Range</v>
      </c>
      <c r="AE1442" t="str">
        <f>IF(EV_Data4[[#This Row],[charging_speed_kw]]&gt;=250,"Ultra-Fast",IF(EV_Data4[[#This Row],[charging_speed_kw]]&gt;=150,"Fast-Charging","Standard-Charging"))</f>
        <v>Standard-Charging</v>
      </c>
      <c r="AF1442" t="str">
        <f>IF(EV_Data4[[#This Row],[acceleration_0_60_mph]]&lt;=3,"SportsPerformance",IF(EV_Data4[[#This Row],[acceleration_0_60_mph]]&lt;=5,"HighPerformance","Standard"))</f>
        <v>Standard</v>
      </c>
      <c r="AG1442" t="str">
        <f>IF(EV_Data4[[#This Row],[customer_rating]]&gt;=4.5,"Excellent",IF(EV_Data4[[#This Row],[customer_rating]]&gt;=3.5,"Good","Average"))</f>
        <v>Average</v>
      </c>
      <c r="AH144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43" spans="1:34" x14ac:dyDescent="0.3">
      <c r="A1443" t="s">
        <v>46</v>
      </c>
      <c r="B1443" t="s">
        <v>57</v>
      </c>
      <c r="C1443">
        <v>2023</v>
      </c>
      <c r="D1443" t="s">
        <v>44</v>
      </c>
      <c r="E1443" s="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34</v>
      </c>
      <c r="N1443">
        <v>5</v>
      </c>
      <c r="O1443" t="s">
        <v>35</v>
      </c>
      <c r="P1443">
        <v>55.8</v>
      </c>
      <c r="Q1443">
        <v>2239</v>
      </c>
      <c r="R1443">
        <v>4</v>
      </c>
      <c r="S1443">
        <v>2</v>
      </c>
      <c r="T1443" t="s">
        <v>41</v>
      </c>
      <c r="U1443" t="s">
        <v>30</v>
      </c>
      <c r="V1443" s="3">
        <v>114585</v>
      </c>
      <c r="W1443">
        <v>4.09</v>
      </c>
      <c r="X1443">
        <v>4</v>
      </c>
      <c r="Y1443" s="1">
        <f>EV_Data4[[#This Row],[range_miles]]/EV_Data4[[#This Row],[battery_capacity_kwh]]</f>
        <v>3.5532994923857868</v>
      </c>
      <c r="Z1443" s="4">
        <f>EV_Data4[[#This Row],[price_usd]]/EV_Data4[[#This Row],[range_miles]]</f>
        <v>351.31562857142859</v>
      </c>
      <c r="AA1443" s="2">
        <f>(EV_Data4[[#This Row],[customer_rating]]*EV_Data4[[#This Row],[safety_rating]]*1000)/EV_Data4[[#This Row],[price_usd]]</f>
        <v>0.13305089025765759</v>
      </c>
      <c r="AB1443">
        <f>EV_Data4[[#This Row],[horsepower]]+EV_Data4[[#This Row],[torque_nm]]/EV_Data4[[#This Row],[acceleration_0_60_mph]]</f>
        <v>1049.8571428571429</v>
      </c>
      <c r="AC1443" t="str">
        <f>IF(EV_Data4[[#This Row],[price_usd]]&gt;=80000,"Luxury",IF(EV_Data4[[#This Row],[price_usd]]&gt;=40000,"Mid-Range","Budget"))</f>
        <v>Luxury</v>
      </c>
      <c r="AD1443" t="str">
        <f>IF(EV_Data4[[#This Row],[range_miles]]&gt;=350,"Long-Range",IF(EV_Data4[[#This Row],[range_miles]]&gt;=250,"Medium-Range","Short-Range"))</f>
        <v>Long-Range</v>
      </c>
      <c r="AE1443" t="str">
        <f>IF(EV_Data4[[#This Row],[charging_speed_kw]]&gt;=250,"Ultra-Fast",IF(EV_Data4[[#This Row],[charging_speed_kw]]&gt;=150,"Fast-Charging","Standard-Charging"))</f>
        <v>Ultra-Fast</v>
      </c>
      <c r="AF1443" t="str">
        <f>IF(EV_Data4[[#This Row],[acceleration_0_60_mph]]&lt;=3,"SportsPerformance",IF(EV_Data4[[#This Row],[acceleration_0_60_mph]]&lt;=5,"HighPerformance","Standard"))</f>
        <v>HighPerformance</v>
      </c>
      <c r="AG1443" t="str">
        <f>IF(EV_Data4[[#This Row],[customer_rating]]&gt;=4.5,"Excellent",IF(EV_Data4[[#This Row],[customer_rating]]&gt;=3.5,"Good","Average"))</f>
        <v>Good</v>
      </c>
      <c r="AH144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44" spans="1:34" x14ac:dyDescent="0.3">
      <c r="A1444" t="s">
        <v>83</v>
      </c>
      <c r="B1444" t="s">
        <v>114</v>
      </c>
      <c r="C1444">
        <v>2024</v>
      </c>
      <c r="D1444" t="s">
        <v>61</v>
      </c>
      <c r="E1444" s="3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48</v>
      </c>
      <c r="N1444">
        <v>7</v>
      </c>
      <c r="O1444" t="s">
        <v>51</v>
      </c>
      <c r="P1444">
        <v>32.6</v>
      </c>
      <c r="Q1444">
        <v>1500</v>
      </c>
      <c r="R1444">
        <v>5</v>
      </c>
      <c r="S1444">
        <v>1</v>
      </c>
      <c r="T1444" t="s">
        <v>29</v>
      </c>
      <c r="U1444" t="s">
        <v>33</v>
      </c>
      <c r="V1444" s="3">
        <v>64217</v>
      </c>
      <c r="W1444">
        <v>3.55</v>
      </c>
      <c r="X1444">
        <v>6</v>
      </c>
      <c r="Y1444" s="1">
        <f>EV_Data4[[#This Row],[range_miles]]/EV_Data4[[#This Row],[battery_capacity_kwh]]</f>
        <v>3.3244680851063828</v>
      </c>
      <c r="Z1444" s="4">
        <f>EV_Data4[[#This Row],[price_usd]]/EV_Data4[[#This Row],[range_miles]]</f>
        <v>366.01096000000001</v>
      </c>
      <c r="AA1444" s="2">
        <f>(EV_Data4[[#This Row],[customer_rating]]*EV_Data4[[#This Row],[safety_rating]]*1000)/EV_Data4[[#This Row],[price_usd]]</f>
        <v>0.19398326214056541</v>
      </c>
      <c r="AB1444">
        <f>EV_Data4[[#This Row],[horsepower]]+EV_Data4[[#This Row],[torque_nm]]/EV_Data4[[#This Row],[acceleration_0_60_mph]]</f>
        <v>756.23916811091851</v>
      </c>
      <c r="AC1444" t="str">
        <f>IF(EV_Data4[[#This Row],[price_usd]]&gt;=80000,"Luxury",IF(EV_Data4[[#This Row],[price_usd]]&gt;=40000,"Mid-Range","Budget"))</f>
        <v>Luxury</v>
      </c>
      <c r="AD1444" t="str">
        <f>IF(EV_Data4[[#This Row],[range_miles]]&gt;=350,"Long-Range",IF(EV_Data4[[#This Row],[range_miles]]&gt;=250,"Medium-Range","Short-Range"))</f>
        <v>Medium-Range</v>
      </c>
      <c r="AE1444" t="str">
        <f>IF(EV_Data4[[#This Row],[charging_speed_kw]]&gt;=250,"Ultra-Fast",IF(EV_Data4[[#This Row],[charging_speed_kw]]&gt;=150,"Fast-Charging","Standard-Charging"))</f>
        <v>Standard-Charging</v>
      </c>
      <c r="AF1444" t="str">
        <f>IF(EV_Data4[[#This Row],[acceleration_0_60_mph]]&lt;=3,"SportsPerformance",IF(EV_Data4[[#This Row],[acceleration_0_60_mph]]&lt;=5,"HighPerformance","Standard"))</f>
        <v>Standard</v>
      </c>
      <c r="AG1444" t="str">
        <f>IF(EV_Data4[[#This Row],[customer_rating]]&gt;=4.5,"Excellent",IF(EV_Data4[[#This Row],[customer_rating]]&gt;=3.5,"Good","Average"))</f>
        <v>Good</v>
      </c>
      <c r="AH144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45" spans="1:34" x14ac:dyDescent="0.3">
      <c r="A1445" t="s">
        <v>24</v>
      </c>
      <c r="B1445" t="s">
        <v>25</v>
      </c>
      <c r="C1445">
        <v>2026</v>
      </c>
      <c r="D1445" t="s">
        <v>56</v>
      </c>
      <c r="E1445" s="3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27</v>
      </c>
      <c r="N1445">
        <v>5</v>
      </c>
      <c r="O1445" t="s">
        <v>28</v>
      </c>
      <c r="P1445">
        <v>55.8</v>
      </c>
      <c r="Q1445">
        <v>2544</v>
      </c>
      <c r="R1445">
        <v>5</v>
      </c>
      <c r="S1445">
        <v>2</v>
      </c>
      <c r="T1445" t="s">
        <v>29</v>
      </c>
      <c r="U1445" t="s">
        <v>33</v>
      </c>
      <c r="V1445" s="3">
        <v>203039</v>
      </c>
      <c r="W1445">
        <v>3.53</v>
      </c>
      <c r="X1445">
        <v>5</v>
      </c>
      <c r="Y1445" s="1">
        <f>EV_Data4[[#This Row],[range_miles]]/EV_Data4[[#This Row],[battery_capacity_kwh]]</f>
        <v>3.689189189189189</v>
      </c>
      <c r="Z1445" s="4">
        <f>EV_Data4[[#This Row],[price_usd]]/EV_Data4[[#This Row],[range_miles]]</f>
        <v>284.37010989010986</v>
      </c>
      <c r="AA1445" s="2">
        <f>(EV_Data4[[#This Row],[customer_rating]]*EV_Data4[[#This Row],[safety_rating]]*1000)/EV_Data4[[#This Row],[price_usd]]</f>
        <v>0.22735165336820509</v>
      </c>
      <c r="AB1445">
        <f>EV_Data4[[#This Row],[horsepower]]+EV_Data4[[#This Row],[torque_nm]]/EV_Data4[[#This Row],[acceleration_0_60_mph]]</f>
        <v>959.27579737335839</v>
      </c>
      <c r="AC1445" t="str">
        <f>IF(EV_Data4[[#This Row],[price_usd]]&gt;=80000,"Luxury",IF(EV_Data4[[#This Row],[price_usd]]&gt;=40000,"Mid-Range","Budget"))</f>
        <v>Mid-Range</v>
      </c>
      <c r="AD1445" t="str">
        <f>IF(EV_Data4[[#This Row],[range_miles]]&gt;=350,"Long-Range",IF(EV_Data4[[#This Row],[range_miles]]&gt;=250,"Medium-Range","Short-Range"))</f>
        <v>Medium-Range</v>
      </c>
      <c r="AE1445" t="str">
        <f>IF(EV_Data4[[#This Row],[charging_speed_kw]]&gt;=250,"Ultra-Fast",IF(EV_Data4[[#This Row],[charging_speed_kw]]&gt;=150,"Fast-Charging","Standard-Charging"))</f>
        <v>Standard-Charging</v>
      </c>
      <c r="AF1445" t="str">
        <f>IF(EV_Data4[[#This Row],[acceleration_0_60_mph]]&lt;=3,"SportsPerformance",IF(EV_Data4[[#This Row],[acceleration_0_60_mph]]&lt;=5,"HighPerformance","Standard"))</f>
        <v>Standard</v>
      </c>
      <c r="AG1445" t="str">
        <f>IF(EV_Data4[[#This Row],[customer_rating]]&gt;=4.5,"Excellent",IF(EV_Data4[[#This Row],[customer_rating]]&gt;=3.5,"Good","Average"))</f>
        <v>Good</v>
      </c>
      <c r="AH144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46" spans="1:34" x14ac:dyDescent="0.3">
      <c r="A1446" t="s">
        <v>52</v>
      </c>
      <c r="B1446" t="s">
        <v>62</v>
      </c>
      <c r="C1446">
        <v>2022</v>
      </c>
      <c r="D1446" t="s">
        <v>44</v>
      </c>
      <c r="E1446" s="3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27</v>
      </c>
      <c r="N1446">
        <v>5</v>
      </c>
      <c r="O1446" t="s">
        <v>50</v>
      </c>
      <c r="P1446">
        <v>23.3</v>
      </c>
      <c r="Q1446">
        <v>1690</v>
      </c>
      <c r="R1446">
        <v>5</v>
      </c>
      <c r="S1446">
        <v>2</v>
      </c>
      <c r="T1446" t="s">
        <v>29</v>
      </c>
      <c r="U1446" t="s">
        <v>33</v>
      </c>
      <c r="V1446" s="3">
        <v>75343</v>
      </c>
      <c r="W1446">
        <v>3.85</v>
      </c>
      <c r="X1446">
        <v>7</v>
      </c>
      <c r="Y1446" s="1">
        <f>EV_Data4[[#This Row],[range_miles]]/EV_Data4[[#This Row],[battery_capacity_kwh]]</f>
        <v>3.5434007134363856</v>
      </c>
      <c r="Z1446" s="4">
        <f>EV_Data4[[#This Row],[price_usd]]/EV_Data4[[#This Row],[range_miles]]</f>
        <v>250.08154362416107</v>
      </c>
      <c r="AA1446" s="2">
        <f>(EV_Data4[[#This Row],[customer_rating]]*EV_Data4[[#This Row],[safety_rating]]*1000)/EV_Data4[[#This Row],[price_usd]]</f>
        <v>0.25830500923859734</v>
      </c>
      <c r="AB1446">
        <f>EV_Data4[[#This Row],[horsepower]]+EV_Data4[[#This Row],[torque_nm]]/EV_Data4[[#This Row],[acceleration_0_60_mph]]</f>
        <v>332.4192229038855</v>
      </c>
      <c r="AC1446" t="str">
        <f>IF(EV_Data4[[#This Row],[price_usd]]&gt;=80000,"Luxury",IF(EV_Data4[[#This Row],[price_usd]]&gt;=40000,"Mid-Range","Budget"))</f>
        <v>Mid-Range</v>
      </c>
      <c r="AD1446" t="str">
        <f>IF(EV_Data4[[#This Row],[range_miles]]&gt;=350,"Long-Range",IF(EV_Data4[[#This Row],[range_miles]]&gt;=250,"Medium-Range","Short-Range"))</f>
        <v>Medium-Range</v>
      </c>
      <c r="AE1446" t="str">
        <f>IF(EV_Data4[[#This Row],[charging_speed_kw]]&gt;=250,"Ultra-Fast",IF(EV_Data4[[#This Row],[charging_speed_kw]]&gt;=150,"Fast-Charging","Standard-Charging"))</f>
        <v>Standard-Charging</v>
      </c>
      <c r="AF1446" t="str">
        <f>IF(EV_Data4[[#This Row],[acceleration_0_60_mph]]&lt;=3,"SportsPerformance",IF(EV_Data4[[#This Row],[acceleration_0_60_mph]]&lt;=5,"HighPerformance","Standard"))</f>
        <v>HighPerformance</v>
      </c>
      <c r="AG1446" t="str">
        <f>IF(EV_Data4[[#This Row],[customer_rating]]&gt;=4.5,"Excellent",IF(EV_Data4[[#This Row],[customer_rating]]&gt;=3.5,"Good","Average"))</f>
        <v>Good</v>
      </c>
      <c r="AH144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47" spans="1:34" x14ac:dyDescent="0.3">
      <c r="A1447" t="s">
        <v>46</v>
      </c>
      <c r="B1447" t="s">
        <v>78</v>
      </c>
      <c r="C1447">
        <v>2026</v>
      </c>
      <c r="D1447" t="s">
        <v>56</v>
      </c>
      <c r="E1447" s="3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27</v>
      </c>
      <c r="N1447">
        <v>5</v>
      </c>
      <c r="O1447" t="s">
        <v>51</v>
      </c>
      <c r="P1447">
        <v>36.9</v>
      </c>
      <c r="Q1447">
        <v>1682</v>
      </c>
      <c r="R1447">
        <v>5</v>
      </c>
      <c r="S1447">
        <v>2</v>
      </c>
      <c r="T1447" t="s">
        <v>41</v>
      </c>
      <c r="U1447" t="s">
        <v>66</v>
      </c>
      <c r="V1447" s="3">
        <v>203167</v>
      </c>
      <c r="W1447">
        <v>3.2</v>
      </c>
      <c r="X1447">
        <v>5</v>
      </c>
      <c r="Y1447" s="1">
        <f>EV_Data4[[#This Row],[range_miles]]/EV_Data4[[#This Row],[battery_capacity_kwh]]</f>
        <v>3.4304932735426008</v>
      </c>
      <c r="Z1447" s="4">
        <f>EV_Data4[[#This Row],[price_usd]]/EV_Data4[[#This Row],[range_miles]]</f>
        <v>180.19980392156862</v>
      </c>
      <c r="AA1447" s="2">
        <f>(EV_Data4[[#This Row],[customer_rating]]*EV_Data4[[#This Row],[safety_rating]]*1000)/EV_Data4[[#This Row],[price_usd]]</f>
        <v>0.58032895221244973</v>
      </c>
      <c r="AB1447">
        <f>EV_Data4[[#This Row],[horsepower]]+EV_Data4[[#This Row],[torque_nm]]/EV_Data4[[#This Row],[acceleration_0_60_mph]]</f>
        <v>187.99055330634278</v>
      </c>
      <c r="AC1447" t="str">
        <f>IF(EV_Data4[[#This Row],[price_usd]]&gt;=80000,"Luxury",IF(EV_Data4[[#This Row],[price_usd]]&gt;=40000,"Mid-Range","Budget"))</f>
        <v>Budget</v>
      </c>
      <c r="AD1447" t="str">
        <f>IF(EV_Data4[[#This Row],[range_miles]]&gt;=350,"Long-Range",IF(EV_Data4[[#This Row],[range_miles]]&gt;=250,"Medium-Range","Short-Range"))</f>
        <v>Short-Range</v>
      </c>
      <c r="AE1447" t="str">
        <f>IF(EV_Data4[[#This Row],[charging_speed_kw]]&gt;=250,"Ultra-Fast",IF(EV_Data4[[#This Row],[charging_speed_kw]]&gt;=150,"Fast-Charging","Standard-Charging"))</f>
        <v>Fast-Charging</v>
      </c>
      <c r="AF1447" t="str">
        <f>IF(EV_Data4[[#This Row],[acceleration_0_60_mph]]&lt;=3,"SportsPerformance",IF(EV_Data4[[#This Row],[acceleration_0_60_mph]]&lt;=5,"HighPerformance","Standard"))</f>
        <v>Standard</v>
      </c>
      <c r="AG1447" t="str">
        <f>IF(EV_Data4[[#This Row],[customer_rating]]&gt;=4.5,"Excellent",IF(EV_Data4[[#This Row],[customer_rating]]&gt;=3.5,"Good","Average"))</f>
        <v>Average</v>
      </c>
      <c r="AH144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48" spans="1:34" x14ac:dyDescent="0.3">
      <c r="A1448" t="s">
        <v>38</v>
      </c>
      <c r="B1448" t="s">
        <v>118</v>
      </c>
      <c r="C1448">
        <v>2023</v>
      </c>
      <c r="D1448" t="s">
        <v>26</v>
      </c>
      <c r="E1448" s="3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27</v>
      </c>
      <c r="N1448">
        <v>5</v>
      </c>
      <c r="O1448" t="s">
        <v>58</v>
      </c>
      <c r="P1448">
        <v>31.4</v>
      </c>
      <c r="Q1448">
        <v>1903</v>
      </c>
      <c r="R1448">
        <v>4</v>
      </c>
      <c r="S1448">
        <v>2</v>
      </c>
      <c r="T1448" t="s">
        <v>41</v>
      </c>
      <c r="U1448" t="s">
        <v>37</v>
      </c>
      <c r="V1448" s="3">
        <v>14040</v>
      </c>
      <c r="W1448">
        <v>3.76</v>
      </c>
      <c r="X1448">
        <v>4</v>
      </c>
      <c r="Y1448" s="1">
        <f>EV_Data4[[#This Row],[range_miles]]/EV_Data4[[#This Row],[battery_capacity_kwh]]</f>
        <v>3.4968017057569298</v>
      </c>
      <c r="Z1448" s="4">
        <f>EV_Data4[[#This Row],[price_usd]]/EV_Data4[[#This Row],[range_miles]]</f>
        <v>130.93942073170732</v>
      </c>
      <c r="AA1448" s="2">
        <f>(EV_Data4[[#This Row],[customer_rating]]*EV_Data4[[#This Row],[safety_rating]]*1000)/EV_Data4[[#This Row],[price_usd]]</f>
        <v>0.35018986856936496</v>
      </c>
      <c r="AB1448">
        <f>EV_Data4[[#This Row],[horsepower]]+EV_Data4[[#This Row],[torque_nm]]/EV_Data4[[#This Row],[acceleration_0_60_mph]]</f>
        <v>552.06756756756761</v>
      </c>
      <c r="AC1448" t="str">
        <f>IF(EV_Data4[[#This Row],[price_usd]]&gt;=80000,"Luxury",IF(EV_Data4[[#This Row],[price_usd]]&gt;=40000,"Mid-Range","Budget"))</f>
        <v>Mid-Range</v>
      </c>
      <c r="AD1448" t="str">
        <f>IF(EV_Data4[[#This Row],[range_miles]]&gt;=350,"Long-Range",IF(EV_Data4[[#This Row],[range_miles]]&gt;=250,"Medium-Range","Short-Range"))</f>
        <v>Medium-Range</v>
      </c>
      <c r="AE1448" t="str">
        <f>IF(EV_Data4[[#This Row],[charging_speed_kw]]&gt;=250,"Ultra-Fast",IF(EV_Data4[[#This Row],[charging_speed_kw]]&gt;=150,"Fast-Charging","Standard-Charging"))</f>
        <v>Fast-Charging</v>
      </c>
      <c r="AF1448" t="str">
        <f>IF(EV_Data4[[#This Row],[acceleration_0_60_mph]]&lt;=3,"SportsPerformance",IF(EV_Data4[[#This Row],[acceleration_0_60_mph]]&lt;=5,"HighPerformance","Standard"))</f>
        <v>SportsPerformance</v>
      </c>
      <c r="AG1448" t="str">
        <f>IF(EV_Data4[[#This Row],[customer_rating]]&gt;=4.5,"Excellent",IF(EV_Data4[[#This Row],[customer_rating]]&gt;=3.5,"Good","Average"))</f>
        <v>Good</v>
      </c>
      <c r="AH144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49" spans="1:34" x14ac:dyDescent="0.3">
      <c r="A1449" t="s">
        <v>52</v>
      </c>
      <c r="B1449" t="s">
        <v>103</v>
      </c>
      <c r="C1449">
        <v>2022</v>
      </c>
      <c r="D1449" t="s">
        <v>44</v>
      </c>
      <c r="E1449" s="3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34</v>
      </c>
      <c r="N1449">
        <v>5</v>
      </c>
      <c r="O1449" t="s">
        <v>50</v>
      </c>
      <c r="P1449">
        <v>33.799999999999997</v>
      </c>
      <c r="Q1449">
        <v>1500</v>
      </c>
      <c r="R1449">
        <v>5</v>
      </c>
      <c r="S1449">
        <v>2</v>
      </c>
      <c r="T1449" t="s">
        <v>29</v>
      </c>
      <c r="U1449" t="s">
        <v>30</v>
      </c>
      <c r="V1449" s="3">
        <v>39100</v>
      </c>
      <c r="W1449">
        <v>3.99</v>
      </c>
      <c r="X1449">
        <v>8</v>
      </c>
      <c r="Y1449" s="1">
        <f>EV_Data4[[#This Row],[range_miles]]/EV_Data4[[#This Row],[battery_capacity_kwh]]</f>
        <v>3.5174953959484347</v>
      </c>
      <c r="Z1449" s="4">
        <f>EV_Data4[[#This Row],[price_usd]]/EV_Data4[[#This Row],[range_miles]]</f>
        <v>261.82497382198954</v>
      </c>
      <c r="AA1449" s="2">
        <f>(EV_Data4[[#This Row],[customer_rating]]*EV_Data4[[#This Row],[safety_rating]]*1000)/EV_Data4[[#This Row],[price_usd]]</f>
        <v>0.19946581155989868</v>
      </c>
      <c r="AB1449">
        <f>EV_Data4[[#This Row],[horsepower]]+EV_Data4[[#This Row],[torque_nm]]/EV_Data4[[#This Row],[acceleration_0_60_mph]]</f>
        <v>625.06271777003485</v>
      </c>
      <c r="AC1449" t="str">
        <f>IF(EV_Data4[[#This Row],[price_usd]]&gt;=80000,"Luxury",IF(EV_Data4[[#This Row],[price_usd]]&gt;=40000,"Mid-Range","Budget"))</f>
        <v>Luxury</v>
      </c>
      <c r="AD1449" t="str">
        <f>IF(EV_Data4[[#This Row],[range_miles]]&gt;=350,"Long-Range",IF(EV_Data4[[#This Row],[range_miles]]&gt;=250,"Medium-Range","Short-Range"))</f>
        <v>Long-Range</v>
      </c>
      <c r="AE1449" t="str">
        <f>IF(EV_Data4[[#This Row],[charging_speed_kw]]&gt;=250,"Ultra-Fast",IF(EV_Data4[[#This Row],[charging_speed_kw]]&gt;=150,"Fast-Charging","Standard-Charging"))</f>
        <v>Standard-Charging</v>
      </c>
      <c r="AF1449" t="str">
        <f>IF(EV_Data4[[#This Row],[acceleration_0_60_mph]]&lt;=3,"SportsPerformance",IF(EV_Data4[[#This Row],[acceleration_0_60_mph]]&lt;=5,"HighPerformance","Standard"))</f>
        <v>Standard</v>
      </c>
      <c r="AG1449" t="str">
        <f>IF(EV_Data4[[#This Row],[customer_rating]]&gt;=4.5,"Excellent",IF(EV_Data4[[#This Row],[customer_rating]]&gt;=3.5,"Good","Average"))</f>
        <v>Good</v>
      </c>
      <c r="AH144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50" spans="1:34" x14ac:dyDescent="0.3">
      <c r="A1450" t="s">
        <v>31</v>
      </c>
      <c r="B1450" t="s">
        <v>112</v>
      </c>
      <c r="C1450">
        <v>2026</v>
      </c>
      <c r="D1450" t="s">
        <v>26</v>
      </c>
      <c r="E1450" s="3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48</v>
      </c>
      <c r="N1450">
        <v>5</v>
      </c>
      <c r="O1450" t="s">
        <v>58</v>
      </c>
      <c r="P1450">
        <v>37.5</v>
      </c>
      <c r="Q1450">
        <v>1549</v>
      </c>
      <c r="R1450">
        <v>4</v>
      </c>
      <c r="S1450">
        <v>0</v>
      </c>
      <c r="T1450" t="s">
        <v>36</v>
      </c>
      <c r="U1450" t="s">
        <v>30</v>
      </c>
      <c r="V1450" s="3">
        <v>12763</v>
      </c>
      <c r="W1450">
        <v>3.93</v>
      </c>
      <c r="X1450">
        <v>4</v>
      </c>
      <c r="Y1450" s="1">
        <f>EV_Data4[[#This Row],[range_miles]]/EV_Data4[[#This Row],[battery_capacity_kwh]]</f>
        <v>3.2854578096947935</v>
      </c>
      <c r="Z1450" s="4">
        <f>EV_Data4[[#This Row],[price_usd]]/EV_Data4[[#This Row],[range_miles]]</f>
        <v>297.02904371584702</v>
      </c>
      <c r="AA1450" s="2">
        <f>(EV_Data4[[#This Row],[customer_rating]]*EV_Data4[[#This Row],[safety_rating]]*1000)/EV_Data4[[#This Row],[price_usd]]</f>
        <v>0.14460141383756422</v>
      </c>
      <c r="AB1450">
        <f>EV_Data4[[#This Row],[horsepower]]+EV_Data4[[#This Row],[torque_nm]]/EV_Data4[[#This Row],[acceleration_0_60_mph]]</f>
        <v>1280</v>
      </c>
      <c r="AC1450" t="str">
        <f>IF(EV_Data4[[#This Row],[price_usd]]&gt;=80000,"Luxury",IF(EV_Data4[[#This Row],[price_usd]]&gt;=40000,"Mid-Range","Budget"))</f>
        <v>Luxury</v>
      </c>
      <c r="AD1450" t="str">
        <f>IF(EV_Data4[[#This Row],[range_miles]]&gt;=350,"Long-Range",IF(EV_Data4[[#This Row],[range_miles]]&gt;=250,"Medium-Range","Short-Range"))</f>
        <v>Long-Range</v>
      </c>
      <c r="AE1450" t="str">
        <f>IF(EV_Data4[[#This Row],[charging_speed_kw]]&gt;=250,"Ultra-Fast",IF(EV_Data4[[#This Row],[charging_speed_kw]]&gt;=150,"Fast-Charging","Standard-Charging"))</f>
        <v>Fast-Charging</v>
      </c>
      <c r="AF1450" t="str">
        <f>IF(EV_Data4[[#This Row],[acceleration_0_60_mph]]&lt;=3,"SportsPerformance",IF(EV_Data4[[#This Row],[acceleration_0_60_mph]]&lt;=5,"HighPerformance","Standard"))</f>
        <v>HighPerformance</v>
      </c>
      <c r="AG1450" t="str">
        <f>IF(EV_Data4[[#This Row],[customer_rating]]&gt;=4.5,"Excellent",IF(EV_Data4[[#This Row],[customer_rating]]&gt;=3.5,"Good","Average"))</f>
        <v>Good</v>
      </c>
      <c r="AH145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51" spans="1:34" x14ac:dyDescent="0.3">
      <c r="A1451" t="s">
        <v>83</v>
      </c>
      <c r="B1451" t="s">
        <v>84</v>
      </c>
      <c r="C1451">
        <v>2026</v>
      </c>
      <c r="D1451" t="s">
        <v>26</v>
      </c>
      <c r="E1451" s="3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27</v>
      </c>
      <c r="N1451">
        <v>7</v>
      </c>
      <c r="O1451" t="s">
        <v>40</v>
      </c>
      <c r="P1451">
        <v>70.599999999999994</v>
      </c>
      <c r="Q1451">
        <v>1639</v>
      </c>
      <c r="R1451">
        <v>5</v>
      </c>
      <c r="S1451">
        <v>1</v>
      </c>
      <c r="T1451" t="s">
        <v>29</v>
      </c>
      <c r="U1451" t="s">
        <v>33</v>
      </c>
      <c r="V1451" s="3">
        <v>54809</v>
      </c>
      <c r="W1451">
        <v>3.45</v>
      </c>
      <c r="X1451">
        <v>7</v>
      </c>
      <c r="Y1451" s="1">
        <f>EV_Data4[[#This Row],[range_miles]]/EV_Data4[[#This Row],[battery_capacity_kwh]]</f>
        <v>3.2552083333333335</v>
      </c>
      <c r="Z1451" s="4">
        <f>EV_Data4[[#This Row],[price_usd]]/EV_Data4[[#This Row],[range_miles]]</f>
        <v>385.89984000000004</v>
      </c>
      <c r="AA1451" s="2">
        <f>(EV_Data4[[#This Row],[customer_rating]]*EV_Data4[[#This Row],[safety_rating]]*1000)/EV_Data4[[#This Row],[price_usd]]</f>
        <v>0.17880287278688686</v>
      </c>
      <c r="AB1451">
        <f>EV_Data4[[#This Row],[horsepower]]+EV_Data4[[#This Row],[torque_nm]]/EV_Data4[[#This Row],[acceleration_0_60_mph]]</f>
        <v>941.12256267409475</v>
      </c>
      <c r="AC1451" t="str">
        <f>IF(EV_Data4[[#This Row],[price_usd]]&gt;=80000,"Luxury",IF(EV_Data4[[#This Row],[price_usd]]&gt;=40000,"Mid-Range","Budget"))</f>
        <v>Luxury</v>
      </c>
      <c r="AD1451" t="str">
        <f>IF(EV_Data4[[#This Row],[range_miles]]&gt;=350,"Long-Range",IF(EV_Data4[[#This Row],[range_miles]]&gt;=250,"Medium-Range","Short-Range"))</f>
        <v>Medium-Range</v>
      </c>
      <c r="AE1451" t="str">
        <f>IF(EV_Data4[[#This Row],[charging_speed_kw]]&gt;=250,"Ultra-Fast",IF(EV_Data4[[#This Row],[charging_speed_kw]]&gt;=150,"Fast-Charging","Standard-Charging"))</f>
        <v>Fast-Charging</v>
      </c>
      <c r="AF1451" t="str">
        <f>IF(EV_Data4[[#This Row],[acceleration_0_60_mph]]&lt;=3,"SportsPerformance",IF(EV_Data4[[#This Row],[acceleration_0_60_mph]]&lt;=5,"HighPerformance","Standard"))</f>
        <v>HighPerformance</v>
      </c>
      <c r="AG1451" t="str">
        <f>IF(EV_Data4[[#This Row],[customer_rating]]&gt;=4.5,"Excellent",IF(EV_Data4[[#This Row],[customer_rating]]&gt;=3.5,"Good","Average"))</f>
        <v>Average</v>
      </c>
      <c r="AH145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52" spans="1:34" x14ac:dyDescent="0.3">
      <c r="A1452" t="s">
        <v>68</v>
      </c>
      <c r="B1452" t="s">
        <v>109</v>
      </c>
      <c r="C1452">
        <v>2025</v>
      </c>
      <c r="D1452" t="s">
        <v>61</v>
      </c>
      <c r="E1452" s="3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27</v>
      </c>
      <c r="N1452">
        <v>5</v>
      </c>
      <c r="O1452" t="s">
        <v>35</v>
      </c>
      <c r="P1452">
        <v>62.9</v>
      </c>
      <c r="Q1452">
        <v>2024</v>
      </c>
      <c r="R1452">
        <v>5</v>
      </c>
      <c r="S1452">
        <v>2</v>
      </c>
      <c r="T1452" t="s">
        <v>45</v>
      </c>
      <c r="U1452" t="s">
        <v>66</v>
      </c>
      <c r="V1452" s="3">
        <v>138439</v>
      </c>
      <c r="W1452">
        <v>3.06</v>
      </c>
      <c r="X1452">
        <v>5</v>
      </c>
      <c r="Y1452" s="1">
        <f>EV_Data4[[#This Row],[range_miles]]/EV_Data4[[#This Row],[battery_capacity_kwh]]</f>
        <v>3.9423076923076921</v>
      </c>
      <c r="Z1452" s="4">
        <f>EV_Data4[[#This Row],[price_usd]]/EV_Data4[[#This Row],[range_miles]]</f>
        <v>201.99975609756098</v>
      </c>
      <c r="AA1452" s="2">
        <f>(EV_Data4[[#This Row],[customer_rating]]*EV_Data4[[#This Row],[safety_rating]]*1000)/EV_Data4[[#This Row],[price_usd]]</f>
        <v>0.46184552263405293</v>
      </c>
      <c r="AB1452">
        <f>EV_Data4[[#This Row],[horsepower]]+EV_Data4[[#This Row],[torque_nm]]/EV_Data4[[#This Row],[acceleration_0_60_mph]]</f>
        <v>270.91656131479141</v>
      </c>
      <c r="AC1452" t="str">
        <f>IF(EV_Data4[[#This Row],[price_usd]]&gt;=80000,"Luxury",IF(EV_Data4[[#This Row],[price_usd]]&gt;=40000,"Mid-Range","Budget"))</f>
        <v>Budget</v>
      </c>
      <c r="AD1452" t="str">
        <f>IF(EV_Data4[[#This Row],[range_miles]]&gt;=350,"Long-Range",IF(EV_Data4[[#This Row],[range_miles]]&gt;=250,"Medium-Range","Short-Range"))</f>
        <v>Short-Range</v>
      </c>
      <c r="AE1452" t="str">
        <f>IF(EV_Data4[[#This Row],[charging_speed_kw]]&gt;=250,"Ultra-Fast",IF(EV_Data4[[#This Row],[charging_speed_kw]]&gt;=150,"Fast-Charging","Standard-Charging"))</f>
        <v>Standard-Charging</v>
      </c>
      <c r="AF1452" t="str">
        <f>IF(EV_Data4[[#This Row],[acceleration_0_60_mph]]&lt;=3,"SportsPerformance",IF(EV_Data4[[#This Row],[acceleration_0_60_mph]]&lt;=5,"HighPerformance","Standard"))</f>
        <v>Standard</v>
      </c>
      <c r="AG1452" t="str">
        <f>IF(EV_Data4[[#This Row],[customer_rating]]&gt;=4.5,"Excellent",IF(EV_Data4[[#This Row],[customer_rating]]&gt;=3.5,"Good","Average"))</f>
        <v>Average</v>
      </c>
      <c r="AH145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53" spans="1:34" x14ac:dyDescent="0.3">
      <c r="A1453" t="s">
        <v>42</v>
      </c>
      <c r="B1453" t="s">
        <v>54</v>
      </c>
      <c r="C1453">
        <v>2025</v>
      </c>
      <c r="D1453" t="s">
        <v>33</v>
      </c>
      <c r="E1453" s="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27</v>
      </c>
      <c r="N1453">
        <v>5</v>
      </c>
      <c r="O1453" t="s">
        <v>35</v>
      </c>
      <c r="P1453">
        <v>49.3</v>
      </c>
      <c r="Q1453">
        <v>1711</v>
      </c>
      <c r="R1453">
        <v>5</v>
      </c>
      <c r="S1453">
        <v>2</v>
      </c>
      <c r="T1453" t="s">
        <v>45</v>
      </c>
      <c r="U1453" t="s">
        <v>37</v>
      </c>
      <c r="V1453" s="3">
        <v>62015</v>
      </c>
      <c r="W1453">
        <v>3.3</v>
      </c>
      <c r="X1453">
        <v>3</v>
      </c>
      <c r="Y1453" s="1">
        <f>EV_Data4[[#This Row],[range_miles]]/EV_Data4[[#This Row],[battery_capacity_kwh]]</f>
        <v>3.3555555555555556</v>
      </c>
      <c r="Z1453" s="4">
        <f>EV_Data4[[#This Row],[price_usd]]/EV_Data4[[#This Row],[range_miles]]</f>
        <v>348.77284768211916</v>
      </c>
      <c r="AA1453" s="2">
        <f>(EV_Data4[[#This Row],[customer_rating]]*EV_Data4[[#This Row],[safety_rating]]*1000)/EV_Data4[[#This Row],[price_usd]]</f>
        <v>0.31330283852371704</v>
      </c>
      <c r="AB1453">
        <f>EV_Data4[[#This Row],[horsepower]]+EV_Data4[[#This Row],[torque_nm]]/EV_Data4[[#This Row],[acceleration_0_60_mph]]</f>
        <v>625.98429319371724</v>
      </c>
      <c r="AC1453" t="str">
        <f>IF(EV_Data4[[#This Row],[price_usd]]&gt;=80000,"Luxury",IF(EV_Data4[[#This Row],[price_usd]]&gt;=40000,"Mid-Range","Budget"))</f>
        <v>Mid-Range</v>
      </c>
      <c r="AD1453" t="str">
        <f>IF(EV_Data4[[#This Row],[range_miles]]&gt;=350,"Long-Range",IF(EV_Data4[[#This Row],[range_miles]]&gt;=250,"Medium-Range","Short-Range"))</f>
        <v>Short-Range</v>
      </c>
      <c r="AE1453" t="str">
        <f>IF(EV_Data4[[#This Row],[charging_speed_kw]]&gt;=250,"Ultra-Fast",IF(EV_Data4[[#This Row],[charging_speed_kw]]&gt;=150,"Fast-Charging","Standard-Charging"))</f>
        <v>Standard-Charging</v>
      </c>
      <c r="AF1453" t="str">
        <f>IF(EV_Data4[[#This Row],[acceleration_0_60_mph]]&lt;=3,"SportsPerformance",IF(EV_Data4[[#This Row],[acceleration_0_60_mph]]&lt;=5,"HighPerformance","Standard"))</f>
        <v>Standard</v>
      </c>
      <c r="AG1453" t="str">
        <f>IF(EV_Data4[[#This Row],[customer_rating]]&gt;=4.5,"Excellent",IF(EV_Data4[[#This Row],[customer_rating]]&gt;=3.5,"Good","Average"))</f>
        <v>Average</v>
      </c>
      <c r="AH145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54" spans="1:34" x14ac:dyDescent="0.3">
      <c r="A1454" t="s">
        <v>52</v>
      </c>
      <c r="B1454" t="s">
        <v>97</v>
      </c>
      <c r="C1454">
        <v>2022</v>
      </c>
      <c r="D1454" t="s">
        <v>44</v>
      </c>
      <c r="E1454" s="3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27</v>
      </c>
      <c r="N1454">
        <v>7</v>
      </c>
      <c r="O1454" t="s">
        <v>35</v>
      </c>
      <c r="P1454">
        <v>68.400000000000006</v>
      </c>
      <c r="Q1454">
        <v>1923</v>
      </c>
      <c r="R1454">
        <v>4</v>
      </c>
      <c r="S1454">
        <v>1</v>
      </c>
      <c r="T1454" t="s">
        <v>29</v>
      </c>
      <c r="U1454" t="s">
        <v>30</v>
      </c>
      <c r="V1454" s="3">
        <v>75929</v>
      </c>
      <c r="W1454">
        <v>3.88</v>
      </c>
      <c r="X1454">
        <v>5</v>
      </c>
      <c r="Y1454" s="1">
        <f>EV_Data4[[#This Row],[range_miles]]/EV_Data4[[#This Row],[battery_capacity_kwh]]</f>
        <v>3.6692223439211391</v>
      </c>
      <c r="Z1454" s="4">
        <f>EV_Data4[[#This Row],[price_usd]]/EV_Data4[[#This Row],[range_miles]]</f>
        <v>350.33382089552236</v>
      </c>
      <c r="AA1454" s="2">
        <f>(EV_Data4[[#This Row],[customer_rating]]*EV_Data4[[#This Row],[safety_rating]]*1000)/EV_Data4[[#This Row],[price_usd]]</f>
        <v>0.13224061008591975</v>
      </c>
      <c r="AB1454">
        <f>EV_Data4[[#This Row],[horsepower]]+EV_Data4[[#This Row],[torque_nm]]/EV_Data4[[#This Row],[acceleration_0_60_mph]]</f>
        <v>787.25855513307988</v>
      </c>
      <c r="AC1454" t="str">
        <f>IF(EV_Data4[[#This Row],[price_usd]]&gt;=80000,"Luxury",IF(EV_Data4[[#This Row],[price_usd]]&gt;=40000,"Mid-Range","Budget"))</f>
        <v>Luxury</v>
      </c>
      <c r="AD1454" t="str">
        <f>IF(EV_Data4[[#This Row],[range_miles]]&gt;=350,"Long-Range",IF(EV_Data4[[#This Row],[range_miles]]&gt;=250,"Medium-Range","Short-Range"))</f>
        <v>Medium-Range</v>
      </c>
      <c r="AE1454" t="str">
        <f>IF(EV_Data4[[#This Row],[charging_speed_kw]]&gt;=250,"Ultra-Fast",IF(EV_Data4[[#This Row],[charging_speed_kw]]&gt;=150,"Fast-Charging","Standard-Charging"))</f>
        <v>Standard-Charging</v>
      </c>
      <c r="AF1454" t="str">
        <f>IF(EV_Data4[[#This Row],[acceleration_0_60_mph]]&lt;=3,"SportsPerformance",IF(EV_Data4[[#This Row],[acceleration_0_60_mph]]&lt;=5,"HighPerformance","Standard"))</f>
        <v>Standard</v>
      </c>
      <c r="AG1454" t="str">
        <f>IF(EV_Data4[[#This Row],[customer_rating]]&gt;=4.5,"Excellent",IF(EV_Data4[[#This Row],[customer_rating]]&gt;=3.5,"Good","Average"))</f>
        <v>Good</v>
      </c>
      <c r="AH145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55" spans="1:34" x14ac:dyDescent="0.3">
      <c r="A1455" t="s">
        <v>42</v>
      </c>
      <c r="B1455" t="s">
        <v>71</v>
      </c>
      <c r="C1455">
        <v>2024</v>
      </c>
      <c r="D1455" t="s">
        <v>33</v>
      </c>
      <c r="E1455" s="3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34</v>
      </c>
      <c r="N1455">
        <v>5</v>
      </c>
      <c r="O1455" t="s">
        <v>40</v>
      </c>
      <c r="P1455">
        <v>79.400000000000006</v>
      </c>
      <c r="Q1455">
        <v>1684</v>
      </c>
      <c r="R1455">
        <v>4</v>
      </c>
      <c r="S1455">
        <v>1</v>
      </c>
      <c r="T1455" t="s">
        <v>45</v>
      </c>
      <c r="U1455" t="s">
        <v>33</v>
      </c>
      <c r="V1455" s="3">
        <v>124978</v>
      </c>
      <c r="W1455">
        <v>3.57</v>
      </c>
      <c r="X1455">
        <v>5</v>
      </c>
      <c r="Y1455" s="1">
        <f>EV_Data4[[#This Row],[range_miles]]/EV_Data4[[#This Row],[battery_capacity_kwh]]</f>
        <v>3.4397677793904204</v>
      </c>
      <c r="Z1455" s="4">
        <f>EV_Data4[[#This Row],[price_usd]]/EV_Data4[[#This Row],[range_miles]]</f>
        <v>387.83569620253161</v>
      </c>
      <c r="AA1455" s="2">
        <f>(EV_Data4[[#This Row],[customer_rating]]*EV_Data4[[#This Row],[safety_rating]]*1000)/EV_Data4[[#This Row],[price_usd]]</f>
        <v>0.15535744942233792</v>
      </c>
      <c r="AB1455">
        <f>EV_Data4[[#This Row],[horsepower]]+EV_Data4[[#This Row],[torque_nm]]/EV_Data4[[#This Row],[acceleration_0_60_mph]]</f>
        <v>1145.1043338683787</v>
      </c>
      <c r="AC1455" t="str">
        <f>IF(EV_Data4[[#This Row],[price_usd]]&gt;=80000,"Luxury",IF(EV_Data4[[#This Row],[price_usd]]&gt;=40000,"Mid-Range","Budget"))</f>
        <v>Luxury</v>
      </c>
      <c r="AD1455" t="str">
        <f>IF(EV_Data4[[#This Row],[range_miles]]&gt;=350,"Long-Range",IF(EV_Data4[[#This Row],[range_miles]]&gt;=250,"Medium-Range","Short-Range"))</f>
        <v>Short-Range</v>
      </c>
      <c r="AE1455" t="str">
        <f>IF(EV_Data4[[#This Row],[charging_speed_kw]]&gt;=250,"Ultra-Fast",IF(EV_Data4[[#This Row],[charging_speed_kw]]&gt;=150,"Fast-Charging","Standard-Charging"))</f>
        <v>Standard-Charging</v>
      </c>
      <c r="AF1455" t="str">
        <f>IF(EV_Data4[[#This Row],[acceleration_0_60_mph]]&lt;=3,"SportsPerformance",IF(EV_Data4[[#This Row],[acceleration_0_60_mph]]&lt;=5,"HighPerformance","Standard"))</f>
        <v>Standard</v>
      </c>
      <c r="AG1455" t="str">
        <f>IF(EV_Data4[[#This Row],[customer_rating]]&gt;=4.5,"Excellent",IF(EV_Data4[[#This Row],[customer_rating]]&gt;=3.5,"Good","Average"))</f>
        <v>Good</v>
      </c>
      <c r="AH145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56" spans="1:34" x14ac:dyDescent="0.3">
      <c r="A1456" t="s">
        <v>46</v>
      </c>
      <c r="B1456" t="s">
        <v>47</v>
      </c>
      <c r="C1456">
        <v>2023</v>
      </c>
      <c r="D1456" t="s">
        <v>61</v>
      </c>
      <c r="E1456" s="3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48</v>
      </c>
      <c r="N1456">
        <v>5</v>
      </c>
      <c r="O1456" t="s">
        <v>28</v>
      </c>
      <c r="P1456">
        <v>73.7</v>
      </c>
      <c r="Q1456">
        <v>2335</v>
      </c>
      <c r="R1456">
        <v>5</v>
      </c>
      <c r="S1456">
        <v>2</v>
      </c>
      <c r="T1456" t="s">
        <v>41</v>
      </c>
      <c r="U1456" t="s">
        <v>30</v>
      </c>
      <c r="V1456" s="3">
        <v>132614</v>
      </c>
      <c r="W1456">
        <v>3.6</v>
      </c>
      <c r="X1456">
        <v>5</v>
      </c>
      <c r="Y1456" s="1">
        <f>EV_Data4[[#This Row],[range_miles]]/EV_Data4[[#This Row],[battery_capacity_kwh]]</f>
        <v>3.9473684210526319</v>
      </c>
      <c r="Z1456" s="4">
        <f>EV_Data4[[#This Row],[price_usd]]/EV_Data4[[#This Row],[range_miles]]</f>
        <v>536.24316666666664</v>
      </c>
      <c r="AA1456" s="2">
        <f>(EV_Data4[[#This Row],[customer_rating]]*EV_Data4[[#This Row],[safety_rating]]*1000)/EV_Data4[[#This Row],[price_usd]]</f>
        <v>0.13986192209442297</v>
      </c>
      <c r="AB1456">
        <f>EV_Data4[[#This Row],[horsepower]]+EV_Data4[[#This Row],[torque_nm]]/EV_Data4[[#This Row],[acceleration_0_60_mph]]</f>
        <v>1047.8475609756097</v>
      </c>
      <c r="AC1456" t="str">
        <f>IF(EV_Data4[[#This Row],[price_usd]]&gt;=80000,"Luxury",IF(EV_Data4[[#This Row],[price_usd]]&gt;=40000,"Mid-Range","Budget"))</f>
        <v>Luxury</v>
      </c>
      <c r="AD1456" t="str">
        <f>IF(EV_Data4[[#This Row],[range_miles]]&gt;=350,"Long-Range",IF(EV_Data4[[#This Row],[range_miles]]&gt;=250,"Medium-Range","Short-Range"))</f>
        <v>Short-Range</v>
      </c>
      <c r="AE1456" t="str">
        <f>IF(EV_Data4[[#This Row],[charging_speed_kw]]&gt;=250,"Ultra-Fast",IF(EV_Data4[[#This Row],[charging_speed_kw]]&gt;=150,"Fast-Charging","Standard-Charging"))</f>
        <v>Fast-Charging</v>
      </c>
      <c r="AF1456" t="str">
        <f>IF(EV_Data4[[#This Row],[acceleration_0_60_mph]]&lt;=3,"SportsPerformance",IF(EV_Data4[[#This Row],[acceleration_0_60_mph]]&lt;=5,"HighPerformance","Standard"))</f>
        <v>Standard</v>
      </c>
      <c r="AG1456" t="str">
        <f>IF(EV_Data4[[#This Row],[customer_rating]]&gt;=4.5,"Excellent",IF(EV_Data4[[#This Row],[customer_rating]]&gt;=3.5,"Good","Average"))</f>
        <v>Good</v>
      </c>
      <c r="AH145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57" spans="1:34" x14ac:dyDescent="0.3">
      <c r="A1457" t="s">
        <v>94</v>
      </c>
      <c r="B1457" t="s">
        <v>120</v>
      </c>
      <c r="C1457">
        <v>2025</v>
      </c>
      <c r="D1457" t="s">
        <v>33</v>
      </c>
      <c r="E1457" s="3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48</v>
      </c>
      <c r="N1457">
        <v>5</v>
      </c>
      <c r="O1457" t="s">
        <v>58</v>
      </c>
      <c r="P1457">
        <v>33.5</v>
      </c>
      <c r="Q1457">
        <v>1592</v>
      </c>
      <c r="R1457">
        <v>4</v>
      </c>
      <c r="S1457">
        <v>1</v>
      </c>
      <c r="T1457" t="s">
        <v>41</v>
      </c>
      <c r="U1457" t="s">
        <v>30</v>
      </c>
      <c r="V1457" s="3">
        <v>10726</v>
      </c>
      <c r="W1457">
        <v>3</v>
      </c>
      <c r="X1457">
        <v>6</v>
      </c>
      <c r="Y1457" s="1">
        <f>EV_Data4[[#This Row],[range_miles]]/EV_Data4[[#This Row],[battery_capacity_kwh]]</f>
        <v>3.6342592592592591</v>
      </c>
      <c r="Z1457" s="4">
        <f>EV_Data4[[#This Row],[price_usd]]/EV_Data4[[#This Row],[range_miles]]</f>
        <v>638.37509554140127</v>
      </c>
      <c r="AA1457" s="2">
        <f>(EV_Data4[[#This Row],[customer_rating]]*EV_Data4[[#This Row],[safety_rating]]*1000)/EV_Data4[[#This Row],[price_usd]]</f>
        <v>0.11973073754433654</v>
      </c>
      <c r="AB1457">
        <f>EV_Data4[[#This Row],[horsepower]]+EV_Data4[[#This Row],[torque_nm]]/EV_Data4[[#This Row],[acceleration_0_60_mph]]</f>
        <v>1133.6764705882354</v>
      </c>
      <c r="AC1457" t="str">
        <f>IF(EV_Data4[[#This Row],[price_usd]]&gt;=80000,"Luxury",IF(EV_Data4[[#This Row],[price_usd]]&gt;=40000,"Mid-Range","Budget"))</f>
        <v>Luxury</v>
      </c>
      <c r="AD1457" t="str">
        <f>IF(EV_Data4[[#This Row],[range_miles]]&gt;=350,"Long-Range",IF(EV_Data4[[#This Row],[range_miles]]&gt;=250,"Medium-Range","Short-Range"))</f>
        <v>Short-Range</v>
      </c>
      <c r="AE1457" t="str">
        <f>IF(EV_Data4[[#This Row],[charging_speed_kw]]&gt;=250,"Ultra-Fast",IF(EV_Data4[[#This Row],[charging_speed_kw]]&gt;=150,"Fast-Charging","Standard-Charging"))</f>
        <v>Standard-Charging</v>
      </c>
      <c r="AF1457" t="str">
        <f>IF(EV_Data4[[#This Row],[acceleration_0_60_mph]]&lt;=3,"SportsPerformance",IF(EV_Data4[[#This Row],[acceleration_0_60_mph]]&lt;=5,"HighPerformance","Standard"))</f>
        <v>Standard</v>
      </c>
      <c r="AG1457" t="str">
        <f>IF(EV_Data4[[#This Row],[customer_rating]]&gt;=4.5,"Excellent",IF(EV_Data4[[#This Row],[customer_rating]]&gt;=3.5,"Good","Average"))</f>
        <v>Average</v>
      </c>
      <c r="AH145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58" spans="1:34" x14ac:dyDescent="0.3">
      <c r="A1458" t="s">
        <v>83</v>
      </c>
      <c r="B1458" t="s">
        <v>116</v>
      </c>
      <c r="C1458">
        <v>2025</v>
      </c>
      <c r="D1458" t="s">
        <v>56</v>
      </c>
      <c r="E1458" s="3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48</v>
      </c>
      <c r="N1458">
        <v>7</v>
      </c>
      <c r="O1458" t="s">
        <v>51</v>
      </c>
      <c r="P1458">
        <v>33</v>
      </c>
      <c r="Q1458">
        <v>1861</v>
      </c>
      <c r="R1458">
        <v>5</v>
      </c>
      <c r="S1458">
        <v>1</v>
      </c>
      <c r="T1458" t="s">
        <v>29</v>
      </c>
      <c r="U1458" t="s">
        <v>33</v>
      </c>
      <c r="V1458" s="3">
        <v>50876</v>
      </c>
      <c r="W1458">
        <v>3.34</v>
      </c>
      <c r="X1458">
        <v>6</v>
      </c>
      <c r="Y1458" s="1">
        <f>EV_Data4[[#This Row],[range_miles]]/EV_Data4[[#This Row],[battery_capacity_kwh]]</f>
        <v>3.7846153846153845</v>
      </c>
      <c r="Z1458" s="4">
        <f>EV_Data4[[#This Row],[price_usd]]/EV_Data4[[#This Row],[range_miles]]</f>
        <v>271.52483739837396</v>
      </c>
      <c r="AA1458" s="2">
        <f>(EV_Data4[[#This Row],[customer_rating]]*EV_Data4[[#This Row],[safety_rating]]*1000)/EV_Data4[[#This Row],[price_usd]]</f>
        <v>0.25001830223799315</v>
      </c>
      <c r="AB1458">
        <f>EV_Data4[[#This Row],[horsepower]]+EV_Data4[[#This Row],[torque_nm]]/EV_Data4[[#This Row],[acceleration_0_60_mph]]</f>
        <v>416.62676056338029</v>
      </c>
      <c r="AC1458" t="str">
        <f>IF(EV_Data4[[#This Row],[price_usd]]&gt;=80000,"Luxury",IF(EV_Data4[[#This Row],[price_usd]]&gt;=40000,"Mid-Range","Budget"))</f>
        <v>Mid-Range</v>
      </c>
      <c r="AD1458" t="str">
        <f>IF(EV_Data4[[#This Row],[range_miles]]&gt;=350,"Long-Range",IF(EV_Data4[[#This Row],[range_miles]]&gt;=250,"Medium-Range","Short-Range"))</f>
        <v>Short-Range</v>
      </c>
      <c r="AE1458" t="str">
        <f>IF(EV_Data4[[#This Row],[charging_speed_kw]]&gt;=250,"Ultra-Fast",IF(EV_Data4[[#This Row],[charging_speed_kw]]&gt;=150,"Fast-Charging","Standard-Charging"))</f>
        <v>Standard-Charging</v>
      </c>
      <c r="AF1458" t="str">
        <f>IF(EV_Data4[[#This Row],[acceleration_0_60_mph]]&lt;=3,"SportsPerformance",IF(EV_Data4[[#This Row],[acceleration_0_60_mph]]&lt;=5,"HighPerformance","Standard"))</f>
        <v>Standard</v>
      </c>
      <c r="AG1458" t="str">
        <f>IF(EV_Data4[[#This Row],[customer_rating]]&gt;=4.5,"Excellent",IF(EV_Data4[[#This Row],[customer_rating]]&gt;=3.5,"Good","Average"))</f>
        <v>Average</v>
      </c>
      <c r="AH145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59" spans="1:34" x14ac:dyDescent="0.3">
      <c r="A1459" t="s">
        <v>83</v>
      </c>
      <c r="B1459" t="s">
        <v>89</v>
      </c>
      <c r="C1459">
        <v>2025</v>
      </c>
      <c r="D1459" t="s">
        <v>44</v>
      </c>
      <c r="E1459" s="3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34</v>
      </c>
      <c r="N1459">
        <v>5</v>
      </c>
      <c r="O1459" t="s">
        <v>50</v>
      </c>
      <c r="P1459">
        <v>18.7</v>
      </c>
      <c r="Q1459">
        <v>1822</v>
      </c>
      <c r="R1459">
        <v>5</v>
      </c>
      <c r="S1459">
        <v>2</v>
      </c>
      <c r="T1459" t="s">
        <v>29</v>
      </c>
      <c r="U1459" t="s">
        <v>30</v>
      </c>
      <c r="V1459" s="3">
        <v>35285</v>
      </c>
      <c r="W1459">
        <v>3.65</v>
      </c>
      <c r="X1459">
        <v>5</v>
      </c>
      <c r="Y1459" s="1">
        <f>EV_Data4[[#This Row],[range_miles]]/EV_Data4[[#This Row],[battery_capacity_kwh]]</f>
        <v>3.5196687370600417</v>
      </c>
      <c r="Z1459" s="4">
        <f>EV_Data4[[#This Row],[price_usd]]/EV_Data4[[#This Row],[range_miles]]</f>
        <v>301.16579411764707</v>
      </c>
      <c r="AA1459" s="2">
        <f>(EV_Data4[[#This Row],[customer_rating]]*EV_Data4[[#This Row],[safety_rating]]*1000)/EV_Data4[[#This Row],[price_usd]]</f>
        <v>0.17822897432789855</v>
      </c>
      <c r="AB1459">
        <f>EV_Data4[[#This Row],[horsepower]]+EV_Data4[[#This Row],[torque_nm]]/EV_Data4[[#This Row],[acceleration_0_60_mph]]</f>
        <v>1020.649885583524</v>
      </c>
      <c r="AC1459" t="str">
        <f>IF(EV_Data4[[#This Row],[price_usd]]&gt;=80000,"Luxury",IF(EV_Data4[[#This Row],[price_usd]]&gt;=40000,"Mid-Range","Budget"))</f>
        <v>Luxury</v>
      </c>
      <c r="AD1459" t="str">
        <f>IF(EV_Data4[[#This Row],[range_miles]]&gt;=350,"Long-Range",IF(EV_Data4[[#This Row],[range_miles]]&gt;=250,"Medium-Range","Short-Range"))</f>
        <v>Medium-Range</v>
      </c>
      <c r="AE1459" t="str">
        <f>IF(EV_Data4[[#This Row],[charging_speed_kw]]&gt;=250,"Ultra-Fast",IF(EV_Data4[[#This Row],[charging_speed_kw]]&gt;=150,"Fast-Charging","Standard-Charging"))</f>
        <v>Standard-Charging</v>
      </c>
      <c r="AF1459" t="str">
        <f>IF(EV_Data4[[#This Row],[acceleration_0_60_mph]]&lt;=3,"SportsPerformance",IF(EV_Data4[[#This Row],[acceleration_0_60_mph]]&lt;=5,"HighPerformance","Standard"))</f>
        <v>HighPerformance</v>
      </c>
      <c r="AG1459" t="str">
        <f>IF(EV_Data4[[#This Row],[customer_rating]]&gt;=4.5,"Excellent",IF(EV_Data4[[#This Row],[customer_rating]]&gt;=3.5,"Good","Average"))</f>
        <v>Good</v>
      </c>
      <c r="AH145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60" spans="1:34" x14ac:dyDescent="0.3">
      <c r="A1460" t="s">
        <v>63</v>
      </c>
      <c r="B1460" t="s">
        <v>64</v>
      </c>
      <c r="C1460">
        <v>2025</v>
      </c>
      <c r="D1460" t="s">
        <v>44</v>
      </c>
      <c r="E1460" s="3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48</v>
      </c>
      <c r="N1460">
        <v>5</v>
      </c>
      <c r="O1460" t="s">
        <v>51</v>
      </c>
      <c r="P1460">
        <v>36.5</v>
      </c>
      <c r="Q1460">
        <v>1807</v>
      </c>
      <c r="R1460">
        <v>4</v>
      </c>
      <c r="S1460">
        <v>1</v>
      </c>
      <c r="T1460" t="s">
        <v>65</v>
      </c>
      <c r="U1460" t="s">
        <v>37</v>
      </c>
      <c r="V1460" s="3">
        <v>242908</v>
      </c>
      <c r="W1460">
        <v>4.26</v>
      </c>
      <c r="X1460">
        <v>3</v>
      </c>
      <c r="Y1460" s="1">
        <f>EV_Data4[[#This Row],[range_miles]]/EV_Data4[[#This Row],[battery_capacity_kwh]]</f>
        <v>3.594515181194907</v>
      </c>
      <c r="Z1460" s="4">
        <f>EV_Data4[[#This Row],[price_usd]]/EV_Data4[[#This Row],[range_miles]]</f>
        <v>145.16776566757494</v>
      </c>
      <c r="AA1460" s="2">
        <f>(EV_Data4[[#This Row],[customer_rating]]*EV_Data4[[#This Row],[safety_rating]]*1000)/EV_Data4[[#This Row],[price_usd]]</f>
        <v>0.31984041014652409</v>
      </c>
      <c r="AB1460">
        <f>EV_Data4[[#This Row],[horsepower]]+EV_Data4[[#This Row],[torque_nm]]/EV_Data4[[#This Row],[acceleration_0_60_mph]]</f>
        <v>613.97457627118649</v>
      </c>
      <c r="AC1460" t="str">
        <f>IF(EV_Data4[[#This Row],[price_usd]]&gt;=80000,"Luxury",IF(EV_Data4[[#This Row],[price_usd]]&gt;=40000,"Mid-Range","Budget"))</f>
        <v>Mid-Range</v>
      </c>
      <c r="AD1460" t="str">
        <f>IF(EV_Data4[[#This Row],[range_miles]]&gt;=350,"Long-Range",IF(EV_Data4[[#This Row],[range_miles]]&gt;=250,"Medium-Range","Short-Range"))</f>
        <v>Long-Range</v>
      </c>
      <c r="AE1460" t="str">
        <f>IF(EV_Data4[[#This Row],[charging_speed_kw]]&gt;=250,"Ultra-Fast",IF(EV_Data4[[#This Row],[charging_speed_kw]]&gt;=150,"Fast-Charging","Standard-Charging"))</f>
        <v>Standard-Charging</v>
      </c>
      <c r="AF1460" t="str">
        <f>IF(EV_Data4[[#This Row],[acceleration_0_60_mph]]&lt;=3,"SportsPerformance",IF(EV_Data4[[#This Row],[acceleration_0_60_mph]]&lt;=5,"HighPerformance","Standard"))</f>
        <v>HighPerformance</v>
      </c>
      <c r="AG1460" t="str">
        <f>IF(EV_Data4[[#This Row],[customer_rating]]&gt;=4.5,"Excellent",IF(EV_Data4[[#This Row],[customer_rating]]&gt;=3.5,"Good","Average"))</f>
        <v>Good</v>
      </c>
      <c r="AH146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61" spans="1:34" x14ac:dyDescent="0.3">
      <c r="A1461" t="s">
        <v>83</v>
      </c>
      <c r="B1461" t="s">
        <v>114</v>
      </c>
      <c r="C1461">
        <v>2025</v>
      </c>
      <c r="D1461" t="s">
        <v>56</v>
      </c>
      <c r="E1461" s="3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34</v>
      </c>
      <c r="N1461">
        <v>5</v>
      </c>
      <c r="O1461" t="s">
        <v>35</v>
      </c>
      <c r="P1461">
        <v>58.4</v>
      </c>
      <c r="Q1461">
        <v>2165</v>
      </c>
      <c r="R1461">
        <v>3</v>
      </c>
      <c r="S1461">
        <v>2</v>
      </c>
      <c r="T1461" t="s">
        <v>29</v>
      </c>
      <c r="U1461" t="s">
        <v>30</v>
      </c>
      <c r="V1461" s="3">
        <v>30235</v>
      </c>
      <c r="W1461">
        <v>3.27</v>
      </c>
      <c r="X1461">
        <v>6</v>
      </c>
      <c r="Y1461" s="1">
        <f>EV_Data4[[#This Row],[range_miles]]/EV_Data4[[#This Row],[battery_capacity_kwh]]</f>
        <v>3.1578947368421053</v>
      </c>
      <c r="Z1461" s="4">
        <f>EV_Data4[[#This Row],[price_usd]]/EV_Data4[[#This Row],[range_miles]]</f>
        <v>586.80500000000006</v>
      </c>
      <c r="AA1461" s="2">
        <f>(EV_Data4[[#This Row],[customer_rating]]*EV_Data4[[#This Row],[safety_rating]]*1000)/EV_Data4[[#This Row],[price_usd]]</f>
        <v>9.6078442318704826E-2</v>
      </c>
      <c r="AB1461">
        <f>EV_Data4[[#This Row],[horsepower]]+EV_Data4[[#This Row],[torque_nm]]/EV_Data4[[#This Row],[acceleration_0_60_mph]]</f>
        <v>946.8892988929889</v>
      </c>
      <c r="AC1461" t="str">
        <f>IF(EV_Data4[[#This Row],[price_usd]]&gt;=80000,"Luxury",IF(EV_Data4[[#This Row],[price_usd]]&gt;=40000,"Mid-Range","Budget"))</f>
        <v>Luxury</v>
      </c>
      <c r="AD1461" t="str">
        <f>IF(EV_Data4[[#This Row],[range_miles]]&gt;=350,"Long-Range",IF(EV_Data4[[#This Row],[range_miles]]&gt;=250,"Medium-Range","Short-Range"))</f>
        <v>Short-Range</v>
      </c>
      <c r="AE1461" t="str">
        <f>IF(EV_Data4[[#This Row],[charging_speed_kw]]&gt;=250,"Ultra-Fast",IF(EV_Data4[[#This Row],[charging_speed_kw]]&gt;=150,"Fast-Charging","Standard-Charging"))</f>
        <v>Standard-Charging</v>
      </c>
      <c r="AF1461" t="str">
        <f>IF(EV_Data4[[#This Row],[acceleration_0_60_mph]]&lt;=3,"SportsPerformance",IF(EV_Data4[[#This Row],[acceleration_0_60_mph]]&lt;=5,"HighPerformance","Standard"))</f>
        <v>Standard</v>
      </c>
      <c r="AG1461" t="str">
        <f>IF(EV_Data4[[#This Row],[customer_rating]]&gt;=4.5,"Excellent",IF(EV_Data4[[#This Row],[customer_rating]]&gt;=3.5,"Good","Average"))</f>
        <v>Average</v>
      </c>
      <c r="AH146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62" spans="1:34" x14ac:dyDescent="0.3">
      <c r="A1462" t="s">
        <v>24</v>
      </c>
      <c r="B1462" t="s">
        <v>85</v>
      </c>
      <c r="C1462">
        <v>2025</v>
      </c>
      <c r="D1462" t="s">
        <v>61</v>
      </c>
      <c r="E1462" s="3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48</v>
      </c>
      <c r="N1462">
        <v>7</v>
      </c>
      <c r="O1462" t="s">
        <v>50</v>
      </c>
      <c r="P1462">
        <v>18.600000000000001</v>
      </c>
      <c r="Q1462">
        <v>1960</v>
      </c>
      <c r="R1462">
        <v>5</v>
      </c>
      <c r="S1462">
        <v>0</v>
      </c>
      <c r="T1462" t="s">
        <v>29</v>
      </c>
      <c r="U1462" t="s">
        <v>37</v>
      </c>
      <c r="V1462" s="3">
        <v>242781</v>
      </c>
      <c r="W1462">
        <v>3.79</v>
      </c>
      <c r="X1462">
        <v>4</v>
      </c>
      <c r="Y1462" s="1">
        <f>EV_Data4[[#This Row],[range_miles]]/EV_Data4[[#This Row],[battery_capacity_kwh]]</f>
        <v>3.7535014005602236</v>
      </c>
      <c r="Z1462" s="4">
        <f>EV_Data4[[#This Row],[price_usd]]/EV_Data4[[#This Row],[range_miles]]</f>
        <v>234.47914179104478</v>
      </c>
      <c r="AA1462" s="2">
        <f>(EV_Data4[[#This Row],[customer_rating]]*EV_Data4[[#This Row],[safety_rating]]*1000)/EV_Data4[[#This Row],[price_usd]]</f>
        <v>0.30155754871745744</v>
      </c>
      <c r="AB1462">
        <f>EV_Data4[[#This Row],[horsepower]]+EV_Data4[[#This Row],[torque_nm]]/EV_Data4[[#This Row],[acceleration_0_60_mph]]</f>
        <v>704.3068362480127</v>
      </c>
      <c r="AC1462" t="str">
        <f>IF(EV_Data4[[#This Row],[price_usd]]&gt;=80000,"Luxury",IF(EV_Data4[[#This Row],[price_usd]]&gt;=40000,"Mid-Range","Budget"))</f>
        <v>Mid-Range</v>
      </c>
      <c r="AD1462" t="str">
        <f>IF(EV_Data4[[#This Row],[range_miles]]&gt;=350,"Long-Range",IF(EV_Data4[[#This Row],[range_miles]]&gt;=250,"Medium-Range","Short-Range"))</f>
        <v>Medium-Range</v>
      </c>
      <c r="AE1462" t="str">
        <f>IF(EV_Data4[[#This Row],[charging_speed_kw]]&gt;=250,"Ultra-Fast",IF(EV_Data4[[#This Row],[charging_speed_kw]]&gt;=150,"Fast-Charging","Standard-Charging"))</f>
        <v>Standard-Charging</v>
      </c>
      <c r="AF1462" t="str">
        <f>IF(EV_Data4[[#This Row],[acceleration_0_60_mph]]&lt;=3,"SportsPerformance",IF(EV_Data4[[#This Row],[acceleration_0_60_mph]]&lt;=5,"HighPerformance","Standard"))</f>
        <v>Standard</v>
      </c>
      <c r="AG1462" t="str">
        <f>IF(EV_Data4[[#This Row],[customer_rating]]&gt;=4.5,"Excellent",IF(EV_Data4[[#This Row],[customer_rating]]&gt;=3.5,"Good","Average"))</f>
        <v>Good</v>
      </c>
      <c r="AH146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63" spans="1:34" x14ac:dyDescent="0.3">
      <c r="A1463" t="s">
        <v>83</v>
      </c>
      <c r="B1463" t="s">
        <v>114</v>
      </c>
      <c r="C1463">
        <v>2024</v>
      </c>
      <c r="D1463" t="s">
        <v>26</v>
      </c>
      <c r="E1463" s="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27</v>
      </c>
      <c r="N1463">
        <v>5</v>
      </c>
      <c r="O1463" t="s">
        <v>28</v>
      </c>
      <c r="P1463">
        <v>65.400000000000006</v>
      </c>
      <c r="Q1463">
        <v>2302</v>
      </c>
      <c r="R1463">
        <v>4</v>
      </c>
      <c r="S1463">
        <v>2</v>
      </c>
      <c r="T1463" t="s">
        <v>29</v>
      </c>
      <c r="U1463" t="s">
        <v>30</v>
      </c>
      <c r="V1463" s="3">
        <v>65041</v>
      </c>
      <c r="W1463">
        <v>3.91</v>
      </c>
      <c r="X1463">
        <v>8</v>
      </c>
      <c r="Y1463" s="1">
        <f>EV_Data4[[#This Row],[range_miles]]/EV_Data4[[#This Row],[battery_capacity_kwh]]</f>
        <v>3.5745807590467784</v>
      </c>
      <c r="Z1463" s="4">
        <f>EV_Data4[[#This Row],[price_usd]]/EV_Data4[[#This Row],[range_miles]]</f>
        <v>324.06730864197533</v>
      </c>
      <c r="AA1463" s="2">
        <f>(EV_Data4[[#This Row],[customer_rating]]*EV_Data4[[#This Row],[safety_rating]]*1000)/EV_Data4[[#This Row],[price_usd]]</f>
        <v>0.11916439246045973</v>
      </c>
      <c r="AB1463">
        <f>EV_Data4[[#This Row],[horsepower]]+EV_Data4[[#This Row],[torque_nm]]/EV_Data4[[#This Row],[acceleration_0_60_mph]]</f>
        <v>1325.1824817518248</v>
      </c>
      <c r="AC1463" t="str">
        <f>IF(EV_Data4[[#This Row],[price_usd]]&gt;=80000,"Luxury",IF(EV_Data4[[#This Row],[price_usd]]&gt;=40000,"Mid-Range","Budget"))</f>
        <v>Luxury</v>
      </c>
      <c r="AD1463" t="str">
        <f>IF(EV_Data4[[#This Row],[range_miles]]&gt;=350,"Long-Range",IF(EV_Data4[[#This Row],[range_miles]]&gt;=250,"Medium-Range","Short-Range"))</f>
        <v>Long-Range</v>
      </c>
      <c r="AE1463" t="str">
        <f>IF(EV_Data4[[#This Row],[charging_speed_kw]]&gt;=250,"Ultra-Fast",IF(EV_Data4[[#This Row],[charging_speed_kw]]&gt;=150,"Fast-Charging","Standard-Charging"))</f>
        <v>Fast-Charging</v>
      </c>
      <c r="AF1463" t="str">
        <f>IF(EV_Data4[[#This Row],[acceleration_0_60_mph]]&lt;=3,"SportsPerformance",IF(EV_Data4[[#This Row],[acceleration_0_60_mph]]&lt;=5,"HighPerformance","Standard"))</f>
        <v>SportsPerformance</v>
      </c>
      <c r="AG1463" t="str">
        <f>IF(EV_Data4[[#This Row],[customer_rating]]&gt;=4.5,"Excellent",IF(EV_Data4[[#This Row],[customer_rating]]&gt;=3.5,"Good","Average"))</f>
        <v>Good</v>
      </c>
      <c r="AH146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64" spans="1:34" x14ac:dyDescent="0.3">
      <c r="A1464" t="s">
        <v>46</v>
      </c>
      <c r="B1464" t="s">
        <v>57</v>
      </c>
      <c r="C1464">
        <v>2025</v>
      </c>
      <c r="D1464" t="s">
        <v>33</v>
      </c>
      <c r="E1464" s="3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48</v>
      </c>
      <c r="N1464">
        <v>5</v>
      </c>
      <c r="O1464" t="s">
        <v>58</v>
      </c>
      <c r="P1464">
        <v>36.5</v>
      </c>
      <c r="Q1464">
        <v>1606</v>
      </c>
      <c r="R1464">
        <v>4</v>
      </c>
      <c r="S1464">
        <v>3</v>
      </c>
      <c r="T1464" t="s">
        <v>41</v>
      </c>
      <c r="U1464" t="s">
        <v>33</v>
      </c>
      <c r="V1464" s="3">
        <v>224851</v>
      </c>
      <c r="W1464">
        <v>3.64</v>
      </c>
      <c r="X1464">
        <v>6</v>
      </c>
      <c r="Y1464" s="1">
        <f>EV_Data4[[#This Row],[range_miles]]/EV_Data4[[#This Row],[battery_capacity_kwh]]</f>
        <v>3.3466135458167332</v>
      </c>
      <c r="Z1464" s="4">
        <f>EV_Data4[[#This Row],[price_usd]]/EV_Data4[[#This Row],[range_miles]]</f>
        <v>333.92583333333334</v>
      </c>
      <c r="AA1464" s="2">
        <f>(EV_Data4[[#This Row],[customer_rating]]*EV_Data4[[#This Row],[safety_rating]]*1000)/EV_Data4[[#This Row],[price_usd]]</f>
        <v>0.17302578000936669</v>
      </c>
      <c r="AB1464">
        <f>EV_Data4[[#This Row],[horsepower]]+EV_Data4[[#This Row],[torque_nm]]/EV_Data4[[#This Row],[acceleration_0_60_mph]]</f>
        <v>623.68262653898773</v>
      </c>
      <c r="AC1464" t="str">
        <f>IF(EV_Data4[[#This Row],[price_usd]]&gt;=80000,"Luxury",IF(EV_Data4[[#This Row],[price_usd]]&gt;=40000,"Mid-Range","Budget"))</f>
        <v>Luxury</v>
      </c>
      <c r="AD1464" t="str">
        <f>IF(EV_Data4[[#This Row],[range_miles]]&gt;=350,"Long-Range",IF(EV_Data4[[#This Row],[range_miles]]&gt;=250,"Medium-Range","Short-Range"))</f>
        <v>Medium-Range</v>
      </c>
      <c r="AE1464" t="str">
        <f>IF(EV_Data4[[#This Row],[charging_speed_kw]]&gt;=250,"Ultra-Fast",IF(EV_Data4[[#This Row],[charging_speed_kw]]&gt;=150,"Fast-Charging","Standard-Charging"))</f>
        <v>Ultra-Fast</v>
      </c>
      <c r="AF1464" t="str">
        <f>IF(EV_Data4[[#This Row],[acceleration_0_60_mph]]&lt;=3,"SportsPerformance",IF(EV_Data4[[#This Row],[acceleration_0_60_mph]]&lt;=5,"HighPerformance","Standard"))</f>
        <v>Standard</v>
      </c>
      <c r="AG1464" t="str">
        <f>IF(EV_Data4[[#This Row],[customer_rating]]&gt;=4.5,"Excellent",IF(EV_Data4[[#This Row],[customer_rating]]&gt;=3.5,"Good","Average"))</f>
        <v>Good</v>
      </c>
      <c r="AH146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465" spans="1:34" x14ac:dyDescent="0.3">
      <c r="A1465" t="s">
        <v>83</v>
      </c>
      <c r="B1465" t="s">
        <v>104</v>
      </c>
      <c r="C1465">
        <v>2025</v>
      </c>
      <c r="D1465" t="s">
        <v>61</v>
      </c>
      <c r="E1465" s="3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34</v>
      </c>
      <c r="N1465">
        <v>5</v>
      </c>
      <c r="O1465" t="s">
        <v>40</v>
      </c>
      <c r="P1465">
        <v>74.400000000000006</v>
      </c>
      <c r="Q1465">
        <v>1623</v>
      </c>
      <c r="R1465">
        <v>4</v>
      </c>
      <c r="S1465">
        <v>1</v>
      </c>
      <c r="T1465" t="s">
        <v>29</v>
      </c>
      <c r="U1465" t="s">
        <v>33</v>
      </c>
      <c r="V1465" s="3">
        <v>70121</v>
      </c>
      <c r="W1465">
        <v>3.47</v>
      </c>
      <c r="X1465">
        <v>7</v>
      </c>
      <c r="Y1465" s="1">
        <f>EV_Data4[[#This Row],[range_miles]]/EV_Data4[[#This Row],[battery_capacity_kwh]]</f>
        <v>3.8301282051282053</v>
      </c>
      <c r="Z1465" s="4">
        <f>EV_Data4[[#This Row],[price_usd]]/EV_Data4[[#This Row],[range_miles]]</f>
        <v>297.97870292887029</v>
      </c>
      <c r="AA1465" s="2">
        <f>(EV_Data4[[#This Row],[customer_rating]]*EV_Data4[[#This Row],[safety_rating]]*1000)/EV_Data4[[#This Row],[price_usd]]</f>
        <v>0.19489753206085464</v>
      </c>
      <c r="AB1465">
        <f>EV_Data4[[#This Row],[horsepower]]+EV_Data4[[#This Row],[torque_nm]]/EV_Data4[[#This Row],[acceleration_0_60_mph]]</f>
        <v>461.9851301115242</v>
      </c>
      <c r="AC1465" t="str">
        <f>IF(EV_Data4[[#This Row],[price_usd]]&gt;=80000,"Luxury",IF(EV_Data4[[#This Row],[price_usd]]&gt;=40000,"Mid-Range","Budget"))</f>
        <v>Mid-Range</v>
      </c>
      <c r="AD1465" t="str">
        <f>IF(EV_Data4[[#This Row],[range_miles]]&gt;=350,"Long-Range",IF(EV_Data4[[#This Row],[range_miles]]&gt;=250,"Medium-Range","Short-Range"))</f>
        <v>Short-Range</v>
      </c>
      <c r="AE1465" t="str">
        <f>IF(EV_Data4[[#This Row],[charging_speed_kw]]&gt;=250,"Ultra-Fast",IF(EV_Data4[[#This Row],[charging_speed_kw]]&gt;=150,"Fast-Charging","Standard-Charging"))</f>
        <v>Standard-Charging</v>
      </c>
      <c r="AF1465" t="str">
        <f>IF(EV_Data4[[#This Row],[acceleration_0_60_mph]]&lt;=3,"SportsPerformance",IF(EV_Data4[[#This Row],[acceleration_0_60_mph]]&lt;=5,"HighPerformance","Standard"))</f>
        <v>Standard</v>
      </c>
      <c r="AG1465" t="str">
        <f>IF(EV_Data4[[#This Row],[customer_rating]]&gt;=4.5,"Excellent",IF(EV_Data4[[#This Row],[customer_rating]]&gt;=3.5,"Good","Average"))</f>
        <v>Average</v>
      </c>
      <c r="AH146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66" spans="1:34" x14ac:dyDescent="0.3">
      <c r="A1466" t="s">
        <v>129</v>
      </c>
      <c r="B1466" t="s">
        <v>138</v>
      </c>
      <c r="C1466">
        <v>2022</v>
      </c>
      <c r="D1466" t="s">
        <v>33</v>
      </c>
      <c r="E1466" s="3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27</v>
      </c>
      <c r="N1466">
        <v>5</v>
      </c>
      <c r="O1466" t="s">
        <v>35</v>
      </c>
      <c r="P1466">
        <v>36.4</v>
      </c>
      <c r="Q1466">
        <v>1943</v>
      </c>
      <c r="R1466">
        <v>4</v>
      </c>
      <c r="S1466">
        <v>2</v>
      </c>
      <c r="T1466" t="s">
        <v>36</v>
      </c>
      <c r="U1466" t="s">
        <v>37</v>
      </c>
      <c r="V1466" s="3">
        <v>10748</v>
      </c>
      <c r="W1466">
        <v>3.54</v>
      </c>
      <c r="X1466">
        <v>3</v>
      </c>
      <c r="Y1466" s="1">
        <f>EV_Data4[[#This Row],[range_miles]]/EV_Data4[[#This Row],[battery_capacity_kwh]]</f>
        <v>3.6011904761904758</v>
      </c>
      <c r="Z1466" s="4">
        <f>EV_Data4[[#This Row],[price_usd]]/EV_Data4[[#This Row],[range_miles]]</f>
        <v>250.66958677685952</v>
      </c>
      <c r="AA1466" s="2">
        <f>(EV_Data4[[#This Row],[customer_rating]]*EV_Data4[[#This Row],[safety_rating]]*1000)/EV_Data4[[#This Row],[price_usd]]</f>
        <v>0.23342439522310823</v>
      </c>
      <c r="AB1466">
        <f>EV_Data4[[#This Row],[horsepower]]+EV_Data4[[#This Row],[torque_nm]]/EV_Data4[[#This Row],[acceleration_0_60_mph]]</f>
        <v>1088.6486042692939</v>
      </c>
      <c r="AC1466" t="str">
        <f>IF(EV_Data4[[#This Row],[price_usd]]&gt;=80000,"Luxury",IF(EV_Data4[[#This Row],[price_usd]]&gt;=40000,"Mid-Range","Budget"))</f>
        <v>Mid-Range</v>
      </c>
      <c r="AD1466" t="str">
        <f>IF(EV_Data4[[#This Row],[range_miles]]&gt;=350,"Long-Range",IF(EV_Data4[[#This Row],[range_miles]]&gt;=250,"Medium-Range","Short-Range"))</f>
        <v>Short-Range</v>
      </c>
      <c r="AE1466" t="str">
        <f>IF(EV_Data4[[#This Row],[charging_speed_kw]]&gt;=250,"Ultra-Fast",IF(EV_Data4[[#This Row],[charging_speed_kw]]&gt;=150,"Fast-Charging","Standard-Charging"))</f>
        <v>Standard-Charging</v>
      </c>
      <c r="AF1466" t="str">
        <f>IF(EV_Data4[[#This Row],[acceleration_0_60_mph]]&lt;=3,"SportsPerformance",IF(EV_Data4[[#This Row],[acceleration_0_60_mph]]&lt;=5,"HighPerformance","Standard"))</f>
        <v>Standard</v>
      </c>
      <c r="AG1466" t="str">
        <f>IF(EV_Data4[[#This Row],[customer_rating]]&gt;=4.5,"Excellent",IF(EV_Data4[[#This Row],[customer_rating]]&gt;=3.5,"Good","Average"))</f>
        <v>Good</v>
      </c>
      <c r="AH146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67" spans="1:34" x14ac:dyDescent="0.3">
      <c r="A1467" t="s">
        <v>46</v>
      </c>
      <c r="B1467" t="s">
        <v>78</v>
      </c>
      <c r="C1467">
        <v>2024</v>
      </c>
      <c r="D1467" t="s">
        <v>33</v>
      </c>
      <c r="E1467" s="3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27</v>
      </c>
      <c r="N1467">
        <v>7</v>
      </c>
      <c r="O1467" t="s">
        <v>28</v>
      </c>
      <c r="P1467">
        <v>68.2</v>
      </c>
      <c r="Q1467">
        <v>2198</v>
      </c>
      <c r="R1467">
        <v>4</v>
      </c>
      <c r="S1467">
        <v>2</v>
      </c>
      <c r="T1467" t="s">
        <v>41</v>
      </c>
      <c r="U1467" t="s">
        <v>37</v>
      </c>
      <c r="V1467" s="3">
        <v>108494</v>
      </c>
      <c r="W1467">
        <v>3.65</v>
      </c>
      <c r="X1467">
        <v>5</v>
      </c>
      <c r="Y1467" s="1">
        <f>EV_Data4[[#This Row],[range_miles]]/EV_Data4[[#This Row],[battery_capacity_kwh]]</f>
        <v>3.6672629695885512</v>
      </c>
      <c r="Z1467" s="4">
        <f>EV_Data4[[#This Row],[price_usd]]/EV_Data4[[#This Row],[range_miles]]</f>
        <v>225.45326829268291</v>
      </c>
      <c r="AA1467" s="2">
        <f>(EV_Data4[[#This Row],[customer_rating]]*EV_Data4[[#This Row],[safety_rating]]*1000)/EV_Data4[[#This Row],[price_usd]]</f>
        <v>0.31589478713018676</v>
      </c>
      <c r="AB1467">
        <f>EV_Data4[[#This Row],[horsepower]]+EV_Data4[[#This Row],[torque_nm]]/EV_Data4[[#This Row],[acceleration_0_60_mph]]</f>
        <v>333.35874439461884</v>
      </c>
      <c r="AC1467" t="str">
        <f>IF(EV_Data4[[#This Row],[price_usd]]&gt;=80000,"Luxury",IF(EV_Data4[[#This Row],[price_usd]]&gt;=40000,"Mid-Range","Budget"))</f>
        <v>Mid-Range</v>
      </c>
      <c r="AD1467" t="str">
        <f>IF(EV_Data4[[#This Row],[range_miles]]&gt;=350,"Long-Range",IF(EV_Data4[[#This Row],[range_miles]]&gt;=250,"Medium-Range","Short-Range"))</f>
        <v>Short-Range</v>
      </c>
      <c r="AE1467" t="str">
        <f>IF(EV_Data4[[#This Row],[charging_speed_kw]]&gt;=250,"Ultra-Fast",IF(EV_Data4[[#This Row],[charging_speed_kw]]&gt;=150,"Fast-Charging","Standard-Charging"))</f>
        <v>Ultra-Fast</v>
      </c>
      <c r="AF1467" t="str">
        <f>IF(EV_Data4[[#This Row],[acceleration_0_60_mph]]&lt;=3,"SportsPerformance",IF(EV_Data4[[#This Row],[acceleration_0_60_mph]]&lt;=5,"HighPerformance","Standard"))</f>
        <v>Standard</v>
      </c>
      <c r="AG1467" t="str">
        <f>IF(EV_Data4[[#This Row],[customer_rating]]&gt;=4.5,"Excellent",IF(EV_Data4[[#This Row],[customer_rating]]&gt;=3.5,"Good","Average"))</f>
        <v>Good</v>
      </c>
      <c r="AH146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68" spans="1:34" x14ac:dyDescent="0.3">
      <c r="A1468" t="s">
        <v>124</v>
      </c>
      <c r="B1468" t="s">
        <v>125</v>
      </c>
      <c r="C1468">
        <v>2026</v>
      </c>
      <c r="D1468" t="s">
        <v>33</v>
      </c>
      <c r="E1468" s="3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48</v>
      </c>
      <c r="N1468">
        <v>7</v>
      </c>
      <c r="O1468" t="s">
        <v>40</v>
      </c>
      <c r="P1468">
        <v>62.9</v>
      </c>
      <c r="Q1468">
        <v>1500</v>
      </c>
      <c r="R1468">
        <v>5</v>
      </c>
      <c r="S1468">
        <v>0</v>
      </c>
      <c r="T1468" t="s">
        <v>41</v>
      </c>
      <c r="U1468" t="s">
        <v>30</v>
      </c>
      <c r="V1468" s="3">
        <v>21994</v>
      </c>
      <c r="W1468">
        <v>3.37</v>
      </c>
      <c r="X1468">
        <v>5</v>
      </c>
      <c r="Y1468" s="1">
        <f>EV_Data4[[#This Row],[range_miles]]/EV_Data4[[#This Row],[battery_capacity_kwh]]</f>
        <v>3.4231378763866878</v>
      </c>
      <c r="Z1468" s="4">
        <f>EV_Data4[[#This Row],[price_usd]]/EV_Data4[[#This Row],[range_miles]]</f>
        <v>1044.4173611111112</v>
      </c>
      <c r="AA1468" s="2">
        <f>(EV_Data4[[#This Row],[customer_rating]]*EV_Data4[[#This Row],[safety_rating]]*1000)/EV_Data4[[#This Row],[price_usd]]</f>
        <v>7.4691653130189772E-2</v>
      </c>
      <c r="AB1468">
        <f>EV_Data4[[#This Row],[horsepower]]+EV_Data4[[#This Row],[torque_nm]]/EV_Data4[[#This Row],[acceleration_0_60_mph]]</f>
        <v>1111.125</v>
      </c>
      <c r="AC1468" t="str">
        <f>IF(EV_Data4[[#This Row],[price_usd]]&gt;=80000,"Luxury",IF(EV_Data4[[#This Row],[price_usd]]&gt;=40000,"Mid-Range","Budget"))</f>
        <v>Luxury</v>
      </c>
      <c r="AD1468" t="str">
        <f>IF(EV_Data4[[#This Row],[range_miles]]&gt;=350,"Long-Range",IF(EV_Data4[[#This Row],[range_miles]]&gt;=250,"Medium-Range","Short-Range"))</f>
        <v>Short-Range</v>
      </c>
      <c r="AE1468" t="str">
        <f>IF(EV_Data4[[#This Row],[charging_speed_kw]]&gt;=250,"Ultra-Fast",IF(EV_Data4[[#This Row],[charging_speed_kw]]&gt;=150,"Fast-Charging","Standard-Charging"))</f>
        <v>Ultra-Fast</v>
      </c>
      <c r="AF1468" t="str">
        <f>IF(EV_Data4[[#This Row],[acceleration_0_60_mph]]&lt;=3,"SportsPerformance",IF(EV_Data4[[#This Row],[acceleration_0_60_mph]]&lt;=5,"HighPerformance","Standard"))</f>
        <v>Standard</v>
      </c>
      <c r="AG1468" t="str">
        <f>IF(EV_Data4[[#This Row],[customer_rating]]&gt;=4.5,"Excellent",IF(EV_Data4[[#This Row],[customer_rating]]&gt;=3.5,"Good","Average"))</f>
        <v>Average</v>
      </c>
      <c r="AH146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69" spans="1:34" x14ac:dyDescent="0.3">
      <c r="A1469" t="s">
        <v>24</v>
      </c>
      <c r="B1469" t="s">
        <v>25</v>
      </c>
      <c r="C1469">
        <v>2025</v>
      </c>
      <c r="D1469" t="s">
        <v>61</v>
      </c>
      <c r="E1469" s="3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27</v>
      </c>
      <c r="N1469">
        <v>7</v>
      </c>
      <c r="O1469" t="s">
        <v>40</v>
      </c>
      <c r="P1469">
        <v>76.400000000000006</v>
      </c>
      <c r="Q1469">
        <v>1646</v>
      </c>
      <c r="R1469">
        <v>5</v>
      </c>
      <c r="S1469">
        <v>1</v>
      </c>
      <c r="T1469" t="s">
        <v>29</v>
      </c>
      <c r="U1469" t="s">
        <v>33</v>
      </c>
      <c r="V1469" s="3">
        <v>253183</v>
      </c>
      <c r="W1469">
        <v>3.49</v>
      </c>
      <c r="X1469">
        <v>3</v>
      </c>
      <c r="Y1469" s="1">
        <f>EV_Data4[[#This Row],[range_miles]]/EV_Data4[[#This Row],[battery_capacity_kwh]]</f>
        <v>3.9655172413793101</v>
      </c>
      <c r="Z1469" s="4">
        <f>EV_Data4[[#This Row],[price_usd]]/EV_Data4[[#This Row],[range_miles]]</f>
        <v>544.88372670807451</v>
      </c>
      <c r="AA1469" s="2">
        <f>(EV_Data4[[#This Row],[customer_rating]]*EV_Data4[[#This Row],[safety_rating]]*1000)/EV_Data4[[#This Row],[price_usd]]</f>
        <v>0.1989141680235387</v>
      </c>
      <c r="AB1469">
        <f>EV_Data4[[#This Row],[horsepower]]+EV_Data4[[#This Row],[torque_nm]]/EV_Data4[[#This Row],[acceleration_0_60_mph]]</f>
        <v>1142.2492401215804</v>
      </c>
      <c r="AC1469" t="str">
        <f>IF(EV_Data4[[#This Row],[price_usd]]&gt;=80000,"Luxury",IF(EV_Data4[[#This Row],[price_usd]]&gt;=40000,"Mid-Range","Budget"))</f>
        <v>Luxury</v>
      </c>
      <c r="AD1469" t="str">
        <f>IF(EV_Data4[[#This Row],[range_miles]]&gt;=350,"Long-Range",IF(EV_Data4[[#This Row],[range_miles]]&gt;=250,"Medium-Range","Short-Range"))</f>
        <v>Short-Range</v>
      </c>
      <c r="AE1469" t="str">
        <f>IF(EV_Data4[[#This Row],[charging_speed_kw]]&gt;=250,"Ultra-Fast",IF(EV_Data4[[#This Row],[charging_speed_kw]]&gt;=150,"Fast-Charging","Standard-Charging"))</f>
        <v>Standard-Charging</v>
      </c>
      <c r="AF1469" t="str">
        <f>IF(EV_Data4[[#This Row],[acceleration_0_60_mph]]&lt;=3,"SportsPerformance",IF(EV_Data4[[#This Row],[acceleration_0_60_mph]]&lt;=5,"HighPerformance","Standard"))</f>
        <v>Standard</v>
      </c>
      <c r="AG1469" t="str">
        <f>IF(EV_Data4[[#This Row],[customer_rating]]&gt;=4.5,"Excellent",IF(EV_Data4[[#This Row],[customer_rating]]&gt;=3.5,"Good","Average"))</f>
        <v>Average</v>
      </c>
      <c r="AH146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70" spans="1:34" x14ac:dyDescent="0.3">
      <c r="A1470" t="s">
        <v>52</v>
      </c>
      <c r="B1470" t="s">
        <v>126</v>
      </c>
      <c r="C1470">
        <v>2024</v>
      </c>
      <c r="D1470" t="s">
        <v>33</v>
      </c>
      <c r="E1470" s="3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27</v>
      </c>
      <c r="N1470">
        <v>7</v>
      </c>
      <c r="O1470" t="s">
        <v>51</v>
      </c>
      <c r="P1470">
        <v>16.8</v>
      </c>
      <c r="Q1470">
        <v>1586</v>
      </c>
      <c r="R1470">
        <v>4</v>
      </c>
      <c r="S1470">
        <v>2</v>
      </c>
      <c r="T1470" t="s">
        <v>29</v>
      </c>
      <c r="U1470" t="s">
        <v>30</v>
      </c>
      <c r="V1470" s="3">
        <v>43244</v>
      </c>
      <c r="W1470">
        <v>3.61</v>
      </c>
      <c r="X1470">
        <v>7</v>
      </c>
      <c r="Y1470" s="1">
        <f>EV_Data4[[#This Row],[range_miles]]/EV_Data4[[#This Row],[battery_capacity_kwh]]</f>
        <v>3.791606367583213</v>
      </c>
      <c r="Z1470" s="4">
        <f>EV_Data4[[#This Row],[price_usd]]/EV_Data4[[#This Row],[range_miles]]</f>
        <v>559.63251908396944</v>
      </c>
      <c r="AA1470" s="2">
        <f>(EV_Data4[[#This Row],[customer_rating]]*EV_Data4[[#This Row],[safety_rating]]*1000)/EV_Data4[[#This Row],[price_usd]]</f>
        <v>9.8483383179747447E-2</v>
      </c>
      <c r="AB1470">
        <f>EV_Data4[[#This Row],[horsepower]]+EV_Data4[[#This Row],[torque_nm]]/EV_Data4[[#This Row],[acceleration_0_60_mph]]</f>
        <v>1086.219512195122</v>
      </c>
      <c r="AC1470" t="str">
        <f>IF(EV_Data4[[#This Row],[price_usd]]&gt;=80000,"Luxury",IF(EV_Data4[[#This Row],[price_usd]]&gt;=40000,"Mid-Range","Budget"))</f>
        <v>Luxury</v>
      </c>
      <c r="AD1470" t="str">
        <f>IF(EV_Data4[[#This Row],[range_miles]]&gt;=350,"Long-Range",IF(EV_Data4[[#This Row],[range_miles]]&gt;=250,"Medium-Range","Short-Range"))</f>
        <v>Medium-Range</v>
      </c>
      <c r="AE1470" t="str">
        <f>IF(EV_Data4[[#This Row],[charging_speed_kw]]&gt;=250,"Ultra-Fast",IF(EV_Data4[[#This Row],[charging_speed_kw]]&gt;=150,"Fast-Charging","Standard-Charging"))</f>
        <v>Standard-Charging</v>
      </c>
      <c r="AF1470" t="str">
        <f>IF(EV_Data4[[#This Row],[acceleration_0_60_mph]]&lt;=3,"SportsPerformance",IF(EV_Data4[[#This Row],[acceleration_0_60_mph]]&lt;=5,"HighPerformance","Standard"))</f>
        <v>Standard</v>
      </c>
      <c r="AG1470" t="str">
        <f>IF(EV_Data4[[#This Row],[customer_rating]]&gt;=4.5,"Excellent",IF(EV_Data4[[#This Row],[customer_rating]]&gt;=3.5,"Good","Average"))</f>
        <v>Good</v>
      </c>
      <c r="AH147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71" spans="1:34" x14ac:dyDescent="0.3">
      <c r="A1471" t="s">
        <v>76</v>
      </c>
      <c r="B1471" t="s">
        <v>77</v>
      </c>
      <c r="C1471">
        <v>2022</v>
      </c>
      <c r="D1471" t="s">
        <v>56</v>
      </c>
      <c r="E1471" s="3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48</v>
      </c>
      <c r="N1471">
        <v>5</v>
      </c>
      <c r="O1471" t="s">
        <v>40</v>
      </c>
      <c r="P1471">
        <v>67.400000000000006</v>
      </c>
      <c r="Q1471">
        <v>1771</v>
      </c>
      <c r="R1471">
        <v>4</v>
      </c>
      <c r="S1471">
        <v>1</v>
      </c>
      <c r="T1471" t="s">
        <v>41</v>
      </c>
      <c r="U1471" t="s">
        <v>37</v>
      </c>
      <c r="V1471" s="3">
        <v>37967</v>
      </c>
      <c r="W1471">
        <v>3.06</v>
      </c>
      <c r="X1471">
        <v>4</v>
      </c>
      <c r="Y1471" s="1">
        <f>EV_Data4[[#This Row],[range_miles]]/EV_Data4[[#This Row],[battery_capacity_kwh]]</f>
        <v>3.1914893617021276</v>
      </c>
      <c r="Z1471" s="4">
        <f>EV_Data4[[#This Row],[price_usd]]/EV_Data4[[#This Row],[range_miles]]</f>
        <v>392.09860606060602</v>
      </c>
      <c r="AA1471" s="2">
        <f>(EV_Data4[[#This Row],[customer_rating]]*EV_Data4[[#This Row],[safety_rating]]*1000)/EV_Data4[[#This Row],[price_usd]]</f>
        <v>0.18919174165682195</v>
      </c>
      <c r="AB1471">
        <f>EV_Data4[[#This Row],[horsepower]]+EV_Data4[[#This Row],[torque_nm]]/EV_Data4[[#This Row],[acceleration_0_60_mph]]</f>
        <v>796.50720461095102</v>
      </c>
      <c r="AC1471" t="str">
        <f>IF(EV_Data4[[#This Row],[price_usd]]&gt;=80000,"Luxury",IF(EV_Data4[[#This Row],[price_usd]]&gt;=40000,"Mid-Range","Budget"))</f>
        <v>Mid-Range</v>
      </c>
      <c r="AD1471" t="str">
        <f>IF(EV_Data4[[#This Row],[range_miles]]&gt;=350,"Long-Range",IF(EV_Data4[[#This Row],[range_miles]]&gt;=250,"Medium-Range","Short-Range"))</f>
        <v>Short-Range</v>
      </c>
      <c r="AE1471" t="str">
        <f>IF(EV_Data4[[#This Row],[charging_speed_kw]]&gt;=250,"Ultra-Fast",IF(EV_Data4[[#This Row],[charging_speed_kw]]&gt;=150,"Fast-Charging","Standard-Charging"))</f>
        <v>Standard-Charging</v>
      </c>
      <c r="AF1471" t="str">
        <f>IF(EV_Data4[[#This Row],[acceleration_0_60_mph]]&lt;=3,"SportsPerformance",IF(EV_Data4[[#This Row],[acceleration_0_60_mph]]&lt;=5,"HighPerformance","Standard"))</f>
        <v>Standard</v>
      </c>
      <c r="AG1471" t="str">
        <f>IF(EV_Data4[[#This Row],[customer_rating]]&gt;=4.5,"Excellent",IF(EV_Data4[[#This Row],[customer_rating]]&gt;=3.5,"Good","Average"))</f>
        <v>Average</v>
      </c>
      <c r="AH147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72" spans="1:34" x14ac:dyDescent="0.3">
      <c r="A1472" t="s">
        <v>42</v>
      </c>
      <c r="B1472" t="s">
        <v>71</v>
      </c>
      <c r="C1472">
        <v>2024</v>
      </c>
      <c r="D1472" t="s">
        <v>56</v>
      </c>
      <c r="E1472" s="3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27</v>
      </c>
      <c r="N1472">
        <v>7</v>
      </c>
      <c r="O1472" t="s">
        <v>35</v>
      </c>
      <c r="P1472">
        <v>48.7</v>
      </c>
      <c r="Q1472">
        <v>2204</v>
      </c>
      <c r="R1472">
        <v>5</v>
      </c>
      <c r="S1472">
        <v>1</v>
      </c>
      <c r="T1472" t="s">
        <v>45</v>
      </c>
      <c r="U1472" t="s">
        <v>66</v>
      </c>
      <c r="V1472" s="3">
        <v>138862</v>
      </c>
      <c r="W1472">
        <v>3.48</v>
      </c>
      <c r="X1472">
        <v>5</v>
      </c>
      <c r="Y1472" s="1">
        <f>EV_Data4[[#This Row],[range_miles]]/EV_Data4[[#This Row],[battery_capacity_kwh]]</f>
        <v>3.2671957671957674</v>
      </c>
      <c r="Z1472" s="4">
        <f>EV_Data4[[#This Row],[price_usd]]/EV_Data4[[#This Row],[range_miles]]</f>
        <v>108.54384615384616</v>
      </c>
      <c r="AA1472" s="2">
        <f>(EV_Data4[[#This Row],[customer_rating]]*EV_Data4[[#This Row],[safety_rating]]*1000)/EV_Data4[[#This Row],[price_usd]]</f>
        <v>0.64900357436853628</v>
      </c>
      <c r="AB1472">
        <f>EV_Data4[[#This Row],[horsepower]]+EV_Data4[[#This Row],[torque_nm]]/EV_Data4[[#This Row],[acceleration_0_60_mph]]</f>
        <v>212.5146804835924</v>
      </c>
      <c r="AC1472" t="str">
        <f>IF(EV_Data4[[#This Row],[price_usd]]&gt;=80000,"Luxury",IF(EV_Data4[[#This Row],[price_usd]]&gt;=40000,"Mid-Range","Budget"))</f>
        <v>Budget</v>
      </c>
      <c r="AD1472" t="str">
        <f>IF(EV_Data4[[#This Row],[range_miles]]&gt;=350,"Long-Range",IF(EV_Data4[[#This Row],[range_miles]]&gt;=250,"Medium-Range","Short-Range"))</f>
        <v>Short-Range</v>
      </c>
      <c r="AE1472" t="str">
        <f>IF(EV_Data4[[#This Row],[charging_speed_kw]]&gt;=250,"Ultra-Fast",IF(EV_Data4[[#This Row],[charging_speed_kw]]&gt;=150,"Fast-Charging","Standard-Charging"))</f>
        <v>Standard-Charging</v>
      </c>
      <c r="AF1472" t="str">
        <f>IF(EV_Data4[[#This Row],[acceleration_0_60_mph]]&lt;=3,"SportsPerformance",IF(EV_Data4[[#This Row],[acceleration_0_60_mph]]&lt;=5,"HighPerformance","Standard"))</f>
        <v>Standard</v>
      </c>
      <c r="AG1472" t="str">
        <f>IF(EV_Data4[[#This Row],[customer_rating]]&gt;=4.5,"Excellent",IF(EV_Data4[[#This Row],[customer_rating]]&gt;=3.5,"Good","Average"))</f>
        <v>Average</v>
      </c>
      <c r="AH147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73" spans="1:34" x14ac:dyDescent="0.3">
      <c r="A1473" t="s">
        <v>38</v>
      </c>
      <c r="B1473" t="s">
        <v>55</v>
      </c>
      <c r="C1473">
        <v>2024</v>
      </c>
      <c r="D1473" t="s">
        <v>33</v>
      </c>
      <c r="E1473" s="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48</v>
      </c>
      <c r="N1473">
        <v>5</v>
      </c>
      <c r="O1473" t="s">
        <v>35</v>
      </c>
      <c r="P1473">
        <v>68.5</v>
      </c>
      <c r="Q1473">
        <v>1728</v>
      </c>
      <c r="R1473">
        <v>5</v>
      </c>
      <c r="S1473">
        <v>0</v>
      </c>
      <c r="T1473" t="s">
        <v>41</v>
      </c>
      <c r="U1473" t="s">
        <v>37</v>
      </c>
      <c r="V1473" s="3">
        <v>19610</v>
      </c>
      <c r="W1473">
        <v>3.43</v>
      </c>
      <c r="X1473">
        <v>4</v>
      </c>
      <c r="Y1473" s="1">
        <f>EV_Data4[[#This Row],[range_miles]]/EV_Data4[[#This Row],[battery_capacity_kwh]]</f>
        <v>3.7636363636363637</v>
      </c>
      <c r="Z1473" s="4">
        <f>EV_Data4[[#This Row],[price_usd]]/EV_Data4[[#This Row],[range_miles]]</f>
        <v>220.88420289855071</v>
      </c>
      <c r="AA1473" s="2">
        <f>(EV_Data4[[#This Row],[customer_rating]]*EV_Data4[[#This Row],[safety_rating]]*1000)/EV_Data4[[#This Row],[price_usd]]</f>
        <v>0.37508450336734034</v>
      </c>
      <c r="AB1473">
        <f>EV_Data4[[#This Row],[horsepower]]+EV_Data4[[#This Row],[torque_nm]]/EV_Data4[[#This Row],[acceleration_0_60_mph]]</f>
        <v>587.13855421686753</v>
      </c>
      <c r="AC1473" t="str">
        <f>IF(EV_Data4[[#This Row],[price_usd]]&gt;=80000,"Luxury",IF(EV_Data4[[#This Row],[price_usd]]&gt;=40000,"Mid-Range","Budget"))</f>
        <v>Mid-Range</v>
      </c>
      <c r="AD1473" t="str">
        <f>IF(EV_Data4[[#This Row],[range_miles]]&gt;=350,"Long-Range",IF(EV_Data4[[#This Row],[range_miles]]&gt;=250,"Medium-Range","Short-Range"))</f>
        <v>Short-Range</v>
      </c>
      <c r="AE1473" t="str">
        <f>IF(EV_Data4[[#This Row],[charging_speed_kw]]&gt;=250,"Ultra-Fast",IF(EV_Data4[[#This Row],[charging_speed_kw]]&gt;=150,"Fast-Charging","Standard-Charging"))</f>
        <v>Standard-Charging</v>
      </c>
      <c r="AF1473" t="str">
        <f>IF(EV_Data4[[#This Row],[acceleration_0_60_mph]]&lt;=3,"SportsPerformance",IF(EV_Data4[[#This Row],[acceleration_0_60_mph]]&lt;=5,"HighPerformance","Standard"))</f>
        <v>Standard</v>
      </c>
      <c r="AG1473" t="str">
        <f>IF(EV_Data4[[#This Row],[customer_rating]]&gt;=4.5,"Excellent",IF(EV_Data4[[#This Row],[customer_rating]]&gt;=3.5,"Good","Average"))</f>
        <v>Average</v>
      </c>
      <c r="AH147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74" spans="1:34" x14ac:dyDescent="0.3">
      <c r="A1474" t="s">
        <v>86</v>
      </c>
      <c r="B1474" t="s">
        <v>105</v>
      </c>
      <c r="C1474">
        <v>2025</v>
      </c>
      <c r="D1474" t="s">
        <v>26</v>
      </c>
      <c r="E1474" s="3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34</v>
      </c>
      <c r="N1474">
        <v>5</v>
      </c>
      <c r="O1474" t="s">
        <v>51</v>
      </c>
      <c r="P1474">
        <v>31.9</v>
      </c>
      <c r="Q1474">
        <v>1897</v>
      </c>
      <c r="R1474">
        <v>5</v>
      </c>
      <c r="S1474">
        <v>2</v>
      </c>
      <c r="T1474" t="s">
        <v>29</v>
      </c>
      <c r="U1474" t="s">
        <v>33</v>
      </c>
      <c r="V1474" s="3">
        <v>77677</v>
      </c>
      <c r="W1474">
        <v>3.68</v>
      </c>
      <c r="X1474">
        <v>6</v>
      </c>
      <c r="Y1474" s="1">
        <f>EV_Data4[[#This Row],[range_miles]]/EV_Data4[[#This Row],[battery_capacity_kwh]]</f>
        <v>3.579849946409432</v>
      </c>
      <c r="Z1474" s="4">
        <f>EV_Data4[[#This Row],[price_usd]]/EV_Data4[[#This Row],[range_miles]]</f>
        <v>296.93212574850298</v>
      </c>
      <c r="AA1474" s="2">
        <f>(EV_Data4[[#This Row],[customer_rating]]*EV_Data4[[#This Row],[safety_rating]]*1000)/EV_Data4[[#This Row],[price_usd]]</f>
        <v>0.18553001033623989</v>
      </c>
      <c r="AB1474">
        <f>EV_Data4[[#This Row],[horsepower]]+EV_Data4[[#This Row],[torque_nm]]/EV_Data4[[#This Row],[acceleration_0_60_mph]]</f>
        <v>879.19034852546918</v>
      </c>
      <c r="AC1474" t="str">
        <f>IF(EV_Data4[[#This Row],[price_usd]]&gt;=80000,"Luxury",IF(EV_Data4[[#This Row],[price_usd]]&gt;=40000,"Mid-Range","Budget"))</f>
        <v>Luxury</v>
      </c>
      <c r="AD1474" t="str">
        <f>IF(EV_Data4[[#This Row],[range_miles]]&gt;=350,"Long-Range",IF(EV_Data4[[#This Row],[range_miles]]&gt;=250,"Medium-Range","Short-Range"))</f>
        <v>Medium-Range</v>
      </c>
      <c r="AE1474" t="str">
        <f>IF(EV_Data4[[#This Row],[charging_speed_kw]]&gt;=250,"Ultra-Fast",IF(EV_Data4[[#This Row],[charging_speed_kw]]&gt;=150,"Fast-Charging","Standard-Charging"))</f>
        <v>Fast-Charging</v>
      </c>
      <c r="AF1474" t="str">
        <f>IF(EV_Data4[[#This Row],[acceleration_0_60_mph]]&lt;=3,"SportsPerformance",IF(EV_Data4[[#This Row],[acceleration_0_60_mph]]&lt;=5,"HighPerformance","Standard"))</f>
        <v>HighPerformance</v>
      </c>
      <c r="AG1474" t="str">
        <f>IF(EV_Data4[[#This Row],[customer_rating]]&gt;=4.5,"Excellent",IF(EV_Data4[[#This Row],[customer_rating]]&gt;=3.5,"Good","Average"))</f>
        <v>Good</v>
      </c>
      <c r="AH147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75" spans="1:34" x14ac:dyDescent="0.3">
      <c r="A1475" t="s">
        <v>24</v>
      </c>
      <c r="B1475" t="s">
        <v>75</v>
      </c>
      <c r="C1475">
        <v>2025</v>
      </c>
      <c r="D1475" t="s">
        <v>61</v>
      </c>
      <c r="E1475" s="3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34</v>
      </c>
      <c r="N1475">
        <v>7</v>
      </c>
      <c r="O1475" t="s">
        <v>35</v>
      </c>
      <c r="P1475">
        <v>63.2</v>
      </c>
      <c r="Q1475">
        <v>1931</v>
      </c>
      <c r="R1475">
        <v>4</v>
      </c>
      <c r="S1475">
        <v>2</v>
      </c>
      <c r="T1475" t="s">
        <v>29</v>
      </c>
      <c r="U1475" t="s">
        <v>33</v>
      </c>
      <c r="V1475" s="3">
        <v>228031</v>
      </c>
      <c r="W1475">
        <v>3.16</v>
      </c>
      <c r="X1475">
        <v>4</v>
      </c>
      <c r="Y1475" s="1">
        <f>EV_Data4[[#This Row],[range_miles]]/EV_Data4[[#This Row],[battery_capacity_kwh]]</f>
        <v>3.5294117647058822</v>
      </c>
      <c r="Z1475" s="4">
        <f>EV_Data4[[#This Row],[price_usd]]/EV_Data4[[#This Row],[range_miles]]</f>
        <v>586.64973333333342</v>
      </c>
      <c r="AA1475" s="2">
        <f>(EV_Data4[[#This Row],[customer_rating]]*EV_Data4[[#This Row],[safety_rating]]*1000)/EV_Data4[[#This Row],[price_usd]]</f>
        <v>0.14364050962380048</v>
      </c>
      <c r="AB1475">
        <f>EV_Data4[[#This Row],[horsepower]]+EV_Data4[[#This Row],[torque_nm]]/EV_Data4[[#This Row],[acceleration_0_60_mph]]</f>
        <v>1115.2258064516129</v>
      </c>
      <c r="AC1475" t="str">
        <f>IF(EV_Data4[[#This Row],[price_usd]]&gt;=80000,"Luxury",IF(EV_Data4[[#This Row],[price_usd]]&gt;=40000,"Mid-Range","Budget"))</f>
        <v>Luxury</v>
      </c>
      <c r="AD1475" t="str">
        <f>IF(EV_Data4[[#This Row],[range_miles]]&gt;=350,"Long-Range",IF(EV_Data4[[#This Row],[range_miles]]&gt;=250,"Medium-Range","Short-Range"))</f>
        <v>Short-Range</v>
      </c>
      <c r="AE1475" t="str">
        <f>IF(EV_Data4[[#This Row],[charging_speed_kw]]&gt;=250,"Ultra-Fast",IF(EV_Data4[[#This Row],[charging_speed_kw]]&gt;=150,"Fast-Charging","Standard-Charging"))</f>
        <v>Standard-Charging</v>
      </c>
      <c r="AF1475" t="str">
        <f>IF(EV_Data4[[#This Row],[acceleration_0_60_mph]]&lt;=3,"SportsPerformance",IF(EV_Data4[[#This Row],[acceleration_0_60_mph]]&lt;=5,"HighPerformance","Standard"))</f>
        <v>Standard</v>
      </c>
      <c r="AG1475" t="str">
        <f>IF(EV_Data4[[#This Row],[customer_rating]]&gt;=4.5,"Excellent",IF(EV_Data4[[#This Row],[customer_rating]]&gt;=3.5,"Good","Average"))</f>
        <v>Average</v>
      </c>
      <c r="AH147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76" spans="1:34" x14ac:dyDescent="0.3">
      <c r="A1476" t="s">
        <v>63</v>
      </c>
      <c r="B1476" t="s">
        <v>82</v>
      </c>
      <c r="C1476">
        <v>2025</v>
      </c>
      <c r="D1476" t="s">
        <v>56</v>
      </c>
      <c r="E1476" s="3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27</v>
      </c>
      <c r="N1476">
        <v>7</v>
      </c>
      <c r="O1476" t="s">
        <v>28</v>
      </c>
      <c r="P1476">
        <v>74.599999999999994</v>
      </c>
      <c r="Q1476">
        <v>2589</v>
      </c>
      <c r="R1476">
        <v>5</v>
      </c>
      <c r="S1476">
        <v>0</v>
      </c>
      <c r="T1476" t="s">
        <v>65</v>
      </c>
      <c r="U1476" t="s">
        <v>66</v>
      </c>
      <c r="V1476" s="3">
        <v>106382</v>
      </c>
      <c r="W1476">
        <v>3.56</v>
      </c>
      <c r="X1476">
        <v>4</v>
      </c>
      <c r="Y1476" s="1">
        <f>EV_Data4[[#This Row],[range_miles]]/EV_Data4[[#This Row],[battery_capacity_kwh]]</f>
        <v>3.3213859020310634</v>
      </c>
      <c r="Z1476" s="4">
        <f>EV_Data4[[#This Row],[price_usd]]/EV_Data4[[#This Row],[range_miles]]</f>
        <v>92.999460431654668</v>
      </c>
      <c r="AA1476" s="2">
        <f>(EV_Data4[[#This Row],[customer_rating]]*EV_Data4[[#This Row],[safety_rating]]*1000)/EV_Data4[[#This Row],[price_usd]]</f>
        <v>0.68848546734818994</v>
      </c>
      <c r="AB1476">
        <f>EV_Data4[[#This Row],[horsepower]]+EV_Data4[[#This Row],[torque_nm]]/EV_Data4[[#This Row],[acceleration_0_60_mph]]</f>
        <v>236.15434083601286</v>
      </c>
      <c r="AC1476" t="str">
        <f>IF(EV_Data4[[#This Row],[price_usd]]&gt;=80000,"Luxury",IF(EV_Data4[[#This Row],[price_usd]]&gt;=40000,"Mid-Range","Budget"))</f>
        <v>Budget</v>
      </c>
      <c r="AD1476" t="str">
        <f>IF(EV_Data4[[#This Row],[range_miles]]&gt;=350,"Long-Range",IF(EV_Data4[[#This Row],[range_miles]]&gt;=250,"Medium-Range","Short-Range"))</f>
        <v>Medium-Range</v>
      </c>
      <c r="AE1476" t="str">
        <f>IF(EV_Data4[[#This Row],[charging_speed_kw]]&gt;=250,"Ultra-Fast",IF(EV_Data4[[#This Row],[charging_speed_kw]]&gt;=150,"Fast-Charging","Standard-Charging"))</f>
        <v>Standard-Charging</v>
      </c>
      <c r="AF1476" t="str">
        <f>IF(EV_Data4[[#This Row],[acceleration_0_60_mph]]&lt;=3,"SportsPerformance",IF(EV_Data4[[#This Row],[acceleration_0_60_mph]]&lt;=5,"HighPerformance","Standard"))</f>
        <v>Standard</v>
      </c>
      <c r="AG1476" t="str">
        <f>IF(EV_Data4[[#This Row],[customer_rating]]&gt;=4.5,"Excellent",IF(EV_Data4[[#This Row],[customer_rating]]&gt;=3.5,"Good","Average"))</f>
        <v>Good</v>
      </c>
      <c r="AH147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77" spans="1:34" x14ac:dyDescent="0.3">
      <c r="A1477" t="s">
        <v>83</v>
      </c>
      <c r="B1477" t="s">
        <v>89</v>
      </c>
      <c r="C1477">
        <v>2025</v>
      </c>
      <c r="D1477" t="s">
        <v>44</v>
      </c>
      <c r="E1477" s="3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48</v>
      </c>
      <c r="N1477">
        <v>5</v>
      </c>
      <c r="O1477" t="s">
        <v>51</v>
      </c>
      <c r="P1477">
        <v>25.6</v>
      </c>
      <c r="Q1477">
        <v>1736</v>
      </c>
      <c r="R1477">
        <v>4</v>
      </c>
      <c r="S1477">
        <v>1</v>
      </c>
      <c r="T1477" t="s">
        <v>29</v>
      </c>
      <c r="U1477" t="s">
        <v>33</v>
      </c>
      <c r="V1477" s="3">
        <v>37357</v>
      </c>
      <c r="W1477">
        <v>3.74</v>
      </c>
      <c r="X1477">
        <v>7</v>
      </c>
      <c r="Y1477" s="1">
        <f>EV_Data4[[#This Row],[range_miles]]/EV_Data4[[#This Row],[battery_capacity_kwh]]</f>
        <v>3.3683206106870229</v>
      </c>
      <c r="Z1477" s="4">
        <f>EV_Data4[[#This Row],[price_usd]]/EV_Data4[[#This Row],[range_miles]]</f>
        <v>189.25419263456089</v>
      </c>
      <c r="AA1477" s="2">
        <f>(EV_Data4[[#This Row],[customer_rating]]*EV_Data4[[#This Row],[safety_rating]]*1000)/EV_Data4[[#This Row],[price_usd]]</f>
        <v>0.22392953524293138</v>
      </c>
      <c r="AB1477">
        <f>EV_Data4[[#This Row],[horsepower]]+EV_Data4[[#This Row],[torque_nm]]/EV_Data4[[#This Row],[acceleration_0_60_mph]]</f>
        <v>455.6</v>
      </c>
      <c r="AC1477" t="str">
        <f>IF(EV_Data4[[#This Row],[price_usd]]&gt;=80000,"Luxury",IF(EV_Data4[[#This Row],[price_usd]]&gt;=40000,"Mid-Range","Budget"))</f>
        <v>Mid-Range</v>
      </c>
      <c r="AD1477" t="str">
        <f>IF(EV_Data4[[#This Row],[range_miles]]&gt;=350,"Long-Range",IF(EV_Data4[[#This Row],[range_miles]]&gt;=250,"Medium-Range","Short-Range"))</f>
        <v>Long-Range</v>
      </c>
      <c r="AE1477" t="str">
        <f>IF(EV_Data4[[#This Row],[charging_speed_kw]]&gt;=250,"Ultra-Fast",IF(EV_Data4[[#This Row],[charging_speed_kw]]&gt;=150,"Fast-Charging","Standard-Charging"))</f>
        <v>Standard-Charging</v>
      </c>
      <c r="AF1477" t="str">
        <f>IF(EV_Data4[[#This Row],[acceleration_0_60_mph]]&lt;=3,"SportsPerformance",IF(EV_Data4[[#This Row],[acceleration_0_60_mph]]&lt;=5,"HighPerformance","Standard"))</f>
        <v>HighPerformance</v>
      </c>
      <c r="AG1477" t="str">
        <f>IF(EV_Data4[[#This Row],[customer_rating]]&gt;=4.5,"Excellent",IF(EV_Data4[[#This Row],[customer_rating]]&gt;=3.5,"Good","Average"))</f>
        <v>Good</v>
      </c>
      <c r="AH147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78" spans="1:34" x14ac:dyDescent="0.3">
      <c r="A1478" t="s">
        <v>76</v>
      </c>
      <c r="B1478" t="s">
        <v>91</v>
      </c>
      <c r="C1478">
        <v>2024</v>
      </c>
      <c r="D1478" t="s">
        <v>61</v>
      </c>
      <c r="E1478" s="3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34</v>
      </c>
      <c r="N1478">
        <v>2</v>
      </c>
      <c r="O1478" t="s">
        <v>28</v>
      </c>
      <c r="P1478">
        <v>77.3</v>
      </c>
      <c r="Q1478">
        <v>2728</v>
      </c>
      <c r="R1478">
        <v>5</v>
      </c>
      <c r="S1478">
        <v>2</v>
      </c>
      <c r="T1478" t="s">
        <v>41</v>
      </c>
      <c r="U1478" t="s">
        <v>37</v>
      </c>
      <c r="V1478" s="3">
        <v>66132</v>
      </c>
      <c r="W1478">
        <v>3.55</v>
      </c>
      <c r="X1478">
        <v>5</v>
      </c>
      <c r="Y1478" s="1">
        <f>EV_Data4[[#This Row],[range_miles]]/EV_Data4[[#This Row],[battery_capacity_kwh]]</f>
        <v>3.5641025641025643</v>
      </c>
      <c r="Z1478" s="4">
        <f>EV_Data4[[#This Row],[price_usd]]/EV_Data4[[#This Row],[range_miles]]</f>
        <v>138.80215827338131</v>
      </c>
      <c r="AA1478" s="2">
        <f>(EV_Data4[[#This Row],[customer_rating]]*EV_Data4[[#This Row],[safety_rating]]*1000)/EV_Data4[[#This Row],[price_usd]]</f>
        <v>0.45999948169072485</v>
      </c>
      <c r="AB1478">
        <f>EV_Data4[[#This Row],[horsepower]]+EV_Data4[[#This Row],[torque_nm]]/EV_Data4[[#This Row],[acceleration_0_60_mph]]</f>
        <v>318.63220088626292</v>
      </c>
      <c r="AC1478" t="str">
        <f>IF(EV_Data4[[#This Row],[price_usd]]&gt;=80000,"Luxury",IF(EV_Data4[[#This Row],[price_usd]]&gt;=40000,"Mid-Range","Budget"))</f>
        <v>Budget</v>
      </c>
      <c r="AD1478" t="str">
        <f>IF(EV_Data4[[#This Row],[range_miles]]&gt;=350,"Long-Range",IF(EV_Data4[[#This Row],[range_miles]]&gt;=250,"Medium-Range","Short-Range"))</f>
        <v>Medium-Range</v>
      </c>
      <c r="AE1478" t="str">
        <f>IF(EV_Data4[[#This Row],[charging_speed_kw]]&gt;=250,"Ultra-Fast",IF(EV_Data4[[#This Row],[charging_speed_kw]]&gt;=150,"Fast-Charging","Standard-Charging"))</f>
        <v>Standard-Charging</v>
      </c>
      <c r="AF1478" t="str">
        <f>IF(EV_Data4[[#This Row],[acceleration_0_60_mph]]&lt;=3,"SportsPerformance",IF(EV_Data4[[#This Row],[acceleration_0_60_mph]]&lt;=5,"HighPerformance","Standard"))</f>
        <v>Standard</v>
      </c>
      <c r="AG1478" t="str">
        <f>IF(EV_Data4[[#This Row],[customer_rating]]&gt;=4.5,"Excellent",IF(EV_Data4[[#This Row],[customer_rating]]&gt;=3.5,"Good","Average"))</f>
        <v>Good</v>
      </c>
      <c r="AH147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79" spans="1:34" x14ac:dyDescent="0.3">
      <c r="A1479" t="s">
        <v>76</v>
      </c>
      <c r="B1479" t="s">
        <v>98</v>
      </c>
      <c r="C1479">
        <v>2024</v>
      </c>
      <c r="D1479" t="s">
        <v>26</v>
      </c>
      <c r="E1479" s="3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27</v>
      </c>
      <c r="N1479">
        <v>5</v>
      </c>
      <c r="O1479" t="s">
        <v>51</v>
      </c>
      <c r="P1479">
        <v>31.7</v>
      </c>
      <c r="Q1479">
        <v>1689</v>
      </c>
      <c r="R1479">
        <v>5</v>
      </c>
      <c r="S1479">
        <v>0</v>
      </c>
      <c r="T1479" t="s">
        <v>41</v>
      </c>
      <c r="U1479" t="s">
        <v>37</v>
      </c>
      <c r="V1479" s="3">
        <v>29374</v>
      </c>
      <c r="W1479">
        <v>3.68</v>
      </c>
      <c r="X1479">
        <v>3</v>
      </c>
      <c r="Y1479" s="1">
        <f>EV_Data4[[#This Row],[range_miles]]/EV_Data4[[#This Row],[battery_capacity_kwh]]</f>
        <v>3.4547152194211019</v>
      </c>
      <c r="Z1479" s="4">
        <f>EV_Data4[[#This Row],[price_usd]]/EV_Data4[[#This Row],[range_miles]]</f>
        <v>165.99254054054055</v>
      </c>
      <c r="AA1479" s="2">
        <f>(EV_Data4[[#This Row],[customer_rating]]*EV_Data4[[#This Row],[safety_rating]]*1000)/EV_Data4[[#This Row],[price_usd]]</f>
        <v>0.29959014765235303</v>
      </c>
      <c r="AB1479">
        <f>EV_Data4[[#This Row],[horsepower]]+EV_Data4[[#This Row],[torque_nm]]/EV_Data4[[#This Row],[acceleration_0_60_mph]]</f>
        <v>740.01534526854221</v>
      </c>
      <c r="AC1479" t="str">
        <f>IF(EV_Data4[[#This Row],[price_usd]]&gt;=80000,"Luxury",IF(EV_Data4[[#This Row],[price_usd]]&gt;=40000,"Mid-Range","Budget"))</f>
        <v>Mid-Range</v>
      </c>
      <c r="AD1479" t="str">
        <f>IF(EV_Data4[[#This Row],[range_miles]]&gt;=350,"Long-Range",IF(EV_Data4[[#This Row],[range_miles]]&gt;=250,"Medium-Range","Short-Range"))</f>
        <v>Long-Range</v>
      </c>
      <c r="AE1479" t="str">
        <f>IF(EV_Data4[[#This Row],[charging_speed_kw]]&gt;=250,"Ultra-Fast",IF(EV_Data4[[#This Row],[charging_speed_kw]]&gt;=150,"Fast-Charging","Standard-Charging"))</f>
        <v>Fast-Charging</v>
      </c>
      <c r="AF1479" t="str">
        <f>IF(EV_Data4[[#This Row],[acceleration_0_60_mph]]&lt;=3,"SportsPerformance",IF(EV_Data4[[#This Row],[acceleration_0_60_mph]]&lt;=5,"HighPerformance","Standard"))</f>
        <v>HighPerformance</v>
      </c>
      <c r="AG1479" t="str">
        <f>IF(EV_Data4[[#This Row],[customer_rating]]&gt;=4.5,"Excellent",IF(EV_Data4[[#This Row],[customer_rating]]&gt;=3.5,"Good","Average"))</f>
        <v>Good</v>
      </c>
      <c r="AH147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80" spans="1:34" x14ac:dyDescent="0.3">
      <c r="A1480" t="s">
        <v>76</v>
      </c>
      <c r="B1480" t="s">
        <v>91</v>
      </c>
      <c r="C1480">
        <v>2026</v>
      </c>
      <c r="D1480" t="s">
        <v>33</v>
      </c>
      <c r="E1480" s="3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27</v>
      </c>
      <c r="N1480">
        <v>2</v>
      </c>
      <c r="O1480" t="s">
        <v>28</v>
      </c>
      <c r="P1480">
        <v>68.599999999999994</v>
      </c>
      <c r="Q1480">
        <v>2484</v>
      </c>
      <c r="R1480">
        <v>5</v>
      </c>
      <c r="S1480">
        <v>2</v>
      </c>
      <c r="T1480" t="s">
        <v>41</v>
      </c>
      <c r="U1480" t="s">
        <v>33</v>
      </c>
      <c r="V1480" s="3">
        <v>26454</v>
      </c>
      <c r="W1480">
        <v>3.22</v>
      </c>
      <c r="X1480">
        <v>4</v>
      </c>
      <c r="Y1480" s="1">
        <f>EV_Data4[[#This Row],[range_miles]]/EV_Data4[[#This Row],[battery_capacity_kwh]]</f>
        <v>3.7406483790523688</v>
      </c>
      <c r="Z1480" s="4">
        <f>EV_Data4[[#This Row],[price_usd]]/EV_Data4[[#This Row],[range_miles]]</f>
        <v>487.64426666666668</v>
      </c>
      <c r="AA1480" s="2">
        <f>(EV_Data4[[#This Row],[customer_rating]]*EV_Data4[[#This Row],[safety_rating]]*1000)/EV_Data4[[#This Row],[price_usd]]</f>
        <v>0.22010580390295442</v>
      </c>
      <c r="AB1480">
        <f>EV_Data4[[#This Row],[horsepower]]+EV_Data4[[#This Row],[torque_nm]]/EV_Data4[[#This Row],[acceleration_0_60_mph]]</f>
        <v>949.53687315634215</v>
      </c>
      <c r="AC1480" t="str">
        <f>IF(EV_Data4[[#This Row],[price_usd]]&gt;=80000,"Luxury",IF(EV_Data4[[#This Row],[price_usd]]&gt;=40000,"Mid-Range","Budget"))</f>
        <v>Mid-Range</v>
      </c>
      <c r="AD1480" t="str">
        <f>IF(EV_Data4[[#This Row],[range_miles]]&gt;=350,"Long-Range",IF(EV_Data4[[#This Row],[range_miles]]&gt;=250,"Medium-Range","Short-Range"))</f>
        <v>Short-Range</v>
      </c>
      <c r="AE1480" t="str">
        <f>IF(EV_Data4[[#This Row],[charging_speed_kw]]&gt;=250,"Ultra-Fast",IF(EV_Data4[[#This Row],[charging_speed_kw]]&gt;=150,"Fast-Charging","Standard-Charging"))</f>
        <v>Standard-Charging</v>
      </c>
      <c r="AF1480" t="str">
        <f>IF(EV_Data4[[#This Row],[acceleration_0_60_mph]]&lt;=3,"SportsPerformance",IF(EV_Data4[[#This Row],[acceleration_0_60_mph]]&lt;=5,"HighPerformance","Standard"))</f>
        <v>Standard</v>
      </c>
      <c r="AG1480" t="str">
        <f>IF(EV_Data4[[#This Row],[customer_rating]]&gt;=4.5,"Excellent",IF(EV_Data4[[#This Row],[customer_rating]]&gt;=3.5,"Good","Average"))</f>
        <v>Average</v>
      </c>
      <c r="AH148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81" spans="1:34" x14ac:dyDescent="0.3">
      <c r="A1481" t="s">
        <v>24</v>
      </c>
      <c r="B1481" t="s">
        <v>70</v>
      </c>
      <c r="C1481">
        <v>2024</v>
      </c>
      <c r="D1481" t="s">
        <v>26</v>
      </c>
      <c r="E1481" s="3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27</v>
      </c>
      <c r="N1481">
        <v>7</v>
      </c>
      <c r="O1481" t="s">
        <v>35</v>
      </c>
      <c r="P1481">
        <v>68</v>
      </c>
      <c r="Q1481">
        <v>2269</v>
      </c>
      <c r="R1481">
        <v>5</v>
      </c>
      <c r="S1481">
        <v>0</v>
      </c>
      <c r="T1481" t="s">
        <v>29</v>
      </c>
      <c r="U1481" t="s">
        <v>33</v>
      </c>
      <c r="V1481" s="3">
        <v>267416</v>
      </c>
      <c r="W1481">
        <v>3.45</v>
      </c>
      <c r="X1481">
        <v>4</v>
      </c>
      <c r="Y1481" s="1">
        <f>EV_Data4[[#This Row],[range_miles]]/EV_Data4[[#This Row],[battery_capacity_kwh]]</f>
        <v>3.3145009416195856</v>
      </c>
      <c r="Z1481" s="4">
        <f>EV_Data4[[#This Row],[price_usd]]/EV_Data4[[#This Row],[range_miles]]</f>
        <v>227.63420454545457</v>
      </c>
      <c r="AA1481" s="2">
        <f>(EV_Data4[[#This Row],[customer_rating]]*EV_Data4[[#This Row],[safety_rating]]*1000)/EV_Data4[[#This Row],[price_usd]]</f>
        <v>0.21528259303577657</v>
      </c>
      <c r="AB1481">
        <f>EV_Data4[[#This Row],[horsepower]]+EV_Data4[[#This Row],[torque_nm]]/EV_Data4[[#This Row],[acceleration_0_60_mph]]</f>
        <v>1119.8050139275765</v>
      </c>
      <c r="AC1481" t="str">
        <f>IF(EV_Data4[[#This Row],[price_usd]]&gt;=80000,"Luxury",IF(EV_Data4[[#This Row],[price_usd]]&gt;=40000,"Mid-Range","Budget"))</f>
        <v>Luxury</v>
      </c>
      <c r="AD1481" t="str">
        <f>IF(EV_Data4[[#This Row],[range_miles]]&gt;=350,"Long-Range",IF(EV_Data4[[#This Row],[range_miles]]&gt;=250,"Medium-Range","Short-Range"))</f>
        <v>Long-Range</v>
      </c>
      <c r="AE1481" t="str">
        <f>IF(EV_Data4[[#This Row],[charging_speed_kw]]&gt;=250,"Ultra-Fast",IF(EV_Data4[[#This Row],[charging_speed_kw]]&gt;=150,"Fast-Charging","Standard-Charging"))</f>
        <v>Fast-Charging</v>
      </c>
      <c r="AF1481" t="str">
        <f>IF(EV_Data4[[#This Row],[acceleration_0_60_mph]]&lt;=3,"SportsPerformance",IF(EV_Data4[[#This Row],[acceleration_0_60_mph]]&lt;=5,"HighPerformance","Standard"))</f>
        <v>HighPerformance</v>
      </c>
      <c r="AG1481" t="str">
        <f>IF(EV_Data4[[#This Row],[customer_rating]]&gt;=4.5,"Excellent",IF(EV_Data4[[#This Row],[customer_rating]]&gt;=3.5,"Good","Average"))</f>
        <v>Average</v>
      </c>
      <c r="AH148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82" spans="1:34" x14ac:dyDescent="0.3">
      <c r="A1482" t="s">
        <v>76</v>
      </c>
      <c r="B1482" t="s">
        <v>91</v>
      </c>
      <c r="C1482">
        <v>2025</v>
      </c>
      <c r="D1482" t="s">
        <v>44</v>
      </c>
      <c r="E1482" s="3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34</v>
      </c>
      <c r="N1482">
        <v>4</v>
      </c>
      <c r="O1482" t="s">
        <v>28</v>
      </c>
      <c r="P1482">
        <v>75.3</v>
      </c>
      <c r="Q1482">
        <v>2664</v>
      </c>
      <c r="R1482">
        <v>4</v>
      </c>
      <c r="S1482">
        <v>0</v>
      </c>
      <c r="T1482" t="s">
        <v>41</v>
      </c>
      <c r="U1482" t="s">
        <v>33</v>
      </c>
      <c r="V1482" s="3">
        <v>57497</v>
      </c>
      <c r="W1482">
        <v>3.67</v>
      </c>
      <c r="X1482">
        <v>4</v>
      </c>
      <c r="Y1482" s="1">
        <f>EV_Data4[[#This Row],[range_miles]]/EV_Data4[[#This Row],[battery_capacity_kwh]]</f>
        <v>3.7028571428571428</v>
      </c>
      <c r="Z1482" s="4">
        <f>EV_Data4[[#This Row],[price_usd]]/EV_Data4[[#This Row],[range_miles]]</f>
        <v>215.30564814814815</v>
      </c>
      <c r="AA1482" s="2">
        <f>(EV_Data4[[#This Row],[customer_rating]]*EV_Data4[[#This Row],[safety_rating]]*1000)/EV_Data4[[#This Row],[price_usd]]</f>
        <v>0.21043870592810709</v>
      </c>
      <c r="AB1482">
        <f>EV_Data4[[#This Row],[horsepower]]+EV_Data4[[#This Row],[torque_nm]]/EV_Data4[[#This Row],[acceleration_0_60_mph]]</f>
        <v>928.85034013605446</v>
      </c>
      <c r="AC1482" t="str">
        <f>IF(EV_Data4[[#This Row],[price_usd]]&gt;=80000,"Luxury",IF(EV_Data4[[#This Row],[price_usd]]&gt;=40000,"Mid-Range","Budget"))</f>
        <v>Mid-Range</v>
      </c>
      <c r="AD1482" t="str">
        <f>IF(EV_Data4[[#This Row],[range_miles]]&gt;=350,"Long-Range",IF(EV_Data4[[#This Row],[range_miles]]&gt;=250,"Medium-Range","Short-Range"))</f>
        <v>Medium-Range</v>
      </c>
      <c r="AE1482" t="str">
        <f>IF(EV_Data4[[#This Row],[charging_speed_kw]]&gt;=250,"Ultra-Fast",IF(EV_Data4[[#This Row],[charging_speed_kw]]&gt;=150,"Fast-Charging","Standard-Charging"))</f>
        <v>Standard-Charging</v>
      </c>
      <c r="AF1482" t="str">
        <f>IF(EV_Data4[[#This Row],[acceleration_0_60_mph]]&lt;=3,"SportsPerformance",IF(EV_Data4[[#This Row],[acceleration_0_60_mph]]&lt;=5,"HighPerformance","Standard"))</f>
        <v>Standard</v>
      </c>
      <c r="AG1482" t="str">
        <f>IF(EV_Data4[[#This Row],[customer_rating]]&gt;=4.5,"Excellent",IF(EV_Data4[[#This Row],[customer_rating]]&gt;=3.5,"Good","Average"))</f>
        <v>Good</v>
      </c>
      <c r="AH148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83" spans="1:34" x14ac:dyDescent="0.3">
      <c r="A1483" t="s">
        <v>46</v>
      </c>
      <c r="B1483" t="s">
        <v>47</v>
      </c>
      <c r="C1483">
        <v>2023</v>
      </c>
      <c r="D1483" t="s">
        <v>61</v>
      </c>
      <c r="E1483" s="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27</v>
      </c>
      <c r="N1483">
        <v>5</v>
      </c>
      <c r="O1483" t="s">
        <v>40</v>
      </c>
      <c r="P1483">
        <v>79.599999999999994</v>
      </c>
      <c r="Q1483">
        <v>1512</v>
      </c>
      <c r="R1483">
        <v>4</v>
      </c>
      <c r="S1483">
        <v>3</v>
      </c>
      <c r="T1483" t="s">
        <v>41</v>
      </c>
      <c r="U1483" t="s">
        <v>33</v>
      </c>
      <c r="V1483" s="3">
        <v>179048</v>
      </c>
      <c r="W1483">
        <v>3.64</v>
      </c>
      <c r="X1483">
        <v>4</v>
      </c>
      <c r="Y1483" s="1">
        <f>EV_Data4[[#This Row],[range_miles]]/EV_Data4[[#This Row],[battery_capacity_kwh]]</f>
        <v>3.5247524752475248</v>
      </c>
      <c r="Z1483" s="4">
        <f>EV_Data4[[#This Row],[price_usd]]/EV_Data4[[#This Row],[range_miles]]</f>
        <v>383.1751685393258</v>
      </c>
      <c r="AA1483" s="2">
        <f>(EV_Data4[[#This Row],[customer_rating]]*EV_Data4[[#This Row],[safety_rating]]*1000)/EV_Data4[[#This Row],[price_usd]]</f>
        <v>0.21347352209905468</v>
      </c>
      <c r="AB1483">
        <f>EV_Data4[[#This Row],[horsepower]]+EV_Data4[[#This Row],[torque_nm]]/EV_Data4[[#This Row],[acceleration_0_60_mph]]</f>
        <v>544.85171102661593</v>
      </c>
      <c r="AC1483" t="str">
        <f>IF(EV_Data4[[#This Row],[price_usd]]&gt;=80000,"Luxury",IF(EV_Data4[[#This Row],[price_usd]]&gt;=40000,"Mid-Range","Budget"))</f>
        <v>Mid-Range</v>
      </c>
      <c r="AD1483" t="str">
        <f>IF(EV_Data4[[#This Row],[range_miles]]&gt;=350,"Long-Range",IF(EV_Data4[[#This Row],[range_miles]]&gt;=250,"Medium-Range","Short-Range"))</f>
        <v>Short-Range</v>
      </c>
      <c r="AE1483" t="str">
        <f>IF(EV_Data4[[#This Row],[charging_speed_kw]]&gt;=250,"Ultra-Fast",IF(EV_Data4[[#This Row],[charging_speed_kw]]&gt;=150,"Fast-Charging","Standard-Charging"))</f>
        <v>Ultra-Fast</v>
      </c>
      <c r="AF1483" t="str">
        <f>IF(EV_Data4[[#This Row],[acceleration_0_60_mph]]&lt;=3,"SportsPerformance",IF(EV_Data4[[#This Row],[acceleration_0_60_mph]]&lt;=5,"HighPerformance","Standard"))</f>
        <v>Standard</v>
      </c>
      <c r="AG1483" t="str">
        <f>IF(EV_Data4[[#This Row],[customer_rating]]&gt;=4.5,"Excellent",IF(EV_Data4[[#This Row],[customer_rating]]&gt;=3.5,"Good","Average"))</f>
        <v>Good</v>
      </c>
      <c r="AH1483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484" spans="1:34" x14ac:dyDescent="0.3">
      <c r="A1484" t="s">
        <v>42</v>
      </c>
      <c r="B1484" t="s">
        <v>80</v>
      </c>
      <c r="C1484">
        <v>2026</v>
      </c>
      <c r="D1484" t="s">
        <v>61</v>
      </c>
      <c r="E1484" s="3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27</v>
      </c>
      <c r="N1484">
        <v>5</v>
      </c>
      <c r="O1484" t="s">
        <v>35</v>
      </c>
      <c r="P1484">
        <v>41.9</v>
      </c>
      <c r="Q1484">
        <v>2334</v>
      </c>
      <c r="R1484">
        <v>5</v>
      </c>
      <c r="S1484">
        <v>0</v>
      </c>
      <c r="T1484" t="s">
        <v>45</v>
      </c>
      <c r="U1484" t="s">
        <v>37</v>
      </c>
      <c r="V1484" s="3">
        <v>142095</v>
      </c>
      <c r="W1484">
        <v>3.03</v>
      </c>
      <c r="X1484">
        <v>5</v>
      </c>
      <c r="Y1484" s="1">
        <f>EV_Data4[[#This Row],[range_miles]]/EV_Data4[[#This Row],[battery_capacity_kwh]]</f>
        <v>3.4684684684684686</v>
      </c>
      <c r="Z1484" s="4">
        <f>EV_Data4[[#This Row],[price_usd]]/EV_Data4[[#This Row],[range_miles]]</f>
        <v>339.77188311688315</v>
      </c>
      <c r="AA1484" s="2">
        <f>(EV_Data4[[#This Row],[customer_rating]]*EV_Data4[[#This Row],[safety_rating]]*1000)/EV_Data4[[#This Row],[price_usd]]</f>
        <v>0.28953726975336963</v>
      </c>
      <c r="AB1484">
        <f>EV_Data4[[#This Row],[horsepower]]+EV_Data4[[#This Row],[torque_nm]]/EV_Data4[[#This Row],[acceleration_0_60_mph]]</f>
        <v>589.71293375394316</v>
      </c>
      <c r="AC1484" t="str">
        <f>IF(EV_Data4[[#This Row],[price_usd]]&gt;=80000,"Luxury",IF(EV_Data4[[#This Row],[price_usd]]&gt;=40000,"Mid-Range","Budget"))</f>
        <v>Mid-Range</v>
      </c>
      <c r="AD1484" t="str">
        <f>IF(EV_Data4[[#This Row],[range_miles]]&gt;=350,"Long-Range",IF(EV_Data4[[#This Row],[range_miles]]&gt;=250,"Medium-Range","Short-Range"))</f>
        <v>Short-Range</v>
      </c>
      <c r="AE1484" t="str">
        <f>IF(EV_Data4[[#This Row],[charging_speed_kw]]&gt;=250,"Ultra-Fast",IF(EV_Data4[[#This Row],[charging_speed_kw]]&gt;=150,"Fast-Charging","Standard-Charging"))</f>
        <v>Standard-Charging</v>
      </c>
      <c r="AF1484" t="str">
        <f>IF(EV_Data4[[#This Row],[acceleration_0_60_mph]]&lt;=3,"SportsPerformance",IF(EV_Data4[[#This Row],[acceleration_0_60_mph]]&lt;=5,"HighPerformance","Standard"))</f>
        <v>Standard</v>
      </c>
      <c r="AG1484" t="str">
        <f>IF(EV_Data4[[#This Row],[customer_rating]]&gt;=4.5,"Excellent",IF(EV_Data4[[#This Row],[customer_rating]]&gt;=3.5,"Good","Average"))</f>
        <v>Average</v>
      </c>
      <c r="AH148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85" spans="1:34" x14ac:dyDescent="0.3">
      <c r="A1485" t="s">
        <v>46</v>
      </c>
      <c r="B1485" t="s">
        <v>78</v>
      </c>
      <c r="C1485">
        <v>2025</v>
      </c>
      <c r="D1485" t="s">
        <v>44</v>
      </c>
      <c r="E1485" s="3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27</v>
      </c>
      <c r="N1485">
        <v>5</v>
      </c>
      <c r="O1485" t="s">
        <v>40</v>
      </c>
      <c r="P1485">
        <v>77.400000000000006</v>
      </c>
      <c r="Q1485">
        <v>1826</v>
      </c>
      <c r="R1485">
        <v>4</v>
      </c>
      <c r="S1485">
        <v>2</v>
      </c>
      <c r="T1485" t="s">
        <v>41</v>
      </c>
      <c r="U1485" t="s">
        <v>30</v>
      </c>
      <c r="V1485" s="3">
        <v>137895</v>
      </c>
      <c r="W1485">
        <v>4.12</v>
      </c>
      <c r="X1485">
        <v>5</v>
      </c>
      <c r="Y1485" s="1">
        <f>EV_Data4[[#This Row],[range_miles]]/EV_Data4[[#This Row],[battery_capacity_kwh]]</f>
        <v>3.4239802224969096</v>
      </c>
      <c r="Z1485" s="4">
        <f>EV_Data4[[#This Row],[price_usd]]/EV_Data4[[#This Row],[range_miles]]</f>
        <v>432.94931407942238</v>
      </c>
      <c r="AA1485" s="2">
        <f>(EV_Data4[[#This Row],[customer_rating]]*EV_Data4[[#This Row],[safety_rating]]*1000)/EV_Data4[[#This Row],[price_usd]]</f>
        <v>0.13741697446512444</v>
      </c>
      <c r="AB1485">
        <f>EV_Data4[[#This Row],[horsepower]]+EV_Data4[[#This Row],[torque_nm]]/EV_Data4[[#This Row],[acceleration_0_60_mph]]</f>
        <v>1089.3092369477911</v>
      </c>
      <c r="AC1485" t="str">
        <f>IF(EV_Data4[[#This Row],[price_usd]]&gt;=80000,"Luxury",IF(EV_Data4[[#This Row],[price_usd]]&gt;=40000,"Mid-Range","Budget"))</f>
        <v>Luxury</v>
      </c>
      <c r="AD1485" t="str">
        <f>IF(EV_Data4[[#This Row],[range_miles]]&gt;=350,"Long-Range",IF(EV_Data4[[#This Row],[range_miles]]&gt;=250,"Medium-Range","Short-Range"))</f>
        <v>Medium-Range</v>
      </c>
      <c r="AE1485" t="str">
        <f>IF(EV_Data4[[#This Row],[charging_speed_kw]]&gt;=250,"Ultra-Fast",IF(EV_Data4[[#This Row],[charging_speed_kw]]&gt;=150,"Fast-Charging","Standard-Charging"))</f>
        <v>Fast-Charging</v>
      </c>
      <c r="AF1485" t="str">
        <f>IF(EV_Data4[[#This Row],[acceleration_0_60_mph]]&lt;=3,"SportsPerformance",IF(EV_Data4[[#This Row],[acceleration_0_60_mph]]&lt;=5,"HighPerformance","Standard"))</f>
        <v>HighPerformance</v>
      </c>
      <c r="AG1485" t="str">
        <f>IF(EV_Data4[[#This Row],[customer_rating]]&gt;=4.5,"Excellent",IF(EV_Data4[[#This Row],[customer_rating]]&gt;=3.5,"Good","Average"))</f>
        <v>Good</v>
      </c>
      <c r="AH148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86" spans="1:34" x14ac:dyDescent="0.3">
      <c r="A1486" t="s">
        <v>63</v>
      </c>
      <c r="B1486" t="s">
        <v>88</v>
      </c>
      <c r="C1486">
        <v>2022</v>
      </c>
      <c r="D1486" t="s">
        <v>61</v>
      </c>
      <c r="E1486" s="3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34</v>
      </c>
      <c r="N1486">
        <v>7</v>
      </c>
      <c r="O1486" t="s">
        <v>58</v>
      </c>
      <c r="P1486">
        <v>19.899999999999999</v>
      </c>
      <c r="Q1486">
        <v>1666</v>
      </c>
      <c r="R1486">
        <v>4</v>
      </c>
      <c r="S1486">
        <v>2</v>
      </c>
      <c r="T1486" t="s">
        <v>65</v>
      </c>
      <c r="U1486" t="s">
        <v>37</v>
      </c>
      <c r="V1486" s="3">
        <v>241442</v>
      </c>
      <c r="W1486">
        <v>3.15</v>
      </c>
      <c r="X1486">
        <v>4</v>
      </c>
      <c r="Y1486" s="1">
        <f>EV_Data4[[#This Row],[range_miles]]/EV_Data4[[#This Row],[battery_capacity_kwh]]</f>
        <v>3.7037037037037033</v>
      </c>
      <c r="Z1486" s="4">
        <f>EV_Data4[[#This Row],[price_usd]]/EV_Data4[[#This Row],[range_miles]]</f>
        <v>369.6158125</v>
      </c>
      <c r="AA1486" s="2">
        <f>(EV_Data4[[#This Row],[customer_rating]]*EV_Data4[[#This Row],[safety_rating]]*1000)/EV_Data4[[#This Row],[price_usd]]</f>
        <v>0.21305906656793802</v>
      </c>
      <c r="AB1486">
        <f>EV_Data4[[#This Row],[horsepower]]+EV_Data4[[#This Row],[torque_nm]]/EV_Data4[[#This Row],[acceleration_0_60_mph]]</f>
        <v>748.35704125177813</v>
      </c>
      <c r="AC1486" t="str">
        <f>IF(EV_Data4[[#This Row],[price_usd]]&gt;=80000,"Luxury",IF(EV_Data4[[#This Row],[price_usd]]&gt;=40000,"Mid-Range","Budget"))</f>
        <v>Mid-Range</v>
      </c>
      <c r="AD1486" t="str">
        <f>IF(EV_Data4[[#This Row],[range_miles]]&gt;=350,"Long-Range",IF(EV_Data4[[#This Row],[range_miles]]&gt;=250,"Medium-Range","Short-Range"))</f>
        <v>Short-Range</v>
      </c>
      <c r="AE1486" t="str">
        <f>IF(EV_Data4[[#This Row],[charging_speed_kw]]&gt;=250,"Ultra-Fast",IF(EV_Data4[[#This Row],[charging_speed_kw]]&gt;=150,"Fast-Charging","Standard-Charging"))</f>
        <v>Standard-Charging</v>
      </c>
      <c r="AF1486" t="str">
        <f>IF(EV_Data4[[#This Row],[acceleration_0_60_mph]]&lt;=3,"SportsPerformance",IF(EV_Data4[[#This Row],[acceleration_0_60_mph]]&lt;=5,"HighPerformance","Standard"))</f>
        <v>Standard</v>
      </c>
      <c r="AG1486" t="str">
        <f>IF(EV_Data4[[#This Row],[customer_rating]]&gt;=4.5,"Excellent",IF(EV_Data4[[#This Row],[customer_rating]]&gt;=3.5,"Good","Average"))</f>
        <v>Average</v>
      </c>
      <c r="AH148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87" spans="1:34" x14ac:dyDescent="0.3">
      <c r="A1487" t="s">
        <v>24</v>
      </c>
      <c r="B1487" t="s">
        <v>85</v>
      </c>
      <c r="C1487">
        <v>2025</v>
      </c>
      <c r="D1487" t="s">
        <v>56</v>
      </c>
      <c r="E1487" s="3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27</v>
      </c>
      <c r="N1487">
        <v>7</v>
      </c>
      <c r="O1487" t="s">
        <v>50</v>
      </c>
      <c r="P1487">
        <v>20.9</v>
      </c>
      <c r="Q1487">
        <v>1532</v>
      </c>
      <c r="R1487">
        <v>4</v>
      </c>
      <c r="S1487">
        <v>0</v>
      </c>
      <c r="T1487" t="s">
        <v>29</v>
      </c>
      <c r="U1487" t="s">
        <v>33</v>
      </c>
      <c r="V1487" s="3">
        <v>258880</v>
      </c>
      <c r="W1487">
        <v>3.26</v>
      </c>
      <c r="X1487">
        <v>4</v>
      </c>
      <c r="Y1487" s="1">
        <f>EV_Data4[[#This Row],[range_miles]]/EV_Data4[[#This Row],[battery_capacity_kwh]]</f>
        <v>3.432494279176201</v>
      </c>
      <c r="Z1487" s="4">
        <f>EV_Data4[[#This Row],[price_usd]]/EV_Data4[[#This Row],[range_miles]]</f>
        <v>489.51366666666667</v>
      </c>
      <c r="AA1487" s="2">
        <f>(EV_Data4[[#This Row],[customer_rating]]*EV_Data4[[#This Row],[safety_rating]]*1000)/EV_Data4[[#This Row],[price_usd]]</f>
        <v>0.17759122830074203</v>
      </c>
      <c r="AB1487">
        <f>EV_Data4[[#This Row],[horsepower]]+EV_Data4[[#This Row],[torque_nm]]/EV_Data4[[#This Row],[acceleration_0_60_mph]]</f>
        <v>914.44859813084111</v>
      </c>
      <c r="AC1487" t="str">
        <f>IF(EV_Data4[[#This Row],[price_usd]]&gt;=80000,"Luxury",IF(EV_Data4[[#This Row],[price_usd]]&gt;=40000,"Mid-Range","Budget"))</f>
        <v>Mid-Range</v>
      </c>
      <c r="AD1487" t="str">
        <f>IF(EV_Data4[[#This Row],[range_miles]]&gt;=350,"Long-Range",IF(EV_Data4[[#This Row],[range_miles]]&gt;=250,"Medium-Range","Short-Range"))</f>
        <v>Short-Range</v>
      </c>
      <c r="AE1487" t="str">
        <f>IF(EV_Data4[[#This Row],[charging_speed_kw]]&gt;=250,"Ultra-Fast",IF(EV_Data4[[#This Row],[charging_speed_kw]]&gt;=150,"Fast-Charging","Standard-Charging"))</f>
        <v>Standard-Charging</v>
      </c>
      <c r="AF1487" t="str">
        <f>IF(EV_Data4[[#This Row],[acceleration_0_60_mph]]&lt;=3,"SportsPerformance",IF(EV_Data4[[#This Row],[acceleration_0_60_mph]]&lt;=5,"HighPerformance","Standard"))</f>
        <v>Standard</v>
      </c>
      <c r="AG1487" t="str">
        <f>IF(EV_Data4[[#This Row],[customer_rating]]&gt;=4.5,"Excellent",IF(EV_Data4[[#This Row],[customer_rating]]&gt;=3.5,"Good","Average"))</f>
        <v>Average</v>
      </c>
      <c r="AH148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88" spans="1:34" x14ac:dyDescent="0.3">
      <c r="A1488" t="s">
        <v>24</v>
      </c>
      <c r="B1488" t="s">
        <v>70</v>
      </c>
      <c r="C1488">
        <v>2021</v>
      </c>
      <c r="D1488" t="s">
        <v>33</v>
      </c>
      <c r="E1488" s="3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48</v>
      </c>
      <c r="N1488">
        <v>5</v>
      </c>
      <c r="O1488" t="s">
        <v>28</v>
      </c>
      <c r="P1488">
        <v>76.900000000000006</v>
      </c>
      <c r="Q1488">
        <v>2408</v>
      </c>
      <c r="R1488">
        <v>4</v>
      </c>
      <c r="S1488">
        <v>1</v>
      </c>
      <c r="T1488" t="s">
        <v>29</v>
      </c>
      <c r="U1488" t="s">
        <v>30</v>
      </c>
      <c r="V1488" s="3">
        <v>297514</v>
      </c>
      <c r="W1488">
        <v>3.44</v>
      </c>
      <c r="X1488">
        <v>5</v>
      </c>
      <c r="Y1488" s="1">
        <f>EV_Data4[[#This Row],[range_miles]]/EV_Data4[[#This Row],[battery_capacity_kwh]]</f>
        <v>3.3105335157318745</v>
      </c>
      <c r="Z1488" s="4">
        <f>EV_Data4[[#This Row],[price_usd]]/EV_Data4[[#This Row],[range_miles]]</f>
        <v>434.36347107438019</v>
      </c>
      <c r="AA1488" s="2">
        <f>(EV_Data4[[#This Row],[customer_rating]]*EV_Data4[[#This Row],[safety_rating]]*1000)/EV_Data4[[#This Row],[price_usd]]</f>
        <v>0.13090305221014961</v>
      </c>
      <c r="AB1488">
        <f>EV_Data4[[#This Row],[horsepower]]+EV_Data4[[#This Row],[torque_nm]]/EV_Data4[[#This Row],[acceleration_0_60_mph]]</f>
        <v>1123.8866396761134</v>
      </c>
      <c r="AC1488" t="str">
        <f>IF(EV_Data4[[#This Row],[price_usd]]&gt;=80000,"Luxury",IF(EV_Data4[[#This Row],[price_usd]]&gt;=40000,"Mid-Range","Budget"))</f>
        <v>Luxury</v>
      </c>
      <c r="AD1488" t="str">
        <f>IF(EV_Data4[[#This Row],[range_miles]]&gt;=350,"Long-Range",IF(EV_Data4[[#This Row],[range_miles]]&gt;=250,"Medium-Range","Short-Range"))</f>
        <v>Short-Range</v>
      </c>
      <c r="AE1488" t="str">
        <f>IF(EV_Data4[[#This Row],[charging_speed_kw]]&gt;=250,"Ultra-Fast",IF(EV_Data4[[#This Row],[charging_speed_kw]]&gt;=150,"Fast-Charging","Standard-Charging"))</f>
        <v>Standard-Charging</v>
      </c>
      <c r="AF1488" t="str">
        <f>IF(EV_Data4[[#This Row],[acceleration_0_60_mph]]&lt;=3,"SportsPerformance",IF(EV_Data4[[#This Row],[acceleration_0_60_mph]]&lt;=5,"HighPerformance","Standard"))</f>
        <v>Standard</v>
      </c>
      <c r="AG1488" t="str">
        <f>IF(EV_Data4[[#This Row],[customer_rating]]&gt;=4.5,"Excellent",IF(EV_Data4[[#This Row],[customer_rating]]&gt;=3.5,"Good","Average"))</f>
        <v>Average</v>
      </c>
      <c r="AH148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89" spans="1:34" x14ac:dyDescent="0.3">
      <c r="A1489" t="s">
        <v>38</v>
      </c>
      <c r="B1489" t="s">
        <v>39</v>
      </c>
      <c r="C1489">
        <v>2024</v>
      </c>
      <c r="D1489" t="s">
        <v>26</v>
      </c>
      <c r="E1489" s="3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27</v>
      </c>
      <c r="N1489">
        <v>7</v>
      </c>
      <c r="O1489" t="s">
        <v>58</v>
      </c>
      <c r="P1489">
        <v>31.1</v>
      </c>
      <c r="Q1489">
        <v>1654</v>
      </c>
      <c r="R1489">
        <v>5</v>
      </c>
      <c r="S1489">
        <v>0</v>
      </c>
      <c r="T1489" t="s">
        <v>41</v>
      </c>
      <c r="U1489" t="s">
        <v>37</v>
      </c>
      <c r="V1489" s="3">
        <v>24792</v>
      </c>
      <c r="W1489">
        <v>3.55</v>
      </c>
      <c r="X1489">
        <v>3</v>
      </c>
      <c r="Y1489" s="1">
        <f>EV_Data4[[#This Row],[range_miles]]/EV_Data4[[#This Row],[battery_capacity_kwh]]</f>
        <v>3.3633295838020247</v>
      </c>
      <c r="Z1489" s="4">
        <f>EV_Data4[[#This Row],[price_usd]]/EV_Data4[[#This Row],[range_miles]]</f>
        <v>181.8594314381271</v>
      </c>
      <c r="AA1489" s="2">
        <f>(EV_Data4[[#This Row],[customer_rating]]*EV_Data4[[#This Row],[safety_rating]]*1000)/EV_Data4[[#This Row],[price_usd]]</f>
        <v>0.32643095838106428</v>
      </c>
      <c r="AB1489">
        <f>EV_Data4[[#This Row],[horsepower]]+EV_Data4[[#This Row],[torque_nm]]/EV_Data4[[#This Row],[acceleration_0_60_mph]]</f>
        <v>789.8947368421052</v>
      </c>
      <c r="AC1489" t="str">
        <f>IF(EV_Data4[[#This Row],[price_usd]]&gt;=80000,"Luxury",IF(EV_Data4[[#This Row],[price_usd]]&gt;=40000,"Mid-Range","Budget"))</f>
        <v>Mid-Range</v>
      </c>
      <c r="AD1489" t="str">
        <f>IF(EV_Data4[[#This Row],[range_miles]]&gt;=350,"Long-Range",IF(EV_Data4[[#This Row],[range_miles]]&gt;=250,"Medium-Range","Short-Range"))</f>
        <v>Medium-Range</v>
      </c>
      <c r="AE1489" t="str">
        <f>IF(EV_Data4[[#This Row],[charging_speed_kw]]&gt;=250,"Ultra-Fast",IF(EV_Data4[[#This Row],[charging_speed_kw]]&gt;=150,"Fast-Charging","Standard-Charging"))</f>
        <v>Fast-Charging</v>
      </c>
      <c r="AF1489" t="str">
        <f>IF(EV_Data4[[#This Row],[acceleration_0_60_mph]]&lt;=3,"SportsPerformance",IF(EV_Data4[[#This Row],[acceleration_0_60_mph]]&lt;=5,"HighPerformance","Standard"))</f>
        <v>SportsPerformance</v>
      </c>
      <c r="AG1489" t="str">
        <f>IF(EV_Data4[[#This Row],[customer_rating]]&gt;=4.5,"Excellent",IF(EV_Data4[[#This Row],[customer_rating]]&gt;=3.5,"Good","Average"))</f>
        <v>Good</v>
      </c>
      <c r="AH148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90" spans="1:34" x14ac:dyDescent="0.3">
      <c r="A1490" t="s">
        <v>24</v>
      </c>
      <c r="B1490" t="s">
        <v>75</v>
      </c>
      <c r="C1490">
        <v>2025</v>
      </c>
      <c r="D1490" t="s">
        <v>44</v>
      </c>
      <c r="E1490" s="3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34</v>
      </c>
      <c r="N1490">
        <v>5</v>
      </c>
      <c r="O1490" t="s">
        <v>35</v>
      </c>
      <c r="P1490">
        <v>38.9</v>
      </c>
      <c r="Q1490">
        <v>2029</v>
      </c>
      <c r="R1490">
        <v>4</v>
      </c>
      <c r="S1490">
        <v>1</v>
      </c>
      <c r="T1490" t="s">
        <v>29</v>
      </c>
      <c r="U1490" t="s">
        <v>37</v>
      </c>
      <c r="V1490" s="3">
        <v>292808</v>
      </c>
      <c r="W1490">
        <v>3.65</v>
      </c>
      <c r="X1490">
        <v>3</v>
      </c>
      <c r="Y1490" s="1">
        <f>EV_Data4[[#This Row],[range_miles]]/EV_Data4[[#This Row],[battery_capacity_kwh]]</f>
        <v>3.2958380202474689</v>
      </c>
      <c r="Z1490" s="4">
        <f>EV_Data4[[#This Row],[price_usd]]/EV_Data4[[#This Row],[range_miles]]</f>
        <v>210.6551877133106</v>
      </c>
      <c r="AA1490" s="2">
        <f>(EV_Data4[[#This Row],[customer_rating]]*EV_Data4[[#This Row],[safety_rating]]*1000)/EV_Data4[[#This Row],[price_usd]]</f>
        <v>0.23654462098341966</v>
      </c>
      <c r="AB1490">
        <f>EV_Data4[[#This Row],[horsepower]]+EV_Data4[[#This Row],[torque_nm]]/EV_Data4[[#This Row],[acceleration_0_60_mph]]</f>
        <v>730.82182628062355</v>
      </c>
      <c r="AC1490" t="str">
        <f>IF(EV_Data4[[#This Row],[price_usd]]&gt;=80000,"Luxury",IF(EV_Data4[[#This Row],[price_usd]]&gt;=40000,"Mid-Range","Budget"))</f>
        <v>Mid-Range</v>
      </c>
      <c r="AD1490" t="str">
        <f>IF(EV_Data4[[#This Row],[range_miles]]&gt;=350,"Long-Range",IF(EV_Data4[[#This Row],[range_miles]]&gt;=250,"Medium-Range","Short-Range"))</f>
        <v>Medium-Range</v>
      </c>
      <c r="AE1490" t="str">
        <f>IF(EV_Data4[[#This Row],[charging_speed_kw]]&gt;=250,"Ultra-Fast",IF(EV_Data4[[#This Row],[charging_speed_kw]]&gt;=150,"Fast-Charging","Standard-Charging"))</f>
        <v>Standard-Charging</v>
      </c>
      <c r="AF1490" t="str">
        <f>IF(EV_Data4[[#This Row],[acceleration_0_60_mph]]&lt;=3,"SportsPerformance",IF(EV_Data4[[#This Row],[acceleration_0_60_mph]]&lt;=5,"HighPerformance","Standard"))</f>
        <v>HighPerformance</v>
      </c>
      <c r="AG1490" t="str">
        <f>IF(EV_Data4[[#This Row],[customer_rating]]&gt;=4.5,"Excellent",IF(EV_Data4[[#This Row],[customer_rating]]&gt;=3.5,"Good","Average"))</f>
        <v>Good</v>
      </c>
      <c r="AH149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91" spans="1:34" x14ac:dyDescent="0.3">
      <c r="A1491" t="s">
        <v>24</v>
      </c>
      <c r="B1491" t="s">
        <v>70</v>
      </c>
      <c r="C1491">
        <v>2025</v>
      </c>
      <c r="D1491" t="s">
        <v>56</v>
      </c>
      <c r="E1491" s="3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34</v>
      </c>
      <c r="N1491">
        <v>7</v>
      </c>
      <c r="O1491" t="s">
        <v>50</v>
      </c>
      <c r="P1491">
        <v>21.5</v>
      </c>
      <c r="Q1491">
        <v>1500</v>
      </c>
      <c r="R1491">
        <v>4</v>
      </c>
      <c r="S1491">
        <v>1</v>
      </c>
      <c r="T1491" t="s">
        <v>29</v>
      </c>
      <c r="U1491" t="s">
        <v>33</v>
      </c>
      <c r="V1491" s="3">
        <v>282558</v>
      </c>
      <c r="W1491">
        <v>3.33</v>
      </c>
      <c r="X1491">
        <v>4</v>
      </c>
      <c r="Y1491" s="1">
        <f>EV_Data4[[#This Row],[range_miles]]/EV_Data4[[#This Row],[battery_capacity_kwh]]</f>
        <v>3.7160751565762005</v>
      </c>
      <c r="Z1491" s="4">
        <f>EV_Data4[[#This Row],[price_usd]]/EV_Data4[[#This Row],[range_miles]]</f>
        <v>398.02466292134829</v>
      </c>
      <c r="AA1491" s="2">
        <f>(EV_Data4[[#This Row],[customer_rating]]*EV_Data4[[#This Row],[safety_rating]]*1000)/EV_Data4[[#This Row],[price_usd]]</f>
        <v>0.18800709515064493</v>
      </c>
      <c r="AB1491">
        <f>EV_Data4[[#This Row],[horsepower]]+EV_Data4[[#This Row],[torque_nm]]/EV_Data4[[#This Row],[acceleration_0_60_mph]]</f>
        <v>825.22222222222217</v>
      </c>
      <c r="AC1491" t="str">
        <f>IF(EV_Data4[[#This Row],[price_usd]]&gt;=80000,"Luxury",IF(EV_Data4[[#This Row],[price_usd]]&gt;=40000,"Mid-Range","Budget"))</f>
        <v>Mid-Range</v>
      </c>
      <c r="AD1491" t="str">
        <f>IF(EV_Data4[[#This Row],[range_miles]]&gt;=350,"Long-Range",IF(EV_Data4[[#This Row],[range_miles]]&gt;=250,"Medium-Range","Short-Range"))</f>
        <v>Short-Range</v>
      </c>
      <c r="AE1491" t="str">
        <f>IF(EV_Data4[[#This Row],[charging_speed_kw]]&gt;=250,"Ultra-Fast",IF(EV_Data4[[#This Row],[charging_speed_kw]]&gt;=150,"Fast-Charging","Standard-Charging"))</f>
        <v>Standard-Charging</v>
      </c>
      <c r="AF1491" t="str">
        <f>IF(EV_Data4[[#This Row],[acceleration_0_60_mph]]&lt;=3,"SportsPerformance",IF(EV_Data4[[#This Row],[acceleration_0_60_mph]]&lt;=5,"HighPerformance","Standard"))</f>
        <v>Standard</v>
      </c>
      <c r="AG1491" t="str">
        <f>IF(EV_Data4[[#This Row],[customer_rating]]&gt;=4.5,"Excellent",IF(EV_Data4[[#This Row],[customer_rating]]&gt;=3.5,"Good","Average"))</f>
        <v>Average</v>
      </c>
      <c r="AH149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92" spans="1:34" x14ac:dyDescent="0.3">
      <c r="A1492" t="s">
        <v>63</v>
      </c>
      <c r="B1492" t="s">
        <v>64</v>
      </c>
      <c r="C1492">
        <v>2024</v>
      </c>
      <c r="D1492" t="s">
        <v>44</v>
      </c>
      <c r="E1492" s="3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27</v>
      </c>
      <c r="N1492">
        <v>7</v>
      </c>
      <c r="O1492" t="s">
        <v>51</v>
      </c>
      <c r="P1492">
        <v>28.1</v>
      </c>
      <c r="Q1492">
        <v>1598</v>
      </c>
      <c r="R1492">
        <v>5</v>
      </c>
      <c r="S1492">
        <v>1</v>
      </c>
      <c r="T1492" t="s">
        <v>65</v>
      </c>
      <c r="U1492" t="s">
        <v>37</v>
      </c>
      <c r="V1492" s="3">
        <v>177642</v>
      </c>
      <c r="W1492">
        <v>3.76</v>
      </c>
      <c r="X1492">
        <v>4</v>
      </c>
      <c r="Y1492" s="1">
        <f>EV_Data4[[#This Row],[range_miles]]/EV_Data4[[#This Row],[battery_capacity_kwh]]</f>
        <v>3.8126773888363292</v>
      </c>
      <c r="Z1492" s="4">
        <f>EV_Data4[[#This Row],[price_usd]]/EV_Data4[[#This Row],[range_miles]]</f>
        <v>127.47052109181142</v>
      </c>
      <c r="AA1492" s="2">
        <f>(EV_Data4[[#This Row],[customer_rating]]*EV_Data4[[#This Row],[safety_rating]]*1000)/EV_Data4[[#This Row],[price_usd]]</f>
        <v>0.36596794042976305</v>
      </c>
      <c r="AB1492">
        <f>EV_Data4[[#This Row],[horsepower]]+EV_Data4[[#This Row],[torque_nm]]/EV_Data4[[#This Row],[acceleration_0_60_mph]]</f>
        <v>636.85132382892061</v>
      </c>
      <c r="AC1492" t="str">
        <f>IF(EV_Data4[[#This Row],[price_usd]]&gt;=80000,"Luxury",IF(EV_Data4[[#This Row],[price_usd]]&gt;=40000,"Mid-Range","Budget"))</f>
        <v>Mid-Range</v>
      </c>
      <c r="AD1492" t="str">
        <f>IF(EV_Data4[[#This Row],[range_miles]]&gt;=350,"Long-Range",IF(EV_Data4[[#This Row],[range_miles]]&gt;=250,"Medium-Range","Short-Range"))</f>
        <v>Long-Range</v>
      </c>
      <c r="AE1492" t="str">
        <f>IF(EV_Data4[[#This Row],[charging_speed_kw]]&gt;=250,"Ultra-Fast",IF(EV_Data4[[#This Row],[charging_speed_kw]]&gt;=150,"Fast-Charging","Standard-Charging"))</f>
        <v>Standard-Charging</v>
      </c>
      <c r="AF1492" t="str">
        <f>IF(EV_Data4[[#This Row],[acceleration_0_60_mph]]&lt;=3,"SportsPerformance",IF(EV_Data4[[#This Row],[acceleration_0_60_mph]]&lt;=5,"HighPerformance","Standard"))</f>
        <v>HighPerformance</v>
      </c>
      <c r="AG1492" t="str">
        <f>IF(EV_Data4[[#This Row],[customer_rating]]&gt;=4.5,"Excellent",IF(EV_Data4[[#This Row],[customer_rating]]&gt;=3.5,"Good","Average"))</f>
        <v>Good</v>
      </c>
      <c r="AH149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93" spans="1:34" x14ac:dyDescent="0.3">
      <c r="A1493" t="s">
        <v>24</v>
      </c>
      <c r="B1493" t="s">
        <v>74</v>
      </c>
      <c r="C1493">
        <v>2021</v>
      </c>
      <c r="D1493" t="s">
        <v>44</v>
      </c>
      <c r="E1493" s="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27</v>
      </c>
      <c r="N1493">
        <v>7</v>
      </c>
      <c r="O1493" t="s">
        <v>58</v>
      </c>
      <c r="P1493">
        <v>24.9</v>
      </c>
      <c r="Q1493">
        <v>1689</v>
      </c>
      <c r="R1493">
        <v>5</v>
      </c>
      <c r="S1493">
        <v>2</v>
      </c>
      <c r="T1493" t="s">
        <v>29</v>
      </c>
      <c r="U1493" t="s">
        <v>37</v>
      </c>
      <c r="V1493" s="3">
        <v>254746</v>
      </c>
      <c r="W1493">
        <v>3.41</v>
      </c>
      <c r="X1493">
        <v>4</v>
      </c>
      <c r="Y1493" s="1">
        <f>EV_Data4[[#This Row],[range_miles]]/EV_Data4[[#This Row],[battery_capacity_kwh]]</f>
        <v>3.3440514469453375</v>
      </c>
      <c r="Z1493" s="4">
        <f>EV_Data4[[#This Row],[price_usd]]/EV_Data4[[#This Row],[range_miles]]</f>
        <v>143.40163461538461</v>
      </c>
      <c r="AA1493" s="2">
        <f>(EV_Data4[[#This Row],[customer_rating]]*EV_Data4[[#This Row],[safety_rating]]*1000)/EV_Data4[[#This Row],[price_usd]]</f>
        <v>0.38107958841616396</v>
      </c>
      <c r="AB1493">
        <f>EV_Data4[[#This Row],[horsepower]]+EV_Data4[[#This Row],[torque_nm]]/EV_Data4[[#This Row],[acceleration_0_60_mph]]</f>
        <v>396.20785219399539</v>
      </c>
      <c r="AC1493" t="str">
        <f>IF(EV_Data4[[#This Row],[price_usd]]&gt;=80000,"Luxury",IF(EV_Data4[[#This Row],[price_usd]]&gt;=40000,"Mid-Range","Budget"))</f>
        <v>Mid-Range</v>
      </c>
      <c r="AD1493" t="str">
        <f>IF(EV_Data4[[#This Row],[range_miles]]&gt;=350,"Long-Range",IF(EV_Data4[[#This Row],[range_miles]]&gt;=250,"Medium-Range","Short-Range"))</f>
        <v>Medium-Range</v>
      </c>
      <c r="AE1493" t="str">
        <f>IF(EV_Data4[[#This Row],[charging_speed_kw]]&gt;=250,"Ultra-Fast",IF(EV_Data4[[#This Row],[charging_speed_kw]]&gt;=150,"Fast-Charging","Standard-Charging"))</f>
        <v>Standard-Charging</v>
      </c>
      <c r="AF1493" t="str">
        <f>IF(EV_Data4[[#This Row],[acceleration_0_60_mph]]&lt;=3,"SportsPerformance",IF(EV_Data4[[#This Row],[acceleration_0_60_mph]]&lt;=5,"HighPerformance","Standard"))</f>
        <v>HighPerformance</v>
      </c>
      <c r="AG1493" t="str">
        <f>IF(EV_Data4[[#This Row],[customer_rating]]&gt;=4.5,"Excellent",IF(EV_Data4[[#This Row],[customer_rating]]&gt;=3.5,"Good","Average"))</f>
        <v>Average</v>
      </c>
      <c r="AH149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94" spans="1:34" x14ac:dyDescent="0.3">
      <c r="A1494" t="s">
        <v>63</v>
      </c>
      <c r="B1494" t="s">
        <v>107</v>
      </c>
      <c r="C1494">
        <v>2021</v>
      </c>
      <c r="D1494" t="s">
        <v>56</v>
      </c>
      <c r="E1494" s="3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48</v>
      </c>
      <c r="N1494">
        <v>5</v>
      </c>
      <c r="O1494" t="s">
        <v>35</v>
      </c>
      <c r="P1494">
        <v>59.6</v>
      </c>
      <c r="Q1494">
        <v>1716</v>
      </c>
      <c r="R1494">
        <v>4</v>
      </c>
      <c r="S1494">
        <v>0</v>
      </c>
      <c r="T1494" t="s">
        <v>65</v>
      </c>
      <c r="U1494" t="s">
        <v>66</v>
      </c>
      <c r="V1494" s="3">
        <v>203716</v>
      </c>
      <c r="W1494">
        <v>3.59</v>
      </c>
      <c r="X1494">
        <v>3</v>
      </c>
      <c r="Y1494" s="1">
        <f>EV_Data4[[#This Row],[range_miles]]/EV_Data4[[#This Row],[battery_capacity_kwh]]</f>
        <v>3.6708860759493671</v>
      </c>
      <c r="Z1494" s="4">
        <f>EV_Data4[[#This Row],[price_usd]]/EV_Data4[[#This Row],[range_miles]]</f>
        <v>87.907586206896553</v>
      </c>
      <c r="AA1494" s="2">
        <f>(EV_Data4[[#This Row],[customer_rating]]*EV_Data4[[#This Row],[safety_rating]]*1000)/EV_Data4[[#This Row],[price_usd]]</f>
        <v>0.56328746489259884</v>
      </c>
      <c r="AB1494">
        <f>EV_Data4[[#This Row],[horsepower]]+EV_Data4[[#This Row],[torque_nm]]/EV_Data4[[#This Row],[acceleration_0_60_mph]]</f>
        <v>273.02757619738753</v>
      </c>
      <c r="AC1494" t="str">
        <f>IF(EV_Data4[[#This Row],[price_usd]]&gt;=80000,"Luxury",IF(EV_Data4[[#This Row],[price_usd]]&gt;=40000,"Mid-Range","Budget"))</f>
        <v>Budget</v>
      </c>
      <c r="AD1494" t="str">
        <f>IF(EV_Data4[[#This Row],[range_miles]]&gt;=350,"Long-Range",IF(EV_Data4[[#This Row],[range_miles]]&gt;=250,"Medium-Range","Short-Range"))</f>
        <v>Medium-Range</v>
      </c>
      <c r="AE1494" t="str">
        <f>IF(EV_Data4[[#This Row],[charging_speed_kw]]&gt;=250,"Ultra-Fast",IF(EV_Data4[[#This Row],[charging_speed_kw]]&gt;=150,"Fast-Charging","Standard-Charging"))</f>
        <v>Standard-Charging</v>
      </c>
      <c r="AF1494" t="str">
        <f>IF(EV_Data4[[#This Row],[acceleration_0_60_mph]]&lt;=3,"SportsPerformance",IF(EV_Data4[[#This Row],[acceleration_0_60_mph]]&lt;=5,"HighPerformance","Standard"))</f>
        <v>Standard</v>
      </c>
      <c r="AG1494" t="str">
        <f>IF(EV_Data4[[#This Row],[customer_rating]]&gt;=4.5,"Excellent",IF(EV_Data4[[#This Row],[customer_rating]]&gt;=3.5,"Good","Average"))</f>
        <v>Good</v>
      </c>
      <c r="AH149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495" spans="1:34" x14ac:dyDescent="0.3">
      <c r="A1495" t="s">
        <v>46</v>
      </c>
      <c r="B1495" t="s">
        <v>49</v>
      </c>
      <c r="C1495">
        <v>2025</v>
      </c>
      <c r="D1495" t="s">
        <v>44</v>
      </c>
      <c r="E1495" s="3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34</v>
      </c>
      <c r="N1495">
        <v>5</v>
      </c>
      <c r="O1495" t="s">
        <v>51</v>
      </c>
      <c r="P1495">
        <v>36.9</v>
      </c>
      <c r="Q1495">
        <v>1711</v>
      </c>
      <c r="R1495">
        <v>4</v>
      </c>
      <c r="S1495">
        <v>2</v>
      </c>
      <c r="T1495" t="s">
        <v>41</v>
      </c>
      <c r="U1495" t="s">
        <v>30</v>
      </c>
      <c r="V1495" s="3">
        <v>402120</v>
      </c>
      <c r="W1495">
        <v>3.78</v>
      </c>
      <c r="X1495">
        <v>5</v>
      </c>
      <c r="Y1495" s="1">
        <f>EV_Data4[[#This Row],[range_miles]]/EV_Data4[[#This Row],[battery_capacity_kwh]]</f>
        <v>3.2304725168756026</v>
      </c>
      <c r="Z1495" s="4">
        <f>EV_Data4[[#This Row],[price_usd]]/EV_Data4[[#This Row],[range_miles]]</f>
        <v>417.27910447761195</v>
      </c>
      <c r="AA1495" s="2">
        <f>(EV_Data4[[#This Row],[customer_rating]]*EV_Data4[[#This Row],[safety_rating]]*1000)/EV_Data4[[#This Row],[price_usd]]</f>
        <v>0.1081634039996137</v>
      </c>
      <c r="AB1495">
        <f>EV_Data4[[#This Row],[horsepower]]+EV_Data4[[#This Row],[torque_nm]]/EV_Data4[[#This Row],[acceleration_0_60_mph]]</f>
        <v>1157.4377224199288</v>
      </c>
      <c r="AC1495" t="str">
        <f>IF(EV_Data4[[#This Row],[price_usd]]&gt;=80000,"Luxury",IF(EV_Data4[[#This Row],[price_usd]]&gt;=40000,"Mid-Range","Budget"))</f>
        <v>Luxury</v>
      </c>
      <c r="AD1495" t="str">
        <f>IF(EV_Data4[[#This Row],[range_miles]]&gt;=350,"Long-Range",IF(EV_Data4[[#This Row],[range_miles]]&gt;=250,"Medium-Range","Short-Range"))</f>
        <v>Medium-Range</v>
      </c>
      <c r="AE1495" t="str">
        <f>IF(EV_Data4[[#This Row],[charging_speed_kw]]&gt;=250,"Ultra-Fast",IF(EV_Data4[[#This Row],[charging_speed_kw]]&gt;=150,"Fast-Charging","Standard-Charging"))</f>
        <v>Ultra-Fast</v>
      </c>
      <c r="AF1495" t="str">
        <f>IF(EV_Data4[[#This Row],[acceleration_0_60_mph]]&lt;=3,"SportsPerformance",IF(EV_Data4[[#This Row],[acceleration_0_60_mph]]&lt;=5,"HighPerformance","Standard"))</f>
        <v>Standard</v>
      </c>
      <c r="AG1495" t="str">
        <f>IF(EV_Data4[[#This Row],[customer_rating]]&gt;=4.5,"Excellent",IF(EV_Data4[[#This Row],[customer_rating]]&gt;=3.5,"Good","Average"))</f>
        <v>Good</v>
      </c>
      <c r="AH149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96" spans="1:34" x14ac:dyDescent="0.3">
      <c r="A1496" t="s">
        <v>42</v>
      </c>
      <c r="B1496" t="s">
        <v>115</v>
      </c>
      <c r="C1496">
        <v>2020</v>
      </c>
      <c r="D1496" t="s">
        <v>61</v>
      </c>
      <c r="E1496" s="3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34</v>
      </c>
      <c r="N1496">
        <v>5</v>
      </c>
      <c r="O1496" t="s">
        <v>35</v>
      </c>
      <c r="P1496">
        <v>68.7</v>
      </c>
      <c r="Q1496">
        <v>2266</v>
      </c>
      <c r="R1496">
        <v>4</v>
      </c>
      <c r="S1496">
        <v>1</v>
      </c>
      <c r="T1496" t="s">
        <v>45</v>
      </c>
      <c r="U1496" t="s">
        <v>66</v>
      </c>
      <c r="V1496" s="3">
        <v>61921</v>
      </c>
      <c r="W1496">
        <v>3.18</v>
      </c>
      <c r="X1496">
        <v>3</v>
      </c>
      <c r="Y1496" s="1">
        <f>EV_Data4[[#This Row],[range_miles]]/EV_Data4[[#This Row],[battery_capacity_kwh]]</f>
        <v>3.8765432098765431</v>
      </c>
      <c r="Z1496" s="4">
        <f>EV_Data4[[#This Row],[price_usd]]/EV_Data4[[#This Row],[range_miles]]</f>
        <v>186.87165605095541</v>
      </c>
      <c r="AA1496" s="2">
        <f>(EV_Data4[[#This Row],[customer_rating]]*EV_Data4[[#This Row],[safety_rating]]*1000)/EV_Data4[[#This Row],[price_usd]]</f>
        <v>0.43355482576856286</v>
      </c>
      <c r="AB1496">
        <f>EV_Data4[[#This Row],[horsepower]]+EV_Data4[[#This Row],[torque_nm]]/EV_Data4[[#This Row],[acceleration_0_60_mph]]</f>
        <v>217.62642740619901</v>
      </c>
      <c r="AC1496" t="str">
        <f>IF(EV_Data4[[#This Row],[price_usd]]&gt;=80000,"Luxury",IF(EV_Data4[[#This Row],[price_usd]]&gt;=40000,"Mid-Range","Budget"))</f>
        <v>Budget</v>
      </c>
      <c r="AD1496" t="str">
        <f>IF(EV_Data4[[#This Row],[range_miles]]&gt;=350,"Long-Range",IF(EV_Data4[[#This Row],[range_miles]]&gt;=250,"Medium-Range","Short-Range"))</f>
        <v>Short-Range</v>
      </c>
      <c r="AE1496" t="str">
        <f>IF(EV_Data4[[#This Row],[charging_speed_kw]]&gt;=250,"Ultra-Fast",IF(EV_Data4[[#This Row],[charging_speed_kw]]&gt;=150,"Fast-Charging","Standard-Charging"))</f>
        <v>Standard-Charging</v>
      </c>
      <c r="AF1496" t="str">
        <f>IF(EV_Data4[[#This Row],[acceleration_0_60_mph]]&lt;=3,"SportsPerformance",IF(EV_Data4[[#This Row],[acceleration_0_60_mph]]&lt;=5,"HighPerformance","Standard"))</f>
        <v>Standard</v>
      </c>
      <c r="AG1496" t="str">
        <f>IF(EV_Data4[[#This Row],[customer_rating]]&gt;=4.5,"Excellent",IF(EV_Data4[[#This Row],[customer_rating]]&gt;=3.5,"Good","Average"))</f>
        <v>Average</v>
      </c>
      <c r="AH149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497" spans="1:34" x14ac:dyDescent="0.3">
      <c r="A1497" t="s">
        <v>83</v>
      </c>
      <c r="B1497" t="s">
        <v>104</v>
      </c>
      <c r="C1497">
        <v>2024</v>
      </c>
      <c r="D1497" t="s">
        <v>44</v>
      </c>
      <c r="E1497" s="3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34</v>
      </c>
      <c r="N1497">
        <v>5</v>
      </c>
      <c r="O1497" t="s">
        <v>50</v>
      </c>
      <c r="P1497">
        <v>24.9</v>
      </c>
      <c r="Q1497">
        <v>1829</v>
      </c>
      <c r="R1497">
        <v>5</v>
      </c>
      <c r="S1497">
        <v>2</v>
      </c>
      <c r="T1497" t="s">
        <v>29</v>
      </c>
      <c r="U1497" t="s">
        <v>33</v>
      </c>
      <c r="V1497" s="3">
        <v>33084</v>
      </c>
      <c r="W1497">
        <v>3.64</v>
      </c>
      <c r="X1497">
        <v>8</v>
      </c>
      <c r="Y1497" s="1">
        <f>EV_Data4[[#This Row],[range_miles]]/EV_Data4[[#This Row],[battery_capacity_kwh]]</f>
        <v>3.3230134158926727</v>
      </c>
      <c r="Z1497" s="4">
        <f>EV_Data4[[#This Row],[price_usd]]/EV_Data4[[#This Row],[range_miles]]</f>
        <v>229.36282608695652</v>
      </c>
      <c r="AA1497" s="2">
        <f>(EV_Data4[[#This Row],[customer_rating]]*EV_Data4[[#This Row],[safety_rating]]*1000)/EV_Data4[[#This Row],[price_usd]]</f>
        <v>0.24642938044810339</v>
      </c>
      <c r="AB1497">
        <f>EV_Data4[[#This Row],[horsepower]]+EV_Data4[[#This Row],[torque_nm]]/EV_Data4[[#This Row],[acceleration_0_60_mph]]</f>
        <v>507.10300429184548</v>
      </c>
      <c r="AC1497" t="str">
        <f>IF(EV_Data4[[#This Row],[price_usd]]&gt;=80000,"Luxury",IF(EV_Data4[[#This Row],[price_usd]]&gt;=40000,"Mid-Range","Budget"))</f>
        <v>Mid-Range</v>
      </c>
      <c r="AD1497" t="str">
        <f>IF(EV_Data4[[#This Row],[range_miles]]&gt;=350,"Long-Range",IF(EV_Data4[[#This Row],[range_miles]]&gt;=250,"Medium-Range","Short-Range"))</f>
        <v>Medium-Range</v>
      </c>
      <c r="AE1497" t="str">
        <f>IF(EV_Data4[[#This Row],[charging_speed_kw]]&gt;=250,"Ultra-Fast",IF(EV_Data4[[#This Row],[charging_speed_kw]]&gt;=150,"Fast-Charging","Standard-Charging"))</f>
        <v>Standard-Charging</v>
      </c>
      <c r="AF1497" t="str">
        <f>IF(EV_Data4[[#This Row],[acceleration_0_60_mph]]&lt;=3,"SportsPerformance",IF(EV_Data4[[#This Row],[acceleration_0_60_mph]]&lt;=5,"HighPerformance","Standard"))</f>
        <v>HighPerformance</v>
      </c>
      <c r="AG1497" t="str">
        <f>IF(EV_Data4[[#This Row],[customer_rating]]&gt;=4.5,"Excellent",IF(EV_Data4[[#This Row],[customer_rating]]&gt;=3.5,"Good","Average"))</f>
        <v>Good</v>
      </c>
      <c r="AH149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98" spans="1:34" x14ac:dyDescent="0.3">
      <c r="A1498" t="s">
        <v>83</v>
      </c>
      <c r="B1498" t="s">
        <v>89</v>
      </c>
      <c r="C1498">
        <v>2025</v>
      </c>
      <c r="D1498" t="s">
        <v>33</v>
      </c>
      <c r="E1498" s="3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27</v>
      </c>
      <c r="N1498">
        <v>7</v>
      </c>
      <c r="O1498" t="s">
        <v>28</v>
      </c>
      <c r="P1498">
        <v>72.3</v>
      </c>
      <c r="Q1498">
        <v>2516</v>
      </c>
      <c r="R1498">
        <v>5</v>
      </c>
      <c r="S1498">
        <v>2</v>
      </c>
      <c r="T1498" t="s">
        <v>29</v>
      </c>
      <c r="U1498" t="s">
        <v>30</v>
      </c>
      <c r="V1498" s="3">
        <v>60610</v>
      </c>
      <c r="W1498">
        <v>3.5</v>
      </c>
      <c r="X1498">
        <v>8</v>
      </c>
      <c r="Y1498" s="1">
        <f>EV_Data4[[#This Row],[range_miles]]/EV_Data4[[#This Row],[battery_capacity_kwh]]</f>
        <v>3.3686690223792697</v>
      </c>
      <c r="Z1498" s="4">
        <f>EV_Data4[[#This Row],[price_usd]]/EV_Data4[[#This Row],[range_miles]]</f>
        <v>379.0320629370629</v>
      </c>
      <c r="AA1498" s="2">
        <f>(EV_Data4[[#This Row],[customer_rating]]*EV_Data4[[#This Row],[safety_rating]]*1000)/EV_Data4[[#This Row],[price_usd]]</f>
        <v>0.16143439347760771</v>
      </c>
      <c r="AB1498">
        <f>EV_Data4[[#This Row],[horsepower]]+EV_Data4[[#This Row],[torque_nm]]/EV_Data4[[#This Row],[acceleration_0_60_mph]]</f>
        <v>1089.6306306306305</v>
      </c>
      <c r="AC1498" t="str">
        <f>IF(EV_Data4[[#This Row],[price_usd]]&gt;=80000,"Luxury",IF(EV_Data4[[#This Row],[price_usd]]&gt;=40000,"Mid-Range","Budget"))</f>
        <v>Luxury</v>
      </c>
      <c r="AD1498" t="str">
        <f>IF(EV_Data4[[#This Row],[range_miles]]&gt;=350,"Long-Range",IF(EV_Data4[[#This Row],[range_miles]]&gt;=250,"Medium-Range","Short-Range"))</f>
        <v>Medium-Range</v>
      </c>
      <c r="AE1498" t="str">
        <f>IF(EV_Data4[[#This Row],[charging_speed_kw]]&gt;=250,"Ultra-Fast",IF(EV_Data4[[#This Row],[charging_speed_kw]]&gt;=150,"Fast-Charging","Standard-Charging"))</f>
        <v>Standard-Charging</v>
      </c>
      <c r="AF1498" t="str">
        <f>IF(EV_Data4[[#This Row],[acceleration_0_60_mph]]&lt;=3,"SportsPerformance",IF(EV_Data4[[#This Row],[acceleration_0_60_mph]]&lt;=5,"HighPerformance","Standard"))</f>
        <v>Standard</v>
      </c>
      <c r="AG1498" t="str">
        <f>IF(EV_Data4[[#This Row],[customer_rating]]&gt;=4.5,"Excellent",IF(EV_Data4[[#This Row],[customer_rating]]&gt;=3.5,"Good","Average"))</f>
        <v>Good</v>
      </c>
      <c r="AH149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499" spans="1:34" x14ac:dyDescent="0.3">
      <c r="A1499" t="s">
        <v>68</v>
      </c>
      <c r="B1499" t="s">
        <v>69</v>
      </c>
      <c r="C1499">
        <v>2024</v>
      </c>
      <c r="D1499" t="s">
        <v>26</v>
      </c>
      <c r="E1499" s="3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48</v>
      </c>
      <c r="N1499">
        <v>5</v>
      </c>
      <c r="O1499" t="s">
        <v>35</v>
      </c>
      <c r="P1499">
        <v>41.1</v>
      </c>
      <c r="Q1499">
        <v>2084</v>
      </c>
      <c r="R1499">
        <v>5</v>
      </c>
      <c r="S1499">
        <v>0</v>
      </c>
      <c r="T1499" t="s">
        <v>45</v>
      </c>
      <c r="U1499" t="s">
        <v>37</v>
      </c>
      <c r="V1499" s="3">
        <v>106270</v>
      </c>
      <c r="W1499">
        <v>3.67</v>
      </c>
      <c r="X1499">
        <v>3</v>
      </c>
      <c r="Y1499" s="1">
        <f>EV_Data4[[#This Row],[range_miles]]/EV_Data4[[#This Row],[battery_capacity_kwh]]</f>
        <v>3.3497536945812807</v>
      </c>
      <c r="Z1499" s="4">
        <f>EV_Data4[[#This Row],[price_usd]]/EV_Data4[[#This Row],[range_miles]]</f>
        <v>147.77002941176471</v>
      </c>
      <c r="AA1499" s="2">
        <f>(EV_Data4[[#This Row],[customer_rating]]*EV_Data4[[#This Row],[safety_rating]]*1000)/EV_Data4[[#This Row],[price_usd]]</f>
        <v>0.36523365698807431</v>
      </c>
      <c r="AB1499">
        <f>EV_Data4[[#This Row],[horsepower]]+EV_Data4[[#This Row],[torque_nm]]/EV_Data4[[#This Row],[acceleration_0_60_mph]]</f>
        <v>698.22797927461147</v>
      </c>
      <c r="AC1499" t="str">
        <f>IF(EV_Data4[[#This Row],[price_usd]]&gt;=80000,"Luxury",IF(EV_Data4[[#This Row],[price_usd]]&gt;=40000,"Mid-Range","Budget"))</f>
        <v>Mid-Range</v>
      </c>
      <c r="AD1499" t="str">
        <f>IF(EV_Data4[[#This Row],[range_miles]]&gt;=350,"Long-Range",IF(EV_Data4[[#This Row],[range_miles]]&gt;=250,"Medium-Range","Short-Range"))</f>
        <v>Medium-Range</v>
      </c>
      <c r="AE1499" t="str">
        <f>IF(EV_Data4[[#This Row],[charging_speed_kw]]&gt;=250,"Ultra-Fast",IF(EV_Data4[[#This Row],[charging_speed_kw]]&gt;=150,"Fast-Charging","Standard-Charging"))</f>
        <v>Fast-Charging</v>
      </c>
      <c r="AF1499" t="str">
        <f>IF(EV_Data4[[#This Row],[acceleration_0_60_mph]]&lt;=3,"SportsPerformance",IF(EV_Data4[[#This Row],[acceleration_0_60_mph]]&lt;=5,"HighPerformance","Standard"))</f>
        <v>HighPerformance</v>
      </c>
      <c r="AG1499" t="str">
        <f>IF(EV_Data4[[#This Row],[customer_rating]]&gt;=4.5,"Excellent",IF(EV_Data4[[#This Row],[customer_rating]]&gt;=3.5,"Good","Average"))</f>
        <v>Good</v>
      </c>
      <c r="AH149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00" spans="1:34" x14ac:dyDescent="0.3">
      <c r="A1500" t="s">
        <v>24</v>
      </c>
      <c r="B1500" t="s">
        <v>75</v>
      </c>
      <c r="C1500">
        <v>2023</v>
      </c>
      <c r="D1500" t="s">
        <v>33</v>
      </c>
      <c r="E1500" s="3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27</v>
      </c>
      <c r="N1500">
        <v>5</v>
      </c>
      <c r="O1500" t="s">
        <v>50</v>
      </c>
      <c r="P1500">
        <v>31.9</v>
      </c>
      <c r="Q1500">
        <v>1500</v>
      </c>
      <c r="R1500">
        <v>4</v>
      </c>
      <c r="S1500">
        <v>1</v>
      </c>
      <c r="T1500" t="s">
        <v>29</v>
      </c>
      <c r="U1500" t="s">
        <v>30</v>
      </c>
      <c r="V1500" s="3">
        <v>215531</v>
      </c>
      <c r="W1500">
        <v>3.43</v>
      </c>
      <c r="X1500">
        <v>4</v>
      </c>
      <c r="Y1500" s="1">
        <f>EV_Data4[[#This Row],[range_miles]]/EV_Data4[[#This Row],[battery_capacity_kwh]]</f>
        <v>3.606060606060606</v>
      </c>
      <c r="Z1500" s="4">
        <f>EV_Data4[[#This Row],[price_usd]]/EV_Data4[[#This Row],[range_miles]]</f>
        <v>452.31403361344542</v>
      </c>
      <c r="AA1500" s="2">
        <f>(EV_Data4[[#This Row],[customer_rating]]*EV_Data4[[#This Row],[safety_rating]]*1000)/EV_Data4[[#This Row],[price_usd]]</f>
        <v>0.12744919356801448</v>
      </c>
      <c r="AB1500">
        <f>EV_Data4[[#This Row],[horsepower]]+EV_Data4[[#This Row],[torque_nm]]/EV_Data4[[#This Row],[acceleration_0_60_mph]]</f>
        <v>1171.4548802946592</v>
      </c>
      <c r="AC1500" t="str">
        <f>IF(EV_Data4[[#This Row],[price_usd]]&gt;=80000,"Luxury",IF(EV_Data4[[#This Row],[price_usd]]&gt;=40000,"Mid-Range","Budget"))</f>
        <v>Luxury</v>
      </c>
      <c r="AD1500" t="str">
        <f>IF(EV_Data4[[#This Row],[range_miles]]&gt;=350,"Long-Range",IF(EV_Data4[[#This Row],[range_miles]]&gt;=250,"Medium-Range","Short-Range"))</f>
        <v>Short-Range</v>
      </c>
      <c r="AE1500" t="str">
        <f>IF(EV_Data4[[#This Row],[charging_speed_kw]]&gt;=250,"Ultra-Fast",IF(EV_Data4[[#This Row],[charging_speed_kw]]&gt;=150,"Fast-Charging","Standard-Charging"))</f>
        <v>Standard-Charging</v>
      </c>
      <c r="AF1500" t="str">
        <f>IF(EV_Data4[[#This Row],[acceleration_0_60_mph]]&lt;=3,"SportsPerformance",IF(EV_Data4[[#This Row],[acceleration_0_60_mph]]&lt;=5,"HighPerformance","Standard"))</f>
        <v>Standard</v>
      </c>
      <c r="AG1500" t="str">
        <f>IF(EV_Data4[[#This Row],[customer_rating]]&gt;=4.5,"Excellent",IF(EV_Data4[[#This Row],[customer_rating]]&gt;=3.5,"Good","Average"))</f>
        <v>Average</v>
      </c>
      <c r="AH150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01" spans="1:34" x14ac:dyDescent="0.3">
      <c r="A1501" t="s">
        <v>52</v>
      </c>
      <c r="B1501" t="s">
        <v>103</v>
      </c>
      <c r="C1501">
        <v>2026</v>
      </c>
      <c r="D1501" t="s">
        <v>44</v>
      </c>
      <c r="E1501" s="3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34</v>
      </c>
      <c r="N1501">
        <v>5</v>
      </c>
      <c r="O1501" t="s">
        <v>40</v>
      </c>
      <c r="P1501">
        <v>62</v>
      </c>
      <c r="Q1501">
        <v>1692</v>
      </c>
      <c r="R1501">
        <v>4</v>
      </c>
      <c r="S1501">
        <v>1</v>
      </c>
      <c r="T1501" t="s">
        <v>29</v>
      </c>
      <c r="U1501" t="s">
        <v>33</v>
      </c>
      <c r="V1501" s="3">
        <v>50182</v>
      </c>
      <c r="W1501">
        <v>4.07</v>
      </c>
      <c r="X1501">
        <v>5</v>
      </c>
      <c r="Y1501" s="1">
        <f>EV_Data4[[#This Row],[range_miles]]/EV_Data4[[#This Row],[battery_capacity_kwh]]</f>
        <v>3.7611181702668359</v>
      </c>
      <c r="Z1501" s="4">
        <f>EV_Data4[[#This Row],[price_usd]]/EV_Data4[[#This Row],[range_miles]]</f>
        <v>302.42097972972971</v>
      </c>
      <c r="AA1501" s="2">
        <f>(EV_Data4[[#This Row],[customer_rating]]*EV_Data4[[#This Row],[safety_rating]]*1000)/EV_Data4[[#This Row],[price_usd]]</f>
        <v>0.18186568950723225</v>
      </c>
      <c r="AB1501">
        <f>EV_Data4[[#This Row],[horsepower]]+EV_Data4[[#This Row],[torque_nm]]/EV_Data4[[#This Row],[acceleration_0_60_mph]]</f>
        <v>454.04964539007091</v>
      </c>
      <c r="AC1501" t="str">
        <f>IF(EV_Data4[[#This Row],[price_usd]]&gt;=80000,"Luxury",IF(EV_Data4[[#This Row],[price_usd]]&gt;=40000,"Mid-Range","Budget"))</f>
        <v>Luxury</v>
      </c>
      <c r="AD1501" t="str">
        <f>IF(EV_Data4[[#This Row],[range_miles]]&gt;=350,"Long-Range",IF(EV_Data4[[#This Row],[range_miles]]&gt;=250,"Medium-Range","Short-Range"))</f>
        <v>Medium-Range</v>
      </c>
      <c r="AE1501" t="str">
        <f>IF(EV_Data4[[#This Row],[charging_speed_kw]]&gt;=250,"Ultra-Fast",IF(EV_Data4[[#This Row],[charging_speed_kw]]&gt;=150,"Fast-Charging","Standard-Charging"))</f>
        <v>Standard-Charging</v>
      </c>
      <c r="AF1501" t="str">
        <f>IF(EV_Data4[[#This Row],[acceleration_0_60_mph]]&lt;=3,"SportsPerformance",IF(EV_Data4[[#This Row],[acceleration_0_60_mph]]&lt;=5,"HighPerformance","Standard"))</f>
        <v>HighPerformance</v>
      </c>
      <c r="AG1501" t="str">
        <f>IF(EV_Data4[[#This Row],[customer_rating]]&gt;=4.5,"Excellent",IF(EV_Data4[[#This Row],[customer_rating]]&gt;=3.5,"Good","Average"))</f>
        <v>Good</v>
      </c>
      <c r="AH150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02" spans="1:34" x14ac:dyDescent="0.3">
      <c r="A1502" t="s">
        <v>68</v>
      </c>
      <c r="B1502" t="s">
        <v>79</v>
      </c>
      <c r="C1502">
        <v>2024</v>
      </c>
      <c r="D1502" t="s">
        <v>26</v>
      </c>
      <c r="E1502" s="3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27</v>
      </c>
      <c r="N1502">
        <v>7</v>
      </c>
      <c r="O1502" t="s">
        <v>51</v>
      </c>
      <c r="P1502">
        <v>36.4</v>
      </c>
      <c r="Q1502">
        <v>1549</v>
      </c>
      <c r="R1502">
        <v>5</v>
      </c>
      <c r="S1502">
        <v>1</v>
      </c>
      <c r="T1502" t="s">
        <v>45</v>
      </c>
      <c r="U1502" t="s">
        <v>30</v>
      </c>
      <c r="V1502" s="3">
        <v>149654</v>
      </c>
      <c r="W1502">
        <v>3.94</v>
      </c>
      <c r="X1502">
        <v>5</v>
      </c>
      <c r="Y1502" s="1">
        <f>EV_Data4[[#This Row],[range_miles]]/EV_Data4[[#This Row],[battery_capacity_kwh]]</f>
        <v>3.6852791878172591</v>
      </c>
      <c r="Z1502" s="4">
        <f>EV_Data4[[#This Row],[price_usd]]/EV_Data4[[#This Row],[range_miles]]</f>
        <v>293.795564738292</v>
      </c>
      <c r="AA1502" s="2">
        <f>(EV_Data4[[#This Row],[customer_rating]]*EV_Data4[[#This Row],[safety_rating]]*1000)/EV_Data4[[#This Row],[price_usd]]</f>
        <v>0.18472018970107118</v>
      </c>
      <c r="AB1502">
        <f>EV_Data4[[#This Row],[horsepower]]+EV_Data4[[#This Row],[torque_nm]]/EV_Data4[[#This Row],[acceleration_0_60_mph]]</f>
        <v>1333.695652173913</v>
      </c>
      <c r="AC1502" t="str">
        <f>IF(EV_Data4[[#This Row],[price_usd]]&gt;=80000,"Luxury",IF(EV_Data4[[#This Row],[price_usd]]&gt;=40000,"Mid-Range","Budget"))</f>
        <v>Luxury</v>
      </c>
      <c r="AD1502" t="str">
        <f>IF(EV_Data4[[#This Row],[range_miles]]&gt;=350,"Long-Range",IF(EV_Data4[[#This Row],[range_miles]]&gt;=250,"Medium-Range","Short-Range"))</f>
        <v>Long-Range</v>
      </c>
      <c r="AE1502" t="str">
        <f>IF(EV_Data4[[#This Row],[charging_speed_kw]]&gt;=250,"Ultra-Fast",IF(EV_Data4[[#This Row],[charging_speed_kw]]&gt;=150,"Fast-Charging","Standard-Charging"))</f>
        <v>Fast-Charging</v>
      </c>
      <c r="AF1502" t="str">
        <f>IF(EV_Data4[[#This Row],[acceleration_0_60_mph]]&lt;=3,"SportsPerformance",IF(EV_Data4[[#This Row],[acceleration_0_60_mph]]&lt;=5,"HighPerformance","Standard"))</f>
        <v>SportsPerformance</v>
      </c>
      <c r="AG1502" t="str">
        <f>IF(EV_Data4[[#This Row],[customer_rating]]&gt;=4.5,"Excellent",IF(EV_Data4[[#This Row],[customer_rating]]&gt;=3.5,"Good","Average"))</f>
        <v>Good</v>
      </c>
      <c r="AH150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03" spans="1:34" x14ac:dyDescent="0.3">
      <c r="A1503" t="s">
        <v>68</v>
      </c>
      <c r="B1503" t="s">
        <v>90</v>
      </c>
      <c r="C1503">
        <v>2023</v>
      </c>
      <c r="D1503" t="s">
        <v>44</v>
      </c>
      <c r="E1503" s="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27</v>
      </c>
      <c r="N1503">
        <v>5</v>
      </c>
      <c r="O1503" t="s">
        <v>58</v>
      </c>
      <c r="P1503">
        <v>26.9</v>
      </c>
      <c r="Q1503">
        <v>1500</v>
      </c>
      <c r="R1503">
        <v>4</v>
      </c>
      <c r="S1503">
        <v>2</v>
      </c>
      <c r="T1503" t="s">
        <v>45</v>
      </c>
      <c r="U1503" t="s">
        <v>33</v>
      </c>
      <c r="V1503" s="3">
        <v>131774</v>
      </c>
      <c r="W1503">
        <v>3.48</v>
      </c>
      <c r="X1503">
        <v>3</v>
      </c>
      <c r="Y1503" s="1">
        <f>EV_Data4[[#This Row],[range_miles]]/EV_Data4[[#This Row],[battery_capacity_kwh]]</f>
        <v>3.1974522292993632</v>
      </c>
      <c r="Z1503" s="4">
        <f>EV_Data4[[#This Row],[price_usd]]/EV_Data4[[#This Row],[range_miles]]</f>
        <v>340.19051792828691</v>
      </c>
      <c r="AA1503" s="2">
        <f>(EV_Data4[[#This Row],[customer_rating]]*EV_Data4[[#This Row],[safety_rating]]*1000)/EV_Data4[[#This Row],[price_usd]]</f>
        <v>0.1630209086026555</v>
      </c>
      <c r="AB1503">
        <f>EV_Data4[[#This Row],[horsepower]]+EV_Data4[[#This Row],[torque_nm]]/EV_Data4[[#This Row],[acceleration_0_60_mph]]</f>
        <v>1173.5521235521235</v>
      </c>
      <c r="AC1503" t="str">
        <f>IF(EV_Data4[[#This Row],[price_usd]]&gt;=80000,"Luxury",IF(EV_Data4[[#This Row],[price_usd]]&gt;=40000,"Mid-Range","Budget"))</f>
        <v>Luxury</v>
      </c>
      <c r="AD1503" t="str">
        <f>IF(EV_Data4[[#This Row],[range_miles]]&gt;=350,"Long-Range",IF(EV_Data4[[#This Row],[range_miles]]&gt;=250,"Medium-Range","Short-Range"))</f>
        <v>Medium-Range</v>
      </c>
      <c r="AE1503" t="str">
        <f>IF(EV_Data4[[#This Row],[charging_speed_kw]]&gt;=250,"Ultra-Fast",IF(EV_Data4[[#This Row],[charging_speed_kw]]&gt;=150,"Fast-Charging","Standard-Charging"))</f>
        <v>Standard-Charging</v>
      </c>
      <c r="AF1503" t="str">
        <f>IF(EV_Data4[[#This Row],[acceleration_0_60_mph]]&lt;=3,"SportsPerformance",IF(EV_Data4[[#This Row],[acceleration_0_60_mph]]&lt;=5,"HighPerformance","Standard"))</f>
        <v>Standard</v>
      </c>
      <c r="AG1503" t="str">
        <f>IF(EV_Data4[[#This Row],[customer_rating]]&gt;=4.5,"Excellent",IF(EV_Data4[[#This Row],[customer_rating]]&gt;=3.5,"Good","Average"))</f>
        <v>Average</v>
      </c>
      <c r="AH150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04" spans="1:34" x14ac:dyDescent="0.3">
      <c r="A1504" t="s">
        <v>46</v>
      </c>
      <c r="B1504" t="s">
        <v>57</v>
      </c>
      <c r="C1504">
        <v>2023</v>
      </c>
      <c r="D1504" t="s">
        <v>33</v>
      </c>
      <c r="E1504" s="3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27</v>
      </c>
      <c r="N1504">
        <v>5</v>
      </c>
      <c r="O1504" t="s">
        <v>35</v>
      </c>
      <c r="P1504">
        <v>44.8</v>
      </c>
      <c r="Q1504">
        <v>1922</v>
      </c>
      <c r="R1504">
        <v>4</v>
      </c>
      <c r="S1504">
        <v>2</v>
      </c>
      <c r="T1504" t="s">
        <v>41</v>
      </c>
      <c r="U1504" t="s">
        <v>33</v>
      </c>
      <c r="V1504" s="3">
        <v>193331</v>
      </c>
      <c r="W1504">
        <v>3.64</v>
      </c>
      <c r="X1504">
        <v>5</v>
      </c>
      <c r="Y1504" s="1">
        <f>EV_Data4[[#This Row],[range_miles]]/EV_Data4[[#This Row],[battery_capacity_kwh]]</f>
        <v>3.5820895522388057</v>
      </c>
      <c r="Z1504" s="4">
        <f>EV_Data4[[#This Row],[price_usd]]/EV_Data4[[#This Row],[range_miles]]</f>
        <v>320.53829545454545</v>
      </c>
      <c r="AA1504" s="2">
        <f>(EV_Data4[[#This Row],[customer_rating]]*EV_Data4[[#This Row],[safety_rating]]*1000)/EV_Data4[[#This Row],[price_usd]]</f>
        <v>0.17205905170646299</v>
      </c>
      <c r="AB1504">
        <f>EV_Data4[[#This Row],[horsepower]]+EV_Data4[[#This Row],[torque_nm]]/EV_Data4[[#This Row],[acceleration_0_60_mph]]</f>
        <v>679.82191780821915</v>
      </c>
      <c r="AC1504" t="str">
        <f>IF(EV_Data4[[#This Row],[price_usd]]&gt;=80000,"Luxury",IF(EV_Data4[[#This Row],[price_usd]]&gt;=40000,"Mid-Range","Budget"))</f>
        <v>Luxury</v>
      </c>
      <c r="AD1504" t="str">
        <f>IF(EV_Data4[[#This Row],[range_miles]]&gt;=350,"Long-Range",IF(EV_Data4[[#This Row],[range_miles]]&gt;=250,"Medium-Range","Short-Range"))</f>
        <v>Medium-Range</v>
      </c>
      <c r="AE1504" t="str">
        <f>IF(EV_Data4[[#This Row],[charging_speed_kw]]&gt;=250,"Ultra-Fast",IF(EV_Data4[[#This Row],[charging_speed_kw]]&gt;=150,"Fast-Charging","Standard-Charging"))</f>
        <v>Ultra-Fast</v>
      </c>
      <c r="AF1504" t="str">
        <f>IF(EV_Data4[[#This Row],[acceleration_0_60_mph]]&lt;=3,"SportsPerformance",IF(EV_Data4[[#This Row],[acceleration_0_60_mph]]&lt;=5,"HighPerformance","Standard"))</f>
        <v>Standard</v>
      </c>
      <c r="AG1504" t="str">
        <f>IF(EV_Data4[[#This Row],[customer_rating]]&gt;=4.5,"Excellent",IF(EV_Data4[[#This Row],[customer_rating]]&gt;=3.5,"Good","Average"))</f>
        <v>Good</v>
      </c>
      <c r="AH150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05" spans="1:34" x14ac:dyDescent="0.3">
      <c r="A1505" t="s">
        <v>63</v>
      </c>
      <c r="B1505" t="s">
        <v>67</v>
      </c>
      <c r="C1505">
        <v>2025</v>
      </c>
      <c r="D1505" t="s">
        <v>44</v>
      </c>
      <c r="E1505" s="3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27</v>
      </c>
      <c r="N1505">
        <v>5</v>
      </c>
      <c r="O1505" t="s">
        <v>50</v>
      </c>
      <c r="P1505">
        <v>34.4</v>
      </c>
      <c r="Q1505">
        <v>1559</v>
      </c>
      <c r="R1505">
        <v>4</v>
      </c>
      <c r="S1505">
        <v>1</v>
      </c>
      <c r="T1505" t="s">
        <v>65</v>
      </c>
      <c r="U1505" t="s">
        <v>66</v>
      </c>
      <c r="V1505" s="3">
        <v>225650</v>
      </c>
      <c r="W1505">
        <v>3.6</v>
      </c>
      <c r="X1505">
        <v>3</v>
      </c>
      <c r="Y1505" s="1">
        <f>EV_Data4[[#This Row],[range_miles]]/EV_Data4[[#This Row],[battery_capacity_kwh]]</f>
        <v>3.4303534303534304</v>
      </c>
      <c r="Z1505" s="4">
        <f>EV_Data4[[#This Row],[price_usd]]/EV_Data4[[#This Row],[range_miles]]</f>
        <v>87.586515151515144</v>
      </c>
      <c r="AA1505" s="2">
        <f>(EV_Data4[[#This Row],[customer_rating]]*EV_Data4[[#This Row],[safety_rating]]*1000)/EV_Data4[[#This Row],[price_usd]]</f>
        <v>0.49820869754753311</v>
      </c>
      <c r="AB1505">
        <f>EV_Data4[[#This Row],[horsepower]]+EV_Data4[[#This Row],[torque_nm]]/EV_Data4[[#This Row],[acceleration_0_60_mph]]</f>
        <v>299.39746300211414</v>
      </c>
      <c r="AC1505" t="str">
        <f>IF(EV_Data4[[#This Row],[price_usd]]&gt;=80000,"Luxury",IF(EV_Data4[[#This Row],[price_usd]]&gt;=40000,"Mid-Range","Budget"))</f>
        <v>Budget</v>
      </c>
      <c r="AD1505" t="str">
        <f>IF(EV_Data4[[#This Row],[range_miles]]&gt;=350,"Long-Range",IF(EV_Data4[[#This Row],[range_miles]]&gt;=250,"Medium-Range","Short-Range"))</f>
        <v>Medium-Range</v>
      </c>
      <c r="AE1505" t="str">
        <f>IF(EV_Data4[[#This Row],[charging_speed_kw]]&gt;=250,"Ultra-Fast",IF(EV_Data4[[#This Row],[charging_speed_kw]]&gt;=150,"Fast-Charging","Standard-Charging"))</f>
        <v>Standard-Charging</v>
      </c>
      <c r="AF1505" t="str">
        <f>IF(EV_Data4[[#This Row],[acceleration_0_60_mph]]&lt;=3,"SportsPerformance",IF(EV_Data4[[#This Row],[acceleration_0_60_mph]]&lt;=5,"HighPerformance","Standard"))</f>
        <v>HighPerformance</v>
      </c>
      <c r="AG1505" t="str">
        <f>IF(EV_Data4[[#This Row],[customer_rating]]&gt;=4.5,"Excellent",IF(EV_Data4[[#This Row],[customer_rating]]&gt;=3.5,"Good","Average"))</f>
        <v>Good</v>
      </c>
      <c r="AH150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06" spans="1:34" x14ac:dyDescent="0.3">
      <c r="A1506" t="s">
        <v>24</v>
      </c>
      <c r="B1506" t="s">
        <v>25</v>
      </c>
      <c r="C1506">
        <v>2025</v>
      </c>
      <c r="D1506" t="s">
        <v>33</v>
      </c>
      <c r="E1506" s="3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48</v>
      </c>
      <c r="N1506">
        <v>7</v>
      </c>
      <c r="O1506" t="s">
        <v>58</v>
      </c>
      <c r="P1506">
        <v>32.200000000000003</v>
      </c>
      <c r="Q1506">
        <v>1768</v>
      </c>
      <c r="R1506">
        <v>4</v>
      </c>
      <c r="S1506">
        <v>0</v>
      </c>
      <c r="T1506" t="s">
        <v>29</v>
      </c>
      <c r="U1506" t="s">
        <v>33</v>
      </c>
      <c r="V1506" s="3">
        <v>243258</v>
      </c>
      <c r="W1506">
        <v>3.56</v>
      </c>
      <c r="X1506">
        <v>5</v>
      </c>
      <c r="Y1506" s="1">
        <f>EV_Data4[[#This Row],[range_miles]]/EV_Data4[[#This Row],[battery_capacity_kwh]]</f>
        <v>3.5399284862932059</v>
      </c>
      <c r="Z1506" s="4">
        <f>EV_Data4[[#This Row],[price_usd]]/EV_Data4[[#This Row],[range_miles]]</f>
        <v>298.48808080808084</v>
      </c>
      <c r="AA1506" s="2">
        <f>(EV_Data4[[#This Row],[customer_rating]]*EV_Data4[[#This Row],[safety_rating]]*1000)/EV_Data4[[#This Row],[price_usd]]</f>
        <v>0.16062995820913839</v>
      </c>
      <c r="AB1506">
        <f>EV_Data4[[#This Row],[horsepower]]+EV_Data4[[#This Row],[torque_nm]]/EV_Data4[[#This Row],[acceleration_0_60_mph]]</f>
        <v>1128.0931586608442</v>
      </c>
      <c r="AC1506" t="str">
        <f>IF(EV_Data4[[#This Row],[price_usd]]&gt;=80000,"Luxury",IF(EV_Data4[[#This Row],[price_usd]]&gt;=40000,"Mid-Range","Budget"))</f>
        <v>Luxury</v>
      </c>
      <c r="AD1506" t="str">
        <f>IF(EV_Data4[[#This Row],[range_miles]]&gt;=350,"Long-Range",IF(EV_Data4[[#This Row],[range_miles]]&gt;=250,"Medium-Range","Short-Range"))</f>
        <v>Medium-Range</v>
      </c>
      <c r="AE1506" t="str">
        <f>IF(EV_Data4[[#This Row],[charging_speed_kw]]&gt;=250,"Ultra-Fast",IF(EV_Data4[[#This Row],[charging_speed_kw]]&gt;=150,"Fast-Charging","Standard-Charging"))</f>
        <v>Standard-Charging</v>
      </c>
      <c r="AF1506" t="str">
        <f>IF(EV_Data4[[#This Row],[acceleration_0_60_mph]]&lt;=3,"SportsPerformance",IF(EV_Data4[[#This Row],[acceleration_0_60_mph]]&lt;=5,"HighPerformance","Standard"))</f>
        <v>Standard</v>
      </c>
      <c r="AG1506" t="str">
        <f>IF(EV_Data4[[#This Row],[customer_rating]]&gt;=4.5,"Excellent",IF(EV_Data4[[#This Row],[customer_rating]]&gt;=3.5,"Good","Average"))</f>
        <v>Good</v>
      </c>
      <c r="AH150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07" spans="1:34" x14ac:dyDescent="0.3">
      <c r="A1507" t="s">
        <v>24</v>
      </c>
      <c r="B1507" t="s">
        <v>70</v>
      </c>
      <c r="C1507">
        <v>2024</v>
      </c>
      <c r="D1507" t="s">
        <v>44</v>
      </c>
      <c r="E1507" s="3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27</v>
      </c>
      <c r="N1507">
        <v>5</v>
      </c>
      <c r="O1507" t="s">
        <v>28</v>
      </c>
      <c r="P1507">
        <v>61.1</v>
      </c>
      <c r="Q1507">
        <v>2597</v>
      </c>
      <c r="R1507">
        <v>5</v>
      </c>
      <c r="S1507">
        <v>0</v>
      </c>
      <c r="T1507" t="s">
        <v>29</v>
      </c>
      <c r="U1507" t="s">
        <v>33</v>
      </c>
      <c r="V1507" s="3">
        <v>273314</v>
      </c>
      <c r="W1507">
        <v>3.79</v>
      </c>
      <c r="X1507">
        <v>4</v>
      </c>
      <c r="Y1507" s="1">
        <f>EV_Data4[[#This Row],[range_miles]]/EV_Data4[[#This Row],[battery_capacity_kwh]]</f>
        <v>3.5005015045135406</v>
      </c>
      <c r="Z1507" s="4">
        <f>EV_Data4[[#This Row],[price_usd]]/EV_Data4[[#This Row],[range_miles]]</f>
        <v>199.73971346704872</v>
      </c>
      <c r="AA1507" s="2">
        <f>(EV_Data4[[#This Row],[customer_rating]]*EV_Data4[[#This Row],[safety_rating]]*1000)/EV_Data4[[#This Row],[price_usd]]</f>
        <v>0.27184375769267627</v>
      </c>
      <c r="AB1507">
        <f>EV_Data4[[#This Row],[horsepower]]+EV_Data4[[#This Row],[torque_nm]]/EV_Data4[[#This Row],[acceleration_0_60_mph]]</f>
        <v>796.17721518987344</v>
      </c>
      <c r="AC1507" t="str">
        <f>IF(EV_Data4[[#This Row],[price_usd]]&gt;=80000,"Luxury",IF(EV_Data4[[#This Row],[price_usd]]&gt;=40000,"Mid-Range","Budget"))</f>
        <v>Mid-Range</v>
      </c>
      <c r="AD1507" t="str">
        <f>IF(EV_Data4[[#This Row],[range_miles]]&gt;=350,"Long-Range",IF(EV_Data4[[#This Row],[range_miles]]&gt;=250,"Medium-Range","Short-Range"))</f>
        <v>Medium-Range</v>
      </c>
      <c r="AE1507" t="str">
        <f>IF(EV_Data4[[#This Row],[charging_speed_kw]]&gt;=250,"Ultra-Fast",IF(EV_Data4[[#This Row],[charging_speed_kw]]&gt;=150,"Fast-Charging","Standard-Charging"))</f>
        <v>Standard-Charging</v>
      </c>
      <c r="AF1507" t="str">
        <f>IF(EV_Data4[[#This Row],[acceleration_0_60_mph]]&lt;=3,"SportsPerformance",IF(EV_Data4[[#This Row],[acceleration_0_60_mph]]&lt;=5,"HighPerformance","Standard"))</f>
        <v>HighPerformance</v>
      </c>
      <c r="AG1507" t="str">
        <f>IF(EV_Data4[[#This Row],[customer_rating]]&gt;=4.5,"Excellent",IF(EV_Data4[[#This Row],[customer_rating]]&gt;=3.5,"Good","Average"))</f>
        <v>Good</v>
      </c>
      <c r="AH150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08" spans="1:34" x14ac:dyDescent="0.3">
      <c r="A1508" t="s">
        <v>42</v>
      </c>
      <c r="B1508" t="s">
        <v>115</v>
      </c>
      <c r="C1508">
        <v>2023</v>
      </c>
      <c r="D1508" t="s">
        <v>44</v>
      </c>
      <c r="E1508" s="3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27</v>
      </c>
      <c r="N1508">
        <v>5</v>
      </c>
      <c r="O1508" t="s">
        <v>35</v>
      </c>
      <c r="P1508">
        <v>36.4</v>
      </c>
      <c r="Q1508">
        <v>1755</v>
      </c>
      <c r="R1508">
        <v>4</v>
      </c>
      <c r="S1508">
        <v>0</v>
      </c>
      <c r="T1508" t="s">
        <v>45</v>
      </c>
      <c r="U1508" t="s">
        <v>33</v>
      </c>
      <c r="V1508" s="3">
        <v>85490</v>
      </c>
      <c r="W1508">
        <v>3.48</v>
      </c>
      <c r="X1508">
        <v>4</v>
      </c>
      <c r="Y1508" s="1">
        <f>EV_Data4[[#This Row],[range_miles]]/EV_Data4[[#This Row],[battery_capacity_kwh]]</f>
        <v>3.4859154929577465</v>
      </c>
      <c r="Z1508" s="4">
        <f>EV_Data4[[#This Row],[price_usd]]/EV_Data4[[#This Row],[range_miles]]</f>
        <v>231.92343434343434</v>
      </c>
      <c r="AA1508" s="2">
        <f>(EV_Data4[[#This Row],[customer_rating]]*EV_Data4[[#This Row],[safety_rating]]*1000)/EV_Data4[[#This Row],[price_usd]]</f>
        <v>0.20208689562298948</v>
      </c>
      <c r="AB1508">
        <f>EV_Data4[[#This Row],[horsepower]]+EV_Data4[[#This Row],[torque_nm]]/EV_Data4[[#This Row],[acceleration_0_60_mph]]</f>
        <v>942.86956521739125</v>
      </c>
      <c r="AC1508" t="str">
        <f>IF(EV_Data4[[#This Row],[price_usd]]&gt;=80000,"Luxury",IF(EV_Data4[[#This Row],[price_usd]]&gt;=40000,"Mid-Range","Budget"))</f>
        <v>Mid-Range</v>
      </c>
      <c r="AD1508" t="str">
        <f>IF(EV_Data4[[#This Row],[range_miles]]&gt;=350,"Long-Range",IF(EV_Data4[[#This Row],[range_miles]]&gt;=250,"Medium-Range","Short-Range"))</f>
        <v>Medium-Range</v>
      </c>
      <c r="AE1508" t="str">
        <f>IF(EV_Data4[[#This Row],[charging_speed_kw]]&gt;=250,"Ultra-Fast",IF(EV_Data4[[#This Row],[charging_speed_kw]]&gt;=150,"Fast-Charging","Standard-Charging"))</f>
        <v>Standard-Charging</v>
      </c>
      <c r="AF1508" t="str">
        <f>IF(EV_Data4[[#This Row],[acceleration_0_60_mph]]&lt;=3,"SportsPerformance",IF(EV_Data4[[#This Row],[acceleration_0_60_mph]]&lt;=5,"HighPerformance","Standard"))</f>
        <v>HighPerformance</v>
      </c>
      <c r="AG1508" t="str">
        <f>IF(EV_Data4[[#This Row],[customer_rating]]&gt;=4.5,"Excellent",IF(EV_Data4[[#This Row],[customer_rating]]&gt;=3.5,"Good","Average"))</f>
        <v>Average</v>
      </c>
      <c r="AH150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09" spans="1:34" x14ac:dyDescent="0.3">
      <c r="A1509" t="s">
        <v>68</v>
      </c>
      <c r="B1509" t="s">
        <v>106</v>
      </c>
      <c r="C1509">
        <v>2026</v>
      </c>
      <c r="D1509" t="s">
        <v>26</v>
      </c>
      <c r="E1509" s="3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48</v>
      </c>
      <c r="N1509">
        <v>7</v>
      </c>
      <c r="O1509" t="s">
        <v>35</v>
      </c>
      <c r="P1509">
        <v>52.7</v>
      </c>
      <c r="Q1509">
        <v>2075</v>
      </c>
      <c r="R1509">
        <v>4</v>
      </c>
      <c r="S1509">
        <v>0</v>
      </c>
      <c r="T1509" t="s">
        <v>45</v>
      </c>
      <c r="U1509" t="s">
        <v>37</v>
      </c>
      <c r="V1509" s="3">
        <v>73520</v>
      </c>
      <c r="W1509">
        <v>3.68</v>
      </c>
      <c r="X1509">
        <v>4</v>
      </c>
      <c r="Y1509" s="1">
        <f>EV_Data4[[#This Row],[range_miles]]/EV_Data4[[#This Row],[battery_capacity_kwh]]</f>
        <v>3.5756972111553784</v>
      </c>
      <c r="Z1509" s="4">
        <f>EV_Data4[[#This Row],[price_usd]]/EV_Data4[[#This Row],[range_miles]]</f>
        <v>129.34777158774372</v>
      </c>
      <c r="AA1509" s="2">
        <f>(EV_Data4[[#This Row],[customer_rating]]*EV_Data4[[#This Row],[safety_rating]]*1000)/EV_Data4[[#This Row],[price_usd]]</f>
        <v>0.3169964585551896</v>
      </c>
      <c r="AB1509">
        <f>EV_Data4[[#This Row],[horsepower]]+EV_Data4[[#This Row],[torque_nm]]/EV_Data4[[#This Row],[acceleration_0_60_mph]]</f>
        <v>536.30478589420659</v>
      </c>
      <c r="AC1509" t="str">
        <f>IF(EV_Data4[[#This Row],[price_usd]]&gt;=80000,"Luxury",IF(EV_Data4[[#This Row],[price_usd]]&gt;=40000,"Mid-Range","Budget"))</f>
        <v>Mid-Range</v>
      </c>
      <c r="AD1509" t="str">
        <f>IF(EV_Data4[[#This Row],[range_miles]]&gt;=350,"Long-Range",IF(EV_Data4[[#This Row],[range_miles]]&gt;=250,"Medium-Range","Short-Range"))</f>
        <v>Long-Range</v>
      </c>
      <c r="AE1509" t="str">
        <f>IF(EV_Data4[[#This Row],[charging_speed_kw]]&gt;=250,"Ultra-Fast",IF(EV_Data4[[#This Row],[charging_speed_kw]]&gt;=150,"Fast-Charging","Standard-Charging"))</f>
        <v>Fast-Charging</v>
      </c>
      <c r="AF1509" t="str">
        <f>IF(EV_Data4[[#This Row],[acceleration_0_60_mph]]&lt;=3,"SportsPerformance",IF(EV_Data4[[#This Row],[acceleration_0_60_mph]]&lt;=5,"HighPerformance","Standard"))</f>
        <v>HighPerformance</v>
      </c>
      <c r="AG1509" t="str">
        <f>IF(EV_Data4[[#This Row],[customer_rating]]&gt;=4.5,"Excellent",IF(EV_Data4[[#This Row],[customer_rating]]&gt;=3.5,"Good","Average"))</f>
        <v>Good</v>
      </c>
      <c r="AH150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10" spans="1:34" x14ac:dyDescent="0.3">
      <c r="A1510" t="s">
        <v>42</v>
      </c>
      <c r="B1510" t="s">
        <v>54</v>
      </c>
      <c r="C1510">
        <v>2023</v>
      </c>
      <c r="D1510" t="s">
        <v>56</v>
      </c>
      <c r="E1510" s="3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34</v>
      </c>
      <c r="N1510">
        <v>5</v>
      </c>
      <c r="O1510" t="s">
        <v>58</v>
      </c>
      <c r="P1510">
        <v>16.600000000000001</v>
      </c>
      <c r="Q1510">
        <v>1500</v>
      </c>
      <c r="R1510">
        <v>3</v>
      </c>
      <c r="S1510">
        <v>0</v>
      </c>
      <c r="T1510" t="s">
        <v>45</v>
      </c>
      <c r="U1510" t="s">
        <v>37</v>
      </c>
      <c r="V1510" s="3">
        <v>65815</v>
      </c>
      <c r="W1510">
        <v>3.66</v>
      </c>
      <c r="X1510">
        <v>4</v>
      </c>
      <c r="Y1510" s="1">
        <f>EV_Data4[[#This Row],[range_miles]]/EV_Data4[[#This Row],[battery_capacity_kwh]]</f>
        <v>3.5372340425531914</v>
      </c>
      <c r="Z1510" s="4">
        <f>EV_Data4[[#This Row],[price_usd]]/EV_Data4[[#This Row],[range_miles]]</f>
        <v>201.60593984962406</v>
      </c>
      <c r="AA1510" s="2">
        <f>(EV_Data4[[#This Row],[customer_rating]]*EV_Data4[[#This Row],[safety_rating]]*1000)/EV_Data4[[#This Row],[price_usd]]</f>
        <v>0.20474692124404081</v>
      </c>
      <c r="AB1510">
        <f>EV_Data4[[#This Row],[horsepower]]+EV_Data4[[#This Row],[torque_nm]]/EV_Data4[[#This Row],[acceleration_0_60_mph]]</f>
        <v>651.24773413897276</v>
      </c>
      <c r="AC1510" t="str">
        <f>IF(EV_Data4[[#This Row],[price_usd]]&gt;=80000,"Luxury",IF(EV_Data4[[#This Row],[price_usd]]&gt;=40000,"Mid-Range","Budget"))</f>
        <v>Mid-Range</v>
      </c>
      <c r="AD1510" t="str">
        <f>IF(EV_Data4[[#This Row],[range_miles]]&gt;=350,"Long-Range",IF(EV_Data4[[#This Row],[range_miles]]&gt;=250,"Medium-Range","Short-Range"))</f>
        <v>Medium-Range</v>
      </c>
      <c r="AE1510" t="str">
        <f>IF(EV_Data4[[#This Row],[charging_speed_kw]]&gt;=250,"Ultra-Fast",IF(EV_Data4[[#This Row],[charging_speed_kw]]&gt;=150,"Fast-Charging","Standard-Charging"))</f>
        <v>Standard-Charging</v>
      </c>
      <c r="AF1510" t="str">
        <f>IF(EV_Data4[[#This Row],[acceleration_0_60_mph]]&lt;=3,"SportsPerformance",IF(EV_Data4[[#This Row],[acceleration_0_60_mph]]&lt;=5,"HighPerformance","Standard"))</f>
        <v>Standard</v>
      </c>
      <c r="AG1510" t="str">
        <f>IF(EV_Data4[[#This Row],[customer_rating]]&gt;=4.5,"Excellent",IF(EV_Data4[[#This Row],[customer_rating]]&gt;=3.5,"Good","Average"))</f>
        <v>Good</v>
      </c>
      <c r="AH151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11" spans="1:34" x14ac:dyDescent="0.3">
      <c r="A1511" t="s">
        <v>76</v>
      </c>
      <c r="B1511" t="s">
        <v>98</v>
      </c>
      <c r="C1511">
        <v>2025</v>
      </c>
      <c r="D1511" t="s">
        <v>56</v>
      </c>
      <c r="E1511" s="3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27</v>
      </c>
      <c r="N1511">
        <v>5</v>
      </c>
      <c r="O1511" t="s">
        <v>28</v>
      </c>
      <c r="P1511">
        <v>74.2</v>
      </c>
      <c r="Q1511">
        <v>2364</v>
      </c>
      <c r="R1511">
        <v>4</v>
      </c>
      <c r="S1511">
        <v>1</v>
      </c>
      <c r="T1511" t="s">
        <v>41</v>
      </c>
      <c r="U1511" t="s">
        <v>66</v>
      </c>
      <c r="V1511" s="3">
        <v>25220</v>
      </c>
      <c r="W1511">
        <v>3.43</v>
      </c>
      <c r="X1511">
        <v>4</v>
      </c>
      <c r="Y1511" s="1">
        <f>EV_Data4[[#This Row],[range_miles]]/EV_Data4[[#This Row],[battery_capacity_kwh]]</f>
        <v>2.9795918367346941</v>
      </c>
      <c r="Z1511" s="4">
        <f>EV_Data4[[#This Row],[price_usd]]/EV_Data4[[#This Row],[range_miles]]</f>
        <v>146.11589041095891</v>
      </c>
      <c r="AA1511" s="2">
        <f>(EV_Data4[[#This Row],[customer_rating]]*EV_Data4[[#This Row],[safety_rating]]*1000)/EV_Data4[[#This Row],[price_usd]]</f>
        <v>0.42875830719220182</v>
      </c>
      <c r="AB1511">
        <f>EV_Data4[[#This Row],[horsepower]]+EV_Data4[[#This Row],[torque_nm]]/EV_Data4[[#This Row],[acceleration_0_60_mph]]</f>
        <v>225.65384615384616</v>
      </c>
      <c r="AC1511" t="str">
        <f>IF(EV_Data4[[#This Row],[price_usd]]&gt;=80000,"Luxury",IF(EV_Data4[[#This Row],[price_usd]]&gt;=40000,"Mid-Range","Budget"))</f>
        <v>Budget</v>
      </c>
      <c r="AD1511" t="str">
        <f>IF(EV_Data4[[#This Row],[range_miles]]&gt;=350,"Long-Range",IF(EV_Data4[[#This Row],[range_miles]]&gt;=250,"Medium-Range","Short-Range"))</f>
        <v>Short-Range</v>
      </c>
      <c r="AE1511" t="str">
        <f>IF(EV_Data4[[#This Row],[charging_speed_kw]]&gt;=250,"Ultra-Fast",IF(EV_Data4[[#This Row],[charging_speed_kw]]&gt;=150,"Fast-Charging","Standard-Charging"))</f>
        <v>Standard-Charging</v>
      </c>
      <c r="AF1511" t="str">
        <f>IF(EV_Data4[[#This Row],[acceleration_0_60_mph]]&lt;=3,"SportsPerformance",IF(EV_Data4[[#This Row],[acceleration_0_60_mph]]&lt;=5,"HighPerformance","Standard"))</f>
        <v>Standard</v>
      </c>
      <c r="AG1511" t="str">
        <f>IF(EV_Data4[[#This Row],[customer_rating]]&gt;=4.5,"Excellent",IF(EV_Data4[[#This Row],[customer_rating]]&gt;=3.5,"Good","Average"))</f>
        <v>Average</v>
      </c>
      <c r="AH151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12" spans="1:34" x14ac:dyDescent="0.3">
      <c r="A1512" t="s">
        <v>76</v>
      </c>
      <c r="B1512" t="s">
        <v>81</v>
      </c>
      <c r="C1512">
        <v>2025</v>
      </c>
      <c r="D1512" t="s">
        <v>44</v>
      </c>
      <c r="E1512" s="3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48</v>
      </c>
      <c r="N1512">
        <v>5</v>
      </c>
      <c r="O1512" t="s">
        <v>51</v>
      </c>
      <c r="P1512">
        <v>18.100000000000001</v>
      </c>
      <c r="Q1512">
        <v>1680</v>
      </c>
      <c r="R1512">
        <v>4</v>
      </c>
      <c r="S1512">
        <v>1</v>
      </c>
      <c r="T1512" t="s">
        <v>41</v>
      </c>
      <c r="U1512" t="s">
        <v>33</v>
      </c>
      <c r="V1512" s="3">
        <v>26936</v>
      </c>
      <c r="W1512">
        <v>3.72</v>
      </c>
      <c r="X1512">
        <v>4</v>
      </c>
      <c r="Y1512" s="1">
        <f>EV_Data4[[#This Row],[range_miles]]/EV_Data4[[#This Row],[battery_capacity_kwh]]</f>
        <v>3.4842105263157896</v>
      </c>
      <c r="Z1512" s="4">
        <f>EV_Data4[[#This Row],[price_usd]]/EV_Data4[[#This Row],[range_miles]]</f>
        <v>294.38217522658613</v>
      </c>
      <c r="AA1512" s="2">
        <f>(EV_Data4[[#This Row],[customer_rating]]*EV_Data4[[#This Row],[safety_rating]]*1000)/EV_Data4[[#This Row],[price_usd]]</f>
        <v>0.15270857600279145</v>
      </c>
      <c r="AB1512">
        <f>EV_Data4[[#This Row],[horsepower]]+EV_Data4[[#This Row],[torque_nm]]/EV_Data4[[#This Row],[acceleration_0_60_mph]]</f>
        <v>1173.8372093023256</v>
      </c>
      <c r="AC1512" t="str">
        <f>IF(EV_Data4[[#This Row],[price_usd]]&gt;=80000,"Luxury",IF(EV_Data4[[#This Row],[price_usd]]&gt;=40000,"Mid-Range","Budget"))</f>
        <v>Luxury</v>
      </c>
      <c r="AD1512" t="str">
        <f>IF(EV_Data4[[#This Row],[range_miles]]&gt;=350,"Long-Range",IF(EV_Data4[[#This Row],[range_miles]]&gt;=250,"Medium-Range","Short-Range"))</f>
        <v>Medium-Range</v>
      </c>
      <c r="AE1512" t="str">
        <f>IF(EV_Data4[[#This Row],[charging_speed_kw]]&gt;=250,"Ultra-Fast",IF(EV_Data4[[#This Row],[charging_speed_kw]]&gt;=150,"Fast-Charging","Standard-Charging"))</f>
        <v>Standard-Charging</v>
      </c>
      <c r="AF1512" t="str">
        <f>IF(EV_Data4[[#This Row],[acceleration_0_60_mph]]&lt;=3,"SportsPerformance",IF(EV_Data4[[#This Row],[acceleration_0_60_mph]]&lt;=5,"HighPerformance","Standard"))</f>
        <v>Standard</v>
      </c>
      <c r="AG1512" t="str">
        <f>IF(EV_Data4[[#This Row],[customer_rating]]&gt;=4.5,"Excellent",IF(EV_Data4[[#This Row],[customer_rating]]&gt;=3.5,"Good","Average"))</f>
        <v>Good</v>
      </c>
      <c r="AH151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13" spans="1:34" x14ac:dyDescent="0.3">
      <c r="A1513" t="s">
        <v>38</v>
      </c>
      <c r="B1513" t="s">
        <v>102</v>
      </c>
      <c r="C1513">
        <v>2022</v>
      </c>
      <c r="D1513" t="s">
        <v>56</v>
      </c>
      <c r="E1513" s="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48</v>
      </c>
      <c r="N1513">
        <v>5</v>
      </c>
      <c r="O1513" t="s">
        <v>35</v>
      </c>
      <c r="P1513">
        <v>64</v>
      </c>
      <c r="Q1513">
        <v>2124</v>
      </c>
      <c r="R1513">
        <v>4</v>
      </c>
      <c r="S1513">
        <v>0</v>
      </c>
      <c r="T1513" t="s">
        <v>41</v>
      </c>
      <c r="U1513" t="s">
        <v>66</v>
      </c>
      <c r="V1513" s="3">
        <v>22698</v>
      </c>
      <c r="W1513">
        <v>3.33</v>
      </c>
      <c r="X1513">
        <v>4</v>
      </c>
      <c r="Y1513" s="1">
        <f>EV_Data4[[#This Row],[range_miles]]/EV_Data4[[#This Row],[battery_capacity_kwh]]</f>
        <v>3.4059945504087192</v>
      </c>
      <c r="Z1513" s="4">
        <f>EV_Data4[[#This Row],[price_usd]]/EV_Data4[[#This Row],[range_miles]]</f>
        <v>135.08648000000002</v>
      </c>
      <c r="AA1513" s="2">
        <f>(EV_Data4[[#This Row],[customer_rating]]*EV_Data4[[#This Row],[safety_rating]]*1000)/EV_Data4[[#This Row],[price_usd]]</f>
        <v>0.39441400797474324</v>
      </c>
      <c r="AB1513">
        <f>EV_Data4[[#This Row],[horsepower]]+EV_Data4[[#This Row],[torque_nm]]/EV_Data4[[#This Row],[acceleration_0_60_mph]]</f>
        <v>303.95804195804197</v>
      </c>
      <c r="AC1513" t="str">
        <f>IF(EV_Data4[[#This Row],[price_usd]]&gt;=80000,"Luxury",IF(EV_Data4[[#This Row],[price_usd]]&gt;=40000,"Mid-Range","Budget"))</f>
        <v>Budget</v>
      </c>
      <c r="AD1513" t="str">
        <f>IF(EV_Data4[[#This Row],[range_miles]]&gt;=350,"Long-Range",IF(EV_Data4[[#This Row],[range_miles]]&gt;=250,"Medium-Range","Short-Range"))</f>
        <v>Medium-Range</v>
      </c>
      <c r="AE1513" t="str">
        <f>IF(EV_Data4[[#This Row],[charging_speed_kw]]&gt;=250,"Ultra-Fast",IF(EV_Data4[[#This Row],[charging_speed_kw]]&gt;=150,"Fast-Charging","Standard-Charging"))</f>
        <v>Standard-Charging</v>
      </c>
      <c r="AF1513" t="str">
        <f>IF(EV_Data4[[#This Row],[acceleration_0_60_mph]]&lt;=3,"SportsPerformance",IF(EV_Data4[[#This Row],[acceleration_0_60_mph]]&lt;=5,"HighPerformance","Standard"))</f>
        <v>Standard</v>
      </c>
      <c r="AG1513" t="str">
        <f>IF(EV_Data4[[#This Row],[customer_rating]]&gt;=4.5,"Excellent",IF(EV_Data4[[#This Row],[customer_rating]]&gt;=3.5,"Good","Average"))</f>
        <v>Average</v>
      </c>
      <c r="AH151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14" spans="1:34" x14ac:dyDescent="0.3">
      <c r="A1514" t="s">
        <v>31</v>
      </c>
      <c r="B1514" t="s">
        <v>32</v>
      </c>
      <c r="C1514">
        <v>2023</v>
      </c>
      <c r="D1514" t="s">
        <v>44</v>
      </c>
      <c r="E1514" s="3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34</v>
      </c>
      <c r="N1514">
        <v>5</v>
      </c>
      <c r="O1514" t="s">
        <v>35</v>
      </c>
      <c r="P1514">
        <v>44.3</v>
      </c>
      <c r="Q1514">
        <v>2030</v>
      </c>
      <c r="R1514">
        <v>4</v>
      </c>
      <c r="S1514">
        <v>1</v>
      </c>
      <c r="T1514" t="s">
        <v>36</v>
      </c>
      <c r="U1514" t="s">
        <v>33</v>
      </c>
      <c r="V1514" s="3">
        <v>29619</v>
      </c>
      <c r="W1514">
        <v>3.47</v>
      </c>
      <c r="X1514">
        <v>3</v>
      </c>
      <c r="Y1514" s="1">
        <f>EV_Data4[[#This Row],[range_miles]]/EV_Data4[[#This Row],[battery_capacity_kwh]]</f>
        <v>3.442240373395566</v>
      </c>
      <c r="Z1514" s="4">
        <f>EV_Data4[[#This Row],[price_usd]]/EV_Data4[[#This Row],[range_miles]]</f>
        <v>270.90227118644066</v>
      </c>
      <c r="AA1514" s="2">
        <f>(EV_Data4[[#This Row],[customer_rating]]*EV_Data4[[#This Row],[safety_rating]]*1000)/EV_Data4[[#This Row],[price_usd]]</f>
        <v>0.1736819970226301</v>
      </c>
      <c r="AB1514">
        <f>EV_Data4[[#This Row],[horsepower]]+EV_Data4[[#This Row],[torque_nm]]/EV_Data4[[#This Row],[acceleration_0_60_mph]]</f>
        <v>1202.7088036117382</v>
      </c>
      <c r="AC1514" t="str">
        <f>IF(EV_Data4[[#This Row],[price_usd]]&gt;=80000,"Luxury",IF(EV_Data4[[#This Row],[price_usd]]&gt;=40000,"Mid-Range","Budget"))</f>
        <v>Mid-Range</v>
      </c>
      <c r="AD1514" t="str">
        <f>IF(EV_Data4[[#This Row],[range_miles]]&gt;=350,"Long-Range",IF(EV_Data4[[#This Row],[range_miles]]&gt;=250,"Medium-Range","Short-Range"))</f>
        <v>Medium-Range</v>
      </c>
      <c r="AE1514" t="str">
        <f>IF(EV_Data4[[#This Row],[charging_speed_kw]]&gt;=250,"Ultra-Fast",IF(EV_Data4[[#This Row],[charging_speed_kw]]&gt;=150,"Fast-Charging","Standard-Charging"))</f>
        <v>Standard-Charging</v>
      </c>
      <c r="AF1514" t="str">
        <f>IF(EV_Data4[[#This Row],[acceleration_0_60_mph]]&lt;=3,"SportsPerformance",IF(EV_Data4[[#This Row],[acceleration_0_60_mph]]&lt;=5,"HighPerformance","Standard"))</f>
        <v>HighPerformance</v>
      </c>
      <c r="AG1514" t="str">
        <f>IF(EV_Data4[[#This Row],[customer_rating]]&gt;=4.5,"Excellent",IF(EV_Data4[[#This Row],[customer_rating]]&gt;=3.5,"Good","Average"))</f>
        <v>Average</v>
      </c>
      <c r="AH151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15" spans="1:34" x14ac:dyDescent="0.3">
      <c r="A1515" t="s">
        <v>46</v>
      </c>
      <c r="B1515" t="s">
        <v>78</v>
      </c>
      <c r="C1515">
        <v>2025</v>
      </c>
      <c r="D1515" t="s">
        <v>33</v>
      </c>
      <c r="E1515" s="3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27</v>
      </c>
      <c r="N1515">
        <v>7</v>
      </c>
      <c r="O1515" t="s">
        <v>28</v>
      </c>
      <c r="P1515">
        <v>52.9</v>
      </c>
      <c r="Q1515">
        <v>2540</v>
      </c>
      <c r="R1515">
        <v>4</v>
      </c>
      <c r="S1515">
        <v>2</v>
      </c>
      <c r="T1515" t="s">
        <v>41</v>
      </c>
      <c r="U1515" t="s">
        <v>30</v>
      </c>
      <c r="V1515" s="3">
        <v>225294</v>
      </c>
      <c r="W1515">
        <v>3.41</v>
      </c>
      <c r="X1515">
        <v>5</v>
      </c>
      <c r="Y1515" s="1">
        <f>EV_Data4[[#This Row],[range_miles]]/EV_Data4[[#This Row],[battery_capacity_kwh]]</f>
        <v>3.5971223021582732</v>
      </c>
      <c r="Z1515" s="4">
        <f>EV_Data4[[#This Row],[price_usd]]/EV_Data4[[#This Row],[range_miles]]</f>
        <v>892.05199999999991</v>
      </c>
      <c r="AA1515" s="2">
        <f>(EV_Data4[[#This Row],[customer_rating]]*EV_Data4[[#This Row],[safety_rating]]*1000)/EV_Data4[[#This Row],[price_usd]]</f>
        <v>0.10193725627355057</v>
      </c>
      <c r="AB1515">
        <f>EV_Data4[[#This Row],[horsepower]]+EV_Data4[[#This Row],[torque_nm]]/EV_Data4[[#This Row],[acceleration_0_60_mph]]</f>
        <v>1154.7806691449814</v>
      </c>
      <c r="AC1515" t="str">
        <f>IF(EV_Data4[[#This Row],[price_usd]]&gt;=80000,"Luxury",IF(EV_Data4[[#This Row],[price_usd]]&gt;=40000,"Mid-Range","Budget"))</f>
        <v>Luxury</v>
      </c>
      <c r="AD1515" t="str">
        <f>IF(EV_Data4[[#This Row],[range_miles]]&gt;=350,"Long-Range",IF(EV_Data4[[#This Row],[range_miles]]&gt;=250,"Medium-Range","Short-Range"))</f>
        <v>Short-Range</v>
      </c>
      <c r="AE1515" t="str">
        <f>IF(EV_Data4[[#This Row],[charging_speed_kw]]&gt;=250,"Ultra-Fast",IF(EV_Data4[[#This Row],[charging_speed_kw]]&gt;=150,"Fast-Charging","Standard-Charging"))</f>
        <v>Ultra-Fast</v>
      </c>
      <c r="AF1515" t="str">
        <f>IF(EV_Data4[[#This Row],[acceleration_0_60_mph]]&lt;=3,"SportsPerformance",IF(EV_Data4[[#This Row],[acceleration_0_60_mph]]&lt;=5,"HighPerformance","Standard"))</f>
        <v>Standard</v>
      </c>
      <c r="AG1515" t="str">
        <f>IF(EV_Data4[[#This Row],[customer_rating]]&gt;=4.5,"Excellent",IF(EV_Data4[[#This Row],[customer_rating]]&gt;=3.5,"Good","Average"))</f>
        <v>Average</v>
      </c>
      <c r="AH151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16" spans="1:34" x14ac:dyDescent="0.3">
      <c r="A1516" t="s">
        <v>46</v>
      </c>
      <c r="B1516" t="s">
        <v>57</v>
      </c>
      <c r="C1516">
        <v>2025</v>
      </c>
      <c r="D1516" t="s">
        <v>44</v>
      </c>
      <c r="E1516" s="3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34</v>
      </c>
      <c r="N1516">
        <v>7</v>
      </c>
      <c r="O1516" t="s">
        <v>51</v>
      </c>
      <c r="P1516">
        <v>37.5</v>
      </c>
      <c r="Q1516">
        <v>1723</v>
      </c>
      <c r="R1516">
        <v>5</v>
      </c>
      <c r="S1516">
        <v>2</v>
      </c>
      <c r="T1516" t="s">
        <v>41</v>
      </c>
      <c r="U1516" t="s">
        <v>37</v>
      </c>
      <c r="V1516" s="3">
        <v>177801</v>
      </c>
      <c r="W1516">
        <v>4.2</v>
      </c>
      <c r="X1516">
        <v>6</v>
      </c>
      <c r="Y1516" s="1">
        <f>EV_Data4[[#This Row],[range_miles]]/EV_Data4[[#This Row],[battery_capacity_kwh]]</f>
        <v>3.8938053097345131</v>
      </c>
      <c r="Z1516" s="4">
        <f>EV_Data4[[#This Row],[price_usd]]/EV_Data4[[#This Row],[range_miles]]</f>
        <v>108.64363636363636</v>
      </c>
      <c r="AA1516" s="2">
        <f>(EV_Data4[[#This Row],[customer_rating]]*EV_Data4[[#This Row],[safety_rating]]*1000)/EV_Data4[[#This Row],[price_usd]]</f>
        <v>0.48811237183563727</v>
      </c>
      <c r="AB1516">
        <f>EV_Data4[[#This Row],[horsepower]]+EV_Data4[[#This Row],[torque_nm]]/EV_Data4[[#This Row],[acceleration_0_60_mph]]</f>
        <v>358.6</v>
      </c>
      <c r="AC1516" t="str">
        <f>IF(EV_Data4[[#This Row],[price_usd]]&gt;=80000,"Luxury",IF(EV_Data4[[#This Row],[price_usd]]&gt;=40000,"Mid-Range","Budget"))</f>
        <v>Mid-Range</v>
      </c>
      <c r="AD1516" t="str">
        <f>IF(EV_Data4[[#This Row],[range_miles]]&gt;=350,"Long-Range",IF(EV_Data4[[#This Row],[range_miles]]&gt;=250,"Medium-Range","Short-Range"))</f>
        <v>Long-Range</v>
      </c>
      <c r="AE1516" t="str">
        <f>IF(EV_Data4[[#This Row],[charging_speed_kw]]&gt;=250,"Ultra-Fast",IF(EV_Data4[[#This Row],[charging_speed_kw]]&gt;=150,"Fast-Charging","Standard-Charging"))</f>
        <v>Ultra-Fast</v>
      </c>
      <c r="AF1516" t="str">
        <f>IF(EV_Data4[[#This Row],[acceleration_0_60_mph]]&lt;=3,"SportsPerformance",IF(EV_Data4[[#This Row],[acceleration_0_60_mph]]&lt;=5,"HighPerformance","Standard"))</f>
        <v>HighPerformance</v>
      </c>
      <c r="AG1516" t="str">
        <f>IF(EV_Data4[[#This Row],[customer_rating]]&gt;=4.5,"Excellent",IF(EV_Data4[[#This Row],[customer_rating]]&gt;=3.5,"Good","Average"))</f>
        <v>Good</v>
      </c>
      <c r="AH151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17" spans="1:34" x14ac:dyDescent="0.3">
      <c r="A1517" t="s">
        <v>46</v>
      </c>
      <c r="B1517" t="s">
        <v>78</v>
      </c>
      <c r="C1517">
        <v>2026</v>
      </c>
      <c r="D1517" t="s">
        <v>33</v>
      </c>
      <c r="E1517" s="3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27</v>
      </c>
      <c r="N1517">
        <v>5</v>
      </c>
      <c r="O1517" t="s">
        <v>35</v>
      </c>
      <c r="P1517">
        <v>56.9</v>
      </c>
      <c r="Q1517">
        <v>1899</v>
      </c>
      <c r="R1517">
        <v>4</v>
      </c>
      <c r="S1517">
        <v>3</v>
      </c>
      <c r="T1517" t="s">
        <v>41</v>
      </c>
      <c r="U1517" t="s">
        <v>33</v>
      </c>
      <c r="V1517" s="3">
        <v>116766</v>
      </c>
      <c r="W1517">
        <v>3.76</v>
      </c>
      <c r="X1517">
        <v>4</v>
      </c>
      <c r="Y1517" s="1">
        <f>EV_Data4[[#This Row],[range_miles]]/EV_Data4[[#This Row],[battery_capacity_kwh]]</f>
        <v>3.5440931780366056</v>
      </c>
      <c r="Z1517" s="4">
        <f>EV_Data4[[#This Row],[price_usd]]/EV_Data4[[#This Row],[range_miles]]</f>
        <v>417.50154929577468</v>
      </c>
      <c r="AA1517" s="2">
        <f>(EV_Data4[[#This Row],[customer_rating]]*EV_Data4[[#This Row],[safety_rating]]*1000)/EV_Data4[[#This Row],[price_usd]]</f>
        <v>0.16912590805375549</v>
      </c>
      <c r="AB1517">
        <f>EV_Data4[[#This Row],[horsepower]]+EV_Data4[[#This Row],[torque_nm]]/EV_Data4[[#This Row],[acceleration_0_60_mph]]</f>
        <v>749.95460797799171</v>
      </c>
      <c r="AC1517" t="str">
        <f>IF(EV_Data4[[#This Row],[price_usd]]&gt;=80000,"Luxury",IF(EV_Data4[[#This Row],[price_usd]]&gt;=40000,"Mid-Range","Budget"))</f>
        <v>Luxury</v>
      </c>
      <c r="AD1517" t="str">
        <f>IF(EV_Data4[[#This Row],[range_miles]]&gt;=350,"Long-Range",IF(EV_Data4[[#This Row],[range_miles]]&gt;=250,"Medium-Range","Short-Range"))</f>
        <v>Short-Range</v>
      </c>
      <c r="AE1517" t="str">
        <f>IF(EV_Data4[[#This Row],[charging_speed_kw]]&gt;=250,"Ultra-Fast",IF(EV_Data4[[#This Row],[charging_speed_kw]]&gt;=150,"Fast-Charging","Standard-Charging"))</f>
        <v>Ultra-Fast</v>
      </c>
      <c r="AF1517" t="str">
        <f>IF(EV_Data4[[#This Row],[acceleration_0_60_mph]]&lt;=3,"SportsPerformance",IF(EV_Data4[[#This Row],[acceleration_0_60_mph]]&lt;=5,"HighPerformance","Standard"))</f>
        <v>Standard</v>
      </c>
      <c r="AG1517" t="str">
        <f>IF(EV_Data4[[#This Row],[customer_rating]]&gt;=4.5,"Excellent",IF(EV_Data4[[#This Row],[customer_rating]]&gt;=3.5,"Good","Average"))</f>
        <v>Good</v>
      </c>
      <c r="AH1517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518" spans="1:34" x14ac:dyDescent="0.3">
      <c r="A1518" t="s">
        <v>83</v>
      </c>
      <c r="B1518" t="s">
        <v>114</v>
      </c>
      <c r="C1518">
        <v>2025</v>
      </c>
      <c r="D1518" t="s">
        <v>44</v>
      </c>
      <c r="E1518" s="3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48</v>
      </c>
      <c r="N1518">
        <v>5</v>
      </c>
      <c r="O1518" t="s">
        <v>58</v>
      </c>
      <c r="P1518">
        <v>38.6</v>
      </c>
      <c r="Q1518">
        <v>1669</v>
      </c>
      <c r="R1518">
        <v>3</v>
      </c>
      <c r="S1518">
        <v>2</v>
      </c>
      <c r="T1518" t="s">
        <v>29</v>
      </c>
      <c r="U1518" t="s">
        <v>30</v>
      </c>
      <c r="V1518" s="3">
        <v>49676</v>
      </c>
      <c r="W1518">
        <v>3.74</v>
      </c>
      <c r="X1518">
        <v>6</v>
      </c>
      <c r="Y1518" s="1">
        <f>EV_Data4[[#This Row],[range_miles]]/EV_Data4[[#This Row],[battery_capacity_kwh]]</f>
        <v>3.5838680109990837</v>
      </c>
      <c r="Z1518" s="4">
        <f>EV_Data4[[#This Row],[price_usd]]/EV_Data4[[#This Row],[range_miles]]</f>
        <v>305.72687979539643</v>
      </c>
      <c r="AA1518" s="2">
        <f>(EV_Data4[[#This Row],[customer_rating]]*EV_Data4[[#This Row],[safety_rating]]*1000)/EV_Data4[[#This Row],[price_usd]]</f>
        <v>9.3860416176416078E-2</v>
      </c>
      <c r="AB1518">
        <f>EV_Data4[[#This Row],[horsepower]]+EV_Data4[[#This Row],[torque_nm]]/EV_Data4[[#This Row],[acceleration_0_60_mph]]</f>
        <v>1212.2641509433961</v>
      </c>
      <c r="AC1518" t="str">
        <f>IF(EV_Data4[[#This Row],[price_usd]]&gt;=80000,"Luxury",IF(EV_Data4[[#This Row],[price_usd]]&gt;=40000,"Mid-Range","Budget"))</f>
        <v>Luxury</v>
      </c>
      <c r="AD1518" t="str">
        <f>IF(EV_Data4[[#This Row],[range_miles]]&gt;=350,"Long-Range",IF(EV_Data4[[#This Row],[range_miles]]&gt;=250,"Medium-Range","Short-Range"))</f>
        <v>Long-Range</v>
      </c>
      <c r="AE1518" t="str">
        <f>IF(EV_Data4[[#This Row],[charging_speed_kw]]&gt;=250,"Ultra-Fast",IF(EV_Data4[[#This Row],[charging_speed_kw]]&gt;=150,"Fast-Charging","Standard-Charging"))</f>
        <v>Standard-Charging</v>
      </c>
      <c r="AF1518" t="str">
        <f>IF(EV_Data4[[#This Row],[acceleration_0_60_mph]]&lt;=3,"SportsPerformance",IF(EV_Data4[[#This Row],[acceleration_0_60_mph]]&lt;=5,"HighPerformance","Standard"))</f>
        <v>HighPerformance</v>
      </c>
      <c r="AG1518" t="str">
        <f>IF(EV_Data4[[#This Row],[customer_rating]]&gt;=4.5,"Excellent",IF(EV_Data4[[#This Row],[customer_rating]]&gt;=3.5,"Good","Average"))</f>
        <v>Good</v>
      </c>
      <c r="AH151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19" spans="1:34" x14ac:dyDescent="0.3">
      <c r="A1519" t="s">
        <v>86</v>
      </c>
      <c r="B1519" t="s">
        <v>108</v>
      </c>
      <c r="C1519">
        <v>2025</v>
      </c>
      <c r="D1519" t="s">
        <v>56</v>
      </c>
      <c r="E1519" s="3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34</v>
      </c>
      <c r="N1519">
        <v>5</v>
      </c>
      <c r="O1519" t="s">
        <v>58</v>
      </c>
      <c r="P1519">
        <v>19.100000000000001</v>
      </c>
      <c r="Q1519">
        <v>1500</v>
      </c>
      <c r="R1519">
        <v>5</v>
      </c>
      <c r="S1519">
        <v>2</v>
      </c>
      <c r="T1519" t="s">
        <v>29</v>
      </c>
      <c r="U1519" t="s">
        <v>33</v>
      </c>
      <c r="V1519" s="3">
        <v>60589</v>
      </c>
      <c r="W1519">
        <v>3.47</v>
      </c>
      <c r="X1519">
        <v>5</v>
      </c>
      <c r="Y1519" s="1">
        <f>EV_Data4[[#This Row],[range_miles]]/EV_Data4[[#This Row],[battery_capacity_kwh]]</f>
        <v>3.3610648918469219</v>
      </c>
      <c r="Z1519" s="4">
        <f>EV_Data4[[#This Row],[price_usd]]/EV_Data4[[#This Row],[range_miles]]</f>
        <v>353.69499999999999</v>
      </c>
      <c r="AA1519" s="2">
        <f>(EV_Data4[[#This Row],[customer_rating]]*EV_Data4[[#This Row],[safety_rating]]*1000)/EV_Data4[[#This Row],[price_usd]]</f>
        <v>0.24283942127796801</v>
      </c>
      <c r="AB1519">
        <f>EV_Data4[[#This Row],[horsepower]]+EV_Data4[[#This Row],[torque_nm]]/EV_Data4[[#This Row],[acceleration_0_60_mph]]</f>
        <v>514.6080870917574</v>
      </c>
      <c r="AC1519" t="str">
        <f>IF(EV_Data4[[#This Row],[price_usd]]&gt;=80000,"Luxury",IF(EV_Data4[[#This Row],[price_usd]]&gt;=40000,"Mid-Range","Budget"))</f>
        <v>Mid-Range</v>
      </c>
      <c r="AD1519" t="str">
        <f>IF(EV_Data4[[#This Row],[range_miles]]&gt;=350,"Long-Range",IF(EV_Data4[[#This Row],[range_miles]]&gt;=250,"Medium-Range","Short-Range"))</f>
        <v>Short-Range</v>
      </c>
      <c r="AE1519" t="str">
        <f>IF(EV_Data4[[#This Row],[charging_speed_kw]]&gt;=250,"Ultra-Fast",IF(EV_Data4[[#This Row],[charging_speed_kw]]&gt;=150,"Fast-Charging","Standard-Charging"))</f>
        <v>Standard-Charging</v>
      </c>
      <c r="AF1519" t="str">
        <f>IF(EV_Data4[[#This Row],[acceleration_0_60_mph]]&lt;=3,"SportsPerformance",IF(EV_Data4[[#This Row],[acceleration_0_60_mph]]&lt;=5,"HighPerformance","Standard"))</f>
        <v>Standard</v>
      </c>
      <c r="AG1519" t="str">
        <f>IF(EV_Data4[[#This Row],[customer_rating]]&gt;=4.5,"Excellent",IF(EV_Data4[[#This Row],[customer_rating]]&gt;=3.5,"Good","Average"))</f>
        <v>Average</v>
      </c>
      <c r="AH151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20" spans="1:34" x14ac:dyDescent="0.3">
      <c r="A1520" t="s">
        <v>63</v>
      </c>
      <c r="B1520" t="s">
        <v>88</v>
      </c>
      <c r="C1520">
        <v>2023</v>
      </c>
      <c r="D1520" t="s">
        <v>26</v>
      </c>
      <c r="E1520" s="3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27</v>
      </c>
      <c r="N1520">
        <v>5</v>
      </c>
      <c r="O1520" t="s">
        <v>40</v>
      </c>
      <c r="P1520">
        <v>68.599999999999994</v>
      </c>
      <c r="Q1520">
        <v>1500</v>
      </c>
      <c r="R1520">
        <v>5</v>
      </c>
      <c r="S1520">
        <v>0</v>
      </c>
      <c r="T1520" t="s">
        <v>65</v>
      </c>
      <c r="U1520" t="s">
        <v>33</v>
      </c>
      <c r="V1520" s="3">
        <v>220329</v>
      </c>
      <c r="W1520">
        <v>3.35</v>
      </c>
      <c r="X1520">
        <v>4</v>
      </c>
      <c r="Y1520" s="1">
        <f>EV_Data4[[#This Row],[range_miles]]/EV_Data4[[#This Row],[battery_capacity_kwh]]</f>
        <v>3.6026936026936029</v>
      </c>
      <c r="Z1520" s="4">
        <f>EV_Data4[[#This Row],[price_usd]]/EV_Data4[[#This Row],[range_miles]]</f>
        <v>291.07439252336451</v>
      </c>
      <c r="AA1520" s="2">
        <f>(EV_Data4[[#This Row],[customer_rating]]*EV_Data4[[#This Row],[safety_rating]]*1000)/EV_Data4[[#This Row],[price_usd]]</f>
        <v>0.17926924078031672</v>
      </c>
      <c r="AB1520">
        <f>EV_Data4[[#This Row],[horsepower]]+EV_Data4[[#This Row],[torque_nm]]/EV_Data4[[#This Row],[acceleration_0_60_mph]]</f>
        <v>1314.4827586206898</v>
      </c>
      <c r="AC1520" t="str">
        <f>IF(EV_Data4[[#This Row],[price_usd]]&gt;=80000,"Luxury",IF(EV_Data4[[#This Row],[price_usd]]&gt;=40000,"Mid-Range","Budget"))</f>
        <v>Luxury</v>
      </c>
      <c r="AD1520" t="str">
        <f>IF(EV_Data4[[#This Row],[range_miles]]&gt;=350,"Long-Range",IF(EV_Data4[[#This Row],[range_miles]]&gt;=250,"Medium-Range","Short-Range"))</f>
        <v>Medium-Range</v>
      </c>
      <c r="AE1520" t="str">
        <f>IF(EV_Data4[[#This Row],[charging_speed_kw]]&gt;=250,"Ultra-Fast",IF(EV_Data4[[#This Row],[charging_speed_kw]]&gt;=150,"Fast-Charging","Standard-Charging"))</f>
        <v>Fast-Charging</v>
      </c>
      <c r="AF1520" t="str">
        <f>IF(EV_Data4[[#This Row],[acceleration_0_60_mph]]&lt;=3,"SportsPerformance",IF(EV_Data4[[#This Row],[acceleration_0_60_mph]]&lt;=5,"HighPerformance","Standard"))</f>
        <v>SportsPerformance</v>
      </c>
      <c r="AG1520" t="str">
        <f>IF(EV_Data4[[#This Row],[customer_rating]]&gt;=4.5,"Excellent",IF(EV_Data4[[#This Row],[customer_rating]]&gt;=3.5,"Good","Average"))</f>
        <v>Average</v>
      </c>
      <c r="AH152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21" spans="1:34" x14ac:dyDescent="0.3">
      <c r="A1521" t="s">
        <v>94</v>
      </c>
      <c r="B1521" t="s">
        <v>120</v>
      </c>
      <c r="C1521">
        <v>2024</v>
      </c>
      <c r="D1521" t="s">
        <v>44</v>
      </c>
      <c r="E1521" s="3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34</v>
      </c>
      <c r="N1521">
        <v>7</v>
      </c>
      <c r="O1521" t="s">
        <v>50</v>
      </c>
      <c r="P1521">
        <v>36.700000000000003</v>
      </c>
      <c r="Q1521">
        <v>1807</v>
      </c>
      <c r="R1521">
        <v>5</v>
      </c>
      <c r="S1521">
        <v>0</v>
      </c>
      <c r="T1521" t="s">
        <v>41</v>
      </c>
      <c r="U1521" t="s">
        <v>33</v>
      </c>
      <c r="V1521" s="3">
        <v>20918</v>
      </c>
      <c r="W1521">
        <v>3.83</v>
      </c>
      <c r="X1521">
        <v>6</v>
      </c>
      <c r="Y1521" s="1">
        <f>EV_Data4[[#This Row],[range_miles]]/EV_Data4[[#This Row],[battery_capacity_kwh]]</f>
        <v>3.4479271991911018</v>
      </c>
      <c r="Z1521" s="4">
        <f>EV_Data4[[#This Row],[price_usd]]/EV_Data4[[#This Row],[range_miles]]</f>
        <v>283.80410557184751</v>
      </c>
      <c r="AA1521" s="2">
        <f>(EV_Data4[[#This Row],[customer_rating]]*EV_Data4[[#This Row],[safety_rating]]*1000)/EV_Data4[[#This Row],[price_usd]]</f>
        <v>0.19787718594875653</v>
      </c>
      <c r="AB1521">
        <f>EV_Data4[[#This Row],[horsepower]]+EV_Data4[[#This Row],[torque_nm]]/EV_Data4[[#This Row],[acceleration_0_60_mph]]</f>
        <v>1200.4474272930649</v>
      </c>
      <c r="AC1521" t="str">
        <f>IF(EV_Data4[[#This Row],[price_usd]]&gt;=80000,"Luxury",IF(EV_Data4[[#This Row],[price_usd]]&gt;=40000,"Mid-Range","Budget"))</f>
        <v>Luxury</v>
      </c>
      <c r="AD1521" t="str">
        <f>IF(EV_Data4[[#This Row],[range_miles]]&gt;=350,"Long-Range",IF(EV_Data4[[#This Row],[range_miles]]&gt;=250,"Medium-Range","Short-Range"))</f>
        <v>Medium-Range</v>
      </c>
      <c r="AE1521" t="str">
        <f>IF(EV_Data4[[#This Row],[charging_speed_kw]]&gt;=250,"Ultra-Fast",IF(EV_Data4[[#This Row],[charging_speed_kw]]&gt;=150,"Fast-Charging","Standard-Charging"))</f>
        <v>Standard-Charging</v>
      </c>
      <c r="AF1521" t="str">
        <f>IF(EV_Data4[[#This Row],[acceleration_0_60_mph]]&lt;=3,"SportsPerformance",IF(EV_Data4[[#This Row],[acceleration_0_60_mph]]&lt;=5,"HighPerformance","Standard"))</f>
        <v>HighPerformance</v>
      </c>
      <c r="AG1521" t="str">
        <f>IF(EV_Data4[[#This Row],[customer_rating]]&gt;=4.5,"Excellent",IF(EV_Data4[[#This Row],[customer_rating]]&gt;=3.5,"Good","Average"))</f>
        <v>Good</v>
      </c>
      <c r="AH152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22" spans="1:34" x14ac:dyDescent="0.3">
      <c r="A1522" t="s">
        <v>46</v>
      </c>
      <c r="B1522" t="s">
        <v>47</v>
      </c>
      <c r="C1522">
        <v>2024</v>
      </c>
      <c r="D1522" t="s">
        <v>26</v>
      </c>
      <c r="E1522" s="3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27</v>
      </c>
      <c r="N1522">
        <v>5</v>
      </c>
      <c r="O1522" t="s">
        <v>35</v>
      </c>
      <c r="P1522">
        <v>39.700000000000003</v>
      </c>
      <c r="Q1522">
        <v>1870</v>
      </c>
      <c r="R1522">
        <v>5</v>
      </c>
      <c r="S1522">
        <v>2</v>
      </c>
      <c r="T1522" t="s">
        <v>41</v>
      </c>
      <c r="U1522" t="s">
        <v>30</v>
      </c>
      <c r="V1522" s="3">
        <v>232616</v>
      </c>
      <c r="W1522">
        <v>3.85</v>
      </c>
      <c r="X1522">
        <v>4</v>
      </c>
      <c r="Y1522" s="1">
        <f>EV_Data4[[#This Row],[range_miles]]/EV_Data4[[#This Row],[battery_capacity_kwh]]</f>
        <v>3.4305150631681243</v>
      </c>
      <c r="Z1522" s="4">
        <f>EV_Data4[[#This Row],[price_usd]]/EV_Data4[[#This Row],[range_miles]]</f>
        <v>402.59832861189801</v>
      </c>
      <c r="AA1522" s="2">
        <f>(EV_Data4[[#This Row],[customer_rating]]*EV_Data4[[#This Row],[safety_rating]]*1000)/EV_Data4[[#This Row],[price_usd]]</f>
        <v>0.13545157549884354</v>
      </c>
      <c r="AB1522">
        <f>EV_Data4[[#This Row],[horsepower]]+EV_Data4[[#This Row],[torque_nm]]/EV_Data4[[#This Row],[acceleration_0_60_mph]]</f>
        <v>1228.2115869017632</v>
      </c>
      <c r="AC1522" t="str">
        <f>IF(EV_Data4[[#This Row],[price_usd]]&gt;=80000,"Luxury",IF(EV_Data4[[#This Row],[price_usd]]&gt;=40000,"Mid-Range","Budget"))</f>
        <v>Luxury</v>
      </c>
      <c r="AD1522" t="str">
        <f>IF(EV_Data4[[#This Row],[range_miles]]&gt;=350,"Long-Range",IF(EV_Data4[[#This Row],[range_miles]]&gt;=250,"Medium-Range","Short-Range"))</f>
        <v>Long-Range</v>
      </c>
      <c r="AE1522" t="str">
        <f>IF(EV_Data4[[#This Row],[charging_speed_kw]]&gt;=250,"Ultra-Fast",IF(EV_Data4[[#This Row],[charging_speed_kw]]&gt;=150,"Fast-Charging","Standard-Charging"))</f>
        <v>Ultra-Fast</v>
      </c>
      <c r="AF1522" t="str">
        <f>IF(EV_Data4[[#This Row],[acceleration_0_60_mph]]&lt;=3,"SportsPerformance",IF(EV_Data4[[#This Row],[acceleration_0_60_mph]]&lt;=5,"HighPerformance","Standard"))</f>
        <v>HighPerformance</v>
      </c>
      <c r="AG1522" t="str">
        <f>IF(EV_Data4[[#This Row],[customer_rating]]&gt;=4.5,"Excellent",IF(EV_Data4[[#This Row],[customer_rating]]&gt;=3.5,"Good","Average"))</f>
        <v>Good</v>
      </c>
      <c r="AH152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23" spans="1:34" x14ac:dyDescent="0.3">
      <c r="A1523" t="s">
        <v>92</v>
      </c>
      <c r="B1523" t="s">
        <v>110</v>
      </c>
      <c r="C1523">
        <v>2024</v>
      </c>
      <c r="D1523" t="s">
        <v>44</v>
      </c>
      <c r="E1523" s="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34</v>
      </c>
      <c r="N1523">
        <v>5</v>
      </c>
      <c r="O1523" t="s">
        <v>28</v>
      </c>
      <c r="P1523">
        <v>63.8</v>
      </c>
      <c r="Q1523">
        <v>2732</v>
      </c>
      <c r="R1523">
        <v>5</v>
      </c>
      <c r="S1523">
        <v>0</v>
      </c>
      <c r="T1523" t="s">
        <v>65</v>
      </c>
      <c r="U1523" t="s">
        <v>30</v>
      </c>
      <c r="V1523" s="3">
        <v>11219</v>
      </c>
      <c r="W1523">
        <v>3.72</v>
      </c>
      <c r="X1523">
        <v>5</v>
      </c>
      <c r="Y1523" s="1">
        <f>EV_Data4[[#This Row],[range_miles]]/EV_Data4[[#This Row],[battery_capacity_kwh]]</f>
        <v>3.3883388338833882</v>
      </c>
      <c r="Z1523" s="4">
        <f>EV_Data4[[#This Row],[price_usd]]/EV_Data4[[#This Row],[range_miles]]</f>
        <v>387.41847402597404</v>
      </c>
      <c r="AA1523" s="2">
        <f>(EV_Data4[[#This Row],[customer_rating]]*EV_Data4[[#This Row],[safety_rating]]*1000)/EV_Data4[[#This Row],[price_usd]]</f>
        <v>0.15587695073508973</v>
      </c>
      <c r="AB1523">
        <f>EV_Data4[[#This Row],[horsepower]]+EV_Data4[[#This Row],[torque_nm]]/EV_Data4[[#This Row],[acceleration_0_60_mph]]</f>
        <v>1161.5955473098329</v>
      </c>
      <c r="AC1523" t="str">
        <f>IF(EV_Data4[[#This Row],[price_usd]]&gt;=80000,"Luxury",IF(EV_Data4[[#This Row],[price_usd]]&gt;=40000,"Mid-Range","Budget"))</f>
        <v>Luxury</v>
      </c>
      <c r="AD1523" t="str">
        <f>IF(EV_Data4[[#This Row],[range_miles]]&gt;=350,"Long-Range",IF(EV_Data4[[#This Row],[range_miles]]&gt;=250,"Medium-Range","Short-Range"))</f>
        <v>Medium-Range</v>
      </c>
      <c r="AE1523" t="str">
        <f>IF(EV_Data4[[#This Row],[charging_speed_kw]]&gt;=250,"Ultra-Fast",IF(EV_Data4[[#This Row],[charging_speed_kw]]&gt;=150,"Fast-Charging","Standard-Charging"))</f>
        <v>Standard-Charging</v>
      </c>
      <c r="AF1523" t="str">
        <f>IF(EV_Data4[[#This Row],[acceleration_0_60_mph]]&lt;=3,"SportsPerformance",IF(EV_Data4[[#This Row],[acceleration_0_60_mph]]&lt;=5,"HighPerformance","Standard"))</f>
        <v>Standard</v>
      </c>
      <c r="AG1523" t="str">
        <f>IF(EV_Data4[[#This Row],[customer_rating]]&gt;=4.5,"Excellent",IF(EV_Data4[[#This Row],[customer_rating]]&gt;=3.5,"Good","Average"))</f>
        <v>Good</v>
      </c>
      <c r="AH152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24" spans="1:34" x14ac:dyDescent="0.3">
      <c r="A1524" t="s">
        <v>63</v>
      </c>
      <c r="B1524" t="s">
        <v>67</v>
      </c>
      <c r="C1524">
        <v>2025</v>
      </c>
      <c r="D1524" t="s">
        <v>56</v>
      </c>
      <c r="E1524" s="3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27</v>
      </c>
      <c r="N1524">
        <v>7</v>
      </c>
      <c r="O1524" t="s">
        <v>28</v>
      </c>
      <c r="P1524">
        <v>74.400000000000006</v>
      </c>
      <c r="Q1524">
        <v>2640</v>
      </c>
      <c r="R1524">
        <v>4</v>
      </c>
      <c r="S1524">
        <v>1</v>
      </c>
      <c r="T1524" t="s">
        <v>65</v>
      </c>
      <c r="U1524" t="s">
        <v>37</v>
      </c>
      <c r="V1524" s="3">
        <v>115977</v>
      </c>
      <c r="W1524">
        <v>3.16</v>
      </c>
      <c r="X1524">
        <v>4</v>
      </c>
      <c r="Y1524" s="1">
        <f>EV_Data4[[#This Row],[range_miles]]/EV_Data4[[#This Row],[battery_capacity_kwh]]</f>
        <v>3.1185031185031185</v>
      </c>
      <c r="Z1524" s="4">
        <f>EV_Data4[[#This Row],[price_usd]]/EV_Data4[[#This Row],[range_miles]]</f>
        <v>410.97800000000001</v>
      </c>
      <c r="AA1524" s="2">
        <f>(EV_Data4[[#This Row],[customer_rating]]*EV_Data4[[#This Row],[safety_rating]]*1000)/EV_Data4[[#This Row],[price_usd]]</f>
        <v>0.20503936139322948</v>
      </c>
      <c r="AB1524">
        <f>EV_Data4[[#This Row],[horsepower]]+EV_Data4[[#This Row],[torque_nm]]/EV_Data4[[#This Row],[acceleration_0_60_mph]]</f>
        <v>728.15133531157267</v>
      </c>
      <c r="AC1524" t="str">
        <f>IF(EV_Data4[[#This Row],[price_usd]]&gt;=80000,"Luxury",IF(EV_Data4[[#This Row],[price_usd]]&gt;=40000,"Mid-Range","Budget"))</f>
        <v>Mid-Range</v>
      </c>
      <c r="AD1524" t="str">
        <f>IF(EV_Data4[[#This Row],[range_miles]]&gt;=350,"Long-Range",IF(EV_Data4[[#This Row],[range_miles]]&gt;=250,"Medium-Range","Short-Range"))</f>
        <v>Short-Range</v>
      </c>
      <c r="AE1524" t="str">
        <f>IF(EV_Data4[[#This Row],[charging_speed_kw]]&gt;=250,"Ultra-Fast",IF(EV_Data4[[#This Row],[charging_speed_kw]]&gt;=150,"Fast-Charging","Standard-Charging"))</f>
        <v>Standard-Charging</v>
      </c>
      <c r="AF1524" t="str">
        <f>IF(EV_Data4[[#This Row],[acceleration_0_60_mph]]&lt;=3,"SportsPerformance",IF(EV_Data4[[#This Row],[acceleration_0_60_mph]]&lt;=5,"HighPerformance","Standard"))</f>
        <v>Standard</v>
      </c>
      <c r="AG1524" t="str">
        <f>IF(EV_Data4[[#This Row],[customer_rating]]&gt;=4.5,"Excellent",IF(EV_Data4[[#This Row],[customer_rating]]&gt;=3.5,"Good","Average"))</f>
        <v>Average</v>
      </c>
      <c r="AH152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25" spans="1:34" x14ac:dyDescent="0.3">
      <c r="A1525" t="s">
        <v>46</v>
      </c>
      <c r="B1525" t="s">
        <v>47</v>
      </c>
      <c r="C1525">
        <v>2025</v>
      </c>
      <c r="D1525" t="s">
        <v>44</v>
      </c>
      <c r="E1525" s="3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34</v>
      </c>
      <c r="N1525">
        <v>5</v>
      </c>
      <c r="O1525" t="s">
        <v>28</v>
      </c>
      <c r="P1525">
        <v>79.900000000000006</v>
      </c>
      <c r="Q1525">
        <v>2409</v>
      </c>
      <c r="R1525">
        <v>5</v>
      </c>
      <c r="S1525">
        <v>2</v>
      </c>
      <c r="T1525" t="s">
        <v>41</v>
      </c>
      <c r="U1525" t="s">
        <v>30</v>
      </c>
      <c r="V1525" s="3">
        <v>130244</v>
      </c>
      <c r="W1525">
        <v>3.47</v>
      </c>
      <c r="X1525">
        <v>4</v>
      </c>
      <c r="Y1525" s="1">
        <f>EV_Data4[[#This Row],[range_miles]]/EV_Data4[[#This Row],[battery_capacity_kwh]]</f>
        <v>3.3418693982074266</v>
      </c>
      <c r="Z1525" s="4">
        <f>EV_Data4[[#This Row],[price_usd]]/EV_Data4[[#This Row],[range_miles]]</f>
        <v>432.7527969348659</v>
      </c>
      <c r="AA1525" s="2">
        <f>(EV_Data4[[#This Row],[customer_rating]]*EV_Data4[[#This Row],[safety_rating]]*1000)/EV_Data4[[#This Row],[price_usd]]</f>
        <v>0.15360985822916784</v>
      </c>
      <c r="AB1525">
        <f>EV_Data4[[#This Row],[horsepower]]+EV_Data4[[#This Row],[torque_nm]]/EV_Data4[[#This Row],[acceleration_0_60_mph]]</f>
        <v>895.14940577249581</v>
      </c>
      <c r="AC1525" t="str">
        <f>IF(EV_Data4[[#This Row],[price_usd]]&gt;=80000,"Luxury",IF(EV_Data4[[#This Row],[price_usd]]&gt;=40000,"Mid-Range","Budget"))</f>
        <v>Luxury</v>
      </c>
      <c r="AD1525" t="str">
        <f>IF(EV_Data4[[#This Row],[range_miles]]&gt;=350,"Long-Range",IF(EV_Data4[[#This Row],[range_miles]]&gt;=250,"Medium-Range","Short-Range"))</f>
        <v>Medium-Range</v>
      </c>
      <c r="AE1525" t="str">
        <f>IF(EV_Data4[[#This Row],[charging_speed_kw]]&gt;=250,"Ultra-Fast",IF(EV_Data4[[#This Row],[charging_speed_kw]]&gt;=150,"Fast-Charging","Standard-Charging"))</f>
        <v>Ultra-Fast</v>
      </c>
      <c r="AF1525" t="str">
        <f>IF(EV_Data4[[#This Row],[acceleration_0_60_mph]]&lt;=3,"SportsPerformance",IF(EV_Data4[[#This Row],[acceleration_0_60_mph]]&lt;=5,"HighPerformance","Standard"))</f>
        <v>Standard</v>
      </c>
      <c r="AG1525" t="str">
        <f>IF(EV_Data4[[#This Row],[customer_rating]]&gt;=4.5,"Excellent",IF(EV_Data4[[#This Row],[customer_rating]]&gt;=3.5,"Good","Average"))</f>
        <v>Average</v>
      </c>
      <c r="AH152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26" spans="1:34" x14ac:dyDescent="0.3">
      <c r="A1526" t="s">
        <v>68</v>
      </c>
      <c r="B1526" t="s">
        <v>69</v>
      </c>
      <c r="C1526">
        <v>2025</v>
      </c>
      <c r="D1526" t="s">
        <v>26</v>
      </c>
      <c r="E1526" s="3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27</v>
      </c>
      <c r="N1526">
        <v>7</v>
      </c>
      <c r="O1526" t="s">
        <v>40</v>
      </c>
      <c r="P1526">
        <v>70.099999999999994</v>
      </c>
      <c r="Q1526">
        <v>1500</v>
      </c>
      <c r="R1526">
        <v>5</v>
      </c>
      <c r="S1526">
        <v>1</v>
      </c>
      <c r="T1526" t="s">
        <v>45</v>
      </c>
      <c r="U1526" t="s">
        <v>33</v>
      </c>
      <c r="V1526" s="3">
        <v>95350</v>
      </c>
      <c r="W1526">
        <v>3.54</v>
      </c>
      <c r="X1526">
        <v>4</v>
      </c>
      <c r="Y1526" s="1">
        <f>EV_Data4[[#This Row],[range_miles]]/EV_Data4[[#This Row],[battery_capacity_kwh]]</f>
        <v>3.2223415682062302</v>
      </c>
      <c r="Z1526" s="4">
        <f>EV_Data4[[#This Row],[price_usd]]/EV_Data4[[#This Row],[range_miles]]</f>
        <v>303.67</v>
      </c>
      <c r="AA1526" s="2">
        <f>(EV_Data4[[#This Row],[customer_rating]]*EV_Data4[[#This Row],[safety_rating]]*1000)/EV_Data4[[#This Row],[price_usd]]</f>
        <v>0.19428985411795699</v>
      </c>
      <c r="AB1526">
        <f>EV_Data4[[#This Row],[horsepower]]+EV_Data4[[#This Row],[torque_nm]]/EV_Data4[[#This Row],[acceleration_0_60_mph]]</f>
        <v>1225.6410256410256</v>
      </c>
      <c r="AC1526" t="str">
        <f>IF(EV_Data4[[#This Row],[price_usd]]&gt;=80000,"Luxury",IF(EV_Data4[[#This Row],[price_usd]]&gt;=40000,"Mid-Range","Budget"))</f>
        <v>Luxury</v>
      </c>
      <c r="AD1526" t="str">
        <f>IF(EV_Data4[[#This Row],[range_miles]]&gt;=350,"Long-Range",IF(EV_Data4[[#This Row],[range_miles]]&gt;=250,"Medium-Range","Short-Range"))</f>
        <v>Medium-Range</v>
      </c>
      <c r="AE1526" t="str">
        <f>IF(EV_Data4[[#This Row],[charging_speed_kw]]&gt;=250,"Ultra-Fast",IF(EV_Data4[[#This Row],[charging_speed_kw]]&gt;=150,"Fast-Charging","Standard-Charging"))</f>
        <v>Fast-Charging</v>
      </c>
      <c r="AF1526" t="str">
        <f>IF(EV_Data4[[#This Row],[acceleration_0_60_mph]]&lt;=3,"SportsPerformance",IF(EV_Data4[[#This Row],[acceleration_0_60_mph]]&lt;=5,"HighPerformance","Standard"))</f>
        <v>HighPerformance</v>
      </c>
      <c r="AG1526" t="str">
        <f>IF(EV_Data4[[#This Row],[customer_rating]]&gt;=4.5,"Excellent",IF(EV_Data4[[#This Row],[customer_rating]]&gt;=3.5,"Good","Average"))</f>
        <v>Good</v>
      </c>
      <c r="AH152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27" spans="1:34" x14ac:dyDescent="0.3">
      <c r="A1527" t="s">
        <v>63</v>
      </c>
      <c r="B1527" t="s">
        <v>107</v>
      </c>
      <c r="C1527">
        <v>2022</v>
      </c>
      <c r="D1527" t="s">
        <v>56</v>
      </c>
      <c r="E1527" s="3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48</v>
      </c>
      <c r="N1527">
        <v>5</v>
      </c>
      <c r="O1527" t="s">
        <v>51</v>
      </c>
      <c r="P1527">
        <v>22.3</v>
      </c>
      <c r="Q1527">
        <v>1704</v>
      </c>
      <c r="R1527">
        <v>4</v>
      </c>
      <c r="S1527">
        <v>0</v>
      </c>
      <c r="T1527" t="s">
        <v>65</v>
      </c>
      <c r="U1527" t="s">
        <v>66</v>
      </c>
      <c r="V1527" s="3">
        <v>237770</v>
      </c>
      <c r="W1527">
        <v>3.36</v>
      </c>
      <c r="X1527">
        <v>4</v>
      </c>
      <c r="Y1527" s="1">
        <f>EV_Data4[[#This Row],[range_miles]]/EV_Data4[[#This Row],[battery_capacity_kwh]]</f>
        <v>3.1617647058823528</v>
      </c>
      <c r="Z1527" s="4">
        <f>EV_Data4[[#This Row],[price_usd]]/EV_Data4[[#This Row],[range_miles]]</f>
        <v>175.72779069767441</v>
      </c>
      <c r="AA1527" s="2">
        <f>(EV_Data4[[#This Row],[customer_rating]]*EV_Data4[[#This Row],[safety_rating]]*1000)/EV_Data4[[#This Row],[price_usd]]</f>
        <v>0.44466236429361217</v>
      </c>
      <c r="AB1527">
        <f>EV_Data4[[#This Row],[horsepower]]+EV_Data4[[#This Row],[torque_nm]]/EV_Data4[[#This Row],[acceleration_0_60_mph]]</f>
        <v>310.65849387040282</v>
      </c>
      <c r="AC1527" t="str">
        <f>IF(EV_Data4[[#This Row],[price_usd]]&gt;=80000,"Luxury",IF(EV_Data4[[#This Row],[price_usd]]&gt;=40000,"Mid-Range","Budget"))</f>
        <v>Budget</v>
      </c>
      <c r="AD1527" t="str">
        <f>IF(EV_Data4[[#This Row],[range_miles]]&gt;=350,"Long-Range",IF(EV_Data4[[#This Row],[range_miles]]&gt;=250,"Medium-Range","Short-Range"))</f>
        <v>Short-Range</v>
      </c>
      <c r="AE1527" t="str">
        <f>IF(EV_Data4[[#This Row],[charging_speed_kw]]&gt;=250,"Ultra-Fast",IF(EV_Data4[[#This Row],[charging_speed_kw]]&gt;=150,"Fast-Charging","Standard-Charging"))</f>
        <v>Standard-Charging</v>
      </c>
      <c r="AF1527" t="str">
        <f>IF(EV_Data4[[#This Row],[acceleration_0_60_mph]]&lt;=3,"SportsPerformance",IF(EV_Data4[[#This Row],[acceleration_0_60_mph]]&lt;=5,"HighPerformance","Standard"))</f>
        <v>Standard</v>
      </c>
      <c r="AG1527" t="str">
        <f>IF(EV_Data4[[#This Row],[customer_rating]]&gt;=4.5,"Excellent",IF(EV_Data4[[#This Row],[customer_rating]]&gt;=3.5,"Good","Average"))</f>
        <v>Average</v>
      </c>
      <c r="AH152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28" spans="1:34" x14ac:dyDescent="0.3">
      <c r="A1528" t="s">
        <v>63</v>
      </c>
      <c r="B1528" t="s">
        <v>67</v>
      </c>
      <c r="C1528">
        <v>2025</v>
      </c>
      <c r="D1528" t="s">
        <v>44</v>
      </c>
      <c r="E1528" s="3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34</v>
      </c>
      <c r="N1528">
        <v>5</v>
      </c>
      <c r="O1528" t="s">
        <v>40</v>
      </c>
      <c r="P1528">
        <v>62.5</v>
      </c>
      <c r="Q1528">
        <v>1649</v>
      </c>
      <c r="R1528">
        <v>4</v>
      </c>
      <c r="S1528">
        <v>2</v>
      </c>
      <c r="T1528" t="s">
        <v>65</v>
      </c>
      <c r="U1528" t="s">
        <v>30</v>
      </c>
      <c r="V1528" s="3">
        <v>190907</v>
      </c>
      <c r="W1528">
        <v>3.49</v>
      </c>
      <c r="X1528">
        <v>4</v>
      </c>
      <c r="Y1528" s="1">
        <f>EV_Data4[[#This Row],[range_miles]]/EV_Data4[[#This Row],[battery_capacity_kwh]]</f>
        <v>3.1909547738693469</v>
      </c>
      <c r="Z1528" s="4">
        <f>EV_Data4[[#This Row],[price_usd]]/EV_Data4[[#This Row],[range_miles]]</f>
        <v>410.36192913385827</v>
      </c>
      <c r="AA1528" s="2">
        <f>(EV_Data4[[#This Row],[customer_rating]]*EV_Data4[[#This Row],[safety_rating]]*1000)/EV_Data4[[#This Row],[price_usd]]</f>
        <v>0.1339320877968968</v>
      </c>
      <c r="AB1528">
        <f>EV_Data4[[#This Row],[horsepower]]+EV_Data4[[#This Row],[torque_nm]]/EV_Data4[[#This Row],[acceleration_0_60_mph]]</f>
        <v>1215.5131264916467</v>
      </c>
      <c r="AC1528" t="str">
        <f>IF(EV_Data4[[#This Row],[price_usd]]&gt;=80000,"Luxury",IF(EV_Data4[[#This Row],[price_usd]]&gt;=40000,"Mid-Range","Budget"))</f>
        <v>Luxury</v>
      </c>
      <c r="AD1528" t="str">
        <f>IF(EV_Data4[[#This Row],[range_miles]]&gt;=350,"Long-Range",IF(EV_Data4[[#This Row],[range_miles]]&gt;=250,"Medium-Range","Short-Range"))</f>
        <v>Medium-Range</v>
      </c>
      <c r="AE1528" t="str">
        <f>IF(EV_Data4[[#This Row],[charging_speed_kw]]&gt;=250,"Ultra-Fast",IF(EV_Data4[[#This Row],[charging_speed_kw]]&gt;=150,"Fast-Charging","Standard-Charging"))</f>
        <v>Standard-Charging</v>
      </c>
      <c r="AF1528" t="str">
        <f>IF(EV_Data4[[#This Row],[acceleration_0_60_mph]]&lt;=3,"SportsPerformance",IF(EV_Data4[[#This Row],[acceleration_0_60_mph]]&lt;=5,"HighPerformance","Standard"))</f>
        <v>HighPerformance</v>
      </c>
      <c r="AG1528" t="str">
        <f>IF(EV_Data4[[#This Row],[customer_rating]]&gt;=4.5,"Excellent",IF(EV_Data4[[#This Row],[customer_rating]]&gt;=3.5,"Good","Average"))</f>
        <v>Average</v>
      </c>
      <c r="AH152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29" spans="1:34" x14ac:dyDescent="0.3">
      <c r="A1529" t="s">
        <v>63</v>
      </c>
      <c r="B1529" t="s">
        <v>82</v>
      </c>
      <c r="C1529">
        <v>2024</v>
      </c>
      <c r="D1529" t="s">
        <v>56</v>
      </c>
      <c r="E1529" s="3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27</v>
      </c>
      <c r="N1529">
        <v>5</v>
      </c>
      <c r="O1529" t="s">
        <v>28</v>
      </c>
      <c r="P1529">
        <v>76</v>
      </c>
      <c r="Q1529">
        <v>2531</v>
      </c>
      <c r="R1529">
        <v>5</v>
      </c>
      <c r="S1529">
        <v>2</v>
      </c>
      <c r="T1529" t="s">
        <v>65</v>
      </c>
      <c r="U1529" t="s">
        <v>37</v>
      </c>
      <c r="V1529" s="3">
        <v>114800</v>
      </c>
      <c r="W1529">
        <v>3.48</v>
      </c>
      <c r="X1529">
        <v>3</v>
      </c>
      <c r="Y1529" s="1">
        <f>EV_Data4[[#This Row],[range_miles]]/EV_Data4[[#This Row],[battery_capacity_kwh]]</f>
        <v>3.5172413793103448</v>
      </c>
      <c r="Z1529" s="4">
        <f>EV_Data4[[#This Row],[price_usd]]/EV_Data4[[#This Row],[range_miles]]</f>
        <v>180.15945098039217</v>
      </c>
      <c r="AA1529" s="2">
        <f>(EV_Data4[[#This Row],[customer_rating]]*EV_Data4[[#This Row],[safety_rating]]*1000)/EV_Data4[[#This Row],[price_usd]]</f>
        <v>0.37874945636392682</v>
      </c>
      <c r="AB1529">
        <f>EV_Data4[[#This Row],[horsepower]]+EV_Data4[[#This Row],[torque_nm]]/EV_Data4[[#This Row],[acceleration_0_60_mph]]</f>
        <v>564.25830258302585</v>
      </c>
      <c r="AC1529" t="str">
        <f>IF(EV_Data4[[#This Row],[price_usd]]&gt;=80000,"Luxury",IF(EV_Data4[[#This Row],[price_usd]]&gt;=40000,"Mid-Range","Budget"))</f>
        <v>Mid-Range</v>
      </c>
      <c r="AD1529" t="str">
        <f>IF(EV_Data4[[#This Row],[range_miles]]&gt;=350,"Long-Range",IF(EV_Data4[[#This Row],[range_miles]]&gt;=250,"Medium-Range","Short-Range"))</f>
        <v>Medium-Range</v>
      </c>
      <c r="AE1529" t="str">
        <f>IF(EV_Data4[[#This Row],[charging_speed_kw]]&gt;=250,"Ultra-Fast",IF(EV_Data4[[#This Row],[charging_speed_kw]]&gt;=150,"Fast-Charging","Standard-Charging"))</f>
        <v>Standard-Charging</v>
      </c>
      <c r="AF1529" t="str">
        <f>IF(EV_Data4[[#This Row],[acceleration_0_60_mph]]&lt;=3,"SportsPerformance",IF(EV_Data4[[#This Row],[acceleration_0_60_mph]]&lt;=5,"HighPerformance","Standard"))</f>
        <v>Standard</v>
      </c>
      <c r="AG1529" t="str">
        <f>IF(EV_Data4[[#This Row],[customer_rating]]&gt;=4.5,"Excellent",IF(EV_Data4[[#This Row],[customer_rating]]&gt;=3.5,"Good","Average"))</f>
        <v>Average</v>
      </c>
      <c r="AH152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30" spans="1:34" x14ac:dyDescent="0.3">
      <c r="A1530" t="s">
        <v>76</v>
      </c>
      <c r="B1530" t="s">
        <v>77</v>
      </c>
      <c r="C1530">
        <v>2025</v>
      </c>
      <c r="D1530" t="s">
        <v>61</v>
      </c>
      <c r="E1530" s="3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48</v>
      </c>
      <c r="N1530">
        <v>5</v>
      </c>
      <c r="O1530" t="s">
        <v>51</v>
      </c>
      <c r="P1530">
        <v>22</v>
      </c>
      <c r="Q1530">
        <v>1696</v>
      </c>
      <c r="R1530">
        <v>5</v>
      </c>
      <c r="S1530">
        <v>1</v>
      </c>
      <c r="T1530" t="s">
        <v>41</v>
      </c>
      <c r="U1530" t="s">
        <v>33</v>
      </c>
      <c r="V1530" s="3">
        <v>25642</v>
      </c>
      <c r="W1530">
        <v>3.34</v>
      </c>
      <c r="X1530">
        <v>5</v>
      </c>
      <c r="Y1530" s="1">
        <f>EV_Data4[[#This Row],[range_miles]]/EV_Data4[[#This Row],[battery_capacity_kwh]]</f>
        <v>3.7777777777777777</v>
      </c>
      <c r="Z1530" s="4">
        <f>EV_Data4[[#This Row],[price_usd]]/EV_Data4[[#This Row],[range_miles]]</f>
        <v>448.0244444444445</v>
      </c>
      <c r="AA1530" s="2">
        <f>(EV_Data4[[#This Row],[customer_rating]]*EV_Data4[[#This Row],[safety_rating]]*1000)/EV_Data4[[#This Row],[price_usd]]</f>
        <v>0.24362582923959272</v>
      </c>
      <c r="AB1530">
        <f>EV_Data4[[#This Row],[horsepower]]+EV_Data4[[#This Row],[torque_nm]]/EV_Data4[[#This Row],[acceleration_0_60_mph]]</f>
        <v>857.58568738229758</v>
      </c>
      <c r="AC1530" t="str">
        <f>IF(EV_Data4[[#This Row],[price_usd]]&gt;=80000,"Luxury",IF(EV_Data4[[#This Row],[price_usd]]&gt;=40000,"Mid-Range","Budget"))</f>
        <v>Mid-Range</v>
      </c>
      <c r="AD1530" t="str">
        <f>IF(EV_Data4[[#This Row],[range_miles]]&gt;=350,"Long-Range",IF(EV_Data4[[#This Row],[range_miles]]&gt;=250,"Medium-Range","Short-Range"))</f>
        <v>Short-Range</v>
      </c>
      <c r="AE1530" t="str">
        <f>IF(EV_Data4[[#This Row],[charging_speed_kw]]&gt;=250,"Ultra-Fast",IF(EV_Data4[[#This Row],[charging_speed_kw]]&gt;=150,"Fast-Charging","Standard-Charging"))</f>
        <v>Standard-Charging</v>
      </c>
      <c r="AF1530" t="str">
        <f>IF(EV_Data4[[#This Row],[acceleration_0_60_mph]]&lt;=3,"SportsPerformance",IF(EV_Data4[[#This Row],[acceleration_0_60_mph]]&lt;=5,"HighPerformance","Standard"))</f>
        <v>Standard</v>
      </c>
      <c r="AG1530" t="str">
        <f>IF(EV_Data4[[#This Row],[customer_rating]]&gt;=4.5,"Excellent",IF(EV_Data4[[#This Row],[customer_rating]]&gt;=3.5,"Good","Average"))</f>
        <v>Average</v>
      </c>
      <c r="AH153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31" spans="1:34" x14ac:dyDescent="0.3">
      <c r="A1531" t="s">
        <v>42</v>
      </c>
      <c r="B1531" t="s">
        <v>115</v>
      </c>
      <c r="C1531">
        <v>2025</v>
      </c>
      <c r="D1531" t="s">
        <v>44</v>
      </c>
      <c r="E1531" s="3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34</v>
      </c>
      <c r="N1531">
        <v>5</v>
      </c>
      <c r="O1531" t="s">
        <v>28</v>
      </c>
      <c r="P1531">
        <v>75.099999999999994</v>
      </c>
      <c r="Q1531">
        <v>2677</v>
      </c>
      <c r="R1531">
        <v>4</v>
      </c>
      <c r="S1531">
        <v>2</v>
      </c>
      <c r="T1531" t="s">
        <v>45</v>
      </c>
      <c r="U1531" t="s">
        <v>37</v>
      </c>
      <c r="V1531" s="3">
        <v>124966</v>
      </c>
      <c r="W1531">
        <v>3.94</v>
      </c>
      <c r="X1531">
        <v>4</v>
      </c>
      <c r="Y1531" s="1">
        <f>EV_Data4[[#This Row],[range_miles]]/EV_Data4[[#This Row],[battery_capacity_kwh]]</f>
        <v>3.5252525252525251</v>
      </c>
      <c r="Z1531" s="4">
        <f>EV_Data4[[#This Row],[price_usd]]/EV_Data4[[#This Row],[range_miles]]</f>
        <v>133.27507163323781</v>
      </c>
      <c r="AA1531" s="2">
        <f>(EV_Data4[[#This Row],[customer_rating]]*EV_Data4[[#This Row],[safety_rating]]*1000)/EV_Data4[[#This Row],[price_usd]]</f>
        <v>0.33883000451486683</v>
      </c>
      <c r="AB1531">
        <f>EV_Data4[[#This Row],[horsepower]]+EV_Data4[[#This Row],[torque_nm]]/EV_Data4[[#This Row],[acceleration_0_60_mph]]</f>
        <v>536.42403628117916</v>
      </c>
      <c r="AC1531" t="str">
        <f>IF(EV_Data4[[#This Row],[price_usd]]&gt;=80000,"Luxury",IF(EV_Data4[[#This Row],[price_usd]]&gt;=40000,"Mid-Range","Budget"))</f>
        <v>Mid-Range</v>
      </c>
      <c r="AD1531" t="str">
        <f>IF(EV_Data4[[#This Row],[range_miles]]&gt;=350,"Long-Range",IF(EV_Data4[[#This Row],[range_miles]]&gt;=250,"Medium-Range","Short-Range"))</f>
        <v>Medium-Range</v>
      </c>
      <c r="AE1531" t="str">
        <f>IF(EV_Data4[[#This Row],[charging_speed_kw]]&gt;=250,"Ultra-Fast",IF(EV_Data4[[#This Row],[charging_speed_kw]]&gt;=150,"Fast-Charging","Standard-Charging"))</f>
        <v>Standard-Charging</v>
      </c>
      <c r="AF1531" t="str">
        <f>IF(EV_Data4[[#This Row],[acceleration_0_60_mph]]&lt;=3,"SportsPerformance",IF(EV_Data4[[#This Row],[acceleration_0_60_mph]]&lt;=5,"HighPerformance","Standard"))</f>
        <v>HighPerformance</v>
      </c>
      <c r="AG1531" t="str">
        <f>IF(EV_Data4[[#This Row],[customer_rating]]&gt;=4.5,"Excellent",IF(EV_Data4[[#This Row],[customer_rating]]&gt;=3.5,"Good","Average"))</f>
        <v>Good</v>
      </c>
      <c r="AH153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32" spans="1:34" x14ac:dyDescent="0.3">
      <c r="A1532" t="s">
        <v>63</v>
      </c>
      <c r="B1532" t="s">
        <v>88</v>
      </c>
      <c r="C1532">
        <v>2022</v>
      </c>
      <c r="D1532" t="s">
        <v>61</v>
      </c>
      <c r="E1532" s="3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34</v>
      </c>
      <c r="N1532">
        <v>7</v>
      </c>
      <c r="O1532" t="s">
        <v>40</v>
      </c>
      <c r="P1532">
        <v>64.3</v>
      </c>
      <c r="Q1532">
        <v>1500</v>
      </c>
      <c r="R1532">
        <v>4</v>
      </c>
      <c r="S1532">
        <v>1</v>
      </c>
      <c r="T1532" t="s">
        <v>65</v>
      </c>
      <c r="U1532" t="s">
        <v>33</v>
      </c>
      <c r="V1532" s="3">
        <v>232843</v>
      </c>
      <c r="W1532">
        <v>3.32</v>
      </c>
      <c r="X1532">
        <v>4</v>
      </c>
      <c r="Y1532" s="1">
        <f>EV_Data4[[#This Row],[range_miles]]/EV_Data4[[#This Row],[battery_capacity_kwh]]</f>
        <v>3.5013623978201633</v>
      </c>
      <c r="Z1532" s="4">
        <f>EV_Data4[[#This Row],[price_usd]]/EV_Data4[[#This Row],[range_miles]]</f>
        <v>282.5392217898833</v>
      </c>
      <c r="AA1532" s="2">
        <f>(EV_Data4[[#This Row],[customer_rating]]*EV_Data4[[#This Row],[safety_rating]]*1000)/EV_Data4[[#This Row],[price_usd]]</f>
        <v>0.18288841960993535</v>
      </c>
      <c r="AB1532">
        <f>EV_Data4[[#This Row],[horsepower]]+EV_Data4[[#This Row],[torque_nm]]/EV_Data4[[#This Row],[acceleration_0_60_mph]]</f>
        <v>881.35978835978835</v>
      </c>
      <c r="AC1532" t="str">
        <f>IF(EV_Data4[[#This Row],[price_usd]]&gt;=80000,"Luxury",IF(EV_Data4[[#This Row],[price_usd]]&gt;=40000,"Mid-Range","Budget"))</f>
        <v>Mid-Range</v>
      </c>
      <c r="AD1532" t="str">
        <f>IF(EV_Data4[[#This Row],[range_miles]]&gt;=350,"Long-Range",IF(EV_Data4[[#This Row],[range_miles]]&gt;=250,"Medium-Range","Short-Range"))</f>
        <v>Medium-Range</v>
      </c>
      <c r="AE1532" t="str">
        <f>IF(EV_Data4[[#This Row],[charging_speed_kw]]&gt;=250,"Ultra-Fast",IF(EV_Data4[[#This Row],[charging_speed_kw]]&gt;=150,"Fast-Charging","Standard-Charging"))</f>
        <v>Standard-Charging</v>
      </c>
      <c r="AF1532" t="str">
        <f>IF(EV_Data4[[#This Row],[acceleration_0_60_mph]]&lt;=3,"SportsPerformance",IF(EV_Data4[[#This Row],[acceleration_0_60_mph]]&lt;=5,"HighPerformance","Standard"))</f>
        <v>Standard</v>
      </c>
      <c r="AG1532" t="str">
        <f>IF(EV_Data4[[#This Row],[customer_rating]]&gt;=4.5,"Excellent",IF(EV_Data4[[#This Row],[customer_rating]]&gt;=3.5,"Good","Average"))</f>
        <v>Average</v>
      </c>
      <c r="AH153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33" spans="1:34" x14ac:dyDescent="0.3">
      <c r="A1533" t="s">
        <v>42</v>
      </c>
      <c r="B1533" t="s">
        <v>54</v>
      </c>
      <c r="C1533">
        <v>2022</v>
      </c>
      <c r="D1533" t="s">
        <v>56</v>
      </c>
      <c r="E1533" s="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48</v>
      </c>
      <c r="N1533">
        <v>7</v>
      </c>
      <c r="O1533" t="s">
        <v>28</v>
      </c>
      <c r="P1533">
        <v>56.4</v>
      </c>
      <c r="Q1533">
        <v>2426</v>
      </c>
      <c r="R1533">
        <v>4</v>
      </c>
      <c r="S1533">
        <v>1</v>
      </c>
      <c r="T1533" t="s">
        <v>45</v>
      </c>
      <c r="U1533" t="s">
        <v>66</v>
      </c>
      <c r="V1533" s="3">
        <v>109878</v>
      </c>
      <c r="W1533">
        <v>3.27</v>
      </c>
      <c r="X1533">
        <v>4</v>
      </c>
      <c r="Y1533" s="1">
        <f>EV_Data4[[#This Row],[range_miles]]/EV_Data4[[#This Row],[battery_capacity_kwh]]</f>
        <v>3.6767317939609239</v>
      </c>
      <c r="Z1533" s="4">
        <f>EV_Data4[[#This Row],[price_usd]]/EV_Data4[[#This Row],[range_miles]]</f>
        <v>168.19927536231884</v>
      </c>
      <c r="AA1533" s="2">
        <f>(EV_Data4[[#This Row],[customer_rating]]*EV_Data4[[#This Row],[safety_rating]]*1000)/EV_Data4[[#This Row],[price_usd]]</f>
        <v>0.37567585033280915</v>
      </c>
      <c r="AB1533">
        <f>EV_Data4[[#This Row],[horsepower]]+EV_Data4[[#This Row],[torque_nm]]/EV_Data4[[#This Row],[acceleration_0_60_mph]]</f>
        <v>280.56721915285453</v>
      </c>
      <c r="AC1533" t="str">
        <f>IF(EV_Data4[[#This Row],[price_usd]]&gt;=80000,"Luxury",IF(EV_Data4[[#This Row],[price_usd]]&gt;=40000,"Mid-Range","Budget"))</f>
        <v>Budget</v>
      </c>
      <c r="AD1533" t="str">
        <f>IF(EV_Data4[[#This Row],[range_miles]]&gt;=350,"Long-Range",IF(EV_Data4[[#This Row],[range_miles]]&gt;=250,"Medium-Range","Short-Range"))</f>
        <v>Short-Range</v>
      </c>
      <c r="AE1533" t="str">
        <f>IF(EV_Data4[[#This Row],[charging_speed_kw]]&gt;=250,"Ultra-Fast",IF(EV_Data4[[#This Row],[charging_speed_kw]]&gt;=150,"Fast-Charging","Standard-Charging"))</f>
        <v>Standard-Charging</v>
      </c>
      <c r="AF1533" t="str">
        <f>IF(EV_Data4[[#This Row],[acceleration_0_60_mph]]&lt;=3,"SportsPerformance",IF(EV_Data4[[#This Row],[acceleration_0_60_mph]]&lt;=5,"HighPerformance","Standard"))</f>
        <v>Standard</v>
      </c>
      <c r="AG1533" t="str">
        <f>IF(EV_Data4[[#This Row],[customer_rating]]&gt;=4.5,"Excellent",IF(EV_Data4[[#This Row],[customer_rating]]&gt;=3.5,"Good","Average"))</f>
        <v>Average</v>
      </c>
      <c r="AH153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34" spans="1:34" x14ac:dyDescent="0.3">
      <c r="A1534" t="s">
        <v>38</v>
      </c>
      <c r="B1534" t="s">
        <v>39</v>
      </c>
      <c r="C1534">
        <v>2025</v>
      </c>
      <c r="D1534" t="s">
        <v>56</v>
      </c>
      <c r="E1534" s="3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48</v>
      </c>
      <c r="N1534">
        <v>7</v>
      </c>
      <c r="O1534" t="s">
        <v>28</v>
      </c>
      <c r="P1534">
        <v>64.599999999999994</v>
      </c>
      <c r="Q1534">
        <v>2166</v>
      </c>
      <c r="R1534">
        <v>5</v>
      </c>
      <c r="S1534">
        <v>1</v>
      </c>
      <c r="T1534" t="s">
        <v>41</v>
      </c>
      <c r="U1534" t="s">
        <v>66</v>
      </c>
      <c r="V1534" s="3">
        <v>18832</v>
      </c>
      <c r="W1534">
        <v>3.2</v>
      </c>
      <c r="X1534">
        <v>4</v>
      </c>
      <c r="Y1534" s="1">
        <f>EV_Data4[[#This Row],[range_miles]]/EV_Data4[[#This Row],[battery_capacity_kwh]]</f>
        <v>3.4638554216867465</v>
      </c>
      <c r="Z1534" s="4">
        <f>EV_Data4[[#This Row],[price_usd]]/EV_Data4[[#This Row],[range_miles]]</f>
        <v>150.03152173913043</v>
      </c>
      <c r="AA1534" s="2">
        <f>(EV_Data4[[#This Row],[customer_rating]]*EV_Data4[[#This Row],[safety_rating]]*1000)/EV_Data4[[#This Row],[price_usd]]</f>
        <v>0.46367067790102079</v>
      </c>
      <c r="AB1534">
        <f>EV_Data4[[#This Row],[horsepower]]+EV_Data4[[#This Row],[torque_nm]]/EV_Data4[[#This Row],[acceleration_0_60_mph]]</f>
        <v>322.84713375796179</v>
      </c>
      <c r="AC1534" t="str">
        <f>IF(EV_Data4[[#This Row],[price_usd]]&gt;=80000,"Luxury",IF(EV_Data4[[#This Row],[price_usd]]&gt;=40000,"Mid-Range","Budget"))</f>
        <v>Budget</v>
      </c>
      <c r="AD1534" t="str">
        <f>IF(EV_Data4[[#This Row],[range_miles]]&gt;=350,"Long-Range",IF(EV_Data4[[#This Row],[range_miles]]&gt;=250,"Medium-Range","Short-Range"))</f>
        <v>Short-Range</v>
      </c>
      <c r="AE1534" t="str">
        <f>IF(EV_Data4[[#This Row],[charging_speed_kw]]&gt;=250,"Ultra-Fast",IF(EV_Data4[[#This Row],[charging_speed_kw]]&gt;=150,"Fast-Charging","Standard-Charging"))</f>
        <v>Standard-Charging</v>
      </c>
      <c r="AF1534" t="str">
        <f>IF(EV_Data4[[#This Row],[acceleration_0_60_mph]]&lt;=3,"SportsPerformance",IF(EV_Data4[[#This Row],[acceleration_0_60_mph]]&lt;=5,"HighPerformance","Standard"))</f>
        <v>Standard</v>
      </c>
      <c r="AG1534" t="str">
        <f>IF(EV_Data4[[#This Row],[customer_rating]]&gt;=4.5,"Excellent",IF(EV_Data4[[#This Row],[customer_rating]]&gt;=3.5,"Good","Average"))</f>
        <v>Average</v>
      </c>
      <c r="AH153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35" spans="1:34" x14ac:dyDescent="0.3">
      <c r="A1535" t="s">
        <v>63</v>
      </c>
      <c r="B1535" t="s">
        <v>107</v>
      </c>
      <c r="C1535">
        <v>2023</v>
      </c>
      <c r="D1535" t="s">
        <v>44</v>
      </c>
      <c r="E1535" s="3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27</v>
      </c>
      <c r="N1535">
        <v>5</v>
      </c>
      <c r="O1535" t="s">
        <v>58</v>
      </c>
      <c r="P1535">
        <v>31.5</v>
      </c>
      <c r="Q1535">
        <v>1500</v>
      </c>
      <c r="R1535">
        <v>4</v>
      </c>
      <c r="S1535">
        <v>1</v>
      </c>
      <c r="T1535" t="s">
        <v>65</v>
      </c>
      <c r="U1535" t="s">
        <v>66</v>
      </c>
      <c r="V1535" s="3">
        <v>176350</v>
      </c>
      <c r="W1535">
        <v>3.6</v>
      </c>
      <c r="X1535">
        <v>4</v>
      </c>
      <c r="Y1535" s="1">
        <f>EV_Data4[[#This Row],[range_miles]]/EV_Data4[[#This Row],[battery_capacity_kwh]]</f>
        <v>3.5483870967741935</v>
      </c>
      <c r="Z1535" s="4">
        <f>EV_Data4[[#This Row],[price_usd]]/EV_Data4[[#This Row],[range_miles]]</f>
        <v>70.27992207792208</v>
      </c>
      <c r="AA1535" s="2">
        <f>(EV_Data4[[#This Row],[customer_rating]]*EV_Data4[[#This Row],[safety_rating]]*1000)/EV_Data4[[#This Row],[price_usd]]</f>
        <v>0.53219463392585564</v>
      </c>
      <c r="AB1535">
        <f>EV_Data4[[#This Row],[horsepower]]+EV_Data4[[#This Row],[torque_nm]]/EV_Data4[[#This Row],[acceleration_0_60_mph]]</f>
        <v>342.19864176570456</v>
      </c>
      <c r="AC1535" t="str">
        <f>IF(EV_Data4[[#This Row],[price_usd]]&gt;=80000,"Luxury",IF(EV_Data4[[#This Row],[price_usd]]&gt;=40000,"Mid-Range","Budget"))</f>
        <v>Budget</v>
      </c>
      <c r="AD1535" t="str">
        <f>IF(EV_Data4[[#This Row],[range_miles]]&gt;=350,"Long-Range",IF(EV_Data4[[#This Row],[range_miles]]&gt;=250,"Medium-Range","Short-Range"))</f>
        <v>Long-Range</v>
      </c>
      <c r="AE1535" t="str">
        <f>IF(EV_Data4[[#This Row],[charging_speed_kw]]&gt;=250,"Ultra-Fast",IF(EV_Data4[[#This Row],[charging_speed_kw]]&gt;=150,"Fast-Charging","Standard-Charging"))</f>
        <v>Standard-Charging</v>
      </c>
      <c r="AF1535" t="str">
        <f>IF(EV_Data4[[#This Row],[acceleration_0_60_mph]]&lt;=3,"SportsPerformance",IF(EV_Data4[[#This Row],[acceleration_0_60_mph]]&lt;=5,"HighPerformance","Standard"))</f>
        <v>Standard</v>
      </c>
      <c r="AG1535" t="str">
        <f>IF(EV_Data4[[#This Row],[customer_rating]]&gt;=4.5,"Excellent",IF(EV_Data4[[#This Row],[customer_rating]]&gt;=3.5,"Good","Average"))</f>
        <v>Good</v>
      </c>
      <c r="AH153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36" spans="1:34" x14ac:dyDescent="0.3">
      <c r="A1536" t="s">
        <v>24</v>
      </c>
      <c r="B1536" t="s">
        <v>70</v>
      </c>
      <c r="C1536">
        <v>2020</v>
      </c>
      <c r="D1536" t="s">
        <v>33</v>
      </c>
      <c r="E1536" s="3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27</v>
      </c>
      <c r="N1536">
        <v>5</v>
      </c>
      <c r="O1536" t="s">
        <v>28</v>
      </c>
      <c r="P1536">
        <v>57.3</v>
      </c>
      <c r="Q1536">
        <v>2188</v>
      </c>
      <c r="R1536">
        <v>5</v>
      </c>
      <c r="S1536">
        <v>1</v>
      </c>
      <c r="T1536" t="s">
        <v>29</v>
      </c>
      <c r="U1536" t="s">
        <v>37</v>
      </c>
      <c r="V1536" s="3">
        <v>221203</v>
      </c>
      <c r="W1536">
        <v>3.43</v>
      </c>
      <c r="X1536">
        <v>4</v>
      </c>
      <c r="Y1536" s="1">
        <f>EV_Data4[[#This Row],[range_miles]]/EV_Data4[[#This Row],[battery_capacity_kwh]]</f>
        <v>3.9371980676328504</v>
      </c>
      <c r="Z1536" s="4">
        <f>EV_Data4[[#This Row],[price_usd]]/EV_Data4[[#This Row],[range_miles]]</f>
        <v>298.21202453987729</v>
      </c>
      <c r="AA1536" s="2">
        <f>(EV_Data4[[#This Row],[customer_rating]]*EV_Data4[[#This Row],[safety_rating]]*1000)/EV_Data4[[#This Row],[price_usd]]</f>
        <v>0.35281851591571534</v>
      </c>
      <c r="AB1536">
        <f>EV_Data4[[#This Row],[horsepower]]+EV_Data4[[#This Row],[torque_nm]]/EV_Data4[[#This Row],[acceleration_0_60_mph]]</f>
        <v>525.56880733944956</v>
      </c>
      <c r="AC1536" t="str">
        <f>IF(EV_Data4[[#This Row],[price_usd]]&gt;=80000,"Luxury",IF(EV_Data4[[#This Row],[price_usd]]&gt;=40000,"Mid-Range","Budget"))</f>
        <v>Mid-Range</v>
      </c>
      <c r="AD1536" t="str">
        <f>IF(EV_Data4[[#This Row],[range_miles]]&gt;=350,"Long-Range",IF(EV_Data4[[#This Row],[range_miles]]&gt;=250,"Medium-Range","Short-Range"))</f>
        <v>Short-Range</v>
      </c>
      <c r="AE1536" t="str">
        <f>IF(EV_Data4[[#This Row],[charging_speed_kw]]&gt;=250,"Ultra-Fast",IF(EV_Data4[[#This Row],[charging_speed_kw]]&gt;=150,"Fast-Charging","Standard-Charging"))</f>
        <v>Standard-Charging</v>
      </c>
      <c r="AF1536" t="str">
        <f>IF(EV_Data4[[#This Row],[acceleration_0_60_mph]]&lt;=3,"SportsPerformance",IF(EV_Data4[[#This Row],[acceleration_0_60_mph]]&lt;=5,"HighPerformance","Standard"))</f>
        <v>Standard</v>
      </c>
      <c r="AG1536" t="str">
        <f>IF(EV_Data4[[#This Row],[customer_rating]]&gt;=4.5,"Excellent",IF(EV_Data4[[#This Row],[customer_rating]]&gt;=3.5,"Good","Average"))</f>
        <v>Average</v>
      </c>
      <c r="AH153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37" spans="1:34" x14ac:dyDescent="0.3">
      <c r="A1537" t="s">
        <v>46</v>
      </c>
      <c r="B1537" t="s">
        <v>78</v>
      </c>
      <c r="C1537">
        <v>2025</v>
      </c>
      <c r="D1537" t="s">
        <v>56</v>
      </c>
      <c r="E1537" s="3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27</v>
      </c>
      <c r="N1537">
        <v>5</v>
      </c>
      <c r="O1537" t="s">
        <v>58</v>
      </c>
      <c r="P1537">
        <v>24.8</v>
      </c>
      <c r="Q1537">
        <v>1533</v>
      </c>
      <c r="R1537">
        <v>5</v>
      </c>
      <c r="S1537">
        <v>2</v>
      </c>
      <c r="T1537" t="s">
        <v>41</v>
      </c>
      <c r="U1537" t="s">
        <v>66</v>
      </c>
      <c r="V1537" s="3">
        <v>248383</v>
      </c>
      <c r="W1537">
        <v>3.55</v>
      </c>
      <c r="X1537">
        <v>4</v>
      </c>
      <c r="Y1537" s="1">
        <f>EV_Data4[[#This Row],[range_miles]]/EV_Data4[[#This Row],[battery_capacity_kwh]]</f>
        <v>3.7576687116564416</v>
      </c>
      <c r="Z1537" s="4">
        <f>EV_Data4[[#This Row],[price_usd]]/EV_Data4[[#This Row],[range_miles]]</f>
        <v>125.24967346938774</v>
      </c>
      <c r="AA1537" s="2">
        <f>(EV_Data4[[#This Row],[customer_rating]]*EV_Data4[[#This Row],[safety_rating]]*1000)/EV_Data4[[#This Row],[price_usd]]</f>
        <v>0.57843647480281835</v>
      </c>
      <c r="AB1537">
        <f>EV_Data4[[#This Row],[horsepower]]+EV_Data4[[#This Row],[torque_nm]]/EV_Data4[[#This Row],[acceleration_0_60_mph]]</f>
        <v>188.38522427440634</v>
      </c>
      <c r="AC1537" t="str">
        <f>IF(EV_Data4[[#This Row],[price_usd]]&gt;=80000,"Luxury",IF(EV_Data4[[#This Row],[price_usd]]&gt;=40000,"Mid-Range","Budget"))</f>
        <v>Budget</v>
      </c>
      <c r="AD1537" t="str">
        <f>IF(EV_Data4[[#This Row],[range_miles]]&gt;=350,"Long-Range",IF(EV_Data4[[#This Row],[range_miles]]&gt;=250,"Medium-Range","Short-Range"))</f>
        <v>Short-Range</v>
      </c>
      <c r="AE1537" t="str">
        <f>IF(EV_Data4[[#This Row],[charging_speed_kw]]&gt;=250,"Ultra-Fast",IF(EV_Data4[[#This Row],[charging_speed_kw]]&gt;=150,"Fast-Charging","Standard-Charging"))</f>
        <v>Ultra-Fast</v>
      </c>
      <c r="AF1537" t="str">
        <f>IF(EV_Data4[[#This Row],[acceleration_0_60_mph]]&lt;=3,"SportsPerformance",IF(EV_Data4[[#This Row],[acceleration_0_60_mph]]&lt;=5,"HighPerformance","Standard"))</f>
        <v>Standard</v>
      </c>
      <c r="AG1537" t="str">
        <f>IF(EV_Data4[[#This Row],[customer_rating]]&gt;=4.5,"Excellent",IF(EV_Data4[[#This Row],[customer_rating]]&gt;=3.5,"Good","Average"))</f>
        <v>Good</v>
      </c>
      <c r="AH153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38" spans="1:34" x14ac:dyDescent="0.3">
      <c r="A1538" t="s">
        <v>46</v>
      </c>
      <c r="B1538" t="s">
        <v>72</v>
      </c>
      <c r="C1538">
        <v>2023</v>
      </c>
      <c r="D1538" t="s">
        <v>26</v>
      </c>
      <c r="E1538" s="3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27</v>
      </c>
      <c r="N1538">
        <v>5</v>
      </c>
      <c r="O1538" t="s">
        <v>28</v>
      </c>
      <c r="P1538">
        <v>60</v>
      </c>
      <c r="Q1538">
        <v>2669</v>
      </c>
      <c r="R1538">
        <v>4</v>
      </c>
      <c r="S1538">
        <v>3</v>
      </c>
      <c r="T1538" t="s">
        <v>41</v>
      </c>
      <c r="U1538" t="s">
        <v>37</v>
      </c>
      <c r="V1538" s="3">
        <v>102435</v>
      </c>
      <c r="W1538">
        <v>4.04</v>
      </c>
      <c r="X1538">
        <v>4</v>
      </c>
      <c r="Y1538" s="1">
        <f>EV_Data4[[#This Row],[range_miles]]/EV_Data4[[#This Row],[battery_capacity_kwh]]</f>
        <v>3.6062557497700092</v>
      </c>
      <c r="Z1538" s="4">
        <f>EV_Data4[[#This Row],[price_usd]]/EV_Data4[[#This Row],[range_miles]]</f>
        <v>142.86551020408163</v>
      </c>
      <c r="AA1538" s="2">
        <f>(EV_Data4[[#This Row],[customer_rating]]*EV_Data4[[#This Row],[safety_rating]]*1000)/EV_Data4[[#This Row],[price_usd]]</f>
        <v>0.28855452752053096</v>
      </c>
      <c r="AB1538">
        <f>EV_Data4[[#This Row],[horsepower]]+EV_Data4[[#This Row],[torque_nm]]/EV_Data4[[#This Row],[acceleration_0_60_mph]]</f>
        <v>476.05154639175259</v>
      </c>
      <c r="AC1538" t="str">
        <f>IF(EV_Data4[[#This Row],[price_usd]]&gt;=80000,"Luxury",IF(EV_Data4[[#This Row],[price_usd]]&gt;=40000,"Mid-Range","Budget"))</f>
        <v>Mid-Range</v>
      </c>
      <c r="AD1538" t="str">
        <f>IF(EV_Data4[[#This Row],[range_miles]]&gt;=350,"Long-Range",IF(EV_Data4[[#This Row],[range_miles]]&gt;=250,"Medium-Range","Short-Range"))</f>
        <v>Long-Range</v>
      </c>
      <c r="AE1538" t="str">
        <f>IF(EV_Data4[[#This Row],[charging_speed_kw]]&gt;=250,"Ultra-Fast",IF(EV_Data4[[#This Row],[charging_speed_kw]]&gt;=150,"Fast-Charging","Standard-Charging"))</f>
        <v>Fast-Charging</v>
      </c>
      <c r="AF1538" t="str">
        <f>IF(EV_Data4[[#This Row],[acceleration_0_60_mph]]&lt;=3,"SportsPerformance",IF(EV_Data4[[#This Row],[acceleration_0_60_mph]]&lt;=5,"HighPerformance","Standard"))</f>
        <v>HighPerformance</v>
      </c>
      <c r="AG1538" t="str">
        <f>IF(EV_Data4[[#This Row],[customer_rating]]&gt;=4.5,"Excellent",IF(EV_Data4[[#This Row],[customer_rating]]&gt;=3.5,"Good","Average"))</f>
        <v>Good</v>
      </c>
      <c r="AH153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539" spans="1:34" x14ac:dyDescent="0.3">
      <c r="A1539" t="s">
        <v>83</v>
      </c>
      <c r="B1539" t="s">
        <v>89</v>
      </c>
      <c r="C1539">
        <v>2025</v>
      </c>
      <c r="D1539" t="s">
        <v>61</v>
      </c>
      <c r="E1539" s="3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34</v>
      </c>
      <c r="N1539">
        <v>5</v>
      </c>
      <c r="O1539" t="s">
        <v>58</v>
      </c>
      <c r="P1539">
        <v>19.899999999999999</v>
      </c>
      <c r="Q1539">
        <v>1537</v>
      </c>
      <c r="R1539">
        <v>5</v>
      </c>
      <c r="S1539">
        <v>1</v>
      </c>
      <c r="T1539" t="s">
        <v>29</v>
      </c>
      <c r="U1539" t="s">
        <v>33</v>
      </c>
      <c r="V1539" s="3">
        <v>23009</v>
      </c>
      <c r="W1539">
        <v>3.46</v>
      </c>
      <c r="X1539">
        <v>6</v>
      </c>
      <c r="Y1539" s="1">
        <f>EV_Data4[[#This Row],[range_miles]]/EV_Data4[[#This Row],[battery_capacity_kwh]]</f>
        <v>3.5608308605341241</v>
      </c>
      <c r="Z1539" s="4">
        <f>EV_Data4[[#This Row],[price_usd]]/EV_Data4[[#This Row],[range_miles]]</f>
        <v>315.41262499999999</v>
      </c>
      <c r="AA1539" s="2">
        <f>(EV_Data4[[#This Row],[customer_rating]]*EV_Data4[[#This Row],[safety_rating]]*1000)/EV_Data4[[#This Row],[price_usd]]</f>
        <v>0.22853661400945297</v>
      </c>
      <c r="AB1539">
        <f>EV_Data4[[#This Row],[horsepower]]+EV_Data4[[#This Row],[torque_nm]]/EV_Data4[[#This Row],[acceleration_0_60_mph]]</f>
        <v>565.24022346368713</v>
      </c>
      <c r="AC1539" t="str">
        <f>IF(EV_Data4[[#This Row],[price_usd]]&gt;=80000,"Luxury",IF(EV_Data4[[#This Row],[price_usd]]&gt;=40000,"Mid-Range","Budget"))</f>
        <v>Mid-Range</v>
      </c>
      <c r="AD1539" t="str">
        <f>IF(EV_Data4[[#This Row],[range_miles]]&gt;=350,"Long-Range",IF(EV_Data4[[#This Row],[range_miles]]&gt;=250,"Medium-Range","Short-Range"))</f>
        <v>Short-Range</v>
      </c>
      <c r="AE1539" t="str">
        <f>IF(EV_Data4[[#This Row],[charging_speed_kw]]&gt;=250,"Ultra-Fast",IF(EV_Data4[[#This Row],[charging_speed_kw]]&gt;=150,"Fast-Charging","Standard-Charging"))</f>
        <v>Standard-Charging</v>
      </c>
      <c r="AF1539" t="str">
        <f>IF(EV_Data4[[#This Row],[acceleration_0_60_mph]]&lt;=3,"SportsPerformance",IF(EV_Data4[[#This Row],[acceleration_0_60_mph]]&lt;=5,"HighPerformance","Standard"))</f>
        <v>Standard</v>
      </c>
      <c r="AG1539" t="str">
        <f>IF(EV_Data4[[#This Row],[customer_rating]]&gt;=4.5,"Excellent",IF(EV_Data4[[#This Row],[customer_rating]]&gt;=3.5,"Good","Average"))</f>
        <v>Average</v>
      </c>
      <c r="AH153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40" spans="1:34" x14ac:dyDescent="0.3">
      <c r="A1540" t="s">
        <v>46</v>
      </c>
      <c r="B1540" t="s">
        <v>57</v>
      </c>
      <c r="C1540">
        <v>2025</v>
      </c>
      <c r="D1540" t="s">
        <v>33</v>
      </c>
      <c r="E1540" s="3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27</v>
      </c>
      <c r="N1540">
        <v>5</v>
      </c>
      <c r="O1540" t="s">
        <v>51</v>
      </c>
      <c r="P1540">
        <v>25.9</v>
      </c>
      <c r="Q1540">
        <v>1648</v>
      </c>
      <c r="R1540">
        <v>4</v>
      </c>
      <c r="S1540">
        <v>2</v>
      </c>
      <c r="T1540" t="s">
        <v>41</v>
      </c>
      <c r="U1540" t="s">
        <v>30</v>
      </c>
      <c r="V1540" s="3">
        <v>206373</v>
      </c>
      <c r="W1540">
        <v>3.59</v>
      </c>
      <c r="X1540">
        <v>6</v>
      </c>
      <c r="Y1540" s="1">
        <f>EV_Data4[[#This Row],[range_miles]]/EV_Data4[[#This Row],[battery_capacity_kwh]]</f>
        <v>3.6764705882352944</v>
      </c>
      <c r="Z1540" s="4">
        <f>EV_Data4[[#This Row],[price_usd]]/EV_Data4[[#This Row],[range_miles]]</f>
        <v>683.40413333333333</v>
      </c>
      <c r="AA1540" s="2">
        <f>(EV_Data4[[#This Row],[customer_rating]]*EV_Data4[[#This Row],[safety_rating]]*1000)/EV_Data4[[#This Row],[price_usd]]</f>
        <v>0.14008304700527613</v>
      </c>
      <c r="AB1540">
        <f>EV_Data4[[#This Row],[horsepower]]+EV_Data4[[#This Row],[torque_nm]]/EV_Data4[[#This Row],[acceleration_0_60_mph]]</f>
        <v>852.74011299435028</v>
      </c>
      <c r="AC1540" t="str">
        <f>IF(EV_Data4[[#This Row],[price_usd]]&gt;=80000,"Luxury",IF(EV_Data4[[#This Row],[price_usd]]&gt;=40000,"Mid-Range","Budget"))</f>
        <v>Luxury</v>
      </c>
      <c r="AD1540" t="str">
        <f>IF(EV_Data4[[#This Row],[range_miles]]&gt;=350,"Long-Range",IF(EV_Data4[[#This Row],[range_miles]]&gt;=250,"Medium-Range","Short-Range"))</f>
        <v>Short-Range</v>
      </c>
      <c r="AE1540" t="str">
        <f>IF(EV_Data4[[#This Row],[charging_speed_kw]]&gt;=250,"Ultra-Fast",IF(EV_Data4[[#This Row],[charging_speed_kw]]&gt;=150,"Fast-Charging","Standard-Charging"))</f>
        <v>Fast-Charging</v>
      </c>
      <c r="AF1540" t="str">
        <f>IF(EV_Data4[[#This Row],[acceleration_0_60_mph]]&lt;=3,"SportsPerformance",IF(EV_Data4[[#This Row],[acceleration_0_60_mph]]&lt;=5,"HighPerformance","Standard"))</f>
        <v>Standard</v>
      </c>
      <c r="AG1540" t="str">
        <f>IF(EV_Data4[[#This Row],[customer_rating]]&gt;=4.5,"Excellent",IF(EV_Data4[[#This Row],[customer_rating]]&gt;=3.5,"Good","Average"))</f>
        <v>Good</v>
      </c>
      <c r="AH154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41" spans="1:34" x14ac:dyDescent="0.3">
      <c r="A1541" t="s">
        <v>68</v>
      </c>
      <c r="B1541" t="s">
        <v>90</v>
      </c>
      <c r="C1541">
        <v>2022</v>
      </c>
      <c r="D1541" t="s">
        <v>61</v>
      </c>
      <c r="E1541" s="3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34</v>
      </c>
      <c r="N1541">
        <v>5</v>
      </c>
      <c r="O1541" t="s">
        <v>35</v>
      </c>
      <c r="P1541">
        <v>51.8</v>
      </c>
      <c r="Q1541">
        <v>1948</v>
      </c>
      <c r="R1541">
        <v>5</v>
      </c>
      <c r="S1541">
        <v>0</v>
      </c>
      <c r="T1541" t="s">
        <v>45</v>
      </c>
      <c r="U1541" t="s">
        <v>37</v>
      </c>
      <c r="V1541" s="3">
        <v>50222</v>
      </c>
      <c r="W1541">
        <v>3.32</v>
      </c>
      <c r="X1541">
        <v>4</v>
      </c>
      <c r="Y1541" s="1">
        <f>EV_Data4[[#This Row],[range_miles]]/EV_Data4[[#This Row],[battery_capacity_kwh]]</f>
        <v>3.2905296950240772</v>
      </c>
      <c r="Z1541" s="4">
        <f>EV_Data4[[#This Row],[price_usd]]/EV_Data4[[#This Row],[range_miles]]</f>
        <v>191.42043902439025</v>
      </c>
      <c r="AA1541" s="2">
        <f>(EV_Data4[[#This Row],[customer_rating]]*EV_Data4[[#This Row],[safety_rating]]*1000)/EV_Data4[[#This Row],[price_usd]]</f>
        <v>0.42302488787929204</v>
      </c>
      <c r="AB1541">
        <f>EV_Data4[[#This Row],[horsepower]]+EV_Data4[[#This Row],[torque_nm]]/EV_Data4[[#This Row],[acceleration_0_60_mph]]</f>
        <v>491.8878504672897</v>
      </c>
      <c r="AC1541" t="str">
        <f>IF(EV_Data4[[#This Row],[price_usd]]&gt;=80000,"Luxury",IF(EV_Data4[[#This Row],[price_usd]]&gt;=40000,"Mid-Range","Budget"))</f>
        <v>Budget</v>
      </c>
      <c r="AD1541" t="str">
        <f>IF(EV_Data4[[#This Row],[range_miles]]&gt;=350,"Long-Range",IF(EV_Data4[[#This Row],[range_miles]]&gt;=250,"Medium-Range","Short-Range"))</f>
        <v>Short-Range</v>
      </c>
      <c r="AE1541" t="str">
        <f>IF(EV_Data4[[#This Row],[charging_speed_kw]]&gt;=250,"Ultra-Fast",IF(EV_Data4[[#This Row],[charging_speed_kw]]&gt;=150,"Fast-Charging","Standard-Charging"))</f>
        <v>Standard-Charging</v>
      </c>
      <c r="AF1541" t="str">
        <f>IF(EV_Data4[[#This Row],[acceleration_0_60_mph]]&lt;=3,"SportsPerformance",IF(EV_Data4[[#This Row],[acceleration_0_60_mph]]&lt;=5,"HighPerformance","Standard"))</f>
        <v>Standard</v>
      </c>
      <c r="AG1541" t="str">
        <f>IF(EV_Data4[[#This Row],[customer_rating]]&gt;=4.5,"Excellent",IF(EV_Data4[[#This Row],[customer_rating]]&gt;=3.5,"Good","Average"))</f>
        <v>Average</v>
      </c>
      <c r="AH154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42" spans="1:34" x14ac:dyDescent="0.3">
      <c r="A1542" t="s">
        <v>38</v>
      </c>
      <c r="B1542" t="s">
        <v>101</v>
      </c>
      <c r="C1542">
        <v>2025</v>
      </c>
      <c r="D1542" t="s">
        <v>44</v>
      </c>
      <c r="E1542" s="3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27</v>
      </c>
      <c r="N1542">
        <v>7</v>
      </c>
      <c r="O1542" t="s">
        <v>28</v>
      </c>
      <c r="P1542">
        <v>74.099999999999994</v>
      </c>
      <c r="Q1542">
        <v>2456</v>
      </c>
      <c r="R1542">
        <v>4</v>
      </c>
      <c r="S1542">
        <v>0</v>
      </c>
      <c r="T1542" t="s">
        <v>41</v>
      </c>
      <c r="U1542" t="s">
        <v>33</v>
      </c>
      <c r="V1542" s="3">
        <v>14842</v>
      </c>
      <c r="W1542">
        <v>3.62</v>
      </c>
      <c r="X1542">
        <v>5</v>
      </c>
      <c r="Y1542" s="1">
        <f>EV_Data4[[#This Row],[range_miles]]/EV_Data4[[#This Row],[battery_capacity_kwh]]</f>
        <v>3.4288747346072186</v>
      </c>
      <c r="Z1542" s="4">
        <f>EV_Data4[[#This Row],[price_usd]]/EV_Data4[[#This Row],[range_miles]]</f>
        <v>230.94990712074306</v>
      </c>
      <c r="AA1542" s="2">
        <f>(EV_Data4[[#This Row],[customer_rating]]*EV_Data4[[#This Row],[safety_rating]]*1000)/EV_Data4[[#This Row],[price_usd]]</f>
        <v>0.19411015107614504</v>
      </c>
      <c r="AB1542">
        <f>EV_Data4[[#This Row],[horsepower]]+EV_Data4[[#This Row],[torque_nm]]/EV_Data4[[#This Row],[acceleration_0_60_mph]]</f>
        <v>1172.1374045801526</v>
      </c>
      <c r="AC1542" t="str">
        <f>IF(EV_Data4[[#This Row],[price_usd]]&gt;=80000,"Luxury",IF(EV_Data4[[#This Row],[price_usd]]&gt;=40000,"Mid-Range","Budget"))</f>
        <v>Mid-Range</v>
      </c>
      <c r="AD1542" t="str">
        <f>IF(EV_Data4[[#This Row],[range_miles]]&gt;=350,"Long-Range",IF(EV_Data4[[#This Row],[range_miles]]&gt;=250,"Medium-Range","Short-Range"))</f>
        <v>Medium-Range</v>
      </c>
      <c r="AE1542" t="str">
        <f>IF(EV_Data4[[#This Row],[charging_speed_kw]]&gt;=250,"Ultra-Fast",IF(EV_Data4[[#This Row],[charging_speed_kw]]&gt;=150,"Fast-Charging","Standard-Charging"))</f>
        <v>Standard-Charging</v>
      </c>
      <c r="AF1542" t="str">
        <f>IF(EV_Data4[[#This Row],[acceleration_0_60_mph]]&lt;=3,"SportsPerformance",IF(EV_Data4[[#This Row],[acceleration_0_60_mph]]&lt;=5,"HighPerformance","Standard"))</f>
        <v>Standard</v>
      </c>
      <c r="AG1542" t="str">
        <f>IF(EV_Data4[[#This Row],[customer_rating]]&gt;=4.5,"Excellent",IF(EV_Data4[[#This Row],[customer_rating]]&gt;=3.5,"Good","Average"))</f>
        <v>Good</v>
      </c>
      <c r="AH154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43" spans="1:34" x14ac:dyDescent="0.3">
      <c r="A1543" t="s">
        <v>46</v>
      </c>
      <c r="B1543" t="s">
        <v>57</v>
      </c>
      <c r="C1543">
        <v>2024</v>
      </c>
      <c r="D1543" t="s">
        <v>26</v>
      </c>
      <c r="E1543" s="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48</v>
      </c>
      <c r="N1543">
        <v>5</v>
      </c>
      <c r="O1543" t="s">
        <v>40</v>
      </c>
      <c r="P1543">
        <v>71.7</v>
      </c>
      <c r="Q1543">
        <v>1500</v>
      </c>
      <c r="R1543">
        <v>4</v>
      </c>
      <c r="S1543">
        <v>2</v>
      </c>
      <c r="T1543" t="s">
        <v>41</v>
      </c>
      <c r="U1543" t="s">
        <v>37</v>
      </c>
      <c r="V1543" s="3">
        <v>248485</v>
      </c>
      <c r="W1543">
        <v>4.42</v>
      </c>
      <c r="X1543">
        <v>4</v>
      </c>
      <c r="Y1543" s="1">
        <f>EV_Data4[[#This Row],[range_miles]]/EV_Data4[[#This Row],[battery_capacity_kwh]]</f>
        <v>3.8681318681318682</v>
      </c>
      <c r="Z1543" s="4">
        <f>EV_Data4[[#This Row],[price_usd]]/EV_Data4[[#This Row],[range_miles]]</f>
        <v>178.75167613636361</v>
      </c>
      <c r="AA1543" s="2">
        <f>(EV_Data4[[#This Row],[customer_rating]]*EV_Data4[[#This Row],[safety_rating]]*1000)/EV_Data4[[#This Row],[price_usd]]</f>
        <v>0.28098910070614408</v>
      </c>
      <c r="AB1543">
        <f>EV_Data4[[#This Row],[horsepower]]+EV_Data4[[#This Row],[torque_nm]]/EV_Data4[[#This Row],[acceleration_0_60_mph]]</f>
        <v>535.0792079207921</v>
      </c>
      <c r="AC1543" t="str">
        <f>IF(EV_Data4[[#This Row],[price_usd]]&gt;=80000,"Luxury",IF(EV_Data4[[#This Row],[price_usd]]&gt;=40000,"Mid-Range","Budget"))</f>
        <v>Mid-Range</v>
      </c>
      <c r="AD1543" t="str">
        <f>IF(EV_Data4[[#This Row],[range_miles]]&gt;=350,"Long-Range",IF(EV_Data4[[#This Row],[range_miles]]&gt;=250,"Medium-Range","Short-Range"))</f>
        <v>Long-Range</v>
      </c>
      <c r="AE1543" t="str">
        <f>IF(EV_Data4[[#This Row],[charging_speed_kw]]&gt;=250,"Ultra-Fast",IF(EV_Data4[[#This Row],[charging_speed_kw]]&gt;=150,"Fast-Charging","Standard-Charging"))</f>
        <v>Fast-Charging</v>
      </c>
      <c r="AF1543" t="str">
        <f>IF(EV_Data4[[#This Row],[acceleration_0_60_mph]]&lt;=3,"SportsPerformance",IF(EV_Data4[[#This Row],[acceleration_0_60_mph]]&lt;=5,"HighPerformance","Standard"))</f>
        <v>HighPerformance</v>
      </c>
      <c r="AG1543" t="str">
        <f>IF(EV_Data4[[#This Row],[customer_rating]]&gt;=4.5,"Excellent",IF(EV_Data4[[#This Row],[customer_rating]]&gt;=3.5,"Good","Average"))</f>
        <v>Good</v>
      </c>
      <c r="AH154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44" spans="1:34" x14ac:dyDescent="0.3">
      <c r="A1544" t="s">
        <v>42</v>
      </c>
      <c r="B1544" t="s">
        <v>80</v>
      </c>
      <c r="C1544">
        <v>2023</v>
      </c>
      <c r="D1544" t="s">
        <v>44</v>
      </c>
      <c r="E1544" s="3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34</v>
      </c>
      <c r="N1544">
        <v>7</v>
      </c>
      <c r="O1544" t="s">
        <v>35</v>
      </c>
      <c r="P1544">
        <v>47</v>
      </c>
      <c r="Q1544">
        <v>1905</v>
      </c>
      <c r="R1544">
        <v>5</v>
      </c>
      <c r="S1544">
        <v>0</v>
      </c>
      <c r="T1544" t="s">
        <v>45</v>
      </c>
      <c r="U1544" t="s">
        <v>37</v>
      </c>
      <c r="V1544" s="3">
        <v>73090</v>
      </c>
      <c r="W1544">
        <v>3.76</v>
      </c>
      <c r="X1544">
        <v>4</v>
      </c>
      <c r="Y1544" s="1">
        <f>EV_Data4[[#This Row],[range_miles]]/EV_Data4[[#This Row],[battery_capacity_kwh]]</f>
        <v>3.5239085239085237</v>
      </c>
      <c r="Z1544" s="4">
        <f>EV_Data4[[#This Row],[price_usd]]/EV_Data4[[#This Row],[range_miles]]</f>
        <v>185.38899705014751</v>
      </c>
      <c r="AA1544" s="2">
        <f>(EV_Data4[[#This Row],[customer_rating]]*EV_Data4[[#This Row],[safety_rating]]*1000)/EV_Data4[[#This Row],[price_usd]]</f>
        <v>0.2991397980519952</v>
      </c>
      <c r="AB1544">
        <f>EV_Data4[[#This Row],[horsepower]]+EV_Data4[[#This Row],[torque_nm]]/EV_Data4[[#This Row],[acceleration_0_60_mph]]</f>
        <v>825.50533049040507</v>
      </c>
      <c r="AC1544" t="str">
        <f>IF(EV_Data4[[#This Row],[price_usd]]&gt;=80000,"Luxury",IF(EV_Data4[[#This Row],[price_usd]]&gt;=40000,"Mid-Range","Budget"))</f>
        <v>Mid-Range</v>
      </c>
      <c r="AD1544" t="str">
        <f>IF(EV_Data4[[#This Row],[range_miles]]&gt;=350,"Long-Range",IF(EV_Data4[[#This Row],[range_miles]]&gt;=250,"Medium-Range","Short-Range"))</f>
        <v>Medium-Range</v>
      </c>
      <c r="AE1544" t="str">
        <f>IF(EV_Data4[[#This Row],[charging_speed_kw]]&gt;=250,"Ultra-Fast",IF(EV_Data4[[#This Row],[charging_speed_kw]]&gt;=150,"Fast-Charging","Standard-Charging"))</f>
        <v>Standard-Charging</v>
      </c>
      <c r="AF1544" t="str">
        <f>IF(EV_Data4[[#This Row],[acceleration_0_60_mph]]&lt;=3,"SportsPerformance",IF(EV_Data4[[#This Row],[acceleration_0_60_mph]]&lt;=5,"HighPerformance","Standard"))</f>
        <v>HighPerformance</v>
      </c>
      <c r="AG1544" t="str">
        <f>IF(EV_Data4[[#This Row],[customer_rating]]&gt;=4.5,"Excellent",IF(EV_Data4[[#This Row],[customer_rating]]&gt;=3.5,"Good","Average"))</f>
        <v>Good</v>
      </c>
      <c r="AH154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45" spans="1:34" x14ac:dyDescent="0.3">
      <c r="A1545" t="s">
        <v>63</v>
      </c>
      <c r="B1545" t="s">
        <v>73</v>
      </c>
      <c r="C1545">
        <v>2023</v>
      </c>
      <c r="D1545" t="s">
        <v>33</v>
      </c>
      <c r="E1545" s="3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48</v>
      </c>
      <c r="N1545">
        <v>5</v>
      </c>
      <c r="O1545" t="s">
        <v>50</v>
      </c>
      <c r="P1545">
        <v>36.299999999999997</v>
      </c>
      <c r="Q1545">
        <v>2102</v>
      </c>
      <c r="R1545">
        <v>4</v>
      </c>
      <c r="S1545">
        <v>1</v>
      </c>
      <c r="T1545" t="s">
        <v>65</v>
      </c>
      <c r="U1545" t="s">
        <v>37</v>
      </c>
      <c r="V1545" s="3">
        <v>163237</v>
      </c>
      <c r="W1545">
        <v>3.63</v>
      </c>
      <c r="X1545">
        <v>4</v>
      </c>
      <c r="Y1545" s="1">
        <f>EV_Data4[[#This Row],[range_miles]]/EV_Data4[[#This Row],[battery_capacity_kwh]]</f>
        <v>3.8746438746438745</v>
      </c>
      <c r="Z1545" s="4">
        <f>EV_Data4[[#This Row],[price_usd]]/EV_Data4[[#This Row],[range_miles]]</f>
        <v>165.34202205882352</v>
      </c>
      <c r="AA1545" s="2">
        <f>(EV_Data4[[#This Row],[customer_rating]]*EV_Data4[[#This Row],[safety_rating]]*1000)/EV_Data4[[#This Row],[price_usd]]</f>
        <v>0.32286016752707125</v>
      </c>
      <c r="AB1545">
        <f>EV_Data4[[#This Row],[horsepower]]+EV_Data4[[#This Row],[torque_nm]]/EV_Data4[[#This Row],[acceleration_0_60_mph]]</f>
        <v>566.63494539781595</v>
      </c>
      <c r="AC1545" t="str">
        <f>IF(EV_Data4[[#This Row],[price_usd]]&gt;=80000,"Luxury",IF(EV_Data4[[#This Row],[price_usd]]&gt;=40000,"Mid-Range","Budget"))</f>
        <v>Mid-Range</v>
      </c>
      <c r="AD1545" t="str">
        <f>IF(EV_Data4[[#This Row],[range_miles]]&gt;=350,"Long-Range",IF(EV_Data4[[#This Row],[range_miles]]&gt;=250,"Medium-Range","Short-Range"))</f>
        <v>Medium-Range</v>
      </c>
      <c r="AE1545" t="str">
        <f>IF(EV_Data4[[#This Row],[charging_speed_kw]]&gt;=250,"Ultra-Fast",IF(EV_Data4[[#This Row],[charging_speed_kw]]&gt;=150,"Fast-Charging","Standard-Charging"))</f>
        <v>Standard-Charging</v>
      </c>
      <c r="AF1545" t="str">
        <f>IF(EV_Data4[[#This Row],[acceleration_0_60_mph]]&lt;=3,"SportsPerformance",IF(EV_Data4[[#This Row],[acceleration_0_60_mph]]&lt;=5,"HighPerformance","Standard"))</f>
        <v>Standard</v>
      </c>
      <c r="AG1545" t="str">
        <f>IF(EV_Data4[[#This Row],[customer_rating]]&gt;=4.5,"Excellent",IF(EV_Data4[[#This Row],[customer_rating]]&gt;=3.5,"Good","Average"))</f>
        <v>Good</v>
      </c>
      <c r="AH154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46" spans="1:34" x14ac:dyDescent="0.3">
      <c r="A1546" t="s">
        <v>31</v>
      </c>
      <c r="B1546" t="s">
        <v>32</v>
      </c>
      <c r="C1546">
        <v>2026</v>
      </c>
      <c r="D1546" t="s">
        <v>44</v>
      </c>
      <c r="E1546" s="3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34</v>
      </c>
      <c r="N1546">
        <v>7</v>
      </c>
      <c r="O1546" t="s">
        <v>35</v>
      </c>
      <c r="P1546">
        <v>44.6</v>
      </c>
      <c r="Q1546">
        <v>1924</v>
      </c>
      <c r="R1546">
        <v>4</v>
      </c>
      <c r="S1546">
        <v>1</v>
      </c>
      <c r="T1546" t="s">
        <v>36</v>
      </c>
      <c r="U1546" t="s">
        <v>33</v>
      </c>
      <c r="V1546" s="3">
        <v>27998</v>
      </c>
      <c r="W1546">
        <v>3.62</v>
      </c>
      <c r="X1546">
        <v>4</v>
      </c>
      <c r="Y1546" s="1">
        <f>EV_Data4[[#This Row],[range_miles]]/EV_Data4[[#This Row],[battery_capacity_kwh]]</f>
        <v>3.5434007134363856</v>
      </c>
      <c r="Z1546" s="4">
        <f>EV_Data4[[#This Row],[price_usd]]/EV_Data4[[#This Row],[range_miles]]</f>
        <v>291.58419463087245</v>
      </c>
      <c r="AA1546" s="2">
        <f>(EV_Data4[[#This Row],[customer_rating]]*EV_Data4[[#This Row],[safety_rating]]*1000)/EV_Data4[[#This Row],[price_usd]]</f>
        <v>0.1666434769839234</v>
      </c>
      <c r="AB1546">
        <f>EV_Data4[[#This Row],[horsepower]]+EV_Data4[[#This Row],[torque_nm]]/EV_Data4[[#This Row],[acceleration_0_60_mph]]</f>
        <v>1207.8014184397164</v>
      </c>
      <c r="AC1546" t="str">
        <f>IF(EV_Data4[[#This Row],[price_usd]]&gt;=80000,"Luxury",IF(EV_Data4[[#This Row],[price_usd]]&gt;=40000,"Mid-Range","Budget"))</f>
        <v>Luxury</v>
      </c>
      <c r="AD1546" t="str">
        <f>IF(EV_Data4[[#This Row],[range_miles]]&gt;=350,"Long-Range",IF(EV_Data4[[#This Row],[range_miles]]&gt;=250,"Medium-Range","Short-Range"))</f>
        <v>Medium-Range</v>
      </c>
      <c r="AE1546" t="str">
        <f>IF(EV_Data4[[#This Row],[charging_speed_kw]]&gt;=250,"Ultra-Fast",IF(EV_Data4[[#This Row],[charging_speed_kw]]&gt;=150,"Fast-Charging","Standard-Charging"))</f>
        <v>Standard-Charging</v>
      </c>
      <c r="AF1546" t="str">
        <f>IF(EV_Data4[[#This Row],[acceleration_0_60_mph]]&lt;=3,"SportsPerformance",IF(EV_Data4[[#This Row],[acceleration_0_60_mph]]&lt;=5,"HighPerformance","Standard"))</f>
        <v>HighPerformance</v>
      </c>
      <c r="AG1546" t="str">
        <f>IF(EV_Data4[[#This Row],[customer_rating]]&gt;=4.5,"Excellent",IF(EV_Data4[[#This Row],[customer_rating]]&gt;=3.5,"Good","Average"))</f>
        <v>Good</v>
      </c>
      <c r="AH154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47" spans="1:34" x14ac:dyDescent="0.3">
      <c r="A1547" t="s">
        <v>68</v>
      </c>
      <c r="B1547" t="s">
        <v>79</v>
      </c>
      <c r="C1547">
        <v>2022</v>
      </c>
      <c r="D1547" t="s">
        <v>26</v>
      </c>
      <c r="E1547" s="3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48</v>
      </c>
      <c r="N1547">
        <v>5</v>
      </c>
      <c r="O1547" t="s">
        <v>51</v>
      </c>
      <c r="P1547">
        <v>29.7</v>
      </c>
      <c r="Q1547">
        <v>1611</v>
      </c>
      <c r="R1547">
        <v>5</v>
      </c>
      <c r="S1547">
        <v>1</v>
      </c>
      <c r="T1547" t="s">
        <v>45</v>
      </c>
      <c r="U1547" t="s">
        <v>37</v>
      </c>
      <c r="V1547" s="3">
        <v>141874</v>
      </c>
      <c r="W1547">
        <v>4.18</v>
      </c>
      <c r="X1547">
        <v>4</v>
      </c>
      <c r="Y1547" s="1">
        <f>EV_Data4[[#This Row],[range_miles]]/EV_Data4[[#This Row],[battery_capacity_kwh]]</f>
        <v>3.4100596760443307</v>
      </c>
      <c r="Z1547" s="4">
        <f>EV_Data4[[#This Row],[price_usd]]/EV_Data4[[#This Row],[range_miles]]</f>
        <v>141.92099999999999</v>
      </c>
      <c r="AA1547" s="2">
        <f>(EV_Data4[[#This Row],[customer_rating]]*EV_Data4[[#This Row],[safety_rating]]*1000)/EV_Data4[[#This Row],[price_usd]]</f>
        <v>0.36816256931673252</v>
      </c>
      <c r="AB1547">
        <f>EV_Data4[[#This Row],[horsepower]]+EV_Data4[[#This Row],[torque_nm]]/EV_Data4[[#This Row],[acceleration_0_60_mph]]</f>
        <v>756.4375</v>
      </c>
      <c r="AC1547" t="str">
        <f>IF(EV_Data4[[#This Row],[price_usd]]&gt;=80000,"Luxury",IF(EV_Data4[[#This Row],[price_usd]]&gt;=40000,"Mid-Range","Budget"))</f>
        <v>Mid-Range</v>
      </c>
      <c r="AD1547" t="str">
        <f>IF(EV_Data4[[#This Row],[range_miles]]&gt;=350,"Long-Range",IF(EV_Data4[[#This Row],[range_miles]]&gt;=250,"Medium-Range","Short-Range"))</f>
        <v>Long-Range</v>
      </c>
      <c r="AE1547" t="str">
        <f>IF(EV_Data4[[#This Row],[charging_speed_kw]]&gt;=250,"Ultra-Fast",IF(EV_Data4[[#This Row],[charging_speed_kw]]&gt;=150,"Fast-Charging","Standard-Charging"))</f>
        <v>Fast-Charging</v>
      </c>
      <c r="AF1547" t="str">
        <f>IF(EV_Data4[[#This Row],[acceleration_0_60_mph]]&lt;=3,"SportsPerformance",IF(EV_Data4[[#This Row],[acceleration_0_60_mph]]&lt;=5,"HighPerformance","Standard"))</f>
        <v>HighPerformance</v>
      </c>
      <c r="AG1547" t="str">
        <f>IF(EV_Data4[[#This Row],[customer_rating]]&gt;=4.5,"Excellent",IF(EV_Data4[[#This Row],[customer_rating]]&gt;=3.5,"Good","Average"))</f>
        <v>Good</v>
      </c>
      <c r="AH154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48" spans="1:34" x14ac:dyDescent="0.3">
      <c r="A1548" t="s">
        <v>76</v>
      </c>
      <c r="B1548" t="s">
        <v>98</v>
      </c>
      <c r="C1548">
        <v>2022</v>
      </c>
      <c r="D1548" t="s">
        <v>44</v>
      </c>
      <c r="E1548" s="3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48</v>
      </c>
      <c r="N1548">
        <v>5</v>
      </c>
      <c r="O1548" t="s">
        <v>28</v>
      </c>
      <c r="P1548">
        <v>74.400000000000006</v>
      </c>
      <c r="Q1548">
        <v>2525</v>
      </c>
      <c r="R1548">
        <v>5</v>
      </c>
      <c r="S1548">
        <v>2</v>
      </c>
      <c r="T1548" t="s">
        <v>41</v>
      </c>
      <c r="U1548" t="s">
        <v>33</v>
      </c>
      <c r="V1548" s="3">
        <v>45060</v>
      </c>
      <c r="W1548">
        <v>3.95</v>
      </c>
      <c r="X1548">
        <v>4</v>
      </c>
      <c r="Y1548" s="1">
        <f>EV_Data4[[#This Row],[range_miles]]/EV_Data4[[#This Row],[battery_capacity_kwh]]</f>
        <v>3.8197969543147208</v>
      </c>
      <c r="Z1548" s="4">
        <f>EV_Data4[[#This Row],[price_usd]]/EV_Data4[[#This Row],[range_miles]]</f>
        <v>287.87282392026577</v>
      </c>
      <c r="AA1548" s="2">
        <f>(EV_Data4[[#This Row],[customer_rating]]*EV_Data4[[#This Row],[safety_rating]]*1000)/EV_Data4[[#This Row],[price_usd]]</f>
        <v>0.22792918430665443</v>
      </c>
      <c r="AB1548">
        <f>EV_Data4[[#This Row],[horsepower]]+EV_Data4[[#This Row],[torque_nm]]/EV_Data4[[#This Row],[acceleration_0_60_mph]]</f>
        <v>1171.6216216216217</v>
      </c>
      <c r="AC1548" t="str">
        <f>IF(EV_Data4[[#This Row],[price_usd]]&gt;=80000,"Luxury",IF(EV_Data4[[#This Row],[price_usd]]&gt;=40000,"Mid-Range","Budget"))</f>
        <v>Luxury</v>
      </c>
      <c r="AD1548" t="str">
        <f>IF(EV_Data4[[#This Row],[range_miles]]&gt;=350,"Long-Range",IF(EV_Data4[[#This Row],[range_miles]]&gt;=250,"Medium-Range","Short-Range"))</f>
        <v>Medium-Range</v>
      </c>
      <c r="AE1548" t="str">
        <f>IF(EV_Data4[[#This Row],[charging_speed_kw]]&gt;=250,"Ultra-Fast",IF(EV_Data4[[#This Row],[charging_speed_kw]]&gt;=150,"Fast-Charging","Standard-Charging"))</f>
        <v>Standard-Charging</v>
      </c>
      <c r="AF1548" t="str">
        <f>IF(EV_Data4[[#This Row],[acceleration_0_60_mph]]&lt;=3,"SportsPerformance",IF(EV_Data4[[#This Row],[acceleration_0_60_mph]]&lt;=5,"HighPerformance","Standard"))</f>
        <v>Standard</v>
      </c>
      <c r="AG1548" t="str">
        <f>IF(EV_Data4[[#This Row],[customer_rating]]&gt;=4.5,"Excellent",IF(EV_Data4[[#This Row],[customer_rating]]&gt;=3.5,"Good","Average"))</f>
        <v>Good</v>
      </c>
      <c r="AH154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49" spans="1:34" x14ac:dyDescent="0.3">
      <c r="A1549" t="s">
        <v>42</v>
      </c>
      <c r="B1549" t="s">
        <v>71</v>
      </c>
      <c r="C1549">
        <v>2023</v>
      </c>
      <c r="D1549" t="s">
        <v>26</v>
      </c>
      <c r="E1549" s="3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27</v>
      </c>
      <c r="N1549">
        <v>7</v>
      </c>
      <c r="O1549" t="s">
        <v>58</v>
      </c>
      <c r="P1549">
        <v>29.6</v>
      </c>
      <c r="Q1549">
        <v>1715</v>
      </c>
      <c r="R1549">
        <v>4</v>
      </c>
      <c r="S1549">
        <v>0</v>
      </c>
      <c r="T1549" t="s">
        <v>45</v>
      </c>
      <c r="U1549" t="s">
        <v>33</v>
      </c>
      <c r="V1549" s="3">
        <v>109134</v>
      </c>
      <c r="W1549">
        <v>3.67</v>
      </c>
      <c r="X1549">
        <v>4</v>
      </c>
      <c r="Y1549" s="1">
        <f>EV_Data4[[#This Row],[range_miles]]/EV_Data4[[#This Row],[battery_capacity_kwh]]</f>
        <v>3.8155136268343814</v>
      </c>
      <c r="Z1549" s="4">
        <f>EV_Data4[[#This Row],[price_usd]]/EV_Data4[[#This Row],[range_miles]]</f>
        <v>232.72228021978023</v>
      </c>
      <c r="AA1549" s="2">
        <f>(EV_Data4[[#This Row],[customer_rating]]*EV_Data4[[#This Row],[safety_rating]]*1000)/EV_Data4[[#This Row],[price_usd]]</f>
        <v>0.17329526975923171</v>
      </c>
      <c r="AB1549">
        <f>EV_Data4[[#This Row],[horsepower]]+EV_Data4[[#This Row],[torque_nm]]/EV_Data4[[#This Row],[acceleration_0_60_mph]]</f>
        <v>1227.8325123152708</v>
      </c>
      <c r="AC1549" t="str">
        <f>IF(EV_Data4[[#This Row],[price_usd]]&gt;=80000,"Luxury",IF(EV_Data4[[#This Row],[price_usd]]&gt;=40000,"Mid-Range","Budget"))</f>
        <v>Luxury</v>
      </c>
      <c r="AD1549" t="str">
        <f>IF(EV_Data4[[#This Row],[range_miles]]&gt;=350,"Long-Range",IF(EV_Data4[[#This Row],[range_miles]]&gt;=250,"Medium-Range","Short-Range"))</f>
        <v>Long-Range</v>
      </c>
      <c r="AE1549" t="str">
        <f>IF(EV_Data4[[#This Row],[charging_speed_kw]]&gt;=250,"Ultra-Fast",IF(EV_Data4[[#This Row],[charging_speed_kw]]&gt;=150,"Fast-Charging","Standard-Charging"))</f>
        <v>Fast-Charging</v>
      </c>
      <c r="AF1549" t="str">
        <f>IF(EV_Data4[[#This Row],[acceleration_0_60_mph]]&lt;=3,"SportsPerformance",IF(EV_Data4[[#This Row],[acceleration_0_60_mph]]&lt;=5,"HighPerformance","Standard"))</f>
        <v>HighPerformance</v>
      </c>
      <c r="AG1549" t="str">
        <f>IF(EV_Data4[[#This Row],[customer_rating]]&gt;=4.5,"Excellent",IF(EV_Data4[[#This Row],[customer_rating]]&gt;=3.5,"Good","Average"))</f>
        <v>Good</v>
      </c>
      <c r="AH154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50" spans="1:34" x14ac:dyDescent="0.3">
      <c r="A1550" t="s">
        <v>46</v>
      </c>
      <c r="B1550" t="s">
        <v>57</v>
      </c>
      <c r="C1550">
        <v>2025</v>
      </c>
      <c r="D1550" t="s">
        <v>56</v>
      </c>
      <c r="E1550" s="3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34</v>
      </c>
      <c r="N1550">
        <v>5</v>
      </c>
      <c r="O1550" t="s">
        <v>58</v>
      </c>
      <c r="P1550">
        <v>38.9</v>
      </c>
      <c r="Q1550">
        <v>1585</v>
      </c>
      <c r="R1550">
        <v>4</v>
      </c>
      <c r="S1550">
        <v>2</v>
      </c>
      <c r="T1550" t="s">
        <v>41</v>
      </c>
      <c r="U1550" t="s">
        <v>33</v>
      </c>
      <c r="V1550" s="3">
        <v>129076</v>
      </c>
      <c r="W1550">
        <v>3.36</v>
      </c>
      <c r="X1550">
        <v>4</v>
      </c>
      <c r="Y1550" s="1">
        <f>EV_Data4[[#This Row],[range_miles]]/EV_Data4[[#This Row],[battery_capacity_kwh]]</f>
        <v>3.4589041095890414</v>
      </c>
      <c r="Z1550" s="4">
        <f>EV_Data4[[#This Row],[price_usd]]/EV_Data4[[#This Row],[range_miles]]</f>
        <v>464.19683168316828</v>
      </c>
      <c r="AA1550" s="2">
        <f>(EV_Data4[[#This Row],[customer_rating]]*EV_Data4[[#This Row],[safety_rating]]*1000)/EV_Data4[[#This Row],[price_usd]]</f>
        <v>0.14333284702545951</v>
      </c>
      <c r="AB1550">
        <f>EV_Data4[[#This Row],[horsepower]]+EV_Data4[[#This Row],[torque_nm]]/EV_Data4[[#This Row],[acceleration_0_60_mph]]</f>
        <v>764.76653696498056</v>
      </c>
      <c r="AC1550" t="str">
        <f>IF(EV_Data4[[#This Row],[price_usd]]&gt;=80000,"Luxury",IF(EV_Data4[[#This Row],[price_usd]]&gt;=40000,"Mid-Range","Budget"))</f>
        <v>Luxury</v>
      </c>
      <c r="AD1550" t="str">
        <f>IF(EV_Data4[[#This Row],[range_miles]]&gt;=350,"Long-Range",IF(EV_Data4[[#This Row],[range_miles]]&gt;=250,"Medium-Range","Short-Range"))</f>
        <v>Short-Range</v>
      </c>
      <c r="AE1550" t="str">
        <f>IF(EV_Data4[[#This Row],[charging_speed_kw]]&gt;=250,"Ultra-Fast",IF(EV_Data4[[#This Row],[charging_speed_kw]]&gt;=150,"Fast-Charging","Standard-Charging"))</f>
        <v>Fast-Charging</v>
      </c>
      <c r="AF1550" t="str">
        <f>IF(EV_Data4[[#This Row],[acceleration_0_60_mph]]&lt;=3,"SportsPerformance",IF(EV_Data4[[#This Row],[acceleration_0_60_mph]]&lt;=5,"HighPerformance","Standard"))</f>
        <v>Standard</v>
      </c>
      <c r="AG1550" t="str">
        <f>IF(EV_Data4[[#This Row],[customer_rating]]&gt;=4.5,"Excellent",IF(EV_Data4[[#This Row],[customer_rating]]&gt;=3.5,"Good","Average"))</f>
        <v>Average</v>
      </c>
      <c r="AH155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51" spans="1:34" x14ac:dyDescent="0.3">
      <c r="A1551" t="s">
        <v>83</v>
      </c>
      <c r="B1551" t="s">
        <v>104</v>
      </c>
      <c r="C1551">
        <v>2025</v>
      </c>
      <c r="D1551" t="s">
        <v>33</v>
      </c>
      <c r="E1551" s="3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27</v>
      </c>
      <c r="N1551">
        <v>5</v>
      </c>
      <c r="O1551" t="s">
        <v>35</v>
      </c>
      <c r="P1551">
        <v>50.4</v>
      </c>
      <c r="Q1551">
        <v>2012</v>
      </c>
      <c r="R1551">
        <v>5</v>
      </c>
      <c r="S1551">
        <v>1</v>
      </c>
      <c r="T1551" t="s">
        <v>29</v>
      </c>
      <c r="U1551" t="s">
        <v>30</v>
      </c>
      <c r="V1551" s="3">
        <v>27376</v>
      </c>
      <c r="W1551">
        <v>3.39</v>
      </c>
      <c r="X1551">
        <v>8</v>
      </c>
      <c r="Y1551" s="1">
        <f>EV_Data4[[#This Row],[range_miles]]/EV_Data4[[#This Row],[battery_capacity_kwh]]</f>
        <v>3.8420348058902274</v>
      </c>
      <c r="Z1551" s="4">
        <f>EV_Data4[[#This Row],[price_usd]]/EV_Data4[[#This Row],[range_miles]]</f>
        <v>466.4047038327526</v>
      </c>
      <c r="AA1551" s="2">
        <f>(EV_Data4[[#This Row],[customer_rating]]*EV_Data4[[#This Row],[safety_rating]]*1000)/EV_Data4[[#This Row],[price_usd]]</f>
        <v>0.12662658194514118</v>
      </c>
      <c r="AB1551">
        <f>EV_Data4[[#This Row],[horsepower]]+EV_Data4[[#This Row],[torque_nm]]/EV_Data4[[#This Row],[acceleration_0_60_mph]]</f>
        <v>1167.9245283018868</v>
      </c>
      <c r="AC1551" t="str">
        <f>IF(EV_Data4[[#This Row],[price_usd]]&gt;=80000,"Luxury",IF(EV_Data4[[#This Row],[price_usd]]&gt;=40000,"Mid-Range","Budget"))</f>
        <v>Luxury</v>
      </c>
      <c r="AD1551" t="str">
        <f>IF(EV_Data4[[#This Row],[range_miles]]&gt;=350,"Long-Range",IF(EV_Data4[[#This Row],[range_miles]]&gt;=250,"Medium-Range","Short-Range"))</f>
        <v>Medium-Range</v>
      </c>
      <c r="AE1551" t="str">
        <f>IF(EV_Data4[[#This Row],[charging_speed_kw]]&gt;=250,"Ultra-Fast",IF(EV_Data4[[#This Row],[charging_speed_kw]]&gt;=150,"Fast-Charging","Standard-Charging"))</f>
        <v>Standard-Charging</v>
      </c>
      <c r="AF1551" t="str">
        <f>IF(EV_Data4[[#This Row],[acceleration_0_60_mph]]&lt;=3,"SportsPerformance",IF(EV_Data4[[#This Row],[acceleration_0_60_mph]]&lt;=5,"HighPerformance","Standard"))</f>
        <v>Standard</v>
      </c>
      <c r="AG1551" t="str">
        <f>IF(EV_Data4[[#This Row],[customer_rating]]&gt;=4.5,"Excellent",IF(EV_Data4[[#This Row],[customer_rating]]&gt;=3.5,"Good","Average"))</f>
        <v>Average</v>
      </c>
      <c r="AH155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52" spans="1:34" x14ac:dyDescent="0.3">
      <c r="A1552" t="s">
        <v>31</v>
      </c>
      <c r="B1552" t="s">
        <v>112</v>
      </c>
      <c r="C1552">
        <v>2026</v>
      </c>
      <c r="D1552" t="s">
        <v>33</v>
      </c>
      <c r="E1552" s="3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27</v>
      </c>
      <c r="N1552">
        <v>5</v>
      </c>
      <c r="O1552" t="s">
        <v>58</v>
      </c>
      <c r="P1552">
        <v>17.100000000000001</v>
      </c>
      <c r="Q1552">
        <v>1595</v>
      </c>
      <c r="R1552">
        <v>4</v>
      </c>
      <c r="S1552">
        <v>0</v>
      </c>
      <c r="T1552" t="s">
        <v>36</v>
      </c>
      <c r="U1552" t="s">
        <v>33</v>
      </c>
      <c r="V1552" s="3">
        <v>9198</v>
      </c>
      <c r="W1552">
        <v>3.03</v>
      </c>
      <c r="X1552">
        <v>4</v>
      </c>
      <c r="Y1552" s="1">
        <f>EV_Data4[[#This Row],[range_miles]]/EV_Data4[[#This Row],[battery_capacity_kwh]]</f>
        <v>3.8517179023508139</v>
      </c>
      <c r="Z1552" s="4">
        <f>EV_Data4[[#This Row],[price_usd]]/EV_Data4[[#This Row],[range_miles]]</f>
        <v>342.77183098591547</v>
      </c>
      <c r="AA1552" s="2">
        <f>(EV_Data4[[#This Row],[customer_rating]]*EV_Data4[[#This Row],[safety_rating]]*1000)/EV_Data4[[#This Row],[price_usd]]</f>
        <v>0.1660037474113277</v>
      </c>
      <c r="AB1552">
        <f>EV_Data4[[#This Row],[horsepower]]+EV_Data4[[#This Row],[torque_nm]]/EV_Data4[[#This Row],[acceleration_0_60_mph]]</f>
        <v>1035.8970358814352</v>
      </c>
      <c r="AC1552" t="str">
        <f>IF(EV_Data4[[#This Row],[price_usd]]&gt;=80000,"Luxury",IF(EV_Data4[[#This Row],[price_usd]]&gt;=40000,"Mid-Range","Budget"))</f>
        <v>Mid-Range</v>
      </c>
      <c r="AD1552" t="str">
        <f>IF(EV_Data4[[#This Row],[range_miles]]&gt;=350,"Long-Range",IF(EV_Data4[[#This Row],[range_miles]]&gt;=250,"Medium-Range","Short-Range"))</f>
        <v>Short-Range</v>
      </c>
      <c r="AE1552" t="str">
        <f>IF(EV_Data4[[#This Row],[charging_speed_kw]]&gt;=250,"Ultra-Fast",IF(EV_Data4[[#This Row],[charging_speed_kw]]&gt;=150,"Fast-Charging","Standard-Charging"))</f>
        <v>Standard-Charging</v>
      </c>
      <c r="AF1552" t="str">
        <f>IF(EV_Data4[[#This Row],[acceleration_0_60_mph]]&lt;=3,"SportsPerformance",IF(EV_Data4[[#This Row],[acceleration_0_60_mph]]&lt;=5,"HighPerformance","Standard"))</f>
        <v>Standard</v>
      </c>
      <c r="AG1552" t="str">
        <f>IF(EV_Data4[[#This Row],[customer_rating]]&gt;=4.5,"Excellent",IF(EV_Data4[[#This Row],[customer_rating]]&gt;=3.5,"Good","Average"))</f>
        <v>Average</v>
      </c>
      <c r="AH155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53" spans="1:34" x14ac:dyDescent="0.3">
      <c r="A1553" t="s">
        <v>42</v>
      </c>
      <c r="B1553" t="s">
        <v>71</v>
      </c>
      <c r="C1553">
        <v>2026</v>
      </c>
      <c r="D1553" t="s">
        <v>44</v>
      </c>
      <c r="E1553" s="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34</v>
      </c>
      <c r="N1553">
        <v>7</v>
      </c>
      <c r="O1553" t="s">
        <v>51</v>
      </c>
      <c r="P1553">
        <v>23.4</v>
      </c>
      <c r="Q1553">
        <v>1883</v>
      </c>
      <c r="R1553">
        <v>5</v>
      </c>
      <c r="S1553">
        <v>1</v>
      </c>
      <c r="T1553" t="s">
        <v>45</v>
      </c>
      <c r="U1553" t="s">
        <v>37</v>
      </c>
      <c r="V1553" s="3">
        <v>112650</v>
      </c>
      <c r="W1553">
        <v>3.77</v>
      </c>
      <c r="X1553">
        <v>4</v>
      </c>
      <c r="Y1553" s="1">
        <f>EV_Data4[[#This Row],[range_miles]]/EV_Data4[[#This Row],[battery_capacity_kwh]]</f>
        <v>3.510436432637571</v>
      </c>
      <c r="Z1553" s="4">
        <f>EV_Data4[[#This Row],[price_usd]]/EV_Data4[[#This Row],[range_miles]]</f>
        <v>144.78327027027026</v>
      </c>
      <c r="AA1553" s="2">
        <f>(EV_Data4[[#This Row],[customer_rating]]*EV_Data4[[#This Row],[safety_rating]]*1000)/EV_Data4[[#This Row],[price_usd]]</f>
        <v>0.35187729805276519</v>
      </c>
      <c r="AB1553">
        <f>EV_Data4[[#This Row],[horsepower]]+EV_Data4[[#This Row],[torque_nm]]/EV_Data4[[#This Row],[acceleration_0_60_mph]]</f>
        <v>640.29850746268653</v>
      </c>
      <c r="AC1553" t="str">
        <f>IF(EV_Data4[[#This Row],[price_usd]]&gt;=80000,"Luxury",IF(EV_Data4[[#This Row],[price_usd]]&gt;=40000,"Mid-Range","Budget"))</f>
        <v>Mid-Range</v>
      </c>
      <c r="AD1553" t="str">
        <f>IF(EV_Data4[[#This Row],[range_miles]]&gt;=350,"Long-Range",IF(EV_Data4[[#This Row],[range_miles]]&gt;=250,"Medium-Range","Short-Range"))</f>
        <v>Long-Range</v>
      </c>
      <c r="AE1553" t="str">
        <f>IF(EV_Data4[[#This Row],[charging_speed_kw]]&gt;=250,"Ultra-Fast",IF(EV_Data4[[#This Row],[charging_speed_kw]]&gt;=150,"Fast-Charging","Standard-Charging"))</f>
        <v>Standard-Charging</v>
      </c>
      <c r="AF1553" t="str">
        <f>IF(EV_Data4[[#This Row],[acceleration_0_60_mph]]&lt;=3,"SportsPerformance",IF(EV_Data4[[#This Row],[acceleration_0_60_mph]]&lt;=5,"HighPerformance","Standard"))</f>
        <v>Standard</v>
      </c>
      <c r="AG1553" t="str">
        <f>IF(EV_Data4[[#This Row],[customer_rating]]&gt;=4.5,"Excellent",IF(EV_Data4[[#This Row],[customer_rating]]&gt;=3.5,"Good","Average"))</f>
        <v>Good</v>
      </c>
      <c r="AH155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54" spans="1:34" x14ac:dyDescent="0.3">
      <c r="A1554" t="s">
        <v>76</v>
      </c>
      <c r="B1554" t="s">
        <v>77</v>
      </c>
      <c r="C1554">
        <v>2023</v>
      </c>
      <c r="D1554" t="s">
        <v>61</v>
      </c>
      <c r="E1554" s="3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48</v>
      </c>
      <c r="N1554">
        <v>5</v>
      </c>
      <c r="O1554" t="s">
        <v>50</v>
      </c>
      <c r="P1554">
        <v>34</v>
      </c>
      <c r="Q1554">
        <v>1664</v>
      </c>
      <c r="R1554">
        <v>4</v>
      </c>
      <c r="S1554">
        <v>0</v>
      </c>
      <c r="T1554" t="s">
        <v>41</v>
      </c>
      <c r="U1554" t="s">
        <v>37</v>
      </c>
      <c r="V1554" s="3">
        <v>76286</v>
      </c>
      <c r="W1554">
        <v>3.13</v>
      </c>
      <c r="X1554">
        <v>5</v>
      </c>
      <c r="Y1554" s="1">
        <f>EV_Data4[[#This Row],[range_miles]]/EV_Data4[[#This Row],[battery_capacity_kwh]]</f>
        <v>3.4883720930232558</v>
      </c>
      <c r="Z1554" s="4">
        <f>EV_Data4[[#This Row],[price_usd]]/EV_Data4[[#This Row],[range_miles]]</f>
        <v>408.31720000000001</v>
      </c>
      <c r="AA1554" s="2">
        <f>(EV_Data4[[#This Row],[customer_rating]]*EV_Data4[[#This Row],[safety_rating]]*1000)/EV_Data4[[#This Row],[price_usd]]</f>
        <v>0.20441623979265791</v>
      </c>
      <c r="AB1554">
        <f>EV_Data4[[#This Row],[horsepower]]+EV_Data4[[#This Row],[torque_nm]]/EV_Data4[[#This Row],[acceleration_0_60_mph]]</f>
        <v>740.98761609907115</v>
      </c>
      <c r="AC1554" t="str">
        <f>IF(EV_Data4[[#This Row],[price_usd]]&gt;=80000,"Luxury",IF(EV_Data4[[#This Row],[price_usd]]&gt;=40000,"Mid-Range","Budget"))</f>
        <v>Mid-Range</v>
      </c>
      <c r="AD1554" t="str">
        <f>IF(EV_Data4[[#This Row],[range_miles]]&gt;=350,"Long-Range",IF(EV_Data4[[#This Row],[range_miles]]&gt;=250,"Medium-Range","Short-Range"))</f>
        <v>Short-Range</v>
      </c>
      <c r="AE1554" t="str">
        <f>IF(EV_Data4[[#This Row],[charging_speed_kw]]&gt;=250,"Ultra-Fast",IF(EV_Data4[[#This Row],[charging_speed_kw]]&gt;=150,"Fast-Charging","Standard-Charging"))</f>
        <v>Standard-Charging</v>
      </c>
      <c r="AF1554" t="str">
        <f>IF(EV_Data4[[#This Row],[acceleration_0_60_mph]]&lt;=3,"SportsPerformance",IF(EV_Data4[[#This Row],[acceleration_0_60_mph]]&lt;=5,"HighPerformance","Standard"))</f>
        <v>Standard</v>
      </c>
      <c r="AG1554" t="str">
        <f>IF(EV_Data4[[#This Row],[customer_rating]]&gt;=4.5,"Excellent",IF(EV_Data4[[#This Row],[customer_rating]]&gt;=3.5,"Good","Average"))</f>
        <v>Average</v>
      </c>
      <c r="AH155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55" spans="1:34" x14ac:dyDescent="0.3">
      <c r="A1555" t="s">
        <v>86</v>
      </c>
      <c r="B1555" t="s">
        <v>117</v>
      </c>
      <c r="C1555">
        <v>2024</v>
      </c>
      <c r="D1555" t="s">
        <v>33</v>
      </c>
      <c r="E1555" s="3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27</v>
      </c>
      <c r="N1555">
        <v>5</v>
      </c>
      <c r="O1555" t="s">
        <v>58</v>
      </c>
      <c r="P1555">
        <v>29.1</v>
      </c>
      <c r="Q1555">
        <v>1715</v>
      </c>
      <c r="R1555">
        <v>4</v>
      </c>
      <c r="S1555">
        <v>1</v>
      </c>
      <c r="T1555" t="s">
        <v>29</v>
      </c>
      <c r="U1555" t="s">
        <v>30</v>
      </c>
      <c r="V1555" s="3">
        <v>44054</v>
      </c>
      <c r="W1555">
        <v>3.23</v>
      </c>
      <c r="X1555">
        <v>7</v>
      </c>
      <c r="Y1555" s="1">
        <f>EV_Data4[[#This Row],[range_miles]]/EV_Data4[[#This Row],[battery_capacity_kwh]]</f>
        <v>3.8602329450915143</v>
      </c>
      <c r="Z1555" s="4">
        <f>EV_Data4[[#This Row],[price_usd]]/EV_Data4[[#This Row],[range_miles]]</f>
        <v>560.58448275862077</v>
      </c>
      <c r="AA1555" s="2">
        <f>(EV_Data4[[#This Row],[customer_rating]]*EV_Data4[[#This Row],[safety_rating]]*1000)/EV_Data4[[#This Row],[price_usd]]</f>
        <v>9.9342127520844925E-2</v>
      </c>
      <c r="AB1555">
        <f>EV_Data4[[#This Row],[horsepower]]+EV_Data4[[#This Row],[torque_nm]]/EV_Data4[[#This Row],[acceleration_0_60_mph]]</f>
        <v>1154.6762589928057</v>
      </c>
      <c r="AC1555" t="str">
        <f>IF(EV_Data4[[#This Row],[price_usd]]&gt;=80000,"Luxury",IF(EV_Data4[[#This Row],[price_usd]]&gt;=40000,"Mid-Range","Budget"))</f>
        <v>Luxury</v>
      </c>
      <c r="AD1555" t="str">
        <f>IF(EV_Data4[[#This Row],[range_miles]]&gt;=350,"Long-Range",IF(EV_Data4[[#This Row],[range_miles]]&gt;=250,"Medium-Range","Short-Range"))</f>
        <v>Short-Range</v>
      </c>
      <c r="AE1555" t="str">
        <f>IF(EV_Data4[[#This Row],[charging_speed_kw]]&gt;=250,"Ultra-Fast",IF(EV_Data4[[#This Row],[charging_speed_kw]]&gt;=150,"Fast-Charging","Standard-Charging"))</f>
        <v>Standard-Charging</v>
      </c>
      <c r="AF1555" t="str">
        <f>IF(EV_Data4[[#This Row],[acceleration_0_60_mph]]&lt;=3,"SportsPerformance",IF(EV_Data4[[#This Row],[acceleration_0_60_mph]]&lt;=5,"HighPerformance","Standard"))</f>
        <v>Standard</v>
      </c>
      <c r="AG1555" t="str">
        <f>IF(EV_Data4[[#This Row],[customer_rating]]&gt;=4.5,"Excellent",IF(EV_Data4[[#This Row],[customer_rating]]&gt;=3.5,"Good","Average"))</f>
        <v>Average</v>
      </c>
      <c r="AH155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56" spans="1:34" x14ac:dyDescent="0.3">
      <c r="A1556" t="s">
        <v>63</v>
      </c>
      <c r="B1556" t="s">
        <v>107</v>
      </c>
      <c r="C1556">
        <v>2022</v>
      </c>
      <c r="D1556" t="s">
        <v>33</v>
      </c>
      <c r="E1556" s="3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34</v>
      </c>
      <c r="N1556">
        <v>7</v>
      </c>
      <c r="O1556" t="s">
        <v>50</v>
      </c>
      <c r="P1556">
        <v>20.6</v>
      </c>
      <c r="Q1556">
        <v>1500</v>
      </c>
      <c r="R1556">
        <v>3</v>
      </c>
      <c r="S1556">
        <v>0</v>
      </c>
      <c r="T1556" t="s">
        <v>65</v>
      </c>
      <c r="U1556" t="s">
        <v>37</v>
      </c>
      <c r="V1556" s="3">
        <v>143146</v>
      </c>
      <c r="W1556">
        <v>3.46</v>
      </c>
      <c r="X1556">
        <v>3</v>
      </c>
      <c r="Y1556" s="1">
        <f>EV_Data4[[#This Row],[range_miles]]/EV_Data4[[#This Row],[battery_capacity_kwh]]</f>
        <v>3.5014836795252222</v>
      </c>
      <c r="Z1556" s="4">
        <f>EV_Data4[[#This Row],[price_usd]]/EV_Data4[[#This Row],[range_miles]]</f>
        <v>165.85809322033899</v>
      </c>
      <c r="AA1556" s="2">
        <f>(EV_Data4[[#This Row],[customer_rating]]*EV_Data4[[#This Row],[safety_rating]]*1000)/EV_Data4[[#This Row],[price_usd]]</f>
        <v>0.26518483357352396</v>
      </c>
      <c r="AB1556">
        <f>EV_Data4[[#This Row],[horsepower]]+EV_Data4[[#This Row],[torque_nm]]/EV_Data4[[#This Row],[acceleration_0_60_mph]]</f>
        <v>426.54773082942097</v>
      </c>
      <c r="AC1556" t="str">
        <f>IF(EV_Data4[[#This Row],[price_usd]]&gt;=80000,"Luxury",IF(EV_Data4[[#This Row],[price_usd]]&gt;=40000,"Mid-Range","Budget"))</f>
        <v>Budget</v>
      </c>
      <c r="AD1556" t="str">
        <f>IF(EV_Data4[[#This Row],[range_miles]]&gt;=350,"Long-Range",IF(EV_Data4[[#This Row],[range_miles]]&gt;=250,"Medium-Range","Short-Range"))</f>
        <v>Short-Range</v>
      </c>
      <c r="AE1556" t="str">
        <f>IF(EV_Data4[[#This Row],[charging_speed_kw]]&gt;=250,"Ultra-Fast",IF(EV_Data4[[#This Row],[charging_speed_kw]]&gt;=150,"Fast-Charging","Standard-Charging"))</f>
        <v>Standard-Charging</v>
      </c>
      <c r="AF1556" t="str">
        <f>IF(EV_Data4[[#This Row],[acceleration_0_60_mph]]&lt;=3,"SportsPerformance",IF(EV_Data4[[#This Row],[acceleration_0_60_mph]]&lt;=5,"HighPerformance","Standard"))</f>
        <v>Standard</v>
      </c>
      <c r="AG1556" t="str">
        <f>IF(EV_Data4[[#This Row],[customer_rating]]&gt;=4.5,"Excellent",IF(EV_Data4[[#This Row],[customer_rating]]&gt;=3.5,"Good","Average"))</f>
        <v>Average</v>
      </c>
      <c r="AH155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57" spans="1:34" x14ac:dyDescent="0.3">
      <c r="A1557" t="s">
        <v>63</v>
      </c>
      <c r="B1557" t="s">
        <v>88</v>
      </c>
      <c r="C1557">
        <v>2023</v>
      </c>
      <c r="D1557" t="s">
        <v>61</v>
      </c>
      <c r="E1557" s="3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48</v>
      </c>
      <c r="N1557">
        <v>5</v>
      </c>
      <c r="O1557" t="s">
        <v>35</v>
      </c>
      <c r="P1557">
        <v>35.9</v>
      </c>
      <c r="Q1557">
        <v>1699</v>
      </c>
      <c r="R1557">
        <v>5</v>
      </c>
      <c r="S1557">
        <v>0</v>
      </c>
      <c r="T1557" t="s">
        <v>65</v>
      </c>
      <c r="U1557" t="s">
        <v>66</v>
      </c>
      <c r="V1557" s="3">
        <v>206659</v>
      </c>
      <c r="W1557">
        <v>3.36</v>
      </c>
      <c r="X1557">
        <v>4</v>
      </c>
      <c r="Y1557" s="1">
        <f>EV_Data4[[#This Row],[range_miles]]/EV_Data4[[#This Row],[battery_capacity_kwh]]</f>
        <v>3.3682830930537353</v>
      </c>
      <c r="Z1557" s="4">
        <f>EV_Data4[[#This Row],[price_usd]]/EV_Data4[[#This Row],[range_miles]]</f>
        <v>103.42867704280155</v>
      </c>
      <c r="AA1557" s="2">
        <f>(EV_Data4[[#This Row],[customer_rating]]*EV_Data4[[#This Row],[safety_rating]]*1000)/EV_Data4[[#This Row],[price_usd]]</f>
        <v>0.63202635549902431</v>
      </c>
      <c r="AB1557">
        <f>EV_Data4[[#This Row],[horsepower]]+EV_Data4[[#This Row],[torque_nm]]/EV_Data4[[#This Row],[acceleration_0_60_mph]]</f>
        <v>238.62430939226519</v>
      </c>
      <c r="AC1557" t="str">
        <f>IF(EV_Data4[[#This Row],[price_usd]]&gt;=80000,"Luxury",IF(EV_Data4[[#This Row],[price_usd]]&gt;=40000,"Mid-Range","Budget"))</f>
        <v>Budget</v>
      </c>
      <c r="AD1557" t="str">
        <f>IF(EV_Data4[[#This Row],[range_miles]]&gt;=350,"Long-Range",IF(EV_Data4[[#This Row],[range_miles]]&gt;=250,"Medium-Range","Short-Range"))</f>
        <v>Medium-Range</v>
      </c>
      <c r="AE1557" t="str">
        <f>IF(EV_Data4[[#This Row],[charging_speed_kw]]&gt;=250,"Ultra-Fast",IF(EV_Data4[[#This Row],[charging_speed_kw]]&gt;=150,"Fast-Charging","Standard-Charging"))</f>
        <v>Standard-Charging</v>
      </c>
      <c r="AF1557" t="str">
        <f>IF(EV_Data4[[#This Row],[acceleration_0_60_mph]]&lt;=3,"SportsPerformance",IF(EV_Data4[[#This Row],[acceleration_0_60_mph]]&lt;=5,"HighPerformance","Standard"))</f>
        <v>Standard</v>
      </c>
      <c r="AG1557" t="str">
        <f>IF(EV_Data4[[#This Row],[customer_rating]]&gt;=4.5,"Excellent",IF(EV_Data4[[#This Row],[customer_rating]]&gt;=3.5,"Good","Average"))</f>
        <v>Average</v>
      </c>
      <c r="AH155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58" spans="1:34" x14ac:dyDescent="0.3">
      <c r="A1558" t="s">
        <v>42</v>
      </c>
      <c r="B1558" t="s">
        <v>43</v>
      </c>
      <c r="C1558">
        <v>2023</v>
      </c>
      <c r="D1558" t="s">
        <v>26</v>
      </c>
      <c r="E1558" s="3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48</v>
      </c>
      <c r="N1558">
        <v>7</v>
      </c>
      <c r="O1558" t="s">
        <v>35</v>
      </c>
      <c r="P1558">
        <v>54.6</v>
      </c>
      <c r="Q1558">
        <v>2003</v>
      </c>
      <c r="R1558">
        <v>4</v>
      </c>
      <c r="S1558">
        <v>0</v>
      </c>
      <c r="T1558" t="s">
        <v>45</v>
      </c>
      <c r="U1558" t="s">
        <v>33</v>
      </c>
      <c r="V1558" s="3">
        <v>118664</v>
      </c>
      <c r="W1558">
        <v>3.6</v>
      </c>
      <c r="X1558">
        <v>4</v>
      </c>
      <c r="Y1558" s="1">
        <f>EV_Data4[[#This Row],[range_miles]]/EV_Data4[[#This Row],[battery_capacity_kwh]]</f>
        <v>3.6528028933092225</v>
      </c>
      <c r="Z1558" s="4">
        <f>EV_Data4[[#This Row],[price_usd]]/EV_Data4[[#This Row],[range_miles]]</f>
        <v>229.02935643564356</v>
      </c>
      <c r="AA1558" s="2">
        <f>(EV_Data4[[#This Row],[customer_rating]]*EV_Data4[[#This Row],[safety_rating]]*1000)/EV_Data4[[#This Row],[price_usd]]</f>
        <v>0.15562880196299794</v>
      </c>
      <c r="AB1558">
        <f>EV_Data4[[#This Row],[horsepower]]+EV_Data4[[#This Row],[torque_nm]]/EV_Data4[[#This Row],[acceleration_0_60_mph]]</f>
        <v>1346.6666666666665</v>
      </c>
      <c r="AC1558" t="str">
        <f>IF(EV_Data4[[#This Row],[price_usd]]&gt;=80000,"Luxury",IF(EV_Data4[[#This Row],[price_usd]]&gt;=40000,"Mid-Range","Budget"))</f>
        <v>Luxury</v>
      </c>
      <c r="AD1558" t="str">
        <f>IF(EV_Data4[[#This Row],[range_miles]]&gt;=350,"Long-Range",IF(EV_Data4[[#This Row],[range_miles]]&gt;=250,"Medium-Range","Short-Range"))</f>
        <v>Long-Range</v>
      </c>
      <c r="AE1558" t="str">
        <f>IF(EV_Data4[[#This Row],[charging_speed_kw]]&gt;=250,"Ultra-Fast",IF(EV_Data4[[#This Row],[charging_speed_kw]]&gt;=150,"Fast-Charging","Standard-Charging"))</f>
        <v>Fast-Charging</v>
      </c>
      <c r="AF1558" t="str">
        <f>IF(EV_Data4[[#This Row],[acceleration_0_60_mph]]&lt;=3,"SportsPerformance",IF(EV_Data4[[#This Row],[acceleration_0_60_mph]]&lt;=5,"HighPerformance","Standard"))</f>
        <v>SportsPerformance</v>
      </c>
      <c r="AG1558" t="str">
        <f>IF(EV_Data4[[#This Row],[customer_rating]]&gt;=4.5,"Excellent",IF(EV_Data4[[#This Row],[customer_rating]]&gt;=3.5,"Good","Average"))</f>
        <v>Good</v>
      </c>
      <c r="AH155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59" spans="1:34" x14ac:dyDescent="0.3">
      <c r="A1559" t="s">
        <v>24</v>
      </c>
      <c r="B1559" t="s">
        <v>75</v>
      </c>
      <c r="C1559">
        <v>2022</v>
      </c>
      <c r="D1559" t="s">
        <v>44</v>
      </c>
      <c r="E1559" s="3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34</v>
      </c>
      <c r="N1559">
        <v>5</v>
      </c>
      <c r="O1559" t="s">
        <v>28</v>
      </c>
      <c r="P1559">
        <v>50.8</v>
      </c>
      <c r="Q1559">
        <v>2433</v>
      </c>
      <c r="R1559">
        <v>3</v>
      </c>
      <c r="S1559">
        <v>1</v>
      </c>
      <c r="T1559" t="s">
        <v>29</v>
      </c>
      <c r="U1559" t="s">
        <v>33</v>
      </c>
      <c r="V1559" s="3">
        <v>255210</v>
      </c>
      <c r="W1559">
        <v>3.55</v>
      </c>
      <c r="X1559">
        <v>4</v>
      </c>
      <c r="Y1559" s="1">
        <f>EV_Data4[[#This Row],[range_miles]]/EV_Data4[[#This Row],[battery_capacity_kwh]]</f>
        <v>3.5518590998043051</v>
      </c>
      <c r="Z1559" s="4">
        <f>EV_Data4[[#This Row],[price_usd]]/EV_Data4[[#This Row],[range_miles]]</f>
        <v>201.83308539944903</v>
      </c>
      <c r="AA1559" s="2">
        <f>(EV_Data4[[#This Row],[customer_rating]]*EV_Data4[[#This Row],[safety_rating]]*1000)/EV_Data4[[#This Row],[price_usd]]</f>
        <v>0.14536191089355807</v>
      </c>
      <c r="AB1559">
        <f>EV_Data4[[#This Row],[horsepower]]+EV_Data4[[#This Row],[torque_nm]]/EV_Data4[[#This Row],[acceleration_0_60_mph]]</f>
        <v>851.46058091286307</v>
      </c>
      <c r="AC1559" t="str">
        <f>IF(EV_Data4[[#This Row],[price_usd]]&gt;=80000,"Luxury",IF(EV_Data4[[#This Row],[price_usd]]&gt;=40000,"Mid-Range","Budget"))</f>
        <v>Mid-Range</v>
      </c>
      <c r="AD1559" t="str">
        <f>IF(EV_Data4[[#This Row],[range_miles]]&gt;=350,"Long-Range",IF(EV_Data4[[#This Row],[range_miles]]&gt;=250,"Medium-Range","Short-Range"))</f>
        <v>Long-Range</v>
      </c>
      <c r="AE1559" t="str">
        <f>IF(EV_Data4[[#This Row],[charging_speed_kw]]&gt;=250,"Ultra-Fast",IF(EV_Data4[[#This Row],[charging_speed_kw]]&gt;=150,"Fast-Charging","Standard-Charging"))</f>
        <v>Standard-Charging</v>
      </c>
      <c r="AF1559" t="str">
        <f>IF(EV_Data4[[#This Row],[acceleration_0_60_mph]]&lt;=3,"SportsPerformance",IF(EV_Data4[[#This Row],[acceleration_0_60_mph]]&lt;=5,"HighPerformance","Standard"))</f>
        <v>HighPerformance</v>
      </c>
      <c r="AG1559" t="str">
        <f>IF(EV_Data4[[#This Row],[customer_rating]]&gt;=4.5,"Excellent",IF(EV_Data4[[#This Row],[customer_rating]]&gt;=3.5,"Good","Average"))</f>
        <v>Good</v>
      </c>
      <c r="AH155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60" spans="1:34" x14ac:dyDescent="0.3">
      <c r="A1560" t="s">
        <v>52</v>
      </c>
      <c r="B1560" t="s">
        <v>53</v>
      </c>
      <c r="C1560">
        <v>2022</v>
      </c>
      <c r="D1560" t="s">
        <v>44</v>
      </c>
      <c r="E1560" s="3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27</v>
      </c>
      <c r="N1560">
        <v>5</v>
      </c>
      <c r="O1560" t="s">
        <v>28</v>
      </c>
      <c r="P1560">
        <v>52.1</v>
      </c>
      <c r="Q1560">
        <v>2548</v>
      </c>
      <c r="R1560">
        <v>5</v>
      </c>
      <c r="S1560">
        <v>1</v>
      </c>
      <c r="T1560" t="s">
        <v>29</v>
      </c>
      <c r="U1560" t="s">
        <v>30</v>
      </c>
      <c r="V1560" s="3">
        <v>49341</v>
      </c>
      <c r="W1560">
        <v>4.26</v>
      </c>
      <c r="X1560">
        <v>6</v>
      </c>
      <c r="Y1560" s="1">
        <f>EV_Data4[[#This Row],[range_miles]]/EV_Data4[[#This Row],[battery_capacity_kwh]]</f>
        <v>3.7218413320274242</v>
      </c>
      <c r="Z1560" s="4">
        <f>EV_Data4[[#This Row],[price_usd]]/EV_Data4[[#This Row],[range_miles]]</f>
        <v>470.63186842105262</v>
      </c>
      <c r="AA1560" s="2">
        <f>(EV_Data4[[#This Row],[customer_rating]]*EV_Data4[[#This Row],[safety_rating]]*1000)/EV_Data4[[#This Row],[price_usd]]</f>
        <v>0.11910079903216342</v>
      </c>
      <c r="AB1560">
        <f>EV_Data4[[#This Row],[horsepower]]+EV_Data4[[#This Row],[torque_nm]]/EV_Data4[[#This Row],[acceleration_0_60_mph]]</f>
        <v>1185.0649350649351</v>
      </c>
      <c r="AC1560" t="str">
        <f>IF(EV_Data4[[#This Row],[price_usd]]&gt;=80000,"Luxury",IF(EV_Data4[[#This Row],[price_usd]]&gt;=40000,"Mid-Range","Budget"))</f>
        <v>Luxury</v>
      </c>
      <c r="AD1560" t="str">
        <f>IF(EV_Data4[[#This Row],[range_miles]]&gt;=350,"Long-Range",IF(EV_Data4[[#This Row],[range_miles]]&gt;=250,"Medium-Range","Short-Range"))</f>
        <v>Long-Range</v>
      </c>
      <c r="AE1560" t="str">
        <f>IF(EV_Data4[[#This Row],[charging_speed_kw]]&gt;=250,"Ultra-Fast",IF(EV_Data4[[#This Row],[charging_speed_kw]]&gt;=150,"Fast-Charging","Standard-Charging"))</f>
        <v>Standard-Charging</v>
      </c>
      <c r="AF1560" t="str">
        <f>IF(EV_Data4[[#This Row],[acceleration_0_60_mph]]&lt;=3,"SportsPerformance",IF(EV_Data4[[#This Row],[acceleration_0_60_mph]]&lt;=5,"HighPerformance","Standard"))</f>
        <v>HighPerformance</v>
      </c>
      <c r="AG1560" t="str">
        <f>IF(EV_Data4[[#This Row],[customer_rating]]&gt;=4.5,"Excellent",IF(EV_Data4[[#This Row],[customer_rating]]&gt;=3.5,"Good","Average"))</f>
        <v>Good</v>
      </c>
      <c r="AH156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61" spans="1:34" x14ac:dyDescent="0.3">
      <c r="A1561" t="s">
        <v>86</v>
      </c>
      <c r="B1561" t="s">
        <v>105</v>
      </c>
      <c r="C1561">
        <v>2024</v>
      </c>
      <c r="D1561" t="s">
        <v>61</v>
      </c>
      <c r="E1561" s="3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48</v>
      </c>
      <c r="N1561">
        <v>5</v>
      </c>
      <c r="O1561" t="s">
        <v>35</v>
      </c>
      <c r="P1561">
        <v>54.8</v>
      </c>
      <c r="Q1561">
        <v>2094</v>
      </c>
      <c r="R1561">
        <v>4</v>
      </c>
      <c r="S1561">
        <v>1</v>
      </c>
      <c r="T1561" t="s">
        <v>29</v>
      </c>
      <c r="U1561" t="s">
        <v>37</v>
      </c>
      <c r="V1561" s="3">
        <v>52734</v>
      </c>
      <c r="W1561">
        <v>3.21</v>
      </c>
      <c r="X1561">
        <v>8</v>
      </c>
      <c r="Y1561" s="1">
        <f>EV_Data4[[#This Row],[range_miles]]/EV_Data4[[#This Row],[battery_capacity_kwh]]</f>
        <v>3.3140376266280756</v>
      </c>
      <c r="Z1561" s="4">
        <f>EV_Data4[[#This Row],[price_usd]]/EV_Data4[[#This Row],[range_miles]]</f>
        <v>243.23515283842795</v>
      </c>
      <c r="AA1561" s="2">
        <f>(EV_Data4[[#This Row],[customer_rating]]*EV_Data4[[#This Row],[safety_rating]]*1000)/EV_Data4[[#This Row],[price_usd]]</f>
        <v>0.23051712855369352</v>
      </c>
      <c r="AB1561">
        <f>EV_Data4[[#This Row],[horsepower]]+EV_Data4[[#This Row],[torque_nm]]/EV_Data4[[#This Row],[acceleration_0_60_mph]]</f>
        <v>260.90036900369006</v>
      </c>
      <c r="AC1561" t="str">
        <f>IF(EV_Data4[[#This Row],[price_usd]]&gt;=80000,"Luxury",IF(EV_Data4[[#This Row],[price_usd]]&gt;=40000,"Mid-Range","Budget"))</f>
        <v>Mid-Range</v>
      </c>
      <c r="AD1561" t="str">
        <f>IF(EV_Data4[[#This Row],[range_miles]]&gt;=350,"Long-Range",IF(EV_Data4[[#This Row],[range_miles]]&gt;=250,"Medium-Range","Short-Range"))</f>
        <v>Short-Range</v>
      </c>
      <c r="AE1561" t="str">
        <f>IF(EV_Data4[[#This Row],[charging_speed_kw]]&gt;=250,"Ultra-Fast",IF(EV_Data4[[#This Row],[charging_speed_kw]]&gt;=150,"Fast-Charging","Standard-Charging"))</f>
        <v>Standard-Charging</v>
      </c>
      <c r="AF1561" t="str">
        <f>IF(EV_Data4[[#This Row],[acceleration_0_60_mph]]&lt;=3,"SportsPerformance",IF(EV_Data4[[#This Row],[acceleration_0_60_mph]]&lt;=5,"HighPerformance","Standard"))</f>
        <v>Standard</v>
      </c>
      <c r="AG1561" t="str">
        <f>IF(EV_Data4[[#This Row],[customer_rating]]&gt;=4.5,"Excellent",IF(EV_Data4[[#This Row],[customer_rating]]&gt;=3.5,"Good","Average"))</f>
        <v>Average</v>
      </c>
      <c r="AH156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62" spans="1:34" x14ac:dyDescent="0.3">
      <c r="A1562" t="s">
        <v>63</v>
      </c>
      <c r="B1562" t="s">
        <v>96</v>
      </c>
      <c r="C1562">
        <v>2024</v>
      </c>
      <c r="D1562" t="s">
        <v>44</v>
      </c>
      <c r="E1562" s="3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34</v>
      </c>
      <c r="N1562">
        <v>7</v>
      </c>
      <c r="O1562" t="s">
        <v>58</v>
      </c>
      <c r="P1562">
        <v>20.8</v>
      </c>
      <c r="Q1562">
        <v>1791</v>
      </c>
      <c r="R1562">
        <v>3</v>
      </c>
      <c r="S1562">
        <v>2</v>
      </c>
      <c r="T1562" t="s">
        <v>65</v>
      </c>
      <c r="U1562" t="s">
        <v>33</v>
      </c>
      <c r="V1562" s="3">
        <v>149633</v>
      </c>
      <c r="W1562">
        <v>3.65</v>
      </c>
      <c r="X1562">
        <v>5</v>
      </c>
      <c r="Y1562" s="1">
        <f>EV_Data4[[#This Row],[range_miles]]/EV_Data4[[#This Row],[battery_capacity_kwh]]</f>
        <v>3.3861834654586636</v>
      </c>
      <c r="Z1562" s="4">
        <f>EV_Data4[[#This Row],[price_usd]]/EV_Data4[[#This Row],[range_miles]]</f>
        <v>251.102508361204</v>
      </c>
      <c r="AA1562" s="2">
        <f>(EV_Data4[[#This Row],[customer_rating]]*EV_Data4[[#This Row],[safety_rating]]*1000)/EV_Data4[[#This Row],[price_usd]]</f>
        <v>0.14584511249053506</v>
      </c>
      <c r="AB1562">
        <f>EV_Data4[[#This Row],[horsepower]]+EV_Data4[[#This Row],[torque_nm]]/EV_Data4[[#This Row],[acceleration_0_60_mph]]</f>
        <v>962.08695652173913</v>
      </c>
      <c r="AC1562" t="str">
        <f>IF(EV_Data4[[#This Row],[price_usd]]&gt;=80000,"Luxury",IF(EV_Data4[[#This Row],[price_usd]]&gt;=40000,"Mid-Range","Budget"))</f>
        <v>Mid-Range</v>
      </c>
      <c r="AD1562" t="str">
        <f>IF(EV_Data4[[#This Row],[range_miles]]&gt;=350,"Long-Range",IF(EV_Data4[[#This Row],[range_miles]]&gt;=250,"Medium-Range","Short-Range"))</f>
        <v>Medium-Range</v>
      </c>
      <c r="AE1562" t="str">
        <f>IF(EV_Data4[[#This Row],[charging_speed_kw]]&gt;=250,"Ultra-Fast",IF(EV_Data4[[#This Row],[charging_speed_kw]]&gt;=150,"Fast-Charging","Standard-Charging"))</f>
        <v>Standard-Charging</v>
      </c>
      <c r="AF1562" t="str">
        <f>IF(EV_Data4[[#This Row],[acceleration_0_60_mph]]&lt;=3,"SportsPerformance",IF(EV_Data4[[#This Row],[acceleration_0_60_mph]]&lt;=5,"HighPerformance","Standard"))</f>
        <v>Standard</v>
      </c>
      <c r="AG1562" t="str">
        <f>IF(EV_Data4[[#This Row],[customer_rating]]&gt;=4.5,"Excellent",IF(EV_Data4[[#This Row],[customer_rating]]&gt;=3.5,"Good","Average"))</f>
        <v>Good</v>
      </c>
      <c r="AH156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63" spans="1:34" x14ac:dyDescent="0.3">
      <c r="A1563" t="s">
        <v>63</v>
      </c>
      <c r="B1563" t="s">
        <v>107</v>
      </c>
      <c r="C1563">
        <v>2022</v>
      </c>
      <c r="D1563" t="s">
        <v>56</v>
      </c>
      <c r="E1563" s="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27</v>
      </c>
      <c r="N1563">
        <v>5</v>
      </c>
      <c r="O1563" t="s">
        <v>58</v>
      </c>
      <c r="P1563">
        <v>24.2</v>
      </c>
      <c r="Q1563">
        <v>1500</v>
      </c>
      <c r="R1563">
        <v>3</v>
      </c>
      <c r="S1563">
        <v>1</v>
      </c>
      <c r="T1563" t="s">
        <v>65</v>
      </c>
      <c r="U1563" t="s">
        <v>37</v>
      </c>
      <c r="V1563" s="3">
        <v>150601</v>
      </c>
      <c r="W1563">
        <v>3.18</v>
      </c>
      <c r="X1563">
        <v>4</v>
      </c>
      <c r="Y1563" s="1">
        <f>EV_Data4[[#This Row],[range_miles]]/EV_Data4[[#This Row],[battery_capacity_kwh]]</f>
        <v>3.3707865168539324</v>
      </c>
      <c r="Z1563" s="4">
        <f>EV_Data4[[#This Row],[price_usd]]/EV_Data4[[#This Row],[range_miles]]</f>
        <v>311.77686666666665</v>
      </c>
      <c r="AA1563" s="2">
        <f>(EV_Data4[[#This Row],[customer_rating]]*EV_Data4[[#This Row],[safety_rating]]*1000)/EV_Data4[[#This Row],[price_usd]]</f>
        <v>0.20399204302735316</v>
      </c>
      <c r="AB1563">
        <f>EV_Data4[[#This Row],[horsepower]]+EV_Data4[[#This Row],[torque_nm]]/EV_Data4[[#This Row],[acceleration_0_60_mph]]</f>
        <v>552.41269841269843</v>
      </c>
      <c r="AC1563" t="str">
        <f>IF(EV_Data4[[#This Row],[price_usd]]&gt;=80000,"Luxury",IF(EV_Data4[[#This Row],[price_usd]]&gt;=40000,"Mid-Range","Budget"))</f>
        <v>Mid-Range</v>
      </c>
      <c r="AD1563" t="str">
        <f>IF(EV_Data4[[#This Row],[range_miles]]&gt;=350,"Long-Range",IF(EV_Data4[[#This Row],[range_miles]]&gt;=250,"Medium-Range","Short-Range"))</f>
        <v>Short-Range</v>
      </c>
      <c r="AE1563" t="str">
        <f>IF(EV_Data4[[#This Row],[charging_speed_kw]]&gt;=250,"Ultra-Fast",IF(EV_Data4[[#This Row],[charging_speed_kw]]&gt;=150,"Fast-Charging","Standard-Charging"))</f>
        <v>Standard-Charging</v>
      </c>
      <c r="AF1563" t="str">
        <f>IF(EV_Data4[[#This Row],[acceleration_0_60_mph]]&lt;=3,"SportsPerformance",IF(EV_Data4[[#This Row],[acceleration_0_60_mph]]&lt;=5,"HighPerformance","Standard"))</f>
        <v>Standard</v>
      </c>
      <c r="AG1563" t="str">
        <f>IF(EV_Data4[[#This Row],[customer_rating]]&gt;=4.5,"Excellent",IF(EV_Data4[[#This Row],[customer_rating]]&gt;=3.5,"Good","Average"))</f>
        <v>Average</v>
      </c>
      <c r="AH156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64" spans="1:34" x14ac:dyDescent="0.3">
      <c r="A1564" t="s">
        <v>76</v>
      </c>
      <c r="B1564" t="s">
        <v>77</v>
      </c>
      <c r="C1564">
        <v>2026</v>
      </c>
      <c r="D1564" t="s">
        <v>56</v>
      </c>
      <c r="E1564" s="3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48</v>
      </c>
      <c r="N1564">
        <v>5</v>
      </c>
      <c r="O1564" t="s">
        <v>35</v>
      </c>
      <c r="P1564">
        <v>46.9</v>
      </c>
      <c r="Q1564">
        <v>1834</v>
      </c>
      <c r="R1564">
        <v>5</v>
      </c>
      <c r="S1564">
        <v>2</v>
      </c>
      <c r="T1564" t="s">
        <v>41</v>
      </c>
      <c r="U1564" t="s">
        <v>37</v>
      </c>
      <c r="V1564" s="3">
        <v>55997</v>
      </c>
      <c r="W1564">
        <v>3.06</v>
      </c>
      <c r="X1564">
        <v>5</v>
      </c>
      <c r="Y1564" s="1">
        <f>EV_Data4[[#This Row],[range_miles]]/EV_Data4[[#This Row],[battery_capacity_kwh]]</f>
        <v>3.526785714285714</v>
      </c>
      <c r="Z1564" s="4">
        <f>EV_Data4[[#This Row],[price_usd]]/EV_Data4[[#This Row],[range_miles]]</f>
        <v>183.85746835443038</v>
      </c>
      <c r="AA1564" s="2">
        <f>(EV_Data4[[#This Row],[customer_rating]]*EV_Data4[[#This Row],[safety_rating]]*1000)/EV_Data4[[#This Row],[price_usd]]</f>
        <v>0.35112504595607219</v>
      </c>
      <c r="AB1564">
        <f>EV_Data4[[#This Row],[horsepower]]+EV_Data4[[#This Row],[torque_nm]]/EV_Data4[[#This Row],[acceleration_0_60_mph]]</f>
        <v>441.04504504504507</v>
      </c>
      <c r="AC1564" t="str">
        <f>IF(EV_Data4[[#This Row],[price_usd]]&gt;=80000,"Luxury",IF(EV_Data4[[#This Row],[price_usd]]&gt;=40000,"Mid-Range","Budget"))</f>
        <v>Mid-Range</v>
      </c>
      <c r="AD1564" t="str">
        <f>IF(EV_Data4[[#This Row],[range_miles]]&gt;=350,"Long-Range",IF(EV_Data4[[#This Row],[range_miles]]&gt;=250,"Medium-Range","Short-Range"))</f>
        <v>Short-Range</v>
      </c>
      <c r="AE1564" t="str">
        <f>IF(EV_Data4[[#This Row],[charging_speed_kw]]&gt;=250,"Ultra-Fast",IF(EV_Data4[[#This Row],[charging_speed_kw]]&gt;=150,"Fast-Charging","Standard-Charging"))</f>
        <v>Standard-Charging</v>
      </c>
      <c r="AF1564" t="str">
        <f>IF(EV_Data4[[#This Row],[acceleration_0_60_mph]]&lt;=3,"SportsPerformance",IF(EV_Data4[[#This Row],[acceleration_0_60_mph]]&lt;=5,"HighPerformance","Standard"))</f>
        <v>Standard</v>
      </c>
      <c r="AG1564" t="str">
        <f>IF(EV_Data4[[#This Row],[customer_rating]]&gt;=4.5,"Excellent",IF(EV_Data4[[#This Row],[customer_rating]]&gt;=3.5,"Good","Average"))</f>
        <v>Average</v>
      </c>
      <c r="AH156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65" spans="1:34" x14ac:dyDescent="0.3">
      <c r="A1565" t="s">
        <v>63</v>
      </c>
      <c r="B1565" t="s">
        <v>82</v>
      </c>
      <c r="C1565">
        <v>2025</v>
      </c>
      <c r="D1565" t="s">
        <v>33</v>
      </c>
      <c r="E1565" s="3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48</v>
      </c>
      <c r="N1565">
        <v>5</v>
      </c>
      <c r="O1565" t="s">
        <v>58</v>
      </c>
      <c r="P1565">
        <v>18.600000000000001</v>
      </c>
      <c r="Q1565">
        <v>1500</v>
      </c>
      <c r="R1565">
        <v>4</v>
      </c>
      <c r="S1565">
        <v>0</v>
      </c>
      <c r="T1565" t="s">
        <v>65</v>
      </c>
      <c r="U1565" t="s">
        <v>33</v>
      </c>
      <c r="V1565" s="3">
        <v>114165</v>
      </c>
      <c r="W1565">
        <v>3.2</v>
      </c>
      <c r="X1565">
        <v>3</v>
      </c>
      <c r="Y1565" s="1">
        <f>EV_Data4[[#This Row],[range_miles]]/EV_Data4[[#This Row],[battery_capacity_kwh]]</f>
        <v>3.9633027522935782</v>
      </c>
      <c r="Z1565" s="4">
        <f>EV_Data4[[#This Row],[price_usd]]/EV_Data4[[#This Row],[range_miles]]</f>
        <v>329.75472222222226</v>
      </c>
      <c r="AA1565" s="2">
        <f>(EV_Data4[[#This Row],[customer_rating]]*EV_Data4[[#This Row],[safety_rating]]*1000)/EV_Data4[[#This Row],[price_usd]]</f>
        <v>0.1797070830704415</v>
      </c>
      <c r="AB1565">
        <f>EV_Data4[[#This Row],[horsepower]]+EV_Data4[[#This Row],[torque_nm]]/EV_Data4[[#This Row],[acceleration_0_60_mph]]</f>
        <v>1007.0396039603961</v>
      </c>
      <c r="AC1565" t="str">
        <f>IF(EV_Data4[[#This Row],[price_usd]]&gt;=80000,"Luxury",IF(EV_Data4[[#This Row],[price_usd]]&gt;=40000,"Mid-Range","Budget"))</f>
        <v>Mid-Range</v>
      </c>
      <c r="AD1565" t="str">
        <f>IF(EV_Data4[[#This Row],[range_miles]]&gt;=350,"Long-Range",IF(EV_Data4[[#This Row],[range_miles]]&gt;=250,"Medium-Range","Short-Range"))</f>
        <v>Short-Range</v>
      </c>
      <c r="AE1565" t="str">
        <f>IF(EV_Data4[[#This Row],[charging_speed_kw]]&gt;=250,"Ultra-Fast",IF(EV_Data4[[#This Row],[charging_speed_kw]]&gt;=150,"Fast-Charging","Standard-Charging"))</f>
        <v>Standard-Charging</v>
      </c>
      <c r="AF1565" t="str">
        <f>IF(EV_Data4[[#This Row],[acceleration_0_60_mph]]&lt;=3,"SportsPerformance",IF(EV_Data4[[#This Row],[acceleration_0_60_mph]]&lt;=5,"HighPerformance","Standard"))</f>
        <v>Standard</v>
      </c>
      <c r="AG1565" t="str">
        <f>IF(EV_Data4[[#This Row],[customer_rating]]&gt;=4.5,"Excellent",IF(EV_Data4[[#This Row],[customer_rating]]&gt;=3.5,"Good","Average"))</f>
        <v>Average</v>
      </c>
      <c r="AH156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66" spans="1:34" x14ac:dyDescent="0.3">
      <c r="A1566" t="s">
        <v>52</v>
      </c>
      <c r="B1566" t="s">
        <v>53</v>
      </c>
      <c r="C1566">
        <v>2024</v>
      </c>
      <c r="D1566" t="s">
        <v>56</v>
      </c>
      <c r="E1566" s="3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27</v>
      </c>
      <c r="N1566">
        <v>5</v>
      </c>
      <c r="O1566" t="s">
        <v>51</v>
      </c>
      <c r="P1566">
        <v>34.700000000000003</v>
      </c>
      <c r="Q1566">
        <v>1760</v>
      </c>
      <c r="R1566">
        <v>5</v>
      </c>
      <c r="S1566">
        <v>1</v>
      </c>
      <c r="T1566" t="s">
        <v>29</v>
      </c>
      <c r="U1566" t="s">
        <v>30</v>
      </c>
      <c r="V1566" s="3">
        <v>31657</v>
      </c>
      <c r="W1566">
        <v>3.57</v>
      </c>
      <c r="X1566">
        <v>6</v>
      </c>
      <c r="Y1566" s="1">
        <f>EV_Data4[[#This Row],[range_miles]]/EV_Data4[[#This Row],[battery_capacity_kwh]]</f>
        <v>3.694581280788177</v>
      </c>
      <c r="Z1566" s="4">
        <f>EV_Data4[[#This Row],[price_usd]]/EV_Data4[[#This Row],[range_miles]]</f>
        <v>842.3972</v>
      </c>
      <c r="AA1566" s="2">
        <f>(EV_Data4[[#This Row],[customer_rating]]*EV_Data4[[#This Row],[safety_rating]]*1000)/EV_Data4[[#This Row],[price_usd]]</f>
        <v>0.14126352746661547</v>
      </c>
      <c r="AB1566">
        <f>EV_Data4[[#This Row],[horsepower]]+EV_Data4[[#This Row],[torque_nm]]/EV_Data4[[#This Row],[acceleration_0_60_mph]]</f>
        <v>788.91164658634534</v>
      </c>
      <c r="AC1566" t="str">
        <f>IF(EV_Data4[[#This Row],[price_usd]]&gt;=80000,"Luxury",IF(EV_Data4[[#This Row],[price_usd]]&gt;=40000,"Mid-Range","Budget"))</f>
        <v>Luxury</v>
      </c>
      <c r="AD1566" t="str">
        <f>IF(EV_Data4[[#This Row],[range_miles]]&gt;=350,"Long-Range",IF(EV_Data4[[#This Row],[range_miles]]&gt;=250,"Medium-Range","Short-Range"))</f>
        <v>Short-Range</v>
      </c>
      <c r="AE1566" t="str">
        <f>IF(EV_Data4[[#This Row],[charging_speed_kw]]&gt;=250,"Ultra-Fast",IF(EV_Data4[[#This Row],[charging_speed_kw]]&gt;=150,"Fast-Charging","Standard-Charging"))</f>
        <v>Standard-Charging</v>
      </c>
      <c r="AF1566" t="str">
        <f>IF(EV_Data4[[#This Row],[acceleration_0_60_mph]]&lt;=3,"SportsPerformance",IF(EV_Data4[[#This Row],[acceleration_0_60_mph]]&lt;=5,"HighPerformance","Standard"))</f>
        <v>Standard</v>
      </c>
      <c r="AG1566" t="str">
        <f>IF(EV_Data4[[#This Row],[customer_rating]]&gt;=4.5,"Excellent",IF(EV_Data4[[#This Row],[customer_rating]]&gt;=3.5,"Good","Average"))</f>
        <v>Good</v>
      </c>
      <c r="AH156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67" spans="1:34" x14ac:dyDescent="0.3">
      <c r="A1567" t="s">
        <v>24</v>
      </c>
      <c r="B1567" t="s">
        <v>25</v>
      </c>
      <c r="C1567">
        <v>2021</v>
      </c>
      <c r="D1567" t="s">
        <v>44</v>
      </c>
      <c r="E1567" s="3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34</v>
      </c>
      <c r="N1567">
        <v>5</v>
      </c>
      <c r="O1567" t="s">
        <v>28</v>
      </c>
      <c r="P1567">
        <v>58.6</v>
      </c>
      <c r="Q1567">
        <v>2542</v>
      </c>
      <c r="R1567">
        <v>3</v>
      </c>
      <c r="S1567">
        <v>0</v>
      </c>
      <c r="T1567" t="s">
        <v>29</v>
      </c>
      <c r="U1567" t="s">
        <v>37</v>
      </c>
      <c r="V1567" s="3">
        <v>202031</v>
      </c>
      <c r="W1567">
        <v>3.79</v>
      </c>
      <c r="X1567">
        <v>3</v>
      </c>
      <c r="Y1567" s="1">
        <f>EV_Data4[[#This Row],[range_miles]]/EV_Data4[[#This Row],[battery_capacity_kwh]]</f>
        <v>3.232445520581114</v>
      </c>
      <c r="Z1567" s="4">
        <f>EV_Data4[[#This Row],[price_usd]]/EV_Data4[[#This Row],[range_miles]]</f>
        <v>134.34265917602997</v>
      </c>
      <c r="AA1567" s="2">
        <f>(EV_Data4[[#This Row],[customer_rating]]*EV_Data4[[#This Row],[safety_rating]]*1000)/EV_Data4[[#This Row],[price_usd]]</f>
        <v>0.31698248288447933</v>
      </c>
      <c r="AB1567">
        <f>EV_Data4[[#This Row],[horsepower]]+EV_Data4[[#This Row],[torque_nm]]/EV_Data4[[#This Row],[acceleration_0_60_mph]]</f>
        <v>267.68029739776949</v>
      </c>
      <c r="AC1567" t="str">
        <f>IF(EV_Data4[[#This Row],[price_usd]]&gt;=80000,"Luxury",IF(EV_Data4[[#This Row],[price_usd]]&gt;=40000,"Mid-Range","Budget"))</f>
        <v>Budget</v>
      </c>
      <c r="AD1567" t="str">
        <f>IF(EV_Data4[[#This Row],[range_miles]]&gt;=350,"Long-Range",IF(EV_Data4[[#This Row],[range_miles]]&gt;=250,"Medium-Range","Short-Range"))</f>
        <v>Medium-Range</v>
      </c>
      <c r="AE1567" t="str">
        <f>IF(EV_Data4[[#This Row],[charging_speed_kw]]&gt;=250,"Ultra-Fast",IF(EV_Data4[[#This Row],[charging_speed_kw]]&gt;=150,"Fast-Charging","Standard-Charging"))</f>
        <v>Standard-Charging</v>
      </c>
      <c r="AF1567" t="str">
        <f>IF(EV_Data4[[#This Row],[acceleration_0_60_mph]]&lt;=3,"SportsPerformance",IF(EV_Data4[[#This Row],[acceleration_0_60_mph]]&lt;=5,"HighPerformance","Standard"))</f>
        <v>Standard</v>
      </c>
      <c r="AG1567" t="str">
        <f>IF(EV_Data4[[#This Row],[customer_rating]]&gt;=4.5,"Excellent",IF(EV_Data4[[#This Row],[customer_rating]]&gt;=3.5,"Good","Average"))</f>
        <v>Good</v>
      </c>
      <c r="AH156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68" spans="1:34" x14ac:dyDescent="0.3">
      <c r="A1568" t="s">
        <v>83</v>
      </c>
      <c r="B1568" t="s">
        <v>116</v>
      </c>
      <c r="C1568">
        <v>2025</v>
      </c>
      <c r="D1568" t="s">
        <v>61</v>
      </c>
      <c r="E1568" s="3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48</v>
      </c>
      <c r="N1568">
        <v>7</v>
      </c>
      <c r="O1568" t="s">
        <v>58</v>
      </c>
      <c r="P1568">
        <v>31.5</v>
      </c>
      <c r="Q1568">
        <v>1500</v>
      </c>
      <c r="R1568">
        <v>4</v>
      </c>
      <c r="S1568">
        <v>1</v>
      </c>
      <c r="T1568" t="s">
        <v>29</v>
      </c>
      <c r="U1568" t="s">
        <v>33</v>
      </c>
      <c r="V1568" s="3">
        <v>62828</v>
      </c>
      <c r="W1568">
        <v>3.51</v>
      </c>
      <c r="X1568">
        <v>5</v>
      </c>
      <c r="Y1568" s="1">
        <f>EV_Data4[[#This Row],[range_miles]]/EV_Data4[[#This Row],[battery_capacity_kwh]]</f>
        <v>3.4050179211469533</v>
      </c>
      <c r="Z1568" s="4">
        <f>EV_Data4[[#This Row],[price_usd]]/EV_Data4[[#This Row],[range_miles]]</f>
        <v>296.73217543859647</v>
      </c>
      <c r="AA1568" s="2">
        <f>(EV_Data4[[#This Row],[customer_rating]]*EV_Data4[[#This Row],[safety_rating]]*1000)/EV_Data4[[#This Row],[price_usd]]</f>
        <v>0.16601892875931476</v>
      </c>
      <c r="AB1568">
        <f>EV_Data4[[#This Row],[horsepower]]+EV_Data4[[#This Row],[torque_nm]]/EV_Data4[[#This Row],[acceleration_0_60_mph]]</f>
        <v>719.19653179190755</v>
      </c>
      <c r="AC1568" t="str">
        <f>IF(EV_Data4[[#This Row],[price_usd]]&gt;=80000,"Luxury",IF(EV_Data4[[#This Row],[price_usd]]&gt;=40000,"Mid-Range","Budget"))</f>
        <v>Luxury</v>
      </c>
      <c r="AD1568" t="str">
        <f>IF(EV_Data4[[#This Row],[range_miles]]&gt;=350,"Long-Range",IF(EV_Data4[[#This Row],[range_miles]]&gt;=250,"Medium-Range","Short-Range"))</f>
        <v>Medium-Range</v>
      </c>
      <c r="AE1568" t="str">
        <f>IF(EV_Data4[[#This Row],[charging_speed_kw]]&gt;=250,"Ultra-Fast",IF(EV_Data4[[#This Row],[charging_speed_kw]]&gt;=150,"Fast-Charging","Standard-Charging"))</f>
        <v>Standard-Charging</v>
      </c>
      <c r="AF1568" t="str">
        <f>IF(EV_Data4[[#This Row],[acceleration_0_60_mph]]&lt;=3,"SportsPerformance",IF(EV_Data4[[#This Row],[acceleration_0_60_mph]]&lt;=5,"HighPerformance","Standard"))</f>
        <v>Standard</v>
      </c>
      <c r="AG1568" t="str">
        <f>IF(EV_Data4[[#This Row],[customer_rating]]&gt;=4.5,"Excellent",IF(EV_Data4[[#This Row],[customer_rating]]&gt;=3.5,"Good","Average"))</f>
        <v>Good</v>
      </c>
      <c r="AH156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69" spans="1:34" x14ac:dyDescent="0.3">
      <c r="A1569" t="s">
        <v>46</v>
      </c>
      <c r="B1569" t="s">
        <v>49</v>
      </c>
      <c r="C1569">
        <v>2023</v>
      </c>
      <c r="D1569" t="s">
        <v>56</v>
      </c>
      <c r="E1569" s="3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48</v>
      </c>
      <c r="N1569">
        <v>5</v>
      </c>
      <c r="O1569" t="s">
        <v>50</v>
      </c>
      <c r="P1569">
        <v>21</v>
      </c>
      <c r="Q1569">
        <v>1582</v>
      </c>
      <c r="R1569">
        <v>5</v>
      </c>
      <c r="S1569">
        <v>2</v>
      </c>
      <c r="T1569" t="s">
        <v>41</v>
      </c>
      <c r="U1569" t="s">
        <v>30</v>
      </c>
      <c r="V1569" s="3">
        <v>481578</v>
      </c>
      <c r="W1569">
        <v>4.09</v>
      </c>
      <c r="X1569">
        <v>4</v>
      </c>
      <c r="Y1569" s="1">
        <f>EV_Data4[[#This Row],[range_miles]]/EV_Data4[[#This Row],[battery_capacity_kwh]]</f>
        <v>3.6744759556103577</v>
      </c>
      <c r="Z1569" s="4">
        <f>EV_Data4[[#This Row],[price_usd]]/EV_Data4[[#This Row],[range_miles]]</f>
        <v>357.75664429530201</v>
      </c>
      <c r="AA1569" s="2">
        <f>(EV_Data4[[#This Row],[customer_rating]]*EV_Data4[[#This Row],[safety_rating]]*1000)/EV_Data4[[#This Row],[price_usd]]</f>
        <v>0.19181799183352488</v>
      </c>
      <c r="AB1569">
        <f>EV_Data4[[#This Row],[horsepower]]+EV_Data4[[#This Row],[torque_nm]]/EV_Data4[[#This Row],[acceleration_0_60_mph]]</f>
        <v>963.81072555205049</v>
      </c>
      <c r="AC1569" t="str">
        <f>IF(EV_Data4[[#This Row],[price_usd]]&gt;=80000,"Luxury",IF(EV_Data4[[#This Row],[price_usd]]&gt;=40000,"Mid-Range","Budget"))</f>
        <v>Luxury</v>
      </c>
      <c r="AD1569" t="str">
        <f>IF(EV_Data4[[#This Row],[range_miles]]&gt;=350,"Long-Range",IF(EV_Data4[[#This Row],[range_miles]]&gt;=250,"Medium-Range","Short-Range"))</f>
        <v>Medium-Range</v>
      </c>
      <c r="AE1569" t="str">
        <f>IF(EV_Data4[[#This Row],[charging_speed_kw]]&gt;=250,"Ultra-Fast",IF(EV_Data4[[#This Row],[charging_speed_kw]]&gt;=150,"Fast-Charging","Standard-Charging"))</f>
        <v>Fast-Charging</v>
      </c>
      <c r="AF1569" t="str">
        <f>IF(EV_Data4[[#This Row],[acceleration_0_60_mph]]&lt;=3,"SportsPerformance",IF(EV_Data4[[#This Row],[acceleration_0_60_mph]]&lt;=5,"HighPerformance","Standard"))</f>
        <v>Standard</v>
      </c>
      <c r="AG1569" t="str">
        <f>IF(EV_Data4[[#This Row],[customer_rating]]&gt;=4.5,"Excellent",IF(EV_Data4[[#This Row],[customer_rating]]&gt;=3.5,"Good","Average"))</f>
        <v>Good</v>
      </c>
      <c r="AH156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70" spans="1:34" x14ac:dyDescent="0.3">
      <c r="A1570" t="s">
        <v>83</v>
      </c>
      <c r="B1570" t="s">
        <v>116</v>
      </c>
      <c r="C1570">
        <v>2024</v>
      </c>
      <c r="D1570" t="s">
        <v>26</v>
      </c>
      <c r="E1570" s="3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27</v>
      </c>
      <c r="N1570">
        <v>5</v>
      </c>
      <c r="O1570" t="s">
        <v>50</v>
      </c>
      <c r="P1570">
        <v>35.200000000000003</v>
      </c>
      <c r="Q1570">
        <v>1572</v>
      </c>
      <c r="R1570">
        <v>4</v>
      </c>
      <c r="S1570">
        <v>1</v>
      </c>
      <c r="T1570" t="s">
        <v>29</v>
      </c>
      <c r="U1570" t="s">
        <v>33</v>
      </c>
      <c r="V1570" s="3">
        <v>59167</v>
      </c>
      <c r="W1570">
        <v>3.9</v>
      </c>
      <c r="X1570">
        <v>6</v>
      </c>
      <c r="Y1570" s="1">
        <f>EV_Data4[[#This Row],[range_miles]]/EV_Data4[[#This Row],[battery_capacity_kwh]]</f>
        <v>3.5437881873727086</v>
      </c>
      <c r="Z1570" s="4">
        <f>EV_Data4[[#This Row],[price_usd]]/EV_Data4[[#This Row],[range_miles]]</f>
        <v>238.0112643678161</v>
      </c>
      <c r="AA1570" s="2">
        <f>(EV_Data4[[#This Row],[customer_rating]]*EV_Data4[[#This Row],[safety_rating]]*1000)/EV_Data4[[#This Row],[price_usd]]</f>
        <v>0.18834228844573184</v>
      </c>
      <c r="AB1570">
        <f>EV_Data4[[#This Row],[horsepower]]+EV_Data4[[#This Row],[torque_nm]]/EV_Data4[[#This Row],[acceleration_0_60_mph]]</f>
        <v>671.92118226600985</v>
      </c>
      <c r="AC1570" t="str">
        <f>IF(EV_Data4[[#This Row],[price_usd]]&gt;=80000,"Luxury",IF(EV_Data4[[#This Row],[price_usd]]&gt;=40000,"Mid-Range","Budget"))</f>
        <v>Luxury</v>
      </c>
      <c r="AD1570" t="str">
        <f>IF(EV_Data4[[#This Row],[range_miles]]&gt;=350,"Long-Range",IF(EV_Data4[[#This Row],[range_miles]]&gt;=250,"Medium-Range","Short-Range"))</f>
        <v>Medium-Range</v>
      </c>
      <c r="AE1570" t="str">
        <f>IF(EV_Data4[[#This Row],[charging_speed_kw]]&gt;=250,"Ultra-Fast",IF(EV_Data4[[#This Row],[charging_speed_kw]]&gt;=150,"Fast-Charging","Standard-Charging"))</f>
        <v>Fast-Charging</v>
      </c>
      <c r="AF1570" t="str">
        <f>IF(EV_Data4[[#This Row],[acceleration_0_60_mph]]&lt;=3,"SportsPerformance",IF(EV_Data4[[#This Row],[acceleration_0_60_mph]]&lt;=5,"HighPerformance","Standard"))</f>
        <v>HighPerformance</v>
      </c>
      <c r="AG1570" t="str">
        <f>IF(EV_Data4[[#This Row],[customer_rating]]&gt;=4.5,"Excellent",IF(EV_Data4[[#This Row],[customer_rating]]&gt;=3.5,"Good","Average"))</f>
        <v>Good</v>
      </c>
      <c r="AH157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71" spans="1:34" x14ac:dyDescent="0.3">
      <c r="A1571" t="s">
        <v>24</v>
      </c>
      <c r="B1571" t="s">
        <v>85</v>
      </c>
      <c r="C1571">
        <v>2024</v>
      </c>
      <c r="D1571" t="s">
        <v>61</v>
      </c>
      <c r="E1571" s="3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48</v>
      </c>
      <c r="N1571">
        <v>7</v>
      </c>
      <c r="O1571" t="s">
        <v>35</v>
      </c>
      <c r="P1571">
        <v>68.7</v>
      </c>
      <c r="Q1571">
        <v>1808</v>
      </c>
      <c r="R1571">
        <v>5</v>
      </c>
      <c r="S1571">
        <v>2</v>
      </c>
      <c r="T1571" t="s">
        <v>29</v>
      </c>
      <c r="U1571" t="s">
        <v>37</v>
      </c>
      <c r="V1571" s="3">
        <v>256517</v>
      </c>
      <c r="W1571">
        <v>3.43</v>
      </c>
      <c r="X1571">
        <v>3</v>
      </c>
      <c r="Y1571" s="1">
        <f>EV_Data4[[#This Row],[range_miles]]/EV_Data4[[#This Row],[battery_capacity_kwh]]</f>
        <v>3.3333333333333335</v>
      </c>
      <c r="Z1571" s="4">
        <f>EV_Data4[[#This Row],[price_usd]]/EV_Data4[[#This Row],[range_miles]]</f>
        <v>175.71113122171948</v>
      </c>
      <c r="AA1571" s="2">
        <f>(EV_Data4[[#This Row],[customer_rating]]*EV_Data4[[#This Row],[safety_rating]]*1000)/EV_Data4[[#This Row],[price_usd]]</f>
        <v>0.44164424538835856</v>
      </c>
      <c r="AB1571">
        <f>EV_Data4[[#This Row],[horsepower]]+EV_Data4[[#This Row],[torque_nm]]/EV_Data4[[#This Row],[acceleration_0_60_mph]]</f>
        <v>277.23255813953489</v>
      </c>
      <c r="AC1571" t="str">
        <f>IF(EV_Data4[[#This Row],[price_usd]]&gt;=80000,"Luxury",IF(EV_Data4[[#This Row],[price_usd]]&gt;=40000,"Mid-Range","Budget"))</f>
        <v>Budget</v>
      </c>
      <c r="AD1571" t="str">
        <f>IF(EV_Data4[[#This Row],[range_miles]]&gt;=350,"Long-Range",IF(EV_Data4[[#This Row],[range_miles]]&gt;=250,"Medium-Range","Short-Range"))</f>
        <v>Short-Range</v>
      </c>
      <c r="AE1571" t="str">
        <f>IF(EV_Data4[[#This Row],[charging_speed_kw]]&gt;=250,"Ultra-Fast",IF(EV_Data4[[#This Row],[charging_speed_kw]]&gt;=150,"Fast-Charging","Standard-Charging"))</f>
        <v>Standard-Charging</v>
      </c>
      <c r="AF1571" t="str">
        <f>IF(EV_Data4[[#This Row],[acceleration_0_60_mph]]&lt;=3,"SportsPerformance",IF(EV_Data4[[#This Row],[acceleration_0_60_mph]]&lt;=5,"HighPerformance","Standard"))</f>
        <v>Standard</v>
      </c>
      <c r="AG1571" t="str">
        <f>IF(EV_Data4[[#This Row],[customer_rating]]&gt;=4.5,"Excellent",IF(EV_Data4[[#This Row],[customer_rating]]&gt;=3.5,"Good","Average"))</f>
        <v>Average</v>
      </c>
      <c r="AH157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72" spans="1:34" x14ac:dyDescent="0.3">
      <c r="A1572" t="s">
        <v>42</v>
      </c>
      <c r="B1572" t="s">
        <v>54</v>
      </c>
      <c r="C1572">
        <v>2025</v>
      </c>
      <c r="D1572" t="s">
        <v>26</v>
      </c>
      <c r="E1572" s="3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48</v>
      </c>
      <c r="N1572">
        <v>5</v>
      </c>
      <c r="O1572" t="s">
        <v>50</v>
      </c>
      <c r="P1572">
        <v>33.700000000000003</v>
      </c>
      <c r="Q1572">
        <v>1630</v>
      </c>
      <c r="R1572">
        <v>5</v>
      </c>
      <c r="S1572">
        <v>0</v>
      </c>
      <c r="T1572" t="s">
        <v>45</v>
      </c>
      <c r="U1572" t="s">
        <v>37</v>
      </c>
      <c r="V1572" s="3">
        <v>99623</v>
      </c>
      <c r="W1572">
        <v>3.84</v>
      </c>
      <c r="X1572">
        <v>4</v>
      </c>
      <c r="Y1572" s="1">
        <f>EV_Data4[[#This Row],[range_miles]]/EV_Data4[[#This Row],[battery_capacity_kwh]]</f>
        <v>3.6275565123789018</v>
      </c>
      <c r="Z1572" s="4">
        <f>EV_Data4[[#This Row],[price_usd]]/EV_Data4[[#This Row],[range_miles]]</f>
        <v>154.54747774480711</v>
      </c>
      <c r="AA1572" s="2">
        <f>(EV_Data4[[#This Row],[customer_rating]]*EV_Data4[[#This Row],[safety_rating]]*1000)/EV_Data4[[#This Row],[price_usd]]</f>
        <v>0.36864589833437333</v>
      </c>
      <c r="AB1572">
        <f>EV_Data4[[#This Row],[horsepower]]+EV_Data4[[#This Row],[torque_nm]]/EV_Data4[[#This Row],[acceleration_0_60_mph]]</f>
        <v>636.67073170731715</v>
      </c>
      <c r="AC1572" t="str">
        <f>IF(EV_Data4[[#This Row],[price_usd]]&gt;=80000,"Luxury",IF(EV_Data4[[#This Row],[price_usd]]&gt;=40000,"Mid-Range","Budget"))</f>
        <v>Mid-Range</v>
      </c>
      <c r="AD1572" t="str">
        <f>IF(EV_Data4[[#This Row],[range_miles]]&gt;=350,"Long-Range",IF(EV_Data4[[#This Row],[range_miles]]&gt;=250,"Medium-Range","Short-Range"))</f>
        <v>Medium-Range</v>
      </c>
      <c r="AE1572" t="str">
        <f>IF(EV_Data4[[#This Row],[charging_speed_kw]]&gt;=250,"Ultra-Fast",IF(EV_Data4[[#This Row],[charging_speed_kw]]&gt;=150,"Fast-Charging","Standard-Charging"))</f>
        <v>Fast-Charging</v>
      </c>
      <c r="AF1572" t="str">
        <f>IF(EV_Data4[[#This Row],[acceleration_0_60_mph]]&lt;=3,"SportsPerformance",IF(EV_Data4[[#This Row],[acceleration_0_60_mph]]&lt;=5,"HighPerformance","Standard"))</f>
        <v>HighPerformance</v>
      </c>
      <c r="AG1572" t="str">
        <f>IF(EV_Data4[[#This Row],[customer_rating]]&gt;=4.5,"Excellent",IF(EV_Data4[[#This Row],[customer_rating]]&gt;=3.5,"Good","Average"))</f>
        <v>Good</v>
      </c>
      <c r="AH157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73" spans="1:34" x14ac:dyDescent="0.3">
      <c r="A1573" t="s">
        <v>46</v>
      </c>
      <c r="B1573" t="s">
        <v>72</v>
      </c>
      <c r="C1573">
        <v>2024</v>
      </c>
      <c r="D1573" t="s">
        <v>61</v>
      </c>
      <c r="E1573" s="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27</v>
      </c>
      <c r="N1573">
        <v>7</v>
      </c>
      <c r="O1573" t="s">
        <v>28</v>
      </c>
      <c r="P1573">
        <v>56.6</v>
      </c>
      <c r="Q1573">
        <v>2263</v>
      </c>
      <c r="R1573">
        <v>5</v>
      </c>
      <c r="S1573">
        <v>2</v>
      </c>
      <c r="T1573" t="s">
        <v>41</v>
      </c>
      <c r="U1573" t="s">
        <v>30</v>
      </c>
      <c r="V1573" s="3">
        <v>162760</v>
      </c>
      <c r="W1573">
        <v>3.82</v>
      </c>
      <c r="X1573">
        <v>5</v>
      </c>
      <c r="Y1573" s="1">
        <f>EV_Data4[[#This Row],[range_miles]]/EV_Data4[[#This Row],[battery_capacity_kwh]]</f>
        <v>3.7719298245614032</v>
      </c>
      <c r="Z1573" s="4">
        <f>EV_Data4[[#This Row],[price_usd]]/EV_Data4[[#This Row],[range_miles]]</f>
        <v>485.18193798449613</v>
      </c>
      <c r="AA1573" s="2">
        <f>(EV_Data4[[#This Row],[customer_rating]]*EV_Data4[[#This Row],[safety_rating]]*1000)/EV_Data4[[#This Row],[price_usd]]</f>
        <v>0.15258401427611185</v>
      </c>
      <c r="AB1573">
        <f>EV_Data4[[#This Row],[horsepower]]+EV_Data4[[#This Row],[torque_nm]]/EV_Data4[[#This Row],[acceleration_0_60_mph]]</f>
        <v>1036.3318112633181</v>
      </c>
      <c r="AC1573" t="str">
        <f>IF(EV_Data4[[#This Row],[price_usd]]&gt;=80000,"Luxury",IF(EV_Data4[[#This Row],[price_usd]]&gt;=40000,"Mid-Range","Budget"))</f>
        <v>Luxury</v>
      </c>
      <c r="AD1573" t="str">
        <f>IF(EV_Data4[[#This Row],[range_miles]]&gt;=350,"Long-Range",IF(EV_Data4[[#This Row],[range_miles]]&gt;=250,"Medium-Range","Short-Range"))</f>
        <v>Medium-Range</v>
      </c>
      <c r="AE1573" t="str">
        <f>IF(EV_Data4[[#This Row],[charging_speed_kw]]&gt;=250,"Ultra-Fast",IF(EV_Data4[[#This Row],[charging_speed_kw]]&gt;=150,"Fast-Charging","Standard-Charging"))</f>
        <v>Fast-Charging</v>
      </c>
      <c r="AF1573" t="str">
        <f>IF(EV_Data4[[#This Row],[acceleration_0_60_mph]]&lt;=3,"SportsPerformance",IF(EV_Data4[[#This Row],[acceleration_0_60_mph]]&lt;=5,"HighPerformance","Standard"))</f>
        <v>Standard</v>
      </c>
      <c r="AG1573" t="str">
        <f>IF(EV_Data4[[#This Row],[customer_rating]]&gt;=4.5,"Excellent",IF(EV_Data4[[#This Row],[customer_rating]]&gt;=3.5,"Good","Average"))</f>
        <v>Good</v>
      </c>
      <c r="AH157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74" spans="1:34" x14ac:dyDescent="0.3">
      <c r="A1574" t="s">
        <v>38</v>
      </c>
      <c r="B1574" t="s">
        <v>55</v>
      </c>
      <c r="C1574">
        <v>2024</v>
      </c>
      <c r="D1574" t="s">
        <v>44</v>
      </c>
      <c r="E1574" s="3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27</v>
      </c>
      <c r="N1574">
        <v>5</v>
      </c>
      <c r="O1574" t="s">
        <v>51</v>
      </c>
      <c r="P1574">
        <v>32.200000000000003</v>
      </c>
      <c r="Q1574">
        <v>1592</v>
      </c>
      <c r="R1574">
        <v>4</v>
      </c>
      <c r="S1574">
        <v>0</v>
      </c>
      <c r="T1574" t="s">
        <v>41</v>
      </c>
      <c r="U1574" t="s">
        <v>37</v>
      </c>
      <c r="V1574" s="3">
        <v>22048</v>
      </c>
      <c r="W1574">
        <v>3.73</v>
      </c>
      <c r="X1574">
        <v>4</v>
      </c>
      <c r="Y1574" s="1">
        <f>EV_Data4[[#This Row],[range_miles]]/EV_Data4[[#This Row],[battery_capacity_kwh]]</f>
        <v>3.349609375</v>
      </c>
      <c r="Z1574" s="4">
        <f>EV_Data4[[#This Row],[price_usd]]/EV_Data4[[#This Row],[range_miles]]</f>
        <v>136.32790087463556</v>
      </c>
      <c r="AA1574" s="2">
        <f>(EV_Data4[[#This Row],[customer_rating]]*EV_Data4[[#This Row],[safety_rating]]*1000)/EV_Data4[[#This Row],[price_usd]]</f>
        <v>0.31907292634141615</v>
      </c>
      <c r="AB1574">
        <f>EV_Data4[[#This Row],[horsepower]]+EV_Data4[[#This Row],[torque_nm]]/EV_Data4[[#This Row],[acceleration_0_60_mph]]</f>
        <v>588.75</v>
      </c>
      <c r="AC1574" t="str">
        <f>IF(EV_Data4[[#This Row],[price_usd]]&gt;=80000,"Luxury",IF(EV_Data4[[#This Row],[price_usd]]&gt;=40000,"Mid-Range","Budget"))</f>
        <v>Mid-Range</v>
      </c>
      <c r="AD1574" t="str">
        <f>IF(EV_Data4[[#This Row],[range_miles]]&gt;=350,"Long-Range",IF(EV_Data4[[#This Row],[range_miles]]&gt;=250,"Medium-Range","Short-Range"))</f>
        <v>Medium-Range</v>
      </c>
      <c r="AE1574" t="str">
        <f>IF(EV_Data4[[#This Row],[charging_speed_kw]]&gt;=250,"Ultra-Fast",IF(EV_Data4[[#This Row],[charging_speed_kw]]&gt;=150,"Fast-Charging","Standard-Charging"))</f>
        <v>Standard-Charging</v>
      </c>
      <c r="AF1574" t="str">
        <f>IF(EV_Data4[[#This Row],[acceleration_0_60_mph]]&lt;=3,"SportsPerformance",IF(EV_Data4[[#This Row],[acceleration_0_60_mph]]&lt;=5,"HighPerformance","Standard"))</f>
        <v>HighPerformance</v>
      </c>
      <c r="AG1574" t="str">
        <f>IF(EV_Data4[[#This Row],[customer_rating]]&gt;=4.5,"Excellent",IF(EV_Data4[[#This Row],[customer_rating]]&gt;=3.5,"Good","Average"))</f>
        <v>Good</v>
      </c>
      <c r="AH157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75" spans="1:34" x14ac:dyDescent="0.3">
      <c r="A1575" t="s">
        <v>52</v>
      </c>
      <c r="B1575" t="s">
        <v>103</v>
      </c>
      <c r="C1575">
        <v>2024</v>
      </c>
      <c r="D1575" t="s">
        <v>33</v>
      </c>
      <c r="E1575" s="3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48</v>
      </c>
      <c r="N1575">
        <v>7</v>
      </c>
      <c r="O1575" t="s">
        <v>40</v>
      </c>
      <c r="P1575">
        <v>61.4</v>
      </c>
      <c r="Q1575">
        <v>1736</v>
      </c>
      <c r="R1575">
        <v>5</v>
      </c>
      <c r="S1575">
        <v>1</v>
      </c>
      <c r="T1575" t="s">
        <v>29</v>
      </c>
      <c r="U1575" t="s">
        <v>30</v>
      </c>
      <c r="V1575" s="3">
        <v>76804</v>
      </c>
      <c r="W1575">
        <v>3.93</v>
      </c>
      <c r="X1575">
        <v>6</v>
      </c>
      <c r="Y1575" s="1">
        <f>EV_Data4[[#This Row],[range_miles]]/EV_Data4[[#This Row],[battery_capacity_kwh]]</f>
        <v>3.8271604938271606</v>
      </c>
      <c r="Z1575" s="4">
        <f>EV_Data4[[#This Row],[price_usd]]/EV_Data4[[#This Row],[range_miles]]</f>
        <v>544.16822580645157</v>
      </c>
      <c r="AA1575" s="2">
        <f>(EV_Data4[[#This Row],[customer_rating]]*EV_Data4[[#This Row],[safety_rating]]*1000)/EV_Data4[[#This Row],[price_usd]]</f>
        <v>0.14560547126822443</v>
      </c>
      <c r="AB1575">
        <f>EV_Data4[[#This Row],[horsepower]]+EV_Data4[[#This Row],[torque_nm]]/EV_Data4[[#This Row],[acceleration_0_60_mph]]</f>
        <v>940.01996370235929</v>
      </c>
      <c r="AC1575" t="str">
        <f>IF(EV_Data4[[#This Row],[price_usd]]&gt;=80000,"Luxury",IF(EV_Data4[[#This Row],[price_usd]]&gt;=40000,"Mid-Range","Budget"))</f>
        <v>Luxury</v>
      </c>
      <c r="AD1575" t="str">
        <f>IF(EV_Data4[[#This Row],[range_miles]]&gt;=350,"Long-Range",IF(EV_Data4[[#This Row],[range_miles]]&gt;=250,"Medium-Range","Short-Range"))</f>
        <v>Short-Range</v>
      </c>
      <c r="AE1575" t="str">
        <f>IF(EV_Data4[[#This Row],[charging_speed_kw]]&gt;=250,"Ultra-Fast",IF(EV_Data4[[#This Row],[charging_speed_kw]]&gt;=150,"Fast-Charging","Standard-Charging"))</f>
        <v>Standard-Charging</v>
      </c>
      <c r="AF1575" t="str">
        <f>IF(EV_Data4[[#This Row],[acceleration_0_60_mph]]&lt;=3,"SportsPerformance",IF(EV_Data4[[#This Row],[acceleration_0_60_mph]]&lt;=5,"HighPerformance","Standard"))</f>
        <v>Standard</v>
      </c>
      <c r="AG1575" t="str">
        <f>IF(EV_Data4[[#This Row],[customer_rating]]&gt;=4.5,"Excellent",IF(EV_Data4[[#This Row],[customer_rating]]&gt;=3.5,"Good","Average"))</f>
        <v>Good</v>
      </c>
      <c r="AH157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76" spans="1:34" x14ac:dyDescent="0.3">
      <c r="A1576" t="s">
        <v>63</v>
      </c>
      <c r="B1576" t="s">
        <v>107</v>
      </c>
      <c r="C1576">
        <v>2023</v>
      </c>
      <c r="D1576" t="s">
        <v>33</v>
      </c>
      <c r="E1576" s="3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27</v>
      </c>
      <c r="N1576">
        <v>7</v>
      </c>
      <c r="O1576" t="s">
        <v>35</v>
      </c>
      <c r="P1576">
        <v>67.7</v>
      </c>
      <c r="Q1576">
        <v>1930</v>
      </c>
      <c r="R1576">
        <v>4</v>
      </c>
      <c r="S1576">
        <v>0</v>
      </c>
      <c r="T1576" t="s">
        <v>65</v>
      </c>
      <c r="U1576" t="s">
        <v>66</v>
      </c>
      <c r="V1576" s="3">
        <v>177176</v>
      </c>
      <c r="W1576">
        <v>3.68</v>
      </c>
      <c r="X1576">
        <v>4</v>
      </c>
      <c r="Y1576" s="1">
        <f>EV_Data4[[#This Row],[range_miles]]/EV_Data4[[#This Row],[battery_capacity_kwh]]</f>
        <v>3.3333333333333335</v>
      </c>
      <c r="Z1576" s="4">
        <f>EV_Data4[[#This Row],[price_usd]]/EV_Data4[[#This Row],[range_miles]]</f>
        <v>122.5811231884058</v>
      </c>
      <c r="AA1576" s="2">
        <f>(EV_Data4[[#This Row],[customer_rating]]*EV_Data4[[#This Row],[safety_rating]]*1000)/EV_Data4[[#This Row],[price_usd]]</f>
        <v>0.43508602259550688</v>
      </c>
      <c r="AB1576">
        <f>EV_Data4[[#This Row],[horsepower]]+EV_Data4[[#This Row],[torque_nm]]/EV_Data4[[#This Row],[acceleration_0_60_mph]]</f>
        <v>380.9396984924623</v>
      </c>
      <c r="AC1576" t="str">
        <f>IF(EV_Data4[[#This Row],[price_usd]]&gt;=80000,"Luxury",IF(EV_Data4[[#This Row],[price_usd]]&gt;=40000,"Mid-Range","Budget"))</f>
        <v>Budget</v>
      </c>
      <c r="AD1576" t="str">
        <f>IF(EV_Data4[[#This Row],[range_miles]]&gt;=350,"Long-Range",IF(EV_Data4[[#This Row],[range_miles]]&gt;=250,"Medium-Range","Short-Range"))</f>
        <v>Medium-Range</v>
      </c>
      <c r="AE1576" t="str">
        <f>IF(EV_Data4[[#This Row],[charging_speed_kw]]&gt;=250,"Ultra-Fast",IF(EV_Data4[[#This Row],[charging_speed_kw]]&gt;=150,"Fast-Charging","Standard-Charging"))</f>
        <v>Standard-Charging</v>
      </c>
      <c r="AF1576" t="str">
        <f>IF(EV_Data4[[#This Row],[acceleration_0_60_mph]]&lt;=3,"SportsPerformance",IF(EV_Data4[[#This Row],[acceleration_0_60_mph]]&lt;=5,"HighPerformance","Standard"))</f>
        <v>Standard</v>
      </c>
      <c r="AG1576" t="str">
        <f>IF(EV_Data4[[#This Row],[customer_rating]]&gt;=4.5,"Excellent",IF(EV_Data4[[#This Row],[customer_rating]]&gt;=3.5,"Good","Average"))</f>
        <v>Good</v>
      </c>
      <c r="AH157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77" spans="1:34" x14ac:dyDescent="0.3">
      <c r="A1577" t="s">
        <v>46</v>
      </c>
      <c r="B1577" t="s">
        <v>57</v>
      </c>
      <c r="C1577">
        <v>2021</v>
      </c>
      <c r="D1577" t="s">
        <v>33</v>
      </c>
      <c r="E1577" s="3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34</v>
      </c>
      <c r="N1577">
        <v>5</v>
      </c>
      <c r="O1577" t="s">
        <v>35</v>
      </c>
      <c r="P1577">
        <v>41.9</v>
      </c>
      <c r="Q1577">
        <v>2265</v>
      </c>
      <c r="R1577">
        <v>5</v>
      </c>
      <c r="S1577">
        <v>2</v>
      </c>
      <c r="T1577" t="s">
        <v>41</v>
      </c>
      <c r="U1577" t="s">
        <v>30</v>
      </c>
      <c r="V1577" s="3">
        <v>139115</v>
      </c>
      <c r="W1577">
        <v>3.55</v>
      </c>
      <c r="X1577">
        <v>5</v>
      </c>
      <c r="Y1577" s="1">
        <f>EV_Data4[[#This Row],[range_miles]]/EV_Data4[[#This Row],[battery_capacity_kwh]]</f>
        <v>3.7</v>
      </c>
      <c r="Z1577" s="4">
        <f>EV_Data4[[#This Row],[price_usd]]/EV_Data4[[#This Row],[range_miles]]</f>
        <v>644.33819819819814</v>
      </c>
      <c r="AA1577" s="2">
        <f>(EV_Data4[[#This Row],[customer_rating]]*EV_Data4[[#This Row],[safety_rating]]*1000)/EV_Data4[[#This Row],[price_usd]]</f>
        <v>0.12408849138315535</v>
      </c>
      <c r="AB1577">
        <f>EV_Data4[[#This Row],[horsepower]]+EV_Data4[[#This Row],[torque_nm]]/EV_Data4[[#This Row],[acceleration_0_60_mph]]</f>
        <v>1124.5614035087719</v>
      </c>
      <c r="AC1577" t="str">
        <f>IF(EV_Data4[[#This Row],[price_usd]]&gt;=80000,"Luxury",IF(EV_Data4[[#This Row],[price_usd]]&gt;=40000,"Mid-Range","Budget"))</f>
        <v>Luxury</v>
      </c>
      <c r="AD1577" t="str">
        <f>IF(EV_Data4[[#This Row],[range_miles]]&gt;=350,"Long-Range",IF(EV_Data4[[#This Row],[range_miles]]&gt;=250,"Medium-Range","Short-Range"))</f>
        <v>Short-Range</v>
      </c>
      <c r="AE1577" t="str">
        <f>IF(EV_Data4[[#This Row],[charging_speed_kw]]&gt;=250,"Ultra-Fast",IF(EV_Data4[[#This Row],[charging_speed_kw]]&gt;=150,"Fast-Charging","Standard-Charging"))</f>
        <v>Fast-Charging</v>
      </c>
      <c r="AF1577" t="str">
        <f>IF(EV_Data4[[#This Row],[acceleration_0_60_mph]]&lt;=3,"SportsPerformance",IF(EV_Data4[[#This Row],[acceleration_0_60_mph]]&lt;=5,"HighPerformance","Standard"))</f>
        <v>Standard</v>
      </c>
      <c r="AG1577" t="str">
        <f>IF(EV_Data4[[#This Row],[customer_rating]]&gt;=4.5,"Excellent",IF(EV_Data4[[#This Row],[customer_rating]]&gt;=3.5,"Good","Average"))</f>
        <v>Good</v>
      </c>
      <c r="AH157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78" spans="1:34" x14ac:dyDescent="0.3">
      <c r="A1578" t="s">
        <v>46</v>
      </c>
      <c r="B1578" t="s">
        <v>78</v>
      </c>
      <c r="C1578">
        <v>2021</v>
      </c>
      <c r="D1578" t="s">
        <v>56</v>
      </c>
      <c r="E1578" s="3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27</v>
      </c>
      <c r="N1578">
        <v>7</v>
      </c>
      <c r="O1578" t="s">
        <v>28</v>
      </c>
      <c r="P1578">
        <v>79.2</v>
      </c>
      <c r="Q1578">
        <v>2428</v>
      </c>
      <c r="R1578">
        <v>4</v>
      </c>
      <c r="S1578">
        <v>2</v>
      </c>
      <c r="T1578" t="s">
        <v>41</v>
      </c>
      <c r="U1578" t="s">
        <v>33</v>
      </c>
      <c r="V1578" s="3">
        <v>228985</v>
      </c>
      <c r="W1578">
        <v>3.76</v>
      </c>
      <c r="X1578">
        <v>6</v>
      </c>
      <c r="Y1578" s="1">
        <f>EV_Data4[[#This Row],[range_miles]]/EV_Data4[[#This Row],[battery_capacity_kwh]]</f>
        <v>3.3564013840830453</v>
      </c>
      <c r="Z1578" s="4">
        <f>EV_Data4[[#This Row],[price_usd]]/EV_Data4[[#This Row],[range_miles]]</f>
        <v>344.40247422680415</v>
      </c>
      <c r="AA1578" s="2">
        <f>(EV_Data4[[#This Row],[customer_rating]]*EV_Data4[[#This Row],[safety_rating]]*1000)/EV_Data4[[#This Row],[price_usd]]</f>
        <v>0.22510225389618474</v>
      </c>
      <c r="AB1578">
        <f>EV_Data4[[#This Row],[horsepower]]+EV_Data4[[#This Row],[torque_nm]]/EV_Data4[[#This Row],[acceleration_0_60_mph]]</f>
        <v>548.36959553695954</v>
      </c>
      <c r="AC1578" t="str">
        <f>IF(EV_Data4[[#This Row],[price_usd]]&gt;=80000,"Luxury",IF(EV_Data4[[#This Row],[price_usd]]&gt;=40000,"Mid-Range","Budget"))</f>
        <v>Mid-Range</v>
      </c>
      <c r="AD1578" t="str">
        <f>IF(EV_Data4[[#This Row],[range_miles]]&gt;=350,"Long-Range",IF(EV_Data4[[#This Row],[range_miles]]&gt;=250,"Medium-Range","Short-Range"))</f>
        <v>Short-Range</v>
      </c>
      <c r="AE1578" t="str">
        <f>IF(EV_Data4[[#This Row],[charging_speed_kw]]&gt;=250,"Ultra-Fast",IF(EV_Data4[[#This Row],[charging_speed_kw]]&gt;=150,"Fast-Charging","Standard-Charging"))</f>
        <v>Ultra-Fast</v>
      </c>
      <c r="AF1578" t="str">
        <f>IF(EV_Data4[[#This Row],[acceleration_0_60_mph]]&lt;=3,"SportsPerformance",IF(EV_Data4[[#This Row],[acceleration_0_60_mph]]&lt;=5,"HighPerformance","Standard"))</f>
        <v>Standard</v>
      </c>
      <c r="AG1578" t="str">
        <f>IF(EV_Data4[[#This Row],[customer_rating]]&gt;=4.5,"Excellent",IF(EV_Data4[[#This Row],[customer_rating]]&gt;=3.5,"Good","Average"))</f>
        <v>Good</v>
      </c>
      <c r="AH157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79" spans="1:34" x14ac:dyDescent="0.3">
      <c r="A1579" t="s">
        <v>83</v>
      </c>
      <c r="B1579" t="s">
        <v>104</v>
      </c>
      <c r="C1579">
        <v>2025</v>
      </c>
      <c r="D1579" t="s">
        <v>44</v>
      </c>
      <c r="E1579" s="3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27</v>
      </c>
      <c r="N1579">
        <v>5</v>
      </c>
      <c r="O1579" t="s">
        <v>50</v>
      </c>
      <c r="P1579">
        <v>33.799999999999997</v>
      </c>
      <c r="Q1579">
        <v>1687</v>
      </c>
      <c r="R1579">
        <v>4</v>
      </c>
      <c r="S1579">
        <v>2</v>
      </c>
      <c r="T1579" t="s">
        <v>29</v>
      </c>
      <c r="U1579" t="s">
        <v>30</v>
      </c>
      <c r="V1579" s="3">
        <v>36974</v>
      </c>
      <c r="W1579">
        <v>3.78</v>
      </c>
      <c r="X1579">
        <v>6</v>
      </c>
      <c r="Y1579" s="1">
        <f>EV_Data4[[#This Row],[range_miles]]/EV_Data4[[#This Row],[battery_capacity_kwh]]</f>
        <v>3.4538534728829688</v>
      </c>
      <c r="Z1579" s="4">
        <f>EV_Data4[[#This Row],[price_usd]]/EV_Data4[[#This Row],[range_miles]]</f>
        <v>373.81639118457304</v>
      </c>
      <c r="AA1579" s="2">
        <f>(EV_Data4[[#This Row],[customer_rating]]*EV_Data4[[#This Row],[safety_rating]]*1000)/EV_Data4[[#This Row],[price_usd]]</f>
        <v>0.1114260731852639</v>
      </c>
      <c r="AB1579">
        <f>EV_Data4[[#This Row],[horsepower]]+EV_Data4[[#This Row],[torque_nm]]/EV_Data4[[#This Row],[acceleration_0_60_mph]]</f>
        <v>1204.7169811320755</v>
      </c>
      <c r="AC1579" t="str">
        <f>IF(EV_Data4[[#This Row],[price_usd]]&gt;=80000,"Luxury",IF(EV_Data4[[#This Row],[price_usd]]&gt;=40000,"Mid-Range","Budget"))</f>
        <v>Luxury</v>
      </c>
      <c r="AD1579" t="str">
        <f>IF(EV_Data4[[#This Row],[range_miles]]&gt;=350,"Long-Range",IF(EV_Data4[[#This Row],[range_miles]]&gt;=250,"Medium-Range","Short-Range"))</f>
        <v>Long-Range</v>
      </c>
      <c r="AE1579" t="str">
        <f>IF(EV_Data4[[#This Row],[charging_speed_kw]]&gt;=250,"Ultra-Fast",IF(EV_Data4[[#This Row],[charging_speed_kw]]&gt;=150,"Fast-Charging","Standard-Charging"))</f>
        <v>Standard-Charging</v>
      </c>
      <c r="AF1579" t="str">
        <f>IF(EV_Data4[[#This Row],[acceleration_0_60_mph]]&lt;=3,"SportsPerformance",IF(EV_Data4[[#This Row],[acceleration_0_60_mph]]&lt;=5,"HighPerformance","Standard"))</f>
        <v>HighPerformance</v>
      </c>
      <c r="AG1579" t="str">
        <f>IF(EV_Data4[[#This Row],[customer_rating]]&gt;=4.5,"Excellent",IF(EV_Data4[[#This Row],[customer_rating]]&gt;=3.5,"Good","Average"))</f>
        <v>Good</v>
      </c>
      <c r="AH157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80" spans="1:34" x14ac:dyDescent="0.3">
      <c r="A1580" t="s">
        <v>42</v>
      </c>
      <c r="B1580" t="s">
        <v>54</v>
      </c>
      <c r="C1580">
        <v>2025</v>
      </c>
      <c r="D1580" t="s">
        <v>33</v>
      </c>
      <c r="E1580" s="3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48</v>
      </c>
      <c r="N1580">
        <v>7</v>
      </c>
      <c r="O1580" t="s">
        <v>51</v>
      </c>
      <c r="P1580">
        <v>15.8</v>
      </c>
      <c r="Q1580">
        <v>1625</v>
      </c>
      <c r="R1580">
        <v>4</v>
      </c>
      <c r="S1580">
        <v>0</v>
      </c>
      <c r="T1580" t="s">
        <v>45</v>
      </c>
      <c r="U1580" t="s">
        <v>33</v>
      </c>
      <c r="V1580" s="3">
        <v>91348</v>
      </c>
      <c r="W1580">
        <v>3.44</v>
      </c>
      <c r="X1580">
        <v>5</v>
      </c>
      <c r="Y1580" s="1">
        <f>EV_Data4[[#This Row],[range_miles]]/EV_Data4[[#This Row],[battery_capacity_kwh]]</f>
        <v>3.5357142857142856</v>
      </c>
      <c r="Z1580" s="4">
        <f>EV_Data4[[#This Row],[price_usd]]/EV_Data4[[#This Row],[range_miles]]</f>
        <v>333.22196969696967</v>
      </c>
      <c r="AA1580" s="2">
        <f>(EV_Data4[[#This Row],[customer_rating]]*EV_Data4[[#This Row],[safety_rating]]*1000)/EV_Data4[[#This Row],[price_usd]]</f>
        <v>0.20855452465558569</v>
      </c>
      <c r="AB1580">
        <f>EV_Data4[[#This Row],[horsepower]]+EV_Data4[[#This Row],[torque_nm]]/EV_Data4[[#This Row],[acceleration_0_60_mph]]</f>
        <v>902.20125786163521</v>
      </c>
      <c r="AC1580" t="str">
        <f>IF(EV_Data4[[#This Row],[price_usd]]&gt;=80000,"Luxury",IF(EV_Data4[[#This Row],[price_usd]]&gt;=40000,"Mid-Range","Budget"))</f>
        <v>Mid-Range</v>
      </c>
      <c r="AD1580" t="str">
        <f>IF(EV_Data4[[#This Row],[range_miles]]&gt;=350,"Long-Range",IF(EV_Data4[[#This Row],[range_miles]]&gt;=250,"Medium-Range","Short-Range"))</f>
        <v>Short-Range</v>
      </c>
      <c r="AE1580" t="str">
        <f>IF(EV_Data4[[#This Row],[charging_speed_kw]]&gt;=250,"Ultra-Fast",IF(EV_Data4[[#This Row],[charging_speed_kw]]&gt;=150,"Fast-Charging","Standard-Charging"))</f>
        <v>Standard-Charging</v>
      </c>
      <c r="AF1580" t="str">
        <f>IF(EV_Data4[[#This Row],[acceleration_0_60_mph]]&lt;=3,"SportsPerformance",IF(EV_Data4[[#This Row],[acceleration_0_60_mph]]&lt;=5,"HighPerformance","Standard"))</f>
        <v>Standard</v>
      </c>
      <c r="AG1580" t="str">
        <f>IF(EV_Data4[[#This Row],[customer_rating]]&gt;=4.5,"Excellent",IF(EV_Data4[[#This Row],[customer_rating]]&gt;=3.5,"Good","Average"))</f>
        <v>Average</v>
      </c>
      <c r="AH158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81" spans="1:34" x14ac:dyDescent="0.3">
      <c r="A1581" t="s">
        <v>42</v>
      </c>
      <c r="B1581" t="s">
        <v>115</v>
      </c>
      <c r="C1581">
        <v>2026</v>
      </c>
      <c r="D1581" t="s">
        <v>33</v>
      </c>
      <c r="E1581" s="3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48</v>
      </c>
      <c r="N1581">
        <v>7</v>
      </c>
      <c r="O1581" t="s">
        <v>40</v>
      </c>
      <c r="P1581">
        <v>77.7</v>
      </c>
      <c r="Q1581">
        <v>1877</v>
      </c>
      <c r="R1581">
        <v>5</v>
      </c>
      <c r="S1581">
        <v>1</v>
      </c>
      <c r="T1581" t="s">
        <v>45</v>
      </c>
      <c r="U1581" t="s">
        <v>33</v>
      </c>
      <c r="V1581" s="3">
        <v>81075</v>
      </c>
      <c r="W1581">
        <v>3.4</v>
      </c>
      <c r="X1581">
        <v>4</v>
      </c>
      <c r="Y1581" s="1">
        <f>EV_Data4[[#This Row],[range_miles]]/EV_Data4[[#This Row],[battery_capacity_kwh]]</f>
        <v>3.7596899224806202</v>
      </c>
      <c r="Z1581" s="4">
        <f>EV_Data4[[#This Row],[price_usd]]/EV_Data4[[#This Row],[range_miles]]</f>
        <v>493.68891752577315</v>
      </c>
      <c r="AA1581" s="2">
        <f>(EV_Data4[[#This Row],[customer_rating]]*EV_Data4[[#This Row],[safety_rating]]*1000)/EV_Data4[[#This Row],[price_usd]]</f>
        <v>0.17749814279516768</v>
      </c>
      <c r="AB1581">
        <f>EV_Data4[[#This Row],[horsepower]]+EV_Data4[[#This Row],[torque_nm]]/EV_Data4[[#This Row],[acceleration_0_60_mph]]</f>
        <v>1154.5293072824156</v>
      </c>
      <c r="AC1581" t="str">
        <f>IF(EV_Data4[[#This Row],[price_usd]]&gt;=80000,"Luxury",IF(EV_Data4[[#This Row],[price_usd]]&gt;=40000,"Mid-Range","Budget"))</f>
        <v>Luxury</v>
      </c>
      <c r="AD1581" t="str">
        <f>IF(EV_Data4[[#This Row],[range_miles]]&gt;=350,"Long-Range",IF(EV_Data4[[#This Row],[range_miles]]&gt;=250,"Medium-Range","Short-Range"))</f>
        <v>Short-Range</v>
      </c>
      <c r="AE1581" t="str">
        <f>IF(EV_Data4[[#This Row],[charging_speed_kw]]&gt;=250,"Ultra-Fast",IF(EV_Data4[[#This Row],[charging_speed_kw]]&gt;=150,"Fast-Charging","Standard-Charging"))</f>
        <v>Standard-Charging</v>
      </c>
      <c r="AF1581" t="str">
        <f>IF(EV_Data4[[#This Row],[acceleration_0_60_mph]]&lt;=3,"SportsPerformance",IF(EV_Data4[[#This Row],[acceleration_0_60_mph]]&lt;=5,"HighPerformance","Standard"))</f>
        <v>Standard</v>
      </c>
      <c r="AG1581" t="str">
        <f>IF(EV_Data4[[#This Row],[customer_rating]]&gt;=4.5,"Excellent",IF(EV_Data4[[#This Row],[customer_rating]]&gt;=3.5,"Good","Average"))</f>
        <v>Average</v>
      </c>
      <c r="AH158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82" spans="1:34" x14ac:dyDescent="0.3">
      <c r="A1582" t="s">
        <v>63</v>
      </c>
      <c r="B1582" t="s">
        <v>107</v>
      </c>
      <c r="C1582">
        <v>2026</v>
      </c>
      <c r="D1582" t="s">
        <v>33</v>
      </c>
      <c r="E1582" s="3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27</v>
      </c>
      <c r="N1582">
        <v>7</v>
      </c>
      <c r="O1582" t="s">
        <v>40</v>
      </c>
      <c r="P1582">
        <v>71.2</v>
      </c>
      <c r="Q1582">
        <v>1565</v>
      </c>
      <c r="R1582">
        <v>5</v>
      </c>
      <c r="S1582">
        <v>1</v>
      </c>
      <c r="T1582" t="s">
        <v>65</v>
      </c>
      <c r="U1582" t="s">
        <v>33</v>
      </c>
      <c r="V1582" s="3">
        <v>153987</v>
      </c>
      <c r="W1582">
        <v>3.28</v>
      </c>
      <c r="X1582">
        <v>5</v>
      </c>
      <c r="Y1582" s="1">
        <f>EV_Data4[[#This Row],[range_miles]]/EV_Data4[[#This Row],[battery_capacity_kwh]]</f>
        <v>3.6374845869297165</v>
      </c>
      <c r="Z1582" s="4">
        <f>EV_Data4[[#This Row],[price_usd]]/EV_Data4[[#This Row],[range_miles]]</f>
        <v>269.63654237288137</v>
      </c>
      <c r="AA1582" s="2">
        <f>(EV_Data4[[#This Row],[customer_rating]]*EV_Data4[[#This Row],[safety_rating]]*1000)/EV_Data4[[#This Row],[price_usd]]</f>
        <v>0.20617836087700228</v>
      </c>
      <c r="AB1582">
        <f>EV_Data4[[#This Row],[horsepower]]+EV_Data4[[#This Row],[torque_nm]]/EV_Data4[[#This Row],[acceleration_0_60_mph]]</f>
        <v>1021.4444444444445</v>
      </c>
      <c r="AC1582" t="str">
        <f>IF(EV_Data4[[#This Row],[price_usd]]&gt;=80000,"Luxury",IF(EV_Data4[[#This Row],[price_usd]]&gt;=40000,"Mid-Range","Budget"))</f>
        <v>Mid-Range</v>
      </c>
      <c r="AD1582" t="str">
        <f>IF(EV_Data4[[#This Row],[range_miles]]&gt;=350,"Long-Range",IF(EV_Data4[[#This Row],[range_miles]]&gt;=250,"Medium-Range","Short-Range"))</f>
        <v>Medium-Range</v>
      </c>
      <c r="AE1582" t="str">
        <f>IF(EV_Data4[[#This Row],[charging_speed_kw]]&gt;=250,"Ultra-Fast",IF(EV_Data4[[#This Row],[charging_speed_kw]]&gt;=150,"Fast-Charging","Standard-Charging"))</f>
        <v>Standard-Charging</v>
      </c>
      <c r="AF1582" t="str">
        <f>IF(EV_Data4[[#This Row],[acceleration_0_60_mph]]&lt;=3,"SportsPerformance",IF(EV_Data4[[#This Row],[acceleration_0_60_mph]]&lt;=5,"HighPerformance","Standard"))</f>
        <v>Standard</v>
      </c>
      <c r="AG1582" t="str">
        <f>IF(EV_Data4[[#This Row],[customer_rating]]&gt;=4.5,"Excellent",IF(EV_Data4[[#This Row],[customer_rating]]&gt;=3.5,"Good","Average"))</f>
        <v>Average</v>
      </c>
      <c r="AH158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83" spans="1:34" x14ac:dyDescent="0.3">
      <c r="A1583" t="s">
        <v>24</v>
      </c>
      <c r="B1583" t="s">
        <v>85</v>
      </c>
      <c r="C1583">
        <v>2023</v>
      </c>
      <c r="D1583" t="s">
        <v>33</v>
      </c>
      <c r="E1583" s="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27</v>
      </c>
      <c r="N1583">
        <v>5</v>
      </c>
      <c r="O1583" t="s">
        <v>51</v>
      </c>
      <c r="P1583">
        <v>17.8</v>
      </c>
      <c r="Q1583">
        <v>1765</v>
      </c>
      <c r="R1583">
        <v>4</v>
      </c>
      <c r="S1583">
        <v>2</v>
      </c>
      <c r="T1583" t="s">
        <v>29</v>
      </c>
      <c r="U1583" t="s">
        <v>33</v>
      </c>
      <c r="V1583" s="3">
        <v>212147</v>
      </c>
      <c r="W1583">
        <v>3.39</v>
      </c>
      <c r="X1583">
        <v>3</v>
      </c>
      <c r="Y1583" s="1">
        <f>EV_Data4[[#This Row],[range_miles]]/EV_Data4[[#This Row],[battery_capacity_kwh]]</f>
        <v>3.566333808844508</v>
      </c>
      <c r="Z1583" s="4">
        <f>EV_Data4[[#This Row],[price_usd]]/EV_Data4[[#This Row],[range_miles]]</f>
        <v>369.73311999999999</v>
      </c>
      <c r="AA1583" s="2">
        <f>(EV_Data4[[#This Row],[customer_rating]]*EV_Data4[[#This Row],[safety_rating]]*1000)/EV_Data4[[#This Row],[price_usd]]</f>
        <v>0.14670040920326533</v>
      </c>
      <c r="AB1583">
        <f>EV_Data4[[#This Row],[horsepower]]+EV_Data4[[#This Row],[torque_nm]]/EV_Data4[[#This Row],[acceleration_0_60_mph]]</f>
        <v>1164.4283121597095</v>
      </c>
      <c r="AC1583" t="str">
        <f>IF(EV_Data4[[#This Row],[price_usd]]&gt;=80000,"Luxury",IF(EV_Data4[[#This Row],[price_usd]]&gt;=40000,"Mid-Range","Budget"))</f>
        <v>Luxury</v>
      </c>
      <c r="AD1583" t="str">
        <f>IF(EV_Data4[[#This Row],[range_miles]]&gt;=350,"Long-Range",IF(EV_Data4[[#This Row],[range_miles]]&gt;=250,"Medium-Range","Short-Range"))</f>
        <v>Medium-Range</v>
      </c>
      <c r="AE1583" t="str">
        <f>IF(EV_Data4[[#This Row],[charging_speed_kw]]&gt;=250,"Ultra-Fast",IF(EV_Data4[[#This Row],[charging_speed_kw]]&gt;=150,"Fast-Charging","Standard-Charging"))</f>
        <v>Standard-Charging</v>
      </c>
      <c r="AF1583" t="str">
        <f>IF(EV_Data4[[#This Row],[acceleration_0_60_mph]]&lt;=3,"SportsPerformance",IF(EV_Data4[[#This Row],[acceleration_0_60_mph]]&lt;=5,"HighPerformance","Standard"))</f>
        <v>Standard</v>
      </c>
      <c r="AG1583" t="str">
        <f>IF(EV_Data4[[#This Row],[customer_rating]]&gt;=4.5,"Excellent",IF(EV_Data4[[#This Row],[customer_rating]]&gt;=3.5,"Good","Average"))</f>
        <v>Average</v>
      </c>
      <c r="AH158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84" spans="1:34" x14ac:dyDescent="0.3">
      <c r="A1584" t="s">
        <v>42</v>
      </c>
      <c r="B1584" t="s">
        <v>54</v>
      </c>
      <c r="C1584">
        <v>2024</v>
      </c>
      <c r="D1584" t="s">
        <v>44</v>
      </c>
      <c r="E1584" s="3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48</v>
      </c>
      <c r="N1584">
        <v>5</v>
      </c>
      <c r="O1584" t="s">
        <v>51</v>
      </c>
      <c r="P1584">
        <v>20.6</v>
      </c>
      <c r="Q1584">
        <v>1542</v>
      </c>
      <c r="R1584">
        <v>5</v>
      </c>
      <c r="S1584">
        <v>1</v>
      </c>
      <c r="T1584" t="s">
        <v>45</v>
      </c>
      <c r="U1584" t="s">
        <v>37</v>
      </c>
      <c r="V1584" s="3">
        <v>117679</v>
      </c>
      <c r="W1584">
        <v>3.63</v>
      </c>
      <c r="X1584">
        <v>5</v>
      </c>
      <c r="Y1584" s="1">
        <f>EV_Data4[[#This Row],[range_miles]]/EV_Data4[[#This Row],[battery_capacity_kwh]]</f>
        <v>3.3367346938775508</v>
      </c>
      <c r="Z1584" s="4">
        <f>EV_Data4[[#This Row],[price_usd]]/EV_Data4[[#This Row],[range_miles]]</f>
        <v>171.43581039755352</v>
      </c>
      <c r="AA1584" s="2">
        <f>(EV_Data4[[#This Row],[customer_rating]]*EV_Data4[[#This Row],[safety_rating]]*1000)/EV_Data4[[#This Row],[price_usd]]</f>
        <v>0.32376308676262067</v>
      </c>
      <c r="AB1584">
        <f>EV_Data4[[#This Row],[horsepower]]+EV_Data4[[#This Row],[torque_nm]]/EV_Data4[[#This Row],[acceleration_0_60_mph]]</f>
        <v>686.20136518771335</v>
      </c>
      <c r="AC1584" t="str">
        <f>IF(EV_Data4[[#This Row],[price_usd]]&gt;=80000,"Luxury",IF(EV_Data4[[#This Row],[price_usd]]&gt;=40000,"Mid-Range","Budget"))</f>
        <v>Mid-Range</v>
      </c>
      <c r="AD1584" t="str">
        <f>IF(EV_Data4[[#This Row],[range_miles]]&gt;=350,"Long-Range",IF(EV_Data4[[#This Row],[range_miles]]&gt;=250,"Medium-Range","Short-Range"))</f>
        <v>Medium-Range</v>
      </c>
      <c r="AE1584" t="str">
        <f>IF(EV_Data4[[#This Row],[charging_speed_kw]]&gt;=250,"Ultra-Fast",IF(EV_Data4[[#This Row],[charging_speed_kw]]&gt;=150,"Fast-Charging","Standard-Charging"))</f>
        <v>Standard-Charging</v>
      </c>
      <c r="AF1584" t="str">
        <f>IF(EV_Data4[[#This Row],[acceleration_0_60_mph]]&lt;=3,"SportsPerformance",IF(EV_Data4[[#This Row],[acceleration_0_60_mph]]&lt;=5,"HighPerformance","Standard"))</f>
        <v>Standard</v>
      </c>
      <c r="AG1584" t="str">
        <f>IF(EV_Data4[[#This Row],[customer_rating]]&gt;=4.5,"Excellent",IF(EV_Data4[[#This Row],[customer_rating]]&gt;=3.5,"Good","Average"))</f>
        <v>Good</v>
      </c>
      <c r="AH158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85" spans="1:34" x14ac:dyDescent="0.3">
      <c r="A1585" t="s">
        <v>68</v>
      </c>
      <c r="B1585" t="s">
        <v>106</v>
      </c>
      <c r="C1585">
        <v>2024</v>
      </c>
      <c r="D1585" t="s">
        <v>61</v>
      </c>
      <c r="E1585" s="3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27</v>
      </c>
      <c r="N1585">
        <v>5</v>
      </c>
      <c r="O1585" t="s">
        <v>51</v>
      </c>
      <c r="P1585">
        <v>31</v>
      </c>
      <c r="Q1585">
        <v>1925</v>
      </c>
      <c r="R1585">
        <v>5</v>
      </c>
      <c r="S1585">
        <v>0</v>
      </c>
      <c r="T1585" t="s">
        <v>45</v>
      </c>
      <c r="U1585" t="s">
        <v>37</v>
      </c>
      <c r="V1585" s="3">
        <v>80671</v>
      </c>
      <c r="W1585">
        <v>3.31</v>
      </c>
      <c r="X1585">
        <v>3</v>
      </c>
      <c r="Y1585" s="1">
        <f>EV_Data4[[#This Row],[range_miles]]/EV_Data4[[#This Row],[battery_capacity_kwh]]</f>
        <v>3.8450704225352115</v>
      </c>
      <c r="Z1585" s="4">
        <f>EV_Data4[[#This Row],[price_usd]]/EV_Data4[[#This Row],[range_miles]]</f>
        <v>219.84014652014653</v>
      </c>
      <c r="AA1585" s="2">
        <f>(EV_Data4[[#This Row],[customer_rating]]*EV_Data4[[#This Row],[safety_rating]]*1000)/EV_Data4[[#This Row],[price_usd]]</f>
        <v>0.27575814327959908</v>
      </c>
      <c r="AB1585">
        <f>EV_Data4[[#This Row],[horsepower]]+EV_Data4[[#This Row],[torque_nm]]/EV_Data4[[#This Row],[acceleration_0_60_mph]]</f>
        <v>819.51819757365683</v>
      </c>
      <c r="AC1585" t="str">
        <f>IF(EV_Data4[[#This Row],[price_usd]]&gt;=80000,"Luxury",IF(EV_Data4[[#This Row],[price_usd]]&gt;=40000,"Mid-Range","Budget"))</f>
        <v>Mid-Range</v>
      </c>
      <c r="AD1585" t="str">
        <f>IF(EV_Data4[[#This Row],[range_miles]]&gt;=350,"Long-Range",IF(EV_Data4[[#This Row],[range_miles]]&gt;=250,"Medium-Range","Short-Range"))</f>
        <v>Medium-Range</v>
      </c>
      <c r="AE1585" t="str">
        <f>IF(EV_Data4[[#This Row],[charging_speed_kw]]&gt;=250,"Ultra-Fast",IF(EV_Data4[[#This Row],[charging_speed_kw]]&gt;=150,"Fast-Charging","Standard-Charging"))</f>
        <v>Standard-Charging</v>
      </c>
      <c r="AF1585" t="str">
        <f>IF(EV_Data4[[#This Row],[acceleration_0_60_mph]]&lt;=3,"SportsPerformance",IF(EV_Data4[[#This Row],[acceleration_0_60_mph]]&lt;=5,"HighPerformance","Standard"))</f>
        <v>Standard</v>
      </c>
      <c r="AG1585" t="str">
        <f>IF(EV_Data4[[#This Row],[customer_rating]]&gt;=4.5,"Excellent",IF(EV_Data4[[#This Row],[customer_rating]]&gt;=3.5,"Good","Average"))</f>
        <v>Average</v>
      </c>
      <c r="AH158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86" spans="1:34" x14ac:dyDescent="0.3">
      <c r="A1586" t="s">
        <v>99</v>
      </c>
      <c r="B1586" t="s">
        <v>100</v>
      </c>
      <c r="C1586">
        <v>2024</v>
      </c>
      <c r="D1586" t="s">
        <v>33</v>
      </c>
      <c r="E1586" s="3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27</v>
      </c>
      <c r="N1586">
        <v>7</v>
      </c>
      <c r="O1586" t="s">
        <v>51</v>
      </c>
      <c r="P1586">
        <v>20.399999999999999</v>
      </c>
      <c r="Q1586">
        <v>1714</v>
      </c>
      <c r="R1586">
        <v>5</v>
      </c>
      <c r="S1586">
        <v>1</v>
      </c>
      <c r="T1586" t="s">
        <v>29</v>
      </c>
      <c r="U1586" t="s">
        <v>30</v>
      </c>
      <c r="V1586" s="3">
        <v>14726</v>
      </c>
      <c r="W1586">
        <v>3.66</v>
      </c>
      <c r="X1586">
        <v>6</v>
      </c>
      <c r="Y1586" s="1">
        <f>EV_Data4[[#This Row],[range_miles]]/EV_Data4[[#This Row],[battery_capacity_kwh]]</f>
        <v>3.6569987389659522</v>
      </c>
      <c r="Z1586" s="4">
        <f>EV_Data4[[#This Row],[price_usd]]/EV_Data4[[#This Row],[range_miles]]</f>
        <v>635.1807931034482</v>
      </c>
      <c r="AA1586" s="2">
        <f>(EV_Data4[[#This Row],[customer_rating]]*EV_Data4[[#This Row],[safety_rating]]*1000)/EV_Data4[[#This Row],[price_usd]]</f>
        <v>9.9347223595258757E-2</v>
      </c>
      <c r="AB1586">
        <f>EV_Data4[[#This Row],[horsepower]]+EV_Data4[[#This Row],[torque_nm]]/EV_Data4[[#This Row],[acceleration_0_60_mph]]</f>
        <v>1145.3767123287671</v>
      </c>
      <c r="AC1586" t="str">
        <f>IF(EV_Data4[[#This Row],[price_usd]]&gt;=80000,"Luxury",IF(EV_Data4[[#This Row],[price_usd]]&gt;=40000,"Mid-Range","Budget"))</f>
        <v>Luxury</v>
      </c>
      <c r="AD1586" t="str">
        <f>IF(EV_Data4[[#This Row],[range_miles]]&gt;=350,"Long-Range",IF(EV_Data4[[#This Row],[range_miles]]&gt;=250,"Medium-Range","Short-Range"))</f>
        <v>Medium-Range</v>
      </c>
      <c r="AE1586" t="str">
        <f>IF(EV_Data4[[#This Row],[charging_speed_kw]]&gt;=250,"Ultra-Fast",IF(EV_Data4[[#This Row],[charging_speed_kw]]&gt;=150,"Fast-Charging","Standard-Charging"))</f>
        <v>Ultra-Fast</v>
      </c>
      <c r="AF1586" t="str">
        <f>IF(EV_Data4[[#This Row],[acceleration_0_60_mph]]&lt;=3,"SportsPerformance",IF(EV_Data4[[#This Row],[acceleration_0_60_mph]]&lt;=5,"HighPerformance","Standard"))</f>
        <v>Standard</v>
      </c>
      <c r="AG1586" t="str">
        <f>IF(EV_Data4[[#This Row],[customer_rating]]&gt;=4.5,"Excellent",IF(EV_Data4[[#This Row],[customer_rating]]&gt;=3.5,"Good","Average"))</f>
        <v>Good</v>
      </c>
      <c r="AH158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87" spans="1:34" x14ac:dyDescent="0.3">
      <c r="A1587" t="s">
        <v>46</v>
      </c>
      <c r="B1587" t="s">
        <v>72</v>
      </c>
      <c r="C1587">
        <v>2022</v>
      </c>
      <c r="D1587" t="s">
        <v>26</v>
      </c>
      <c r="E1587" s="3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34</v>
      </c>
      <c r="N1587">
        <v>5</v>
      </c>
      <c r="O1587" t="s">
        <v>28</v>
      </c>
      <c r="P1587">
        <v>55.4</v>
      </c>
      <c r="Q1587">
        <v>2484</v>
      </c>
      <c r="R1587">
        <v>5</v>
      </c>
      <c r="S1587">
        <v>3</v>
      </c>
      <c r="T1587" t="s">
        <v>41</v>
      </c>
      <c r="U1587" t="s">
        <v>37</v>
      </c>
      <c r="V1587" s="3">
        <v>194936</v>
      </c>
      <c r="W1587">
        <v>4.0599999999999996</v>
      </c>
      <c r="X1587">
        <v>6</v>
      </c>
      <c r="Y1587" s="1">
        <f>EV_Data4[[#This Row],[range_miles]]/EV_Data4[[#This Row],[battery_capacity_kwh]]</f>
        <v>3.7403100775193798</v>
      </c>
      <c r="Z1587" s="4">
        <f>EV_Data4[[#This Row],[price_usd]]/EV_Data4[[#This Row],[range_miles]]</f>
        <v>149.06134715025908</v>
      </c>
      <c r="AA1587" s="2">
        <f>(EV_Data4[[#This Row],[customer_rating]]*EV_Data4[[#This Row],[safety_rating]]*1000)/EV_Data4[[#This Row],[price_usd]]</f>
        <v>0.35281227884057886</v>
      </c>
      <c r="AB1587">
        <f>EV_Data4[[#This Row],[horsepower]]+EV_Data4[[#This Row],[torque_nm]]/EV_Data4[[#This Row],[acceleration_0_60_mph]]</f>
        <v>513.6349206349206</v>
      </c>
      <c r="AC1587" t="str">
        <f>IF(EV_Data4[[#This Row],[price_usd]]&gt;=80000,"Luxury",IF(EV_Data4[[#This Row],[price_usd]]&gt;=40000,"Mid-Range","Budget"))</f>
        <v>Mid-Range</v>
      </c>
      <c r="AD1587" t="str">
        <f>IF(EV_Data4[[#This Row],[range_miles]]&gt;=350,"Long-Range",IF(EV_Data4[[#This Row],[range_miles]]&gt;=250,"Medium-Range","Short-Range"))</f>
        <v>Long-Range</v>
      </c>
      <c r="AE1587" t="str">
        <f>IF(EV_Data4[[#This Row],[charging_speed_kw]]&gt;=250,"Ultra-Fast",IF(EV_Data4[[#This Row],[charging_speed_kw]]&gt;=150,"Fast-Charging","Standard-Charging"))</f>
        <v>Fast-Charging</v>
      </c>
      <c r="AF1587" t="str">
        <f>IF(EV_Data4[[#This Row],[acceleration_0_60_mph]]&lt;=3,"SportsPerformance",IF(EV_Data4[[#This Row],[acceleration_0_60_mph]]&lt;=5,"HighPerformance","Standard"))</f>
        <v>HighPerformance</v>
      </c>
      <c r="AG1587" t="str">
        <f>IF(EV_Data4[[#This Row],[customer_rating]]&gt;=4.5,"Excellent",IF(EV_Data4[[#This Row],[customer_rating]]&gt;=3.5,"Good","Average"))</f>
        <v>Good</v>
      </c>
      <c r="AH1587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588" spans="1:34" x14ac:dyDescent="0.3">
      <c r="A1588" t="s">
        <v>38</v>
      </c>
      <c r="B1588" t="s">
        <v>39</v>
      </c>
      <c r="C1588">
        <v>2021</v>
      </c>
      <c r="D1588" t="s">
        <v>26</v>
      </c>
      <c r="E1588" s="3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34</v>
      </c>
      <c r="N1588">
        <v>5</v>
      </c>
      <c r="O1588" t="s">
        <v>40</v>
      </c>
      <c r="P1588">
        <v>77.5</v>
      </c>
      <c r="Q1588">
        <v>1612</v>
      </c>
      <c r="R1588">
        <v>4</v>
      </c>
      <c r="S1588">
        <v>0</v>
      </c>
      <c r="T1588" t="s">
        <v>41</v>
      </c>
      <c r="U1588" t="s">
        <v>37</v>
      </c>
      <c r="V1588" s="3">
        <v>7468</v>
      </c>
      <c r="W1588">
        <v>3.83</v>
      </c>
      <c r="X1588">
        <v>3</v>
      </c>
      <c r="Y1588" s="1">
        <f>EV_Data4[[#This Row],[range_miles]]/EV_Data4[[#This Row],[battery_capacity_kwh]]</f>
        <v>3.4469328140214217</v>
      </c>
      <c r="Z1588" s="4">
        <f>EV_Data4[[#This Row],[price_usd]]/EV_Data4[[#This Row],[range_miles]]</f>
        <v>134.0532768361582</v>
      </c>
      <c r="AA1588" s="2">
        <f>(EV_Data4[[#This Row],[customer_rating]]*EV_Data4[[#This Row],[safety_rating]]*1000)/EV_Data4[[#This Row],[price_usd]]</f>
        <v>0.32283310919050229</v>
      </c>
      <c r="AB1588">
        <f>EV_Data4[[#This Row],[horsepower]]+EV_Data4[[#This Row],[torque_nm]]/EV_Data4[[#This Row],[acceleration_0_60_mph]]</f>
        <v>685.85507246376812</v>
      </c>
      <c r="AC1588" t="str">
        <f>IF(EV_Data4[[#This Row],[price_usd]]&gt;=80000,"Luxury",IF(EV_Data4[[#This Row],[price_usd]]&gt;=40000,"Mid-Range","Budget"))</f>
        <v>Mid-Range</v>
      </c>
      <c r="AD1588" t="str">
        <f>IF(EV_Data4[[#This Row],[range_miles]]&gt;=350,"Long-Range",IF(EV_Data4[[#This Row],[range_miles]]&gt;=250,"Medium-Range","Short-Range"))</f>
        <v>Long-Range</v>
      </c>
      <c r="AE1588" t="str">
        <f>IF(EV_Data4[[#This Row],[charging_speed_kw]]&gt;=250,"Ultra-Fast",IF(EV_Data4[[#This Row],[charging_speed_kw]]&gt;=150,"Fast-Charging","Standard-Charging"))</f>
        <v>Fast-Charging</v>
      </c>
      <c r="AF1588" t="str">
        <f>IF(EV_Data4[[#This Row],[acceleration_0_60_mph]]&lt;=3,"SportsPerformance",IF(EV_Data4[[#This Row],[acceleration_0_60_mph]]&lt;=5,"HighPerformance","Standard"))</f>
        <v>SportsPerformance</v>
      </c>
      <c r="AG1588" t="str">
        <f>IF(EV_Data4[[#This Row],[customer_rating]]&gt;=4.5,"Excellent",IF(EV_Data4[[#This Row],[customer_rating]]&gt;=3.5,"Good","Average"))</f>
        <v>Good</v>
      </c>
      <c r="AH158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89" spans="1:34" x14ac:dyDescent="0.3">
      <c r="A1589" t="s">
        <v>24</v>
      </c>
      <c r="B1589" t="s">
        <v>74</v>
      </c>
      <c r="C1589">
        <v>2024</v>
      </c>
      <c r="D1589" t="s">
        <v>44</v>
      </c>
      <c r="E1589" s="3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48</v>
      </c>
      <c r="N1589">
        <v>5</v>
      </c>
      <c r="O1589" t="s">
        <v>35</v>
      </c>
      <c r="P1589">
        <v>64.099999999999994</v>
      </c>
      <c r="Q1589">
        <v>1885</v>
      </c>
      <c r="R1589">
        <v>4</v>
      </c>
      <c r="S1589">
        <v>0</v>
      </c>
      <c r="T1589" t="s">
        <v>29</v>
      </c>
      <c r="U1589" t="s">
        <v>37</v>
      </c>
      <c r="V1589" s="3">
        <v>214608</v>
      </c>
      <c r="W1589">
        <v>3.82</v>
      </c>
      <c r="X1589">
        <v>4</v>
      </c>
      <c r="Y1589" s="1">
        <f>EV_Data4[[#This Row],[range_miles]]/EV_Data4[[#This Row],[battery_capacity_kwh]]</f>
        <v>3.5299625468164795</v>
      </c>
      <c r="Z1589" s="4">
        <f>EV_Data4[[#This Row],[price_usd]]/EV_Data4[[#This Row],[range_miles]]</f>
        <v>139.14209549071617</v>
      </c>
      <c r="AA1589" s="2">
        <f>(EV_Data4[[#This Row],[customer_rating]]*EV_Data4[[#This Row],[safety_rating]]*1000)/EV_Data4[[#This Row],[price_usd]]</f>
        <v>0.29128858406106234</v>
      </c>
      <c r="AB1589">
        <f>EV_Data4[[#This Row],[horsepower]]+EV_Data4[[#This Row],[torque_nm]]/EV_Data4[[#This Row],[acceleration_0_60_mph]]</f>
        <v>564.80812641083526</v>
      </c>
      <c r="AC1589" t="str">
        <f>IF(EV_Data4[[#This Row],[price_usd]]&gt;=80000,"Luxury",IF(EV_Data4[[#This Row],[price_usd]]&gt;=40000,"Mid-Range","Budget"))</f>
        <v>Mid-Range</v>
      </c>
      <c r="AD1589" t="str">
        <f>IF(EV_Data4[[#This Row],[range_miles]]&gt;=350,"Long-Range",IF(EV_Data4[[#This Row],[range_miles]]&gt;=250,"Medium-Range","Short-Range"))</f>
        <v>Long-Range</v>
      </c>
      <c r="AE1589" t="str">
        <f>IF(EV_Data4[[#This Row],[charging_speed_kw]]&gt;=250,"Ultra-Fast",IF(EV_Data4[[#This Row],[charging_speed_kw]]&gt;=150,"Fast-Charging","Standard-Charging"))</f>
        <v>Standard-Charging</v>
      </c>
      <c r="AF1589" t="str">
        <f>IF(EV_Data4[[#This Row],[acceleration_0_60_mph]]&lt;=3,"SportsPerformance",IF(EV_Data4[[#This Row],[acceleration_0_60_mph]]&lt;=5,"HighPerformance","Standard"))</f>
        <v>HighPerformance</v>
      </c>
      <c r="AG1589" t="str">
        <f>IF(EV_Data4[[#This Row],[customer_rating]]&gt;=4.5,"Excellent",IF(EV_Data4[[#This Row],[customer_rating]]&gt;=3.5,"Good","Average"))</f>
        <v>Good</v>
      </c>
      <c r="AH158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90" spans="1:34" x14ac:dyDescent="0.3">
      <c r="A1590" t="s">
        <v>24</v>
      </c>
      <c r="B1590" t="s">
        <v>74</v>
      </c>
      <c r="C1590">
        <v>2022</v>
      </c>
      <c r="D1590" t="s">
        <v>56</v>
      </c>
      <c r="E1590" s="3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27</v>
      </c>
      <c r="N1590">
        <v>7</v>
      </c>
      <c r="O1590" t="s">
        <v>58</v>
      </c>
      <c r="P1590">
        <v>31</v>
      </c>
      <c r="Q1590">
        <v>1750</v>
      </c>
      <c r="R1590">
        <v>5</v>
      </c>
      <c r="S1590">
        <v>1</v>
      </c>
      <c r="T1590" t="s">
        <v>29</v>
      </c>
      <c r="U1590" t="s">
        <v>66</v>
      </c>
      <c r="V1590" s="3">
        <v>258777</v>
      </c>
      <c r="W1590">
        <v>3.29</v>
      </c>
      <c r="X1590">
        <v>3</v>
      </c>
      <c r="Y1590" s="1">
        <f>EV_Data4[[#This Row],[range_miles]]/EV_Data4[[#This Row],[battery_capacity_kwh]]</f>
        <v>3.2608695652173916</v>
      </c>
      <c r="Z1590" s="4">
        <f>EV_Data4[[#This Row],[price_usd]]/EV_Data4[[#This Row],[range_miles]]</f>
        <v>143.41933333333333</v>
      </c>
      <c r="AA1590" s="2">
        <f>(EV_Data4[[#This Row],[customer_rating]]*EV_Data4[[#This Row],[safety_rating]]*1000)/EV_Data4[[#This Row],[price_usd]]</f>
        <v>0.58819806506078465</v>
      </c>
      <c r="AB1590">
        <f>EV_Data4[[#This Row],[horsepower]]+EV_Data4[[#This Row],[torque_nm]]/EV_Data4[[#This Row],[acceleration_0_60_mph]]</f>
        <v>189.6825396825397</v>
      </c>
      <c r="AC1590" t="str">
        <f>IF(EV_Data4[[#This Row],[price_usd]]&gt;=80000,"Luxury",IF(EV_Data4[[#This Row],[price_usd]]&gt;=40000,"Mid-Range","Budget"))</f>
        <v>Budget</v>
      </c>
      <c r="AD1590" t="str">
        <f>IF(EV_Data4[[#This Row],[range_miles]]&gt;=350,"Long-Range",IF(EV_Data4[[#This Row],[range_miles]]&gt;=250,"Medium-Range","Short-Range"))</f>
        <v>Short-Range</v>
      </c>
      <c r="AE1590" t="str">
        <f>IF(EV_Data4[[#This Row],[charging_speed_kw]]&gt;=250,"Ultra-Fast",IF(EV_Data4[[#This Row],[charging_speed_kw]]&gt;=150,"Fast-Charging","Standard-Charging"))</f>
        <v>Standard-Charging</v>
      </c>
      <c r="AF1590" t="str">
        <f>IF(EV_Data4[[#This Row],[acceleration_0_60_mph]]&lt;=3,"SportsPerformance",IF(EV_Data4[[#This Row],[acceleration_0_60_mph]]&lt;=5,"HighPerformance","Standard"))</f>
        <v>Standard</v>
      </c>
      <c r="AG1590" t="str">
        <f>IF(EV_Data4[[#This Row],[customer_rating]]&gt;=4.5,"Excellent",IF(EV_Data4[[#This Row],[customer_rating]]&gt;=3.5,"Good","Average"))</f>
        <v>Average</v>
      </c>
      <c r="AH159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91" spans="1:34" x14ac:dyDescent="0.3">
      <c r="A1591" t="s">
        <v>38</v>
      </c>
      <c r="B1591" t="s">
        <v>102</v>
      </c>
      <c r="C1591">
        <v>2021</v>
      </c>
      <c r="D1591" t="s">
        <v>44</v>
      </c>
      <c r="E1591" s="3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34</v>
      </c>
      <c r="N1591">
        <v>5</v>
      </c>
      <c r="O1591" t="s">
        <v>35</v>
      </c>
      <c r="P1591">
        <v>47.3</v>
      </c>
      <c r="Q1591">
        <v>2033</v>
      </c>
      <c r="R1591">
        <v>5</v>
      </c>
      <c r="S1591">
        <v>1</v>
      </c>
      <c r="T1591" t="s">
        <v>41</v>
      </c>
      <c r="U1591" t="s">
        <v>37</v>
      </c>
      <c r="V1591" s="3">
        <v>9557</v>
      </c>
      <c r="W1591">
        <v>3.66</v>
      </c>
      <c r="X1591">
        <v>3</v>
      </c>
      <c r="Y1591" s="1">
        <f>EV_Data4[[#This Row],[range_miles]]/EV_Data4[[#This Row],[battery_capacity_kwh]]</f>
        <v>3.413400758533502</v>
      </c>
      <c r="Z1591" s="4">
        <f>EV_Data4[[#This Row],[price_usd]]/EV_Data4[[#This Row],[range_miles]]</f>
        <v>228.72299999999998</v>
      </c>
      <c r="AA1591" s="2">
        <f>(EV_Data4[[#This Row],[customer_rating]]*EV_Data4[[#This Row],[safety_rating]]*1000)/EV_Data4[[#This Row],[price_usd]]</f>
        <v>0.29633127310230184</v>
      </c>
      <c r="AB1591">
        <f>EV_Data4[[#This Row],[horsepower]]+EV_Data4[[#This Row],[torque_nm]]/EV_Data4[[#This Row],[acceleration_0_60_mph]]</f>
        <v>982.02058319039452</v>
      </c>
      <c r="AC1591" t="str">
        <f>IF(EV_Data4[[#This Row],[price_usd]]&gt;=80000,"Luxury",IF(EV_Data4[[#This Row],[price_usd]]&gt;=40000,"Mid-Range","Budget"))</f>
        <v>Mid-Range</v>
      </c>
      <c r="AD1591" t="str">
        <f>IF(EV_Data4[[#This Row],[range_miles]]&gt;=350,"Long-Range",IF(EV_Data4[[#This Row],[range_miles]]&gt;=250,"Medium-Range","Short-Range"))</f>
        <v>Medium-Range</v>
      </c>
      <c r="AE1591" t="str">
        <f>IF(EV_Data4[[#This Row],[charging_speed_kw]]&gt;=250,"Ultra-Fast",IF(EV_Data4[[#This Row],[charging_speed_kw]]&gt;=150,"Fast-Charging","Standard-Charging"))</f>
        <v>Standard-Charging</v>
      </c>
      <c r="AF1591" t="str">
        <f>IF(EV_Data4[[#This Row],[acceleration_0_60_mph]]&lt;=3,"SportsPerformance",IF(EV_Data4[[#This Row],[acceleration_0_60_mph]]&lt;=5,"HighPerformance","Standard"))</f>
        <v>Standard</v>
      </c>
      <c r="AG1591" t="str">
        <f>IF(EV_Data4[[#This Row],[customer_rating]]&gt;=4.5,"Excellent",IF(EV_Data4[[#This Row],[customer_rating]]&gt;=3.5,"Good","Average"))</f>
        <v>Good</v>
      </c>
      <c r="AH159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92" spans="1:34" x14ac:dyDescent="0.3">
      <c r="A1592" t="s">
        <v>38</v>
      </c>
      <c r="B1592" t="s">
        <v>101</v>
      </c>
      <c r="C1592">
        <v>2025</v>
      </c>
      <c r="D1592" t="s">
        <v>61</v>
      </c>
      <c r="E1592" s="3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34</v>
      </c>
      <c r="N1592">
        <v>5</v>
      </c>
      <c r="O1592" t="s">
        <v>50</v>
      </c>
      <c r="P1592">
        <v>23.6</v>
      </c>
      <c r="Q1592">
        <v>1500</v>
      </c>
      <c r="R1592">
        <v>5</v>
      </c>
      <c r="S1592">
        <v>0</v>
      </c>
      <c r="T1592" t="s">
        <v>41</v>
      </c>
      <c r="U1592" t="s">
        <v>37</v>
      </c>
      <c r="V1592" s="3">
        <v>27128</v>
      </c>
      <c r="W1592">
        <v>3.23</v>
      </c>
      <c r="X1592">
        <v>3</v>
      </c>
      <c r="Y1592" s="1">
        <f>EV_Data4[[#This Row],[range_miles]]/EV_Data4[[#This Row],[battery_capacity_kwh]]</f>
        <v>3.3783783783783785</v>
      </c>
      <c r="Z1592" s="4">
        <f>EV_Data4[[#This Row],[price_usd]]/EV_Data4[[#This Row],[range_miles]]</f>
        <v>242.88846666666666</v>
      </c>
      <c r="AA1592" s="2">
        <f>(EV_Data4[[#This Row],[customer_rating]]*EV_Data4[[#This Row],[safety_rating]]*1000)/EV_Data4[[#This Row],[price_usd]]</f>
        <v>0.44327615940046006</v>
      </c>
      <c r="AB1592">
        <f>EV_Data4[[#This Row],[horsepower]]+EV_Data4[[#This Row],[torque_nm]]/EV_Data4[[#This Row],[acceleration_0_60_mph]]</f>
        <v>407.79218472468915</v>
      </c>
      <c r="AC1592" t="str">
        <f>IF(EV_Data4[[#This Row],[price_usd]]&gt;=80000,"Luxury",IF(EV_Data4[[#This Row],[price_usd]]&gt;=40000,"Mid-Range","Budget"))</f>
        <v>Budget</v>
      </c>
      <c r="AD1592" t="str">
        <f>IF(EV_Data4[[#This Row],[range_miles]]&gt;=350,"Long-Range",IF(EV_Data4[[#This Row],[range_miles]]&gt;=250,"Medium-Range","Short-Range"))</f>
        <v>Short-Range</v>
      </c>
      <c r="AE1592" t="str">
        <f>IF(EV_Data4[[#This Row],[charging_speed_kw]]&gt;=250,"Ultra-Fast",IF(EV_Data4[[#This Row],[charging_speed_kw]]&gt;=150,"Fast-Charging","Standard-Charging"))</f>
        <v>Standard-Charging</v>
      </c>
      <c r="AF1592" t="str">
        <f>IF(EV_Data4[[#This Row],[acceleration_0_60_mph]]&lt;=3,"SportsPerformance",IF(EV_Data4[[#This Row],[acceleration_0_60_mph]]&lt;=5,"HighPerformance","Standard"))</f>
        <v>Standard</v>
      </c>
      <c r="AG1592" t="str">
        <f>IF(EV_Data4[[#This Row],[customer_rating]]&gt;=4.5,"Excellent",IF(EV_Data4[[#This Row],[customer_rating]]&gt;=3.5,"Good","Average"))</f>
        <v>Average</v>
      </c>
      <c r="AH159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93" spans="1:34" x14ac:dyDescent="0.3">
      <c r="A1593" t="s">
        <v>121</v>
      </c>
      <c r="B1593" t="s">
        <v>137</v>
      </c>
      <c r="C1593">
        <v>2026</v>
      </c>
      <c r="D1593" t="s">
        <v>26</v>
      </c>
      <c r="E1593" s="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27</v>
      </c>
      <c r="N1593">
        <v>5</v>
      </c>
      <c r="O1593" t="s">
        <v>35</v>
      </c>
      <c r="P1593">
        <v>54.6</v>
      </c>
      <c r="Q1593">
        <v>1917</v>
      </c>
      <c r="R1593">
        <v>4</v>
      </c>
      <c r="S1593">
        <v>1</v>
      </c>
      <c r="T1593" t="s">
        <v>123</v>
      </c>
      <c r="U1593" t="s">
        <v>30</v>
      </c>
      <c r="V1593" s="3">
        <v>29548</v>
      </c>
      <c r="W1593">
        <v>3.71</v>
      </c>
      <c r="X1593">
        <v>5</v>
      </c>
      <c r="Y1593" s="1">
        <f>EV_Data4[[#This Row],[range_miles]]/EV_Data4[[#This Row],[battery_capacity_kwh]]</f>
        <v>3.6223175965665235</v>
      </c>
      <c r="Z1593" s="4">
        <f>EV_Data4[[#This Row],[price_usd]]/EV_Data4[[#This Row],[range_miles]]</f>
        <v>264.29682464454976</v>
      </c>
      <c r="AA1593" s="2">
        <f>(EV_Data4[[#This Row],[customer_rating]]*EV_Data4[[#This Row],[safety_rating]]*1000)/EV_Data4[[#This Row],[price_usd]]</f>
        <v>0.13305448078895929</v>
      </c>
      <c r="AB1593">
        <f>EV_Data4[[#This Row],[horsepower]]+EV_Data4[[#This Row],[torque_nm]]/EV_Data4[[#This Row],[acceleration_0_60_mph]]</f>
        <v>1295.9731543624162</v>
      </c>
      <c r="AC1593" t="str">
        <f>IF(EV_Data4[[#This Row],[price_usd]]&gt;=80000,"Luxury",IF(EV_Data4[[#This Row],[price_usd]]&gt;=40000,"Mid-Range","Budget"))</f>
        <v>Luxury</v>
      </c>
      <c r="AD1593" t="str">
        <f>IF(EV_Data4[[#This Row],[range_miles]]&gt;=350,"Long-Range",IF(EV_Data4[[#This Row],[range_miles]]&gt;=250,"Medium-Range","Short-Range"))</f>
        <v>Long-Range</v>
      </c>
      <c r="AE1593" t="str">
        <f>IF(EV_Data4[[#This Row],[charging_speed_kw]]&gt;=250,"Ultra-Fast",IF(EV_Data4[[#This Row],[charging_speed_kw]]&gt;=150,"Fast-Charging","Standard-Charging"))</f>
        <v>Fast-Charging</v>
      </c>
      <c r="AF1593" t="str">
        <f>IF(EV_Data4[[#This Row],[acceleration_0_60_mph]]&lt;=3,"SportsPerformance",IF(EV_Data4[[#This Row],[acceleration_0_60_mph]]&lt;=5,"HighPerformance","Standard"))</f>
        <v>SportsPerformance</v>
      </c>
      <c r="AG1593" t="str">
        <f>IF(EV_Data4[[#This Row],[customer_rating]]&gt;=4.5,"Excellent",IF(EV_Data4[[#This Row],[customer_rating]]&gt;=3.5,"Good","Average"))</f>
        <v>Good</v>
      </c>
      <c r="AH159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94" spans="1:34" x14ac:dyDescent="0.3">
      <c r="A1594" t="s">
        <v>46</v>
      </c>
      <c r="B1594" t="s">
        <v>57</v>
      </c>
      <c r="C1594">
        <v>2026</v>
      </c>
      <c r="D1594" t="s">
        <v>61</v>
      </c>
      <c r="E1594" s="3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27</v>
      </c>
      <c r="N1594">
        <v>5</v>
      </c>
      <c r="O1594" t="s">
        <v>35</v>
      </c>
      <c r="P1594">
        <v>69.8</v>
      </c>
      <c r="Q1594">
        <v>2107</v>
      </c>
      <c r="R1594">
        <v>4</v>
      </c>
      <c r="S1594">
        <v>2</v>
      </c>
      <c r="T1594" t="s">
        <v>41</v>
      </c>
      <c r="U1594" t="s">
        <v>33</v>
      </c>
      <c r="V1594" s="3">
        <v>117880</v>
      </c>
      <c r="W1594">
        <v>3.75</v>
      </c>
      <c r="X1594">
        <v>6</v>
      </c>
      <c r="Y1594" s="1">
        <f>EV_Data4[[#This Row],[range_miles]]/EV_Data4[[#This Row],[battery_capacity_kwh]]</f>
        <v>3.6363636363636367</v>
      </c>
      <c r="Z1594" s="4">
        <f>EV_Data4[[#This Row],[price_usd]]/EV_Data4[[#This Row],[range_miles]]</f>
        <v>324.10031746031746</v>
      </c>
      <c r="AA1594" s="2">
        <f>(EV_Data4[[#This Row],[customer_rating]]*EV_Data4[[#This Row],[safety_rating]]*1000)/EV_Data4[[#This Row],[price_usd]]</f>
        <v>0.18365859678954977</v>
      </c>
      <c r="AB1594">
        <f>EV_Data4[[#This Row],[horsepower]]+EV_Data4[[#This Row],[torque_nm]]/EV_Data4[[#This Row],[acceleration_0_60_mph]]</f>
        <v>681.43790849673201</v>
      </c>
      <c r="AC1594" t="str">
        <f>IF(EV_Data4[[#This Row],[price_usd]]&gt;=80000,"Luxury",IF(EV_Data4[[#This Row],[price_usd]]&gt;=40000,"Mid-Range","Budget"))</f>
        <v>Luxury</v>
      </c>
      <c r="AD1594" t="str">
        <f>IF(EV_Data4[[#This Row],[range_miles]]&gt;=350,"Long-Range",IF(EV_Data4[[#This Row],[range_miles]]&gt;=250,"Medium-Range","Short-Range"))</f>
        <v>Medium-Range</v>
      </c>
      <c r="AE1594" t="str">
        <f>IF(EV_Data4[[#This Row],[charging_speed_kw]]&gt;=250,"Ultra-Fast",IF(EV_Data4[[#This Row],[charging_speed_kw]]&gt;=150,"Fast-Charging","Standard-Charging"))</f>
        <v>Ultra-Fast</v>
      </c>
      <c r="AF1594" t="str">
        <f>IF(EV_Data4[[#This Row],[acceleration_0_60_mph]]&lt;=3,"SportsPerformance",IF(EV_Data4[[#This Row],[acceleration_0_60_mph]]&lt;=5,"HighPerformance","Standard"))</f>
        <v>Standard</v>
      </c>
      <c r="AG1594" t="str">
        <f>IF(EV_Data4[[#This Row],[customer_rating]]&gt;=4.5,"Excellent",IF(EV_Data4[[#This Row],[customer_rating]]&gt;=3.5,"Good","Average"))</f>
        <v>Good</v>
      </c>
      <c r="AH159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95" spans="1:34" x14ac:dyDescent="0.3">
      <c r="A1595" t="s">
        <v>46</v>
      </c>
      <c r="B1595" t="s">
        <v>72</v>
      </c>
      <c r="C1595">
        <v>2026</v>
      </c>
      <c r="D1595" t="s">
        <v>56</v>
      </c>
      <c r="E1595" s="3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48</v>
      </c>
      <c r="N1595">
        <v>7</v>
      </c>
      <c r="O1595" t="s">
        <v>28</v>
      </c>
      <c r="P1595">
        <v>69.8</v>
      </c>
      <c r="Q1595">
        <v>2635</v>
      </c>
      <c r="R1595">
        <v>4</v>
      </c>
      <c r="S1595">
        <v>2</v>
      </c>
      <c r="T1595" t="s">
        <v>41</v>
      </c>
      <c r="U1595" t="s">
        <v>37</v>
      </c>
      <c r="V1595" s="3">
        <v>211999</v>
      </c>
      <c r="W1595">
        <v>3.34</v>
      </c>
      <c r="X1595">
        <v>5</v>
      </c>
      <c r="Y1595" s="1">
        <f>EV_Data4[[#This Row],[range_miles]]/EV_Data4[[#This Row],[battery_capacity_kwh]]</f>
        <v>3.8339222614840986</v>
      </c>
      <c r="Z1595" s="4">
        <f>EV_Data4[[#This Row],[price_usd]]/EV_Data4[[#This Row],[range_miles]]</f>
        <v>254.97557603686636</v>
      </c>
      <c r="AA1595" s="2">
        <f>(EV_Data4[[#This Row],[customer_rating]]*EV_Data4[[#This Row],[safety_rating]]*1000)/EV_Data4[[#This Row],[price_usd]]</f>
        <v>0.24146163814370944</v>
      </c>
      <c r="AB1595">
        <f>EV_Data4[[#This Row],[horsepower]]+EV_Data4[[#This Row],[torque_nm]]/EV_Data4[[#This Row],[acceleration_0_60_mph]]</f>
        <v>426.26546003016591</v>
      </c>
      <c r="AC1595" t="str">
        <f>IF(EV_Data4[[#This Row],[price_usd]]&gt;=80000,"Luxury",IF(EV_Data4[[#This Row],[price_usd]]&gt;=40000,"Mid-Range","Budget"))</f>
        <v>Mid-Range</v>
      </c>
      <c r="AD1595" t="str">
        <f>IF(EV_Data4[[#This Row],[range_miles]]&gt;=350,"Long-Range",IF(EV_Data4[[#This Row],[range_miles]]&gt;=250,"Medium-Range","Short-Range"))</f>
        <v>Short-Range</v>
      </c>
      <c r="AE1595" t="str">
        <f>IF(EV_Data4[[#This Row],[charging_speed_kw]]&gt;=250,"Ultra-Fast",IF(EV_Data4[[#This Row],[charging_speed_kw]]&gt;=150,"Fast-Charging","Standard-Charging"))</f>
        <v>Ultra-Fast</v>
      </c>
      <c r="AF1595" t="str">
        <f>IF(EV_Data4[[#This Row],[acceleration_0_60_mph]]&lt;=3,"SportsPerformance",IF(EV_Data4[[#This Row],[acceleration_0_60_mph]]&lt;=5,"HighPerformance","Standard"))</f>
        <v>Standard</v>
      </c>
      <c r="AG1595" t="str">
        <f>IF(EV_Data4[[#This Row],[customer_rating]]&gt;=4.5,"Excellent",IF(EV_Data4[[#This Row],[customer_rating]]&gt;=3.5,"Good","Average"))</f>
        <v>Average</v>
      </c>
      <c r="AH159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96" spans="1:34" x14ac:dyDescent="0.3">
      <c r="A1596" t="s">
        <v>38</v>
      </c>
      <c r="B1596" t="s">
        <v>102</v>
      </c>
      <c r="C1596">
        <v>2025</v>
      </c>
      <c r="D1596" t="s">
        <v>44</v>
      </c>
      <c r="E1596" s="3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48</v>
      </c>
      <c r="N1596">
        <v>5</v>
      </c>
      <c r="O1596" t="s">
        <v>35</v>
      </c>
      <c r="P1596">
        <v>67.400000000000006</v>
      </c>
      <c r="Q1596">
        <v>2327</v>
      </c>
      <c r="R1596">
        <v>5</v>
      </c>
      <c r="S1596">
        <v>2</v>
      </c>
      <c r="T1596" t="s">
        <v>41</v>
      </c>
      <c r="U1596" t="s">
        <v>37</v>
      </c>
      <c r="V1596" s="3">
        <v>29595</v>
      </c>
      <c r="W1596">
        <v>3.76</v>
      </c>
      <c r="X1596">
        <v>4</v>
      </c>
      <c r="Y1596" s="1">
        <f>EV_Data4[[#This Row],[range_miles]]/EV_Data4[[#This Row],[battery_capacity_kwh]]</f>
        <v>3.5038084874863982</v>
      </c>
      <c r="Z1596" s="4">
        <f>EV_Data4[[#This Row],[price_usd]]/EV_Data4[[#This Row],[range_miles]]</f>
        <v>154.62875776397516</v>
      </c>
      <c r="AA1596" s="2">
        <f>(EV_Data4[[#This Row],[customer_rating]]*EV_Data4[[#This Row],[safety_rating]]*1000)/EV_Data4[[#This Row],[price_usd]]</f>
        <v>0.3775823722054385</v>
      </c>
      <c r="AB1596">
        <f>EV_Data4[[#This Row],[horsepower]]+EV_Data4[[#This Row],[torque_nm]]/EV_Data4[[#This Row],[acceleration_0_60_mph]]</f>
        <v>657.86899563318775</v>
      </c>
      <c r="AC1596" t="str">
        <f>IF(EV_Data4[[#This Row],[price_usd]]&gt;=80000,"Luxury",IF(EV_Data4[[#This Row],[price_usd]]&gt;=40000,"Mid-Range","Budget"))</f>
        <v>Mid-Range</v>
      </c>
      <c r="AD1596" t="str">
        <f>IF(EV_Data4[[#This Row],[range_miles]]&gt;=350,"Long-Range",IF(EV_Data4[[#This Row],[range_miles]]&gt;=250,"Medium-Range","Short-Range"))</f>
        <v>Medium-Range</v>
      </c>
      <c r="AE1596" t="str">
        <f>IF(EV_Data4[[#This Row],[charging_speed_kw]]&gt;=250,"Ultra-Fast",IF(EV_Data4[[#This Row],[charging_speed_kw]]&gt;=150,"Fast-Charging","Standard-Charging"))</f>
        <v>Standard-Charging</v>
      </c>
      <c r="AF1596" t="str">
        <f>IF(EV_Data4[[#This Row],[acceleration_0_60_mph]]&lt;=3,"SportsPerformance",IF(EV_Data4[[#This Row],[acceleration_0_60_mph]]&lt;=5,"HighPerformance","Standard"))</f>
        <v>HighPerformance</v>
      </c>
      <c r="AG1596" t="str">
        <f>IF(EV_Data4[[#This Row],[customer_rating]]&gt;=4.5,"Excellent",IF(EV_Data4[[#This Row],[customer_rating]]&gt;=3.5,"Good","Average"))</f>
        <v>Good</v>
      </c>
      <c r="AH159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597" spans="1:34" x14ac:dyDescent="0.3">
      <c r="A1597" t="s">
        <v>42</v>
      </c>
      <c r="B1597" t="s">
        <v>54</v>
      </c>
      <c r="C1597">
        <v>2024</v>
      </c>
      <c r="D1597" t="s">
        <v>44</v>
      </c>
      <c r="E1597" s="3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27</v>
      </c>
      <c r="N1597">
        <v>5</v>
      </c>
      <c r="O1597" t="s">
        <v>28</v>
      </c>
      <c r="P1597">
        <v>70</v>
      </c>
      <c r="Q1597">
        <v>2631</v>
      </c>
      <c r="R1597">
        <v>4</v>
      </c>
      <c r="S1597">
        <v>0</v>
      </c>
      <c r="T1597" t="s">
        <v>45</v>
      </c>
      <c r="U1597" t="s">
        <v>33</v>
      </c>
      <c r="V1597" s="3">
        <v>98307</v>
      </c>
      <c r="W1597">
        <v>3.67</v>
      </c>
      <c r="X1597">
        <v>5</v>
      </c>
      <c r="Y1597" s="1">
        <f>EV_Data4[[#This Row],[range_miles]]/EV_Data4[[#This Row],[battery_capacity_kwh]]</f>
        <v>3.485130111524164</v>
      </c>
      <c r="Z1597" s="4">
        <f>EV_Data4[[#This Row],[price_usd]]/EV_Data4[[#This Row],[range_miles]]</f>
        <v>220.88997333333336</v>
      </c>
      <c r="AA1597" s="2">
        <f>(EV_Data4[[#This Row],[customer_rating]]*EV_Data4[[#This Row],[safety_rating]]*1000)/EV_Data4[[#This Row],[price_usd]]</f>
        <v>0.17722246997419167</v>
      </c>
      <c r="AB1597">
        <f>EV_Data4[[#This Row],[horsepower]]+EV_Data4[[#This Row],[torque_nm]]/EV_Data4[[#This Row],[acceleration_0_60_mph]]</f>
        <v>1190.4458598726114</v>
      </c>
      <c r="AC1597" t="str">
        <f>IF(EV_Data4[[#This Row],[price_usd]]&gt;=80000,"Luxury",IF(EV_Data4[[#This Row],[price_usd]]&gt;=40000,"Mid-Range","Budget"))</f>
        <v>Luxury</v>
      </c>
      <c r="AD1597" t="str">
        <f>IF(EV_Data4[[#This Row],[range_miles]]&gt;=350,"Long-Range",IF(EV_Data4[[#This Row],[range_miles]]&gt;=250,"Medium-Range","Short-Range"))</f>
        <v>Long-Range</v>
      </c>
      <c r="AE1597" t="str">
        <f>IF(EV_Data4[[#This Row],[charging_speed_kw]]&gt;=250,"Ultra-Fast",IF(EV_Data4[[#This Row],[charging_speed_kw]]&gt;=150,"Fast-Charging","Standard-Charging"))</f>
        <v>Standard-Charging</v>
      </c>
      <c r="AF1597" t="str">
        <f>IF(EV_Data4[[#This Row],[acceleration_0_60_mph]]&lt;=3,"SportsPerformance",IF(EV_Data4[[#This Row],[acceleration_0_60_mph]]&lt;=5,"HighPerformance","Standard"))</f>
        <v>HighPerformance</v>
      </c>
      <c r="AG1597" t="str">
        <f>IF(EV_Data4[[#This Row],[customer_rating]]&gt;=4.5,"Excellent",IF(EV_Data4[[#This Row],[customer_rating]]&gt;=3.5,"Good","Average"))</f>
        <v>Good</v>
      </c>
      <c r="AH159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598" spans="1:34" x14ac:dyDescent="0.3">
      <c r="A1598" t="s">
        <v>63</v>
      </c>
      <c r="B1598" t="s">
        <v>96</v>
      </c>
      <c r="C1598">
        <v>2024</v>
      </c>
      <c r="D1598" t="s">
        <v>33</v>
      </c>
      <c r="E1598" s="3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34</v>
      </c>
      <c r="N1598">
        <v>5</v>
      </c>
      <c r="O1598" t="s">
        <v>50</v>
      </c>
      <c r="P1598">
        <v>19.899999999999999</v>
      </c>
      <c r="Q1598">
        <v>1790</v>
      </c>
      <c r="R1598">
        <v>5</v>
      </c>
      <c r="S1598">
        <v>1</v>
      </c>
      <c r="T1598" t="s">
        <v>65</v>
      </c>
      <c r="U1598" t="s">
        <v>30</v>
      </c>
      <c r="V1598" s="3">
        <v>111020</v>
      </c>
      <c r="W1598">
        <v>3.1</v>
      </c>
      <c r="X1598">
        <v>4</v>
      </c>
      <c r="Y1598" s="1">
        <f>EV_Data4[[#This Row],[range_miles]]/EV_Data4[[#This Row],[battery_capacity_kwh]]</f>
        <v>3.8129496402877696</v>
      </c>
      <c r="Z1598" s="4">
        <f>EV_Data4[[#This Row],[price_usd]]/EV_Data4[[#This Row],[range_miles]]</f>
        <v>657.26930817610071</v>
      </c>
      <c r="AA1598" s="2">
        <f>(EV_Data4[[#This Row],[customer_rating]]*EV_Data4[[#This Row],[safety_rating]]*1000)/EV_Data4[[#This Row],[price_usd]]</f>
        <v>0.14831709851183406</v>
      </c>
      <c r="AB1598">
        <f>EV_Data4[[#This Row],[horsepower]]+EV_Data4[[#This Row],[torque_nm]]/EV_Data4[[#This Row],[acceleration_0_60_mph]]</f>
        <v>1144.270015698587</v>
      </c>
      <c r="AC1598" t="str">
        <f>IF(EV_Data4[[#This Row],[price_usd]]&gt;=80000,"Luxury",IF(EV_Data4[[#This Row],[price_usd]]&gt;=40000,"Mid-Range","Budget"))</f>
        <v>Luxury</v>
      </c>
      <c r="AD1598" t="str">
        <f>IF(EV_Data4[[#This Row],[range_miles]]&gt;=350,"Long-Range",IF(EV_Data4[[#This Row],[range_miles]]&gt;=250,"Medium-Range","Short-Range"))</f>
        <v>Short-Range</v>
      </c>
      <c r="AE1598" t="str">
        <f>IF(EV_Data4[[#This Row],[charging_speed_kw]]&gt;=250,"Ultra-Fast",IF(EV_Data4[[#This Row],[charging_speed_kw]]&gt;=150,"Fast-Charging","Standard-Charging"))</f>
        <v>Standard-Charging</v>
      </c>
      <c r="AF1598" t="str">
        <f>IF(EV_Data4[[#This Row],[acceleration_0_60_mph]]&lt;=3,"SportsPerformance",IF(EV_Data4[[#This Row],[acceleration_0_60_mph]]&lt;=5,"HighPerformance","Standard"))</f>
        <v>Standard</v>
      </c>
      <c r="AG1598" t="str">
        <f>IF(EV_Data4[[#This Row],[customer_rating]]&gt;=4.5,"Excellent",IF(EV_Data4[[#This Row],[customer_rating]]&gt;=3.5,"Good","Average"))</f>
        <v>Average</v>
      </c>
      <c r="AH159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599" spans="1:34" x14ac:dyDescent="0.3">
      <c r="A1599" t="s">
        <v>46</v>
      </c>
      <c r="B1599" t="s">
        <v>49</v>
      </c>
      <c r="C1599">
        <v>2022</v>
      </c>
      <c r="D1599" t="s">
        <v>44</v>
      </c>
      <c r="E1599" s="3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48</v>
      </c>
      <c r="N1599">
        <v>5</v>
      </c>
      <c r="O1599" t="s">
        <v>40</v>
      </c>
      <c r="P1599">
        <v>71.7</v>
      </c>
      <c r="Q1599">
        <v>1563</v>
      </c>
      <c r="R1599">
        <v>4</v>
      </c>
      <c r="S1599">
        <v>2</v>
      </c>
      <c r="T1599" t="s">
        <v>41</v>
      </c>
      <c r="U1599" t="s">
        <v>37</v>
      </c>
      <c r="V1599" s="3">
        <v>416114</v>
      </c>
      <c r="W1599">
        <v>4.22</v>
      </c>
      <c r="X1599">
        <v>5</v>
      </c>
      <c r="Y1599" s="1">
        <f>EV_Data4[[#This Row],[range_miles]]/EV_Data4[[#This Row],[battery_capacity_kwh]]</f>
        <v>3.4412955465587047</v>
      </c>
      <c r="Z1599" s="4">
        <f>EV_Data4[[#This Row],[price_usd]]/EV_Data4[[#This Row],[range_miles]]</f>
        <v>132.85147058823529</v>
      </c>
      <c r="AA1599" s="2">
        <f>(EV_Data4[[#This Row],[customer_rating]]*EV_Data4[[#This Row],[safety_rating]]*1000)/EV_Data4[[#This Row],[price_usd]]</f>
        <v>0.37370349461472896</v>
      </c>
      <c r="AB1599">
        <f>EV_Data4[[#This Row],[horsepower]]+EV_Data4[[#This Row],[torque_nm]]/EV_Data4[[#This Row],[acceleration_0_60_mph]]</f>
        <v>319.8661417322835</v>
      </c>
      <c r="AC1599" t="str">
        <f>IF(EV_Data4[[#This Row],[price_usd]]&gt;=80000,"Luxury",IF(EV_Data4[[#This Row],[price_usd]]&gt;=40000,"Mid-Range","Budget"))</f>
        <v>Mid-Range</v>
      </c>
      <c r="AD1599" t="str">
        <f>IF(EV_Data4[[#This Row],[range_miles]]&gt;=350,"Long-Range",IF(EV_Data4[[#This Row],[range_miles]]&gt;=250,"Medium-Range","Short-Range"))</f>
        <v>Medium-Range</v>
      </c>
      <c r="AE1599" t="str">
        <f>IF(EV_Data4[[#This Row],[charging_speed_kw]]&gt;=250,"Ultra-Fast",IF(EV_Data4[[#This Row],[charging_speed_kw]]&gt;=150,"Fast-Charging","Standard-Charging"))</f>
        <v>Fast-Charging</v>
      </c>
      <c r="AF1599" t="str">
        <f>IF(EV_Data4[[#This Row],[acceleration_0_60_mph]]&lt;=3,"SportsPerformance",IF(EV_Data4[[#This Row],[acceleration_0_60_mph]]&lt;=5,"HighPerformance","Standard"))</f>
        <v>Standard</v>
      </c>
      <c r="AG1599" t="str">
        <f>IF(EV_Data4[[#This Row],[customer_rating]]&gt;=4.5,"Excellent",IF(EV_Data4[[#This Row],[customer_rating]]&gt;=3.5,"Good","Average"))</f>
        <v>Good</v>
      </c>
      <c r="AH159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00" spans="1:34" x14ac:dyDescent="0.3">
      <c r="A1600" t="s">
        <v>46</v>
      </c>
      <c r="B1600" t="s">
        <v>57</v>
      </c>
      <c r="C1600">
        <v>2025</v>
      </c>
      <c r="D1600" t="s">
        <v>33</v>
      </c>
      <c r="E1600" s="3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48</v>
      </c>
      <c r="N1600">
        <v>7</v>
      </c>
      <c r="O1600" t="s">
        <v>35</v>
      </c>
      <c r="P1600">
        <v>36.799999999999997</v>
      </c>
      <c r="Q1600">
        <v>2017</v>
      </c>
      <c r="R1600">
        <v>5</v>
      </c>
      <c r="S1600">
        <v>3</v>
      </c>
      <c r="T1600" t="s">
        <v>41</v>
      </c>
      <c r="U1600" t="s">
        <v>30</v>
      </c>
      <c r="V1600" s="3">
        <v>107596</v>
      </c>
      <c r="W1600">
        <v>3.88</v>
      </c>
      <c r="X1600">
        <v>5</v>
      </c>
      <c r="Y1600" s="1">
        <f>EV_Data4[[#This Row],[range_miles]]/EV_Data4[[#This Row],[battery_capacity_kwh]]</f>
        <v>3.6666666666666665</v>
      </c>
      <c r="Z1600" s="4">
        <f>EV_Data4[[#This Row],[price_usd]]/EV_Data4[[#This Row],[range_miles]]</f>
        <v>584.66220779220782</v>
      </c>
      <c r="AA1600" s="2">
        <f>(EV_Data4[[#This Row],[customer_rating]]*EV_Data4[[#This Row],[safety_rating]]*1000)/EV_Data4[[#This Row],[price_usd]]</f>
        <v>0.14364308632127612</v>
      </c>
      <c r="AB1600">
        <f>EV_Data4[[#This Row],[horsepower]]+EV_Data4[[#This Row],[torque_nm]]/EV_Data4[[#This Row],[acceleration_0_60_mph]]</f>
        <v>1121.003963011889</v>
      </c>
      <c r="AC1600" t="str">
        <f>IF(EV_Data4[[#This Row],[price_usd]]&gt;=80000,"Luxury",IF(EV_Data4[[#This Row],[price_usd]]&gt;=40000,"Mid-Range","Budget"))</f>
        <v>Luxury</v>
      </c>
      <c r="AD1600" t="str">
        <f>IF(EV_Data4[[#This Row],[range_miles]]&gt;=350,"Long-Range",IF(EV_Data4[[#This Row],[range_miles]]&gt;=250,"Medium-Range","Short-Range"))</f>
        <v>Short-Range</v>
      </c>
      <c r="AE1600" t="str">
        <f>IF(EV_Data4[[#This Row],[charging_speed_kw]]&gt;=250,"Ultra-Fast",IF(EV_Data4[[#This Row],[charging_speed_kw]]&gt;=150,"Fast-Charging","Standard-Charging"))</f>
        <v>Ultra-Fast</v>
      </c>
      <c r="AF1600" t="str">
        <f>IF(EV_Data4[[#This Row],[acceleration_0_60_mph]]&lt;=3,"SportsPerformance",IF(EV_Data4[[#This Row],[acceleration_0_60_mph]]&lt;=5,"HighPerformance","Standard"))</f>
        <v>Standard</v>
      </c>
      <c r="AG1600" t="str">
        <f>IF(EV_Data4[[#This Row],[customer_rating]]&gt;=4.5,"Excellent",IF(EV_Data4[[#This Row],[customer_rating]]&gt;=3.5,"Good","Average"))</f>
        <v>Good</v>
      </c>
      <c r="AH1600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601" spans="1:34" x14ac:dyDescent="0.3">
      <c r="A1601" t="s">
        <v>86</v>
      </c>
      <c r="B1601" t="s">
        <v>105</v>
      </c>
      <c r="C1601">
        <v>2026</v>
      </c>
      <c r="D1601" t="s">
        <v>26</v>
      </c>
      <c r="E1601" s="3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27</v>
      </c>
      <c r="N1601">
        <v>7</v>
      </c>
      <c r="O1601" t="s">
        <v>51</v>
      </c>
      <c r="P1601">
        <v>34.9</v>
      </c>
      <c r="Q1601">
        <v>1660</v>
      </c>
      <c r="R1601">
        <v>5</v>
      </c>
      <c r="S1601">
        <v>2</v>
      </c>
      <c r="T1601" t="s">
        <v>29</v>
      </c>
      <c r="U1601" t="s">
        <v>33</v>
      </c>
      <c r="V1601" s="3">
        <v>72672</v>
      </c>
      <c r="W1601">
        <v>4.03</v>
      </c>
      <c r="X1601">
        <v>7</v>
      </c>
      <c r="Y1601" s="1">
        <f>EV_Data4[[#This Row],[range_miles]]/EV_Data4[[#This Row],[battery_capacity_kwh]]</f>
        <v>3.4634146341463414</v>
      </c>
      <c r="Z1601" s="4">
        <f>EV_Data4[[#This Row],[price_usd]]/EV_Data4[[#This Row],[range_miles]]</f>
        <v>222.53707042253521</v>
      </c>
      <c r="AA1601" s="2">
        <f>(EV_Data4[[#This Row],[customer_rating]]*EV_Data4[[#This Row],[safety_rating]]*1000)/EV_Data4[[#This Row],[price_usd]]</f>
        <v>0.25506116024853465</v>
      </c>
      <c r="AB1601">
        <f>EV_Data4[[#This Row],[horsepower]]+EV_Data4[[#This Row],[torque_nm]]/EV_Data4[[#This Row],[acceleration_0_60_mph]]</f>
        <v>576.37414965986397</v>
      </c>
      <c r="AC1601" t="str">
        <f>IF(EV_Data4[[#This Row],[price_usd]]&gt;=80000,"Luxury",IF(EV_Data4[[#This Row],[price_usd]]&gt;=40000,"Mid-Range","Budget"))</f>
        <v>Mid-Range</v>
      </c>
      <c r="AD1601" t="str">
        <f>IF(EV_Data4[[#This Row],[range_miles]]&gt;=350,"Long-Range",IF(EV_Data4[[#This Row],[range_miles]]&gt;=250,"Medium-Range","Short-Range"))</f>
        <v>Long-Range</v>
      </c>
      <c r="AE1601" t="str">
        <f>IF(EV_Data4[[#This Row],[charging_speed_kw]]&gt;=250,"Ultra-Fast",IF(EV_Data4[[#This Row],[charging_speed_kw]]&gt;=150,"Fast-Charging","Standard-Charging"))</f>
        <v>Fast-Charging</v>
      </c>
      <c r="AF1601" t="str">
        <f>IF(EV_Data4[[#This Row],[acceleration_0_60_mph]]&lt;=3,"SportsPerformance",IF(EV_Data4[[#This Row],[acceleration_0_60_mph]]&lt;=5,"HighPerformance","Standard"))</f>
        <v>SportsPerformance</v>
      </c>
      <c r="AG1601" t="str">
        <f>IF(EV_Data4[[#This Row],[customer_rating]]&gt;=4.5,"Excellent",IF(EV_Data4[[#This Row],[customer_rating]]&gt;=3.5,"Good","Average"))</f>
        <v>Good</v>
      </c>
      <c r="AH160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02" spans="1:34" x14ac:dyDescent="0.3">
      <c r="A1602" t="s">
        <v>46</v>
      </c>
      <c r="B1602" t="s">
        <v>47</v>
      </c>
      <c r="C1602">
        <v>2025</v>
      </c>
      <c r="D1602" t="s">
        <v>56</v>
      </c>
      <c r="E1602" s="3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34</v>
      </c>
      <c r="N1602">
        <v>5</v>
      </c>
      <c r="O1602" t="s">
        <v>40</v>
      </c>
      <c r="P1602">
        <v>68.2</v>
      </c>
      <c r="Q1602">
        <v>1641</v>
      </c>
      <c r="R1602">
        <v>3</v>
      </c>
      <c r="S1602">
        <v>3</v>
      </c>
      <c r="T1602" t="s">
        <v>41</v>
      </c>
      <c r="U1602" t="s">
        <v>37</v>
      </c>
      <c r="V1602" s="3">
        <v>169041</v>
      </c>
      <c r="W1602">
        <v>3.2</v>
      </c>
      <c r="X1602">
        <v>4</v>
      </c>
      <c r="Y1602" s="1">
        <f>EV_Data4[[#This Row],[range_miles]]/EV_Data4[[#This Row],[battery_capacity_kwh]]</f>
        <v>3.7220843672456576</v>
      </c>
      <c r="Z1602" s="4">
        <f>EV_Data4[[#This Row],[price_usd]]/EV_Data4[[#This Row],[range_miles]]</f>
        <v>334.70260000000002</v>
      </c>
      <c r="AA1602" s="2">
        <f>(EV_Data4[[#This Row],[customer_rating]]*EV_Data4[[#This Row],[safety_rating]]*1000)/EV_Data4[[#This Row],[price_usd]]</f>
        <v>0.19121452895794658</v>
      </c>
      <c r="AB1602">
        <f>EV_Data4[[#This Row],[horsepower]]+EV_Data4[[#This Row],[torque_nm]]/EV_Data4[[#This Row],[acceleration_0_60_mph]]</f>
        <v>405</v>
      </c>
      <c r="AC1602" t="str">
        <f>IF(EV_Data4[[#This Row],[price_usd]]&gt;=80000,"Luxury",IF(EV_Data4[[#This Row],[price_usd]]&gt;=40000,"Mid-Range","Budget"))</f>
        <v>Mid-Range</v>
      </c>
      <c r="AD1602" t="str">
        <f>IF(EV_Data4[[#This Row],[range_miles]]&gt;=350,"Long-Range",IF(EV_Data4[[#This Row],[range_miles]]&gt;=250,"Medium-Range","Short-Range"))</f>
        <v>Short-Range</v>
      </c>
      <c r="AE1602" t="str">
        <f>IF(EV_Data4[[#This Row],[charging_speed_kw]]&gt;=250,"Ultra-Fast",IF(EV_Data4[[#This Row],[charging_speed_kw]]&gt;=150,"Fast-Charging","Standard-Charging"))</f>
        <v>Ultra-Fast</v>
      </c>
      <c r="AF1602" t="str">
        <f>IF(EV_Data4[[#This Row],[acceleration_0_60_mph]]&lt;=3,"SportsPerformance",IF(EV_Data4[[#This Row],[acceleration_0_60_mph]]&lt;=5,"HighPerformance","Standard"))</f>
        <v>Standard</v>
      </c>
      <c r="AG1602" t="str">
        <f>IF(EV_Data4[[#This Row],[customer_rating]]&gt;=4.5,"Excellent",IF(EV_Data4[[#This Row],[customer_rating]]&gt;=3.5,"Good","Average"))</f>
        <v>Average</v>
      </c>
      <c r="AH1602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603" spans="1:34" x14ac:dyDescent="0.3">
      <c r="A1603" t="s">
        <v>63</v>
      </c>
      <c r="B1603" t="s">
        <v>88</v>
      </c>
      <c r="C1603">
        <v>2025</v>
      </c>
      <c r="D1603" t="s">
        <v>56</v>
      </c>
      <c r="E1603" s="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27</v>
      </c>
      <c r="N1603">
        <v>5</v>
      </c>
      <c r="O1603" t="s">
        <v>58</v>
      </c>
      <c r="P1603">
        <v>17.399999999999999</v>
      </c>
      <c r="Q1603">
        <v>1500</v>
      </c>
      <c r="R1603">
        <v>3</v>
      </c>
      <c r="S1603">
        <v>1</v>
      </c>
      <c r="T1603" t="s">
        <v>65</v>
      </c>
      <c r="U1603" t="s">
        <v>66</v>
      </c>
      <c r="V1603" s="3">
        <v>176238</v>
      </c>
      <c r="W1603">
        <v>3.06</v>
      </c>
      <c r="X1603">
        <v>3</v>
      </c>
      <c r="Y1603" s="1">
        <f>EV_Data4[[#This Row],[range_miles]]/EV_Data4[[#This Row],[battery_capacity_kwh]]</f>
        <v>3.5799522673031028</v>
      </c>
      <c r="Z1603" s="4">
        <f>EV_Data4[[#This Row],[price_usd]]/EV_Data4[[#This Row],[range_miles]]</f>
        <v>163.20766666666668</v>
      </c>
      <c r="AA1603" s="2">
        <f>(EV_Data4[[#This Row],[customer_rating]]*EV_Data4[[#This Row],[safety_rating]]*1000)/EV_Data4[[#This Row],[price_usd]]</f>
        <v>0.37498238440596132</v>
      </c>
      <c r="AB1603">
        <f>EV_Data4[[#This Row],[horsepower]]+EV_Data4[[#This Row],[torque_nm]]/EV_Data4[[#This Row],[acceleration_0_60_mph]]</f>
        <v>263.13704206241522</v>
      </c>
      <c r="AC1603" t="str">
        <f>IF(EV_Data4[[#This Row],[price_usd]]&gt;=80000,"Luxury",IF(EV_Data4[[#This Row],[price_usd]]&gt;=40000,"Mid-Range","Budget"))</f>
        <v>Budget</v>
      </c>
      <c r="AD1603" t="str">
        <f>IF(EV_Data4[[#This Row],[range_miles]]&gt;=350,"Long-Range",IF(EV_Data4[[#This Row],[range_miles]]&gt;=250,"Medium-Range","Short-Range"))</f>
        <v>Short-Range</v>
      </c>
      <c r="AE1603" t="str">
        <f>IF(EV_Data4[[#This Row],[charging_speed_kw]]&gt;=250,"Ultra-Fast",IF(EV_Data4[[#This Row],[charging_speed_kw]]&gt;=150,"Fast-Charging","Standard-Charging"))</f>
        <v>Standard-Charging</v>
      </c>
      <c r="AF1603" t="str">
        <f>IF(EV_Data4[[#This Row],[acceleration_0_60_mph]]&lt;=3,"SportsPerformance",IF(EV_Data4[[#This Row],[acceleration_0_60_mph]]&lt;=5,"HighPerformance","Standard"))</f>
        <v>Standard</v>
      </c>
      <c r="AG1603" t="str">
        <f>IF(EV_Data4[[#This Row],[customer_rating]]&gt;=4.5,"Excellent",IF(EV_Data4[[#This Row],[customer_rating]]&gt;=3.5,"Good","Average"))</f>
        <v>Average</v>
      </c>
      <c r="AH160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04" spans="1:34" x14ac:dyDescent="0.3">
      <c r="A1604" t="s">
        <v>63</v>
      </c>
      <c r="B1604" t="s">
        <v>96</v>
      </c>
      <c r="C1604">
        <v>2024</v>
      </c>
      <c r="D1604" t="s">
        <v>44</v>
      </c>
      <c r="E1604" s="3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34</v>
      </c>
      <c r="N1604">
        <v>7</v>
      </c>
      <c r="O1604" t="s">
        <v>35</v>
      </c>
      <c r="P1604">
        <v>55.2</v>
      </c>
      <c r="Q1604">
        <v>1948</v>
      </c>
      <c r="R1604">
        <v>5</v>
      </c>
      <c r="S1604">
        <v>2</v>
      </c>
      <c r="T1604" t="s">
        <v>65</v>
      </c>
      <c r="U1604" t="s">
        <v>37</v>
      </c>
      <c r="V1604" s="3">
        <v>188274</v>
      </c>
      <c r="W1604">
        <v>3.73</v>
      </c>
      <c r="X1604">
        <v>4</v>
      </c>
      <c r="Y1604" s="1">
        <f>EV_Data4[[#This Row],[range_miles]]/EV_Data4[[#This Row],[battery_capacity_kwh]]</f>
        <v>3.6757301107754281</v>
      </c>
      <c r="Z1604" s="4">
        <f>EV_Data4[[#This Row],[price_usd]]/EV_Data4[[#This Row],[range_miles]]</f>
        <v>141.20008219178081</v>
      </c>
      <c r="AA1604" s="2">
        <f>(EV_Data4[[#This Row],[customer_rating]]*EV_Data4[[#This Row],[safety_rating]]*1000)/EV_Data4[[#This Row],[price_usd]]</f>
        <v>0.36186870161703893</v>
      </c>
      <c r="AB1604">
        <f>EV_Data4[[#This Row],[horsepower]]+EV_Data4[[#This Row],[torque_nm]]/EV_Data4[[#This Row],[acceleration_0_60_mph]]</f>
        <v>649.53200883002205</v>
      </c>
      <c r="AC1604" t="str">
        <f>IF(EV_Data4[[#This Row],[price_usd]]&gt;=80000,"Luxury",IF(EV_Data4[[#This Row],[price_usd]]&gt;=40000,"Mid-Range","Budget"))</f>
        <v>Mid-Range</v>
      </c>
      <c r="AD1604" t="str">
        <f>IF(EV_Data4[[#This Row],[range_miles]]&gt;=350,"Long-Range",IF(EV_Data4[[#This Row],[range_miles]]&gt;=250,"Medium-Range","Short-Range"))</f>
        <v>Long-Range</v>
      </c>
      <c r="AE1604" t="str">
        <f>IF(EV_Data4[[#This Row],[charging_speed_kw]]&gt;=250,"Ultra-Fast",IF(EV_Data4[[#This Row],[charging_speed_kw]]&gt;=150,"Fast-Charging","Standard-Charging"))</f>
        <v>Standard-Charging</v>
      </c>
      <c r="AF1604" t="str">
        <f>IF(EV_Data4[[#This Row],[acceleration_0_60_mph]]&lt;=3,"SportsPerformance",IF(EV_Data4[[#This Row],[acceleration_0_60_mph]]&lt;=5,"HighPerformance","Standard"))</f>
        <v>HighPerformance</v>
      </c>
      <c r="AG1604" t="str">
        <f>IF(EV_Data4[[#This Row],[customer_rating]]&gt;=4.5,"Excellent",IF(EV_Data4[[#This Row],[customer_rating]]&gt;=3.5,"Good","Average"))</f>
        <v>Good</v>
      </c>
      <c r="AH160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05" spans="1:34" x14ac:dyDescent="0.3">
      <c r="A1605" t="s">
        <v>63</v>
      </c>
      <c r="B1605" t="s">
        <v>67</v>
      </c>
      <c r="C1605">
        <v>2024</v>
      </c>
      <c r="D1605" t="s">
        <v>56</v>
      </c>
      <c r="E1605" s="3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27</v>
      </c>
      <c r="N1605">
        <v>7</v>
      </c>
      <c r="O1605" t="s">
        <v>28</v>
      </c>
      <c r="P1605">
        <v>59.3</v>
      </c>
      <c r="Q1605">
        <v>2431</v>
      </c>
      <c r="R1605">
        <v>4</v>
      </c>
      <c r="S1605">
        <v>0</v>
      </c>
      <c r="T1605" t="s">
        <v>65</v>
      </c>
      <c r="U1605" t="s">
        <v>66</v>
      </c>
      <c r="V1605" s="3">
        <v>216310</v>
      </c>
      <c r="W1605">
        <v>3.28</v>
      </c>
      <c r="X1605">
        <v>3</v>
      </c>
      <c r="Y1605" s="1">
        <f>EV_Data4[[#This Row],[range_miles]]/EV_Data4[[#This Row],[battery_capacity_kwh]]</f>
        <v>3.400900900900901</v>
      </c>
      <c r="Z1605" s="4">
        <f>EV_Data4[[#This Row],[price_usd]]/EV_Data4[[#This Row],[range_miles]]</f>
        <v>126.38105960264902</v>
      </c>
      <c r="AA1605" s="2">
        <f>(EV_Data4[[#This Row],[customer_rating]]*EV_Data4[[#This Row],[safety_rating]]*1000)/EV_Data4[[#This Row],[price_usd]]</f>
        <v>0.68750347157812441</v>
      </c>
      <c r="AB1605">
        <f>EV_Data4[[#This Row],[horsepower]]+EV_Data4[[#This Row],[torque_nm]]/EV_Data4[[#This Row],[acceleration_0_60_mph]]</f>
        <v>175.77319587628867</v>
      </c>
      <c r="AC1605" t="str">
        <f>IF(EV_Data4[[#This Row],[price_usd]]&gt;=80000,"Luxury",IF(EV_Data4[[#This Row],[price_usd]]&gt;=40000,"Mid-Range","Budget"))</f>
        <v>Budget</v>
      </c>
      <c r="AD1605" t="str">
        <f>IF(EV_Data4[[#This Row],[range_miles]]&gt;=350,"Long-Range",IF(EV_Data4[[#This Row],[range_miles]]&gt;=250,"Medium-Range","Short-Range"))</f>
        <v>Short-Range</v>
      </c>
      <c r="AE1605" t="str">
        <f>IF(EV_Data4[[#This Row],[charging_speed_kw]]&gt;=250,"Ultra-Fast",IF(EV_Data4[[#This Row],[charging_speed_kw]]&gt;=150,"Fast-Charging","Standard-Charging"))</f>
        <v>Standard-Charging</v>
      </c>
      <c r="AF1605" t="str">
        <f>IF(EV_Data4[[#This Row],[acceleration_0_60_mph]]&lt;=3,"SportsPerformance",IF(EV_Data4[[#This Row],[acceleration_0_60_mph]]&lt;=5,"HighPerformance","Standard"))</f>
        <v>Standard</v>
      </c>
      <c r="AG1605" t="str">
        <f>IF(EV_Data4[[#This Row],[customer_rating]]&gt;=4.5,"Excellent",IF(EV_Data4[[#This Row],[customer_rating]]&gt;=3.5,"Good","Average"))</f>
        <v>Average</v>
      </c>
      <c r="AH160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06" spans="1:34" x14ac:dyDescent="0.3">
      <c r="A1606" t="s">
        <v>46</v>
      </c>
      <c r="B1606" t="s">
        <v>49</v>
      </c>
      <c r="C1606">
        <v>2024</v>
      </c>
      <c r="D1606" t="s">
        <v>26</v>
      </c>
      <c r="E1606" s="3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48</v>
      </c>
      <c r="N1606">
        <v>7</v>
      </c>
      <c r="O1606" t="s">
        <v>35</v>
      </c>
      <c r="P1606">
        <v>62.3</v>
      </c>
      <c r="Q1606">
        <v>1904</v>
      </c>
      <c r="R1606">
        <v>5</v>
      </c>
      <c r="S1606">
        <v>2</v>
      </c>
      <c r="T1606" t="s">
        <v>41</v>
      </c>
      <c r="U1606" t="s">
        <v>37</v>
      </c>
      <c r="V1606" s="3">
        <v>451073</v>
      </c>
      <c r="W1606">
        <v>4.2300000000000004</v>
      </c>
      <c r="X1606">
        <v>5</v>
      </c>
      <c r="Y1606" s="1">
        <f>EV_Data4[[#This Row],[range_miles]]/EV_Data4[[#This Row],[battery_capacity_kwh]]</f>
        <v>3.3685136323658749</v>
      </c>
      <c r="Z1606" s="4">
        <f>EV_Data4[[#This Row],[price_usd]]/EV_Data4[[#This Row],[range_miles]]</f>
        <v>97.272010443864232</v>
      </c>
      <c r="AA1606" s="2">
        <f>(EV_Data4[[#This Row],[customer_rating]]*EV_Data4[[#This Row],[safety_rating]]*1000)/EV_Data4[[#This Row],[price_usd]]</f>
        <v>0.56770628943411372</v>
      </c>
      <c r="AB1606">
        <f>EV_Data4[[#This Row],[horsepower]]+EV_Data4[[#This Row],[torque_nm]]/EV_Data4[[#This Row],[acceleration_0_60_mph]]</f>
        <v>355.20610687022901</v>
      </c>
      <c r="AC1606" t="str">
        <f>IF(EV_Data4[[#This Row],[price_usd]]&gt;=80000,"Luxury",IF(EV_Data4[[#This Row],[price_usd]]&gt;=40000,"Mid-Range","Budget"))</f>
        <v>Budget</v>
      </c>
      <c r="AD1606" t="str">
        <f>IF(EV_Data4[[#This Row],[range_miles]]&gt;=350,"Long-Range",IF(EV_Data4[[#This Row],[range_miles]]&gt;=250,"Medium-Range","Short-Range"))</f>
        <v>Long-Range</v>
      </c>
      <c r="AE1606" t="str">
        <f>IF(EV_Data4[[#This Row],[charging_speed_kw]]&gt;=250,"Ultra-Fast",IF(EV_Data4[[#This Row],[charging_speed_kw]]&gt;=150,"Fast-Charging","Standard-Charging"))</f>
        <v>Ultra-Fast</v>
      </c>
      <c r="AF1606" t="str">
        <f>IF(EV_Data4[[#This Row],[acceleration_0_60_mph]]&lt;=3,"SportsPerformance",IF(EV_Data4[[#This Row],[acceleration_0_60_mph]]&lt;=5,"HighPerformance","Standard"))</f>
        <v>SportsPerformance</v>
      </c>
      <c r="AG1606" t="str">
        <f>IF(EV_Data4[[#This Row],[customer_rating]]&gt;=4.5,"Excellent",IF(EV_Data4[[#This Row],[customer_rating]]&gt;=3.5,"Good","Average"))</f>
        <v>Good</v>
      </c>
      <c r="AH160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07" spans="1:34" x14ac:dyDescent="0.3">
      <c r="A1607" t="s">
        <v>68</v>
      </c>
      <c r="B1607" t="s">
        <v>90</v>
      </c>
      <c r="C1607">
        <v>2022</v>
      </c>
      <c r="D1607" t="s">
        <v>56</v>
      </c>
      <c r="E1607" s="3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48</v>
      </c>
      <c r="N1607">
        <v>7</v>
      </c>
      <c r="O1607" t="s">
        <v>40</v>
      </c>
      <c r="P1607">
        <v>68.5</v>
      </c>
      <c r="Q1607">
        <v>1572</v>
      </c>
      <c r="R1607">
        <v>3</v>
      </c>
      <c r="S1607">
        <v>0</v>
      </c>
      <c r="T1607" t="s">
        <v>45</v>
      </c>
      <c r="U1607" t="s">
        <v>66</v>
      </c>
      <c r="V1607" s="3">
        <v>119899</v>
      </c>
      <c r="W1607">
        <v>3.25</v>
      </c>
      <c r="X1607">
        <v>4</v>
      </c>
      <c r="Y1607" s="1">
        <f>EV_Data4[[#This Row],[range_miles]]/EV_Data4[[#This Row],[battery_capacity_kwh]]</f>
        <v>3.5381355932203387</v>
      </c>
      <c r="Z1607" s="4">
        <f>EV_Data4[[#This Row],[price_usd]]/EV_Data4[[#This Row],[range_miles]]</f>
        <v>168.22532934131738</v>
      </c>
      <c r="AA1607" s="2">
        <f>(EV_Data4[[#This Row],[customer_rating]]*EV_Data4[[#This Row],[safety_rating]]*1000)/EV_Data4[[#This Row],[price_usd]]</f>
        <v>0.34705376272130017</v>
      </c>
      <c r="AB1607">
        <f>EV_Data4[[#This Row],[horsepower]]+EV_Data4[[#This Row],[torque_nm]]/EV_Data4[[#This Row],[acceleration_0_60_mph]]</f>
        <v>175.67394094993583</v>
      </c>
      <c r="AC1607" t="str">
        <f>IF(EV_Data4[[#This Row],[price_usd]]&gt;=80000,"Luxury",IF(EV_Data4[[#This Row],[price_usd]]&gt;=40000,"Mid-Range","Budget"))</f>
        <v>Budget</v>
      </c>
      <c r="AD1607" t="str">
        <f>IF(EV_Data4[[#This Row],[range_miles]]&gt;=350,"Long-Range",IF(EV_Data4[[#This Row],[range_miles]]&gt;=250,"Medium-Range","Short-Range"))</f>
        <v>Short-Range</v>
      </c>
      <c r="AE1607" t="str">
        <f>IF(EV_Data4[[#This Row],[charging_speed_kw]]&gt;=250,"Ultra-Fast",IF(EV_Data4[[#This Row],[charging_speed_kw]]&gt;=150,"Fast-Charging","Standard-Charging"))</f>
        <v>Standard-Charging</v>
      </c>
      <c r="AF1607" t="str">
        <f>IF(EV_Data4[[#This Row],[acceleration_0_60_mph]]&lt;=3,"SportsPerformance",IF(EV_Data4[[#This Row],[acceleration_0_60_mph]]&lt;=5,"HighPerformance","Standard"))</f>
        <v>Standard</v>
      </c>
      <c r="AG1607" t="str">
        <f>IF(EV_Data4[[#This Row],[customer_rating]]&gt;=4.5,"Excellent",IF(EV_Data4[[#This Row],[customer_rating]]&gt;=3.5,"Good","Average"))</f>
        <v>Average</v>
      </c>
      <c r="AH160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08" spans="1:34" x14ac:dyDescent="0.3">
      <c r="A1608" t="s">
        <v>46</v>
      </c>
      <c r="B1608" t="s">
        <v>72</v>
      </c>
      <c r="C1608">
        <v>2025</v>
      </c>
      <c r="D1608" t="s">
        <v>56</v>
      </c>
      <c r="E1608" s="3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34</v>
      </c>
      <c r="N1608">
        <v>5</v>
      </c>
      <c r="O1608" t="s">
        <v>28</v>
      </c>
      <c r="P1608">
        <v>56.1</v>
      </c>
      <c r="Q1608">
        <v>2585</v>
      </c>
      <c r="R1608">
        <v>4</v>
      </c>
      <c r="S1608">
        <v>2</v>
      </c>
      <c r="T1608" t="s">
        <v>41</v>
      </c>
      <c r="U1608" t="s">
        <v>33</v>
      </c>
      <c r="V1608" s="3">
        <v>102752</v>
      </c>
      <c r="W1608">
        <v>3.5</v>
      </c>
      <c r="X1608">
        <v>6</v>
      </c>
      <c r="Y1608" s="1">
        <f>EV_Data4[[#This Row],[range_miles]]/EV_Data4[[#This Row],[battery_capacity_kwh]]</f>
        <v>3.4735202492211839</v>
      </c>
      <c r="Z1608" s="4">
        <f>EV_Data4[[#This Row],[price_usd]]/EV_Data4[[#This Row],[range_miles]]</f>
        <v>394.65354260089691</v>
      </c>
      <c r="AA1608" s="2">
        <f>(EV_Data4[[#This Row],[customer_rating]]*EV_Data4[[#This Row],[safety_rating]]*1000)/EV_Data4[[#This Row],[price_usd]]</f>
        <v>0.15907691755293341</v>
      </c>
      <c r="AB1608">
        <f>EV_Data4[[#This Row],[horsepower]]+EV_Data4[[#This Row],[torque_nm]]/EV_Data4[[#This Row],[acceleration_0_60_mph]]</f>
        <v>666.38095238095241</v>
      </c>
      <c r="AC1608" t="str">
        <f>IF(EV_Data4[[#This Row],[price_usd]]&gt;=80000,"Luxury",IF(EV_Data4[[#This Row],[price_usd]]&gt;=40000,"Mid-Range","Budget"))</f>
        <v>Luxury</v>
      </c>
      <c r="AD1608" t="str">
        <f>IF(EV_Data4[[#This Row],[range_miles]]&gt;=350,"Long-Range",IF(EV_Data4[[#This Row],[range_miles]]&gt;=250,"Medium-Range","Short-Range"))</f>
        <v>Short-Range</v>
      </c>
      <c r="AE1608" t="str">
        <f>IF(EV_Data4[[#This Row],[charging_speed_kw]]&gt;=250,"Ultra-Fast",IF(EV_Data4[[#This Row],[charging_speed_kw]]&gt;=150,"Fast-Charging","Standard-Charging"))</f>
        <v>Ultra-Fast</v>
      </c>
      <c r="AF1608" t="str">
        <f>IF(EV_Data4[[#This Row],[acceleration_0_60_mph]]&lt;=3,"SportsPerformance",IF(EV_Data4[[#This Row],[acceleration_0_60_mph]]&lt;=5,"HighPerformance","Standard"))</f>
        <v>Standard</v>
      </c>
      <c r="AG1608" t="str">
        <f>IF(EV_Data4[[#This Row],[customer_rating]]&gt;=4.5,"Excellent",IF(EV_Data4[[#This Row],[customer_rating]]&gt;=3.5,"Good","Average"))</f>
        <v>Good</v>
      </c>
      <c r="AH160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09" spans="1:34" x14ac:dyDescent="0.3">
      <c r="A1609" t="s">
        <v>76</v>
      </c>
      <c r="B1609" t="s">
        <v>98</v>
      </c>
      <c r="C1609">
        <v>2025</v>
      </c>
      <c r="D1609" t="s">
        <v>26</v>
      </c>
      <c r="E1609" s="3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27</v>
      </c>
      <c r="N1609">
        <v>5</v>
      </c>
      <c r="O1609" t="s">
        <v>58</v>
      </c>
      <c r="P1609">
        <v>38.200000000000003</v>
      </c>
      <c r="Q1609">
        <v>1687</v>
      </c>
      <c r="R1609">
        <v>4</v>
      </c>
      <c r="S1609">
        <v>1</v>
      </c>
      <c r="T1609" t="s">
        <v>41</v>
      </c>
      <c r="U1609" t="s">
        <v>33</v>
      </c>
      <c r="V1609" s="3">
        <v>31804</v>
      </c>
      <c r="W1609">
        <v>3.45</v>
      </c>
      <c r="X1609">
        <v>3</v>
      </c>
      <c r="Y1609" s="1">
        <f>EV_Data4[[#This Row],[range_miles]]/EV_Data4[[#This Row],[battery_capacity_kwh]]</f>
        <v>2.9829172141918532</v>
      </c>
      <c r="Z1609" s="4">
        <f>EV_Data4[[#This Row],[price_usd]]/EV_Data4[[#This Row],[range_miles]]</f>
        <v>331.25066079295152</v>
      </c>
      <c r="AA1609" s="2">
        <f>(EV_Data4[[#This Row],[customer_rating]]*EV_Data4[[#This Row],[safety_rating]]*1000)/EV_Data4[[#This Row],[price_usd]]</f>
        <v>0.18352552534181629</v>
      </c>
      <c r="AB1609">
        <f>EV_Data4[[#This Row],[horsepower]]+EV_Data4[[#This Row],[torque_nm]]/EV_Data4[[#This Row],[acceleration_0_60_mph]]</f>
        <v>1083.3558282208589</v>
      </c>
      <c r="AC1609" t="str">
        <f>IF(EV_Data4[[#This Row],[price_usd]]&gt;=80000,"Luxury",IF(EV_Data4[[#This Row],[price_usd]]&gt;=40000,"Mid-Range","Budget"))</f>
        <v>Mid-Range</v>
      </c>
      <c r="AD1609" t="str">
        <f>IF(EV_Data4[[#This Row],[range_miles]]&gt;=350,"Long-Range",IF(EV_Data4[[#This Row],[range_miles]]&gt;=250,"Medium-Range","Short-Range"))</f>
        <v>Short-Range</v>
      </c>
      <c r="AE1609" t="str">
        <f>IF(EV_Data4[[#This Row],[charging_speed_kw]]&gt;=250,"Ultra-Fast",IF(EV_Data4[[#This Row],[charging_speed_kw]]&gt;=150,"Fast-Charging","Standard-Charging"))</f>
        <v>Fast-Charging</v>
      </c>
      <c r="AF1609" t="str">
        <f>IF(EV_Data4[[#This Row],[acceleration_0_60_mph]]&lt;=3,"SportsPerformance",IF(EV_Data4[[#This Row],[acceleration_0_60_mph]]&lt;=5,"HighPerformance","Standard"))</f>
        <v>HighPerformance</v>
      </c>
      <c r="AG1609" t="str">
        <f>IF(EV_Data4[[#This Row],[customer_rating]]&gt;=4.5,"Excellent",IF(EV_Data4[[#This Row],[customer_rating]]&gt;=3.5,"Good","Average"))</f>
        <v>Average</v>
      </c>
      <c r="AH160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10" spans="1:34" x14ac:dyDescent="0.3">
      <c r="A1610" t="s">
        <v>63</v>
      </c>
      <c r="B1610" t="s">
        <v>73</v>
      </c>
      <c r="C1610">
        <v>2026</v>
      </c>
      <c r="D1610" t="s">
        <v>61</v>
      </c>
      <c r="E1610" s="3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27</v>
      </c>
      <c r="N1610">
        <v>5</v>
      </c>
      <c r="O1610" t="s">
        <v>50</v>
      </c>
      <c r="P1610">
        <v>19.7</v>
      </c>
      <c r="Q1610">
        <v>1540</v>
      </c>
      <c r="R1610">
        <v>5</v>
      </c>
      <c r="S1610">
        <v>0</v>
      </c>
      <c r="T1610" t="s">
        <v>65</v>
      </c>
      <c r="U1610" t="s">
        <v>33</v>
      </c>
      <c r="V1610" s="3">
        <v>232416</v>
      </c>
      <c r="W1610">
        <v>3.5</v>
      </c>
      <c r="X1610">
        <v>4</v>
      </c>
      <c r="Y1610" s="1">
        <f>EV_Data4[[#This Row],[range_miles]]/EV_Data4[[#This Row],[battery_capacity_kwh]]</f>
        <v>3.3159722222222223</v>
      </c>
      <c r="Z1610" s="4">
        <f>EV_Data4[[#This Row],[price_usd]]/EV_Data4[[#This Row],[range_miles]]</f>
        <v>473.16544502617802</v>
      </c>
      <c r="AA1610" s="2">
        <f>(EV_Data4[[#This Row],[customer_rating]]*EV_Data4[[#This Row],[safety_rating]]*1000)/EV_Data4[[#This Row],[price_usd]]</f>
        <v>0.1936384780679527</v>
      </c>
      <c r="AB1610">
        <f>EV_Data4[[#This Row],[horsepower]]+EV_Data4[[#This Row],[torque_nm]]/EV_Data4[[#This Row],[acceleration_0_60_mph]]</f>
        <v>1065.9941348973607</v>
      </c>
      <c r="AC1610" t="str">
        <f>IF(EV_Data4[[#This Row],[price_usd]]&gt;=80000,"Luxury",IF(EV_Data4[[#This Row],[price_usd]]&gt;=40000,"Mid-Range","Budget"))</f>
        <v>Luxury</v>
      </c>
      <c r="AD1610" t="str">
        <f>IF(EV_Data4[[#This Row],[range_miles]]&gt;=350,"Long-Range",IF(EV_Data4[[#This Row],[range_miles]]&gt;=250,"Medium-Range","Short-Range"))</f>
        <v>Short-Range</v>
      </c>
      <c r="AE1610" t="str">
        <f>IF(EV_Data4[[#This Row],[charging_speed_kw]]&gt;=250,"Ultra-Fast",IF(EV_Data4[[#This Row],[charging_speed_kw]]&gt;=150,"Fast-Charging","Standard-Charging"))</f>
        <v>Standard-Charging</v>
      </c>
      <c r="AF1610" t="str">
        <f>IF(EV_Data4[[#This Row],[acceleration_0_60_mph]]&lt;=3,"SportsPerformance",IF(EV_Data4[[#This Row],[acceleration_0_60_mph]]&lt;=5,"HighPerformance","Standard"))</f>
        <v>Standard</v>
      </c>
      <c r="AG1610" t="str">
        <f>IF(EV_Data4[[#This Row],[customer_rating]]&gt;=4.5,"Excellent",IF(EV_Data4[[#This Row],[customer_rating]]&gt;=3.5,"Good","Average"))</f>
        <v>Good</v>
      </c>
      <c r="AH161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11" spans="1:34" x14ac:dyDescent="0.3">
      <c r="A1611" t="s">
        <v>42</v>
      </c>
      <c r="B1611" t="s">
        <v>54</v>
      </c>
      <c r="C1611">
        <v>2025</v>
      </c>
      <c r="D1611" t="s">
        <v>26</v>
      </c>
      <c r="E1611" s="3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34</v>
      </c>
      <c r="N1611">
        <v>7</v>
      </c>
      <c r="O1611" t="s">
        <v>28</v>
      </c>
      <c r="P1611">
        <v>72.099999999999994</v>
      </c>
      <c r="Q1611">
        <v>2484</v>
      </c>
      <c r="R1611">
        <v>4</v>
      </c>
      <c r="S1611">
        <v>0</v>
      </c>
      <c r="T1611" t="s">
        <v>45</v>
      </c>
      <c r="U1611" t="s">
        <v>30</v>
      </c>
      <c r="V1611" s="3">
        <v>96875</v>
      </c>
      <c r="W1611">
        <v>3.43</v>
      </c>
      <c r="X1611">
        <v>3</v>
      </c>
      <c r="Y1611" s="1">
        <f>EV_Data4[[#This Row],[range_miles]]/EV_Data4[[#This Row],[battery_capacity_kwh]]</f>
        <v>3.5030303030303029</v>
      </c>
      <c r="Z1611" s="4">
        <f>EV_Data4[[#This Row],[price_usd]]/EV_Data4[[#This Row],[range_miles]]</f>
        <v>386.66283737024219</v>
      </c>
      <c r="AA1611" s="2">
        <f>(EV_Data4[[#This Row],[customer_rating]]*EV_Data4[[#This Row],[safety_rating]]*1000)/EV_Data4[[#This Row],[price_usd]]</f>
        <v>0.12277892741331289</v>
      </c>
      <c r="AB1611">
        <f>EV_Data4[[#This Row],[horsepower]]+EV_Data4[[#This Row],[torque_nm]]/EV_Data4[[#This Row],[acceleration_0_60_mph]]</f>
        <v>1208.5365853658536</v>
      </c>
      <c r="AC1611" t="str">
        <f>IF(EV_Data4[[#This Row],[price_usd]]&gt;=80000,"Luxury",IF(EV_Data4[[#This Row],[price_usd]]&gt;=40000,"Mid-Range","Budget"))</f>
        <v>Luxury</v>
      </c>
      <c r="AD1611" t="str">
        <f>IF(EV_Data4[[#This Row],[range_miles]]&gt;=350,"Long-Range",IF(EV_Data4[[#This Row],[range_miles]]&gt;=250,"Medium-Range","Short-Range"))</f>
        <v>Medium-Range</v>
      </c>
      <c r="AE1611" t="str">
        <f>IF(EV_Data4[[#This Row],[charging_speed_kw]]&gt;=250,"Ultra-Fast",IF(EV_Data4[[#This Row],[charging_speed_kw]]&gt;=150,"Fast-Charging","Standard-Charging"))</f>
        <v>Fast-Charging</v>
      </c>
      <c r="AF1611" t="str">
        <f>IF(EV_Data4[[#This Row],[acceleration_0_60_mph]]&lt;=3,"SportsPerformance",IF(EV_Data4[[#This Row],[acceleration_0_60_mph]]&lt;=5,"HighPerformance","Standard"))</f>
        <v>HighPerformance</v>
      </c>
      <c r="AG1611" t="str">
        <f>IF(EV_Data4[[#This Row],[customer_rating]]&gt;=4.5,"Excellent",IF(EV_Data4[[#This Row],[customer_rating]]&gt;=3.5,"Good","Average"))</f>
        <v>Average</v>
      </c>
      <c r="AH161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12" spans="1:34" x14ac:dyDescent="0.3">
      <c r="A1612" t="s">
        <v>86</v>
      </c>
      <c r="B1612" t="s">
        <v>117</v>
      </c>
      <c r="C1612">
        <v>2022</v>
      </c>
      <c r="D1612" t="s">
        <v>33</v>
      </c>
      <c r="E1612" s="3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27</v>
      </c>
      <c r="N1612">
        <v>5</v>
      </c>
      <c r="O1612" t="s">
        <v>35</v>
      </c>
      <c r="P1612">
        <v>56.2</v>
      </c>
      <c r="Q1612">
        <v>2232</v>
      </c>
      <c r="R1612">
        <v>5</v>
      </c>
      <c r="S1612">
        <v>2</v>
      </c>
      <c r="T1612" t="s">
        <v>29</v>
      </c>
      <c r="U1612" t="s">
        <v>30</v>
      </c>
      <c r="V1612" s="3">
        <v>57074</v>
      </c>
      <c r="W1612">
        <v>3.06</v>
      </c>
      <c r="X1612">
        <v>6</v>
      </c>
      <c r="Y1612" s="1">
        <f>EV_Data4[[#This Row],[range_miles]]/EV_Data4[[#This Row],[battery_capacity_kwh]]</f>
        <v>3.2525252525252526</v>
      </c>
      <c r="Z1612" s="4">
        <f>EV_Data4[[#This Row],[price_usd]]/EV_Data4[[#This Row],[range_miles]]</f>
        <v>898.23447204968943</v>
      </c>
      <c r="AA1612" s="2">
        <f>(EV_Data4[[#This Row],[customer_rating]]*EV_Data4[[#This Row],[safety_rating]]*1000)/EV_Data4[[#This Row],[price_usd]]</f>
        <v>0.10579760503264686</v>
      </c>
      <c r="AB1612">
        <f>EV_Data4[[#This Row],[horsepower]]+EV_Data4[[#This Row],[torque_nm]]/EV_Data4[[#This Row],[acceleration_0_60_mph]]</f>
        <v>1147.1666666666667</v>
      </c>
      <c r="AC1612" t="str">
        <f>IF(EV_Data4[[#This Row],[price_usd]]&gt;=80000,"Luxury",IF(EV_Data4[[#This Row],[price_usd]]&gt;=40000,"Mid-Range","Budget"))</f>
        <v>Luxury</v>
      </c>
      <c r="AD1612" t="str">
        <f>IF(EV_Data4[[#This Row],[range_miles]]&gt;=350,"Long-Range",IF(EV_Data4[[#This Row],[range_miles]]&gt;=250,"Medium-Range","Short-Range"))</f>
        <v>Short-Range</v>
      </c>
      <c r="AE1612" t="str">
        <f>IF(EV_Data4[[#This Row],[charging_speed_kw]]&gt;=250,"Ultra-Fast",IF(EV_Data4[[#This Row],[charging_speed_kw]]&gt;=150,"Fast-Charging","Standard-Charging"))</f>
        <v>Standard-Charging</v>
      </c>
      <c r="AF1612" t="str">
        <f>IF(EV_Data4[[#This Row],[acceleration_0_60_mph]]&lt;=3,"SportsPerformance",IF(EV_Data4[[#This Row],[acceleration_0_60_mph]]&lt;=5,"HighPerformance","Standard"))</f>
        <v>Standard</v>
      </c>
      <c r="AG1612" t="str">
        <f>IF(EV_Data4[[#This Row],[customer_rating]]&gt;=4.5,"Excellent",IF(EV_Data4[[#This Row],[customer_rating]]&gt;=3.5,"Good","Average"))</f>
        <v>Average</v>
      </c>
      <c r="AH161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13" spans="1:34" x14ac:dyDescent="0.3">
      <c r="A1613" t="s">
        <v>83</v>
      </c>
      <c r="B1613" t="s">
        <v>114</v>
      </c>
      <c r="C1613">
        <v>2025</v>
      </c>
      <c r="D1613" t="s">
        <v>61</v>
      </c>
      <c r="E1613" s="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48</v>
      </c>
      <c r="N1613">
        <v>5</v>
      </c>
      <c r="O1613" t="s">
        <v>35</v>
      </c>
      <c r="P1613">
        <v>39</v>
      </c>
      <c r="Q1613">
        <v>2137</v>
      </c>
      <c r="R1613">
        <v>5</v>
      </c>
      <c r="S1613">
        <v>1</v>
      </c>
      <c r="T1613" t="s">
        <v>29</v>
      </c>
      <c r="U1613" t="s">
        <v>33</v>
      </c>
      <c r="V1613" s="3">
        <v>73975</v>
      </c>
      <c r="W1613">
        <v>3.26</v>
      </c>
      <c r="X1613">
        <v>8</v>
      </c>
      <c r="Y1613" s="1">
        <f>EV_Data4[[#This Row],[range_miles]]/EV_Data4[[#This Row],[battery_capacity_kwh]]</f>
        <v>3.90625</v>
      </c>
      <c r="Z1613" s="4">
        <f>EV_Data4[[#This Row],[price_usd]]/EV_Data4[[#This Row],[range_miles]]</f>
        <v>308.12848888888891</v>
      </c>
      <c r="AA1613" s="2">
        <f>(EV_Data4[[#This Row],[customer_rating]]*EV_Data4[[#This Row],[safety_rating]]*1000)/EV_Data4[[#This Row],[price_usd]]</f>
        <v>0.23511115348560932</v>
      </c>
      <c r="AB1613">
        <f>EV_Data4[[#This Row],[horsepower]]+EV_Data4[[#This Row],[torque_nm]]/EV_Data4[[#This Row],[acceleration_0_60_mph]]</f>
        <v>401.55248618784532</v>
      </c>
      <c r="AC1613" t="str">
        <f>IF(EV_Data4[[#This Row],[price_usd]]&gt;=80000,"Luxury",IF(EV_Data4[[#This Row],[price_usd]]&gt;=40000,"Mid-Range","Budget"))</f>
        <v>Mid-Range</v>
      </c>
      <c r="AD1613" t="str">
        <f>IF(EV_Data4[[#This Row],[range_miles]]&gt;=350,"Long-Range",IF(EV_Data4[[#This Row],[range_miles]]&gt;=250,"Medium-Range","Short-Range"))</f>
        <v>Short-Range</v>
      </c>
      <c r="AE1613" t="str">
        <f>IF(EV_Data4[[#This Row],[charging_speed_kw]]&gt;=250,"Ultra-Fast",IF(EV_Data4[[#This Row],[charging_speed_kw]]&gt;=150,"Fast-Charging","Standard-Charging"))</f>
        <v>Standard-Charging</v>
      </c>
      <c r="AF1613" t="str">
        <f>IF(EV_Data4[[#This Row],[acceleration_0_60_mph]]&lt;=3,"SportsPerformance",IF(EV_Data4[[#This Row],[acceleration_0_60_mph]]&lt;=5,"HighPerformance","Standard"))</f>
        <v>Standard</v>
      </c>
      <c r="AG1613" t="str">
        <f>IF(EV_Data4[[#This Row],[customer_rating]]&gt;=4.5,"Excellent",IF(EV_Data4[[#This Row],[customer_rating]]&gt;=3.5,"Good","Average"))</f>
        <v>Average</v>
      </c>
      <c r="AH161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14" spans="1:34" x14ac:dyDescent="0.3">
      <c r="A1614" t="s">
        <v>68</v>
      </c>
      <c r="B1614" t="s">
        <v>106</v>
      </c>
      <c r="C1614">
        <v>2022</v>
      </c>
      <c r="D1614" t="s">
        <v>33</v>
      </c>
      <c r="E1614" s="3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27</v>
      </c>
      <c r="N1614">
        <v>7</v>
      </c>
      <c r="O1614" t="s">
        <v>51</v>
      </c>
      <c r="P1614">
        <v>19.3</v>
      </c>
      <c r="Q1614">
        <v>1718</v>
      </c>
      <c r="R1614">
        <v>4</v>
      </c>
      <c r="S1614">
        <v>1</v>
      </c>
      <c r="T1614" t="s">
        <v>45</v>
      </c>
      <c r="U1614" t="s">
        <v>37</v>
      </c>
      <c r="V1614" s="3">
        <v>57836</v>
      </c>
      <c r="W1614">
        <v>3.14</v>
      </c>
      <c r="X1614">
        <v>3</v>
      </c>
      <c r="Y1614" s="1">
        <f>EV_Data4[[#This Row],[range_miles]]/EV_Data4[[#This Row],[battery_capacity_kwh]]</f>
        <v>3.2720588235294117</v>
      </c>
      <c r="Z1614" s="4">
        <f>EV_Data4[[#This Row],[price_usd]]/EV_Data4[[#This Row],[range_miles]]</f>
        <v>219.36297752808989</v>
      </c>
      <c r="AA1614" s="2">
        <f>(EV_Data4[[#This Row],[customer_rating]]*EV_Data4[[#This Row],[safety_rating]]*1000)/EV_Data4[[#This Row],[price_usd]]</f>
        <v>0.3216668489274741</v>
      </c>
      <c r="AB1614">
        <f>EV_Data4[[#This Row],[horsepower]]+EV_Data4[[#This Row],[torque_nm]]/EV_Data4[[#This Row],[acceleration_0_60_mph]]</f>
        <v>354.81481481481484</v>
      </c>
      <c r="AC1614" t="str">
        <f>IF(EV_Data4[[#This Row],[price_usd]]&gt;=80000,"Luxury",IF(EV_Data4[[#This Row],[price_usd]]&gt;=40000,"Mid-Range","Budget"))</f>
        <v>Budget</v>
      </c>
      <c r="AD1614" t="str">
        <f>IF(EV_Data4[[#This Row],[range_miles]]&gt;=350,"Long-Range",IF(EV_Data4[[#This Row],[range_miles]]&gt;=250,"Medium-Range","Short-Range"))</f>
        <v>Short-Range</v>
      </c>
      <c r="AE1614" t="str">
        <f>IF(EV_Data4[[#This Row],[charging_speed_kw]]&gt;=250,"Ultra-Fast",IF(EV_Data4[[#This Row],[charging_speed_kw]]&gt;=150,"Fast-Charging","Standard-Charging"))</f>
        <v>Standard-Charging</v>
      </c>
      <c r="AF1614" t="str">
        <f>IF(EV_Data4[[#This Row],[acceleration_0_60_mph]]&lt;=3,"SportsPerformance",IF(EV_Data4[[#This Row],[acceleration_0_60_mph]]&lt;=5,"HighPerformance","Standard"))</f>
        <v>Standard</v>
      </c>
      <c r="AG1614" t="str">
        <f>IF(EV_Data4[[#This Row],[customer_rating]]&gt;=4.5,"Excellent",IF(EV_Data4[[#This Row],[customer_rating]]&gt;=3.5,"Good","Average"))</f>
        <v>Average</v>
      </c>
      <c r="AH161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15" spans="1:34" x14ac:dyDescent="0.3">
      <c r="A1615" t="s">
        <v>63</v>
      </c>
      <c r="B1615" t="s">
        <v>64</v>
      </c>
      <c r="C1615">
        <v>2025</v>
      </c>
      <c r="D1615" t="s">
        <v>44</v>
      </c>
      <c r="E1615" s="3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34</v>
      </c>
      <c r="N1615">
        <v>7</v>
      </c>
      <c r="O1615" t="s">
        <v>35</v>
      </c>
      <c r="P1615">
        <v>70</v>
      </c>
      <c r="Q1615">
        <v>2024</v>
      </c>
      <c r="R1615">
        <v>5</v>
      </c>
      <c r="S1615">
        <v>0</v>
      </c>
      <c r="T1615" t="s">
        <v>65</v>
      </c>
      <c r="U1615" t="s">
        <v>33</v>
      </c>
      <c r="V1615" s="3">
        <v>242291</v>
      </c>
      <c r="W1615">
        <v>3.55</v>
      </c>
      <c r="X1615">
        <v>4</v>
      </c>
      <c r="Y1615" s="1">
        <f>EV_Data4[[#This Row],[range_miles]]/EV_Data4[[#This Row],[battery_capacity_kwh]]</f>
        <v>3.5652173913043477</v>
      </c>
      <c r="Z1615" s="4">
        <f>EV_Data4[[#This Row],[price_usd]]/EV_Data4[[#This Row],[range_miles]]</f>
        <v>243.39051829268291</v>
      </c>
      <c r="AA1615" s="2">
        <f>(EV_Data4[[#This Row],[customer_rating]]*EV_Data4[[#This Row],[safety_rating]]*1000)/EV_Data4[[#This Row],[price_usd]]</f>
        <v>0.22234166736709512</v>
      </c>
      <c r="AB1615">
        <f>EV_Data4[[#This Row],[horsepower]]+EV_Data4[[#This Row],[torque_nm]]/EV_Data4[[#This Row],[acceleration_0_60_mph]]</f>
        <v>1027.2157996146436</v>
      </c>
      <c r="AC1615" t="str">
        <f>IF(EV_Data4[[#This Row],[price_usd]]&gt;=80000,"Luxury",IF(EV_Data4[[#This Row],[price_usd]]&gt;=40000,"Mid-Range","Budget"))</f>
        <v>Mid-Range</v>
      </c>
      <c r="AD1615" t="str">
        <f>IF(EV_Data4[[#This Row],[range_miles]]&gt;=350,"Long-Range",IF(EV_Data4[[#This Row],[range_miles]]&gt;=250,"Medium-Range","Short-Range"))</f>
        <v>Medium-Range</v>
      </c>
      <c r="AE1615" t="str">
        <f>IF(EV_Data4[[#This Row],[charging_speed_kw]]&gt;=250,"Ultra-Fast",IF(EV_Data4[[#This Row],[charging_speed_kw]]&gt;=150,"Fast-Charging","Standard-Charging"))</f>
        <v>Standard-Charging</v>
      </c>
      <c r="AF1615" t="str">
        <f>IF(EV_Data4[[#This Row],[acceleration_0_60_mph]]&lt;=3,"SportsPerformance",IF(EV_Data4[[#This Row],[acceleration_0_60_mph]]&lt;=5,"HighPerformance","Standard"))</f>
        <v>Standard</v>
      </c>
      <c r="AG1615" t="str">
        <f>IF(EV_Data4[[#This Row],[customer_rating]]&gt;=4.5,"Excellent",IF(EV_Data4[[#This Row],[customer_rating]]&gt;=3.5,"Good","Average"))</f>
        <v>Good</v>
      </c>
      <c r="AH161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16" spans="1:34" x14ac:dyDescent="0.3">
      <c r="A1616" t="s">
        <v>63</v>
      </c>
      <c r="B1616" t="s">
        <v>64</v>
      </c>
      <c r="C1616">
        <v>2024</v>
      </c>
      <c r="D1616" t="s">
        <v>33</v>
      </c>
      <c r="E1616" s="3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27</v>
      </c>
      <c r="N1616">
        <v>7</v>
      </c>
      <c r="O1616" t="s">
        <v>58</v>
      </c>
      <c r="P1616">
        <v>38.700000000000003</v>
      </c>
      <c r="Q1616">
        <v>1756</v>
      </c>
      <c r="R1616">
        <v>5</v>
      </c>
      <c r="S1616">
        <v>2</v>
      </c>
      <c r="T1616" t="s">
        <v>65</v>
      </c>
      <c r="U1616" t="s">
        <v>37</v>
      </c>
      <c r="V1616" s="3">
        <v>143773</v>
      </c>
      <c r="W1616">
        <v>3.5</v>
      </c>
      <c r="X1616">
        <v>4</v>
      </c>
      <c r="Y1616" s="1">
        <f>EV_Data4[[#This Row],[range_miles]]/EV_Data4[[#This Row],[battery_capacity_kwh]]</f>
        <v>3.404522613065327</v>
      </c>
      <c r="Z1616" s="4">
        <f>EV_Data4[[#This Row],[price_usd]]/EV_Data4[[#This Row],[range_miles]]</f>
        <v>189.02830258302583</v>
      </c>
      <c r="AA1616" s="2">
        <f>(EV_Data4[[#This Row],[customer_rating]]*EV_Data4[[#This Row],[safety_rating]]*1000)/EV_Data4[[#This Row],[price_usd]]</f>
        <v>0.3416189262351037</v>
      </c>
      <c r="AB1616">
        <f>EV_Data4[[#This Row],[horsepower]]+EV_Data4[[#This Row],[torque_nm]]/EV_Data4[[#This Row],[acceleration_0_60_mph]]</f>
        <v>635.52542372881362</v>
      </c>
      <c r="AC1616" t="str">
        <f>IF(EV_Data4[[#This Row],[price_usd]]&gt;=80000,"Luxury",IF(EV_Data4[[#This Row],[price_usd]]&gt;=40000,"Mid-Range","Budget"))</f>
        <v>Mid-Range</v>
      </c>
      <c r="AD1616" t="str">
        <f>IF(EV_Data4[[#This Row],[range_miles]]&gt;=350,"Long-Range",IF(EV_Data4[[#This Row],[range_miles]]&gt;=250,"Medium-Range","Short-Range"))</f>
        <v>Medium-Range</v>
      </c>
      <c r="AE1616" t="str">
        <f>IF(EV_Data4[[#This Row],[charging_speed_kw]]&gt;=250,"Ultra-Fast",IF(EV_Data4[[#This Row],[charging_speed_kw]]&gt;=150,"Fast-Charging","Standard-Charging"))</f>
        <v>Standard-Charging</v>
      </c>
      <c r="AF1616" t="str">
        <f>IF(EV_Data4[[#This Row],[acceleration_0_60_mph]]&lt;=3,"SportsPerformance",IF(EV_Data4[[#This Row],[acceleration_0_60_mph]]&lt;=5,"HighPerformance","Standard"))</f>
        <v>Standard</v>
      </c>
      <c r="AG1616" t="str">
        <f>IF(EV_Data4[[#This Row],[customer_rating]]&gt;=4.5,"Excellent",IF(EV_Data4[[#This Row],[customer_rating]]&gt;=3.5,"Good","Average"))</f>
        <v>Good</v>
      </c>
      <c r="AH161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17" spans="1:34" x14ac:dyDescent="0.3">
      <c r="A1617" t="s">
        <v>83</v>
      </c>
      <c r="B1617" t="s">
        <v>114</v>
      </c>
      <c r="C1617">
        <v>2024</v>
      </c>
      <c r="D1617" t="s">
        <v>61</v>
      </c>
      <c r="E1617" s="3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48</v>
      </c>
      <c r="N1617">
        <v>5</v>
      </c>
      <c r="O1617" t="s">
        <v>51</v>
      </c>
      <c r="P1617">
        <v>19.899999999999999</v>
      </c>
      <c r="Q1617">
        <v>1815</v>
      </c>
      <c r="R1617">
        <v>5</v>
      </c>
      <c r="S1617">
        <v>2</v>
      </c>
      <c r="T1617" t="s">
        <v>29</v>
      </c>
      <c r="U1617" t="s">
        <v>33</v>
      </c>
      <c r="V1617" s="3">
        <v>76685</v>
      </c>
      <c r="W1617">
        <v>3.38</v>
      </c>
      <c r="X1617">
        <v>5</v>
      </c>
      <c r="Y1617" s="1">
        <f>EV_Data4[[#This Row],[range_miles]]/EV_Data4[[#This Row],[battery_capacity_kwh]]</f>
        <v>3.6287625418060201</v>
      </c>
      <c r="Z1617" s="4">
        <f>EV_Data4[[#This Row],[price_usd]]/EV_Data4[[#This Row],[range_miles]]</f>
        <v>324.37539170506915</v>
      </c>
      <c r="AA1617" s="2">
        <f>(EV_Data4[[#This Row],[customer_rating]]*EV_Data4[[#This Row],[safety_rating]]*1000)/EV_Data4[[#This Row],[price_usd]]</f>
        <v>0.24009276388822984</v>
      </c>
      <c r="AB1617">
        <f>EV_Data4[[#This Row],[horsepower]]+EV_Data4[[#This Row],[torque_nm]]/EV_Data4[[#This Row],[acceleration_0_60_mph]]</f>
        <v>524.38291605301913</v>
      </c>
      <c r="AC1617" t="str">
        <f>IF(EV_Data4[[#This Row],[price_usd]]&gt;=80000,"Luxury",IF(EV_Data4[[#This Row],[price_usd]]&gt;=40000,"Mid-Range","Budget"))</f>
        <v>Mid-Range</v>
      </c>
      <c r="AD1617" t="str">
        <f>IF(EV_Data4[[#This Row],[range_miles]]&gt;=350,"Long-Range",IF(EV_Data4[[#This Row],[range_miles]]&gt;=250,"Medium-Range","Short-Range"))</f>
        <v>Short-Range</v>
      </c>
      <c r="AE1617" t="str">
        <f>IF(EV_Data4[[#This Row],[charging_speed_kw]]&gt;=250,"Ultra-Fast",IF(EV_Data4[[#This Row],[charging_speed_kw]]&gt;=150,"Fast-Charging","Standard-Charging"))</f>
        <v>Standard-Charging</v>
      </c>
      <c r="AF1617" t="str">
        <f>IF(EV_Data4[[#This Row],[acceleration_0_60_mph]]&lt;=3,"SportsPerformance",IF(EV_Data4[[#This Row],[acceleration_0_60_mph]]&lt;=5,"HighPerformance","Standard"))</f>
        <v>Standard</v>
      </c>
      <c r="AG1617" t="str">
        <f>IF(EV_Data4[[#This Row],[customer_rating]]&gt;=4.5,"Excellent",IF(EV_Data4[[#This Row],[customer_rating]]&gt;=3.5,"Good","Average"))</f>
        <v>Average</v>
      </c>
      <c r="AH161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18" spans="1:34" x14ac:dyDescent="0.3">
      <c r="A1618" t="s">
        <v>121</v>
      </c>
      <c r="B1618" t="s">
        <v>122</v>
      </c>
      <c r="C1618">
        <v>2022</v>
      </c>
      <c r="D1618" t="s">
        <v>26</v>
      </c>
      <c r="E1618" s="3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27</v>
      </c>
      <c r="N1618">
        <v>5</v>
      </c>
      <c r="O1618" t="s">
        <v>35</v>
      </c>
      <c r="P1618">
        <v>56.2</v>
      </c>
      <c r="Q1618">
        <v>2143</v>
      </c>
      <c r="R1618">
        <v>5</v>
      </c>
      <c r="S1618">
        <v>0</v>
      </c>
      <c r="T1618" t="s">
        <v>123</v>
      </c>
      <c r="U1618" t="s">
        <v>33</v>
      </c>
      <c r="V1618" s="3">
        <v>15699</v>
      </c>
      <c r="W1618">
        <v>3.68</v>
      </c>
      <c r="X1618">
        <v>5</v>
      </c>
      <c r="Y1618" s="1">
        <f>EV_Data4[[#This Row],[range_miles]]/EV_Data4[[#This Row],[battery_capacity_kwh]]</f>
        <v>3.6531365313653135</v>
      </c>
      <c r="Z1618" s="4">
        <f>EV_Data4[[#This Row],[price_usd]]/EV_Data4[[#This Row],[range_miles]]</f>
        <v>228.9424494949495</v>
      </c>
      <c r="AA1618" s="2">
        <f>(EV_Data4[[#This Row],[customer_rating]]*EV_Data4[[#This Row],[safety_rating]]*1000)/EV_Data4[[#This Row],[price_usd]]</f>
        <v>0.2029533909816558</v>
      </c>
      <c r="AB1618">
        <f>EV_Data4[[#This Row],[horsepower]]+EV_Data4[[#This Row],[torque_nm]]/EV_Data4[[#This Row],[acceleration_0_60_mph]]</f>
        <v>1097.513833992095</v>
      </c>
      <c r="AC1618" t="str">
        <f>IF(EV_Data4[[#This Row],[price_usd]]&gt;=80000,"Luxury",IF(EV_Data4[[#This Row],[price_usd]]&gt;=40000,"Mid-Range","Budget"))</f>
        <v>Luxury</v>
      </c>
      <c r="AD1618" t="str">
        <f>IF(EV_Data4[[#This Row],[range_miles]]&gt;=350,"Long-Range",IF(EV_Data4[[#This Row],[range_miles]]&gt;=250,"Medium-Range","Short-Range"))</f>
        <v>Long-Range</v>
      </c>
      <c r="AE1618" t="str">
        <f>IF(EV_Data4[[#This Row],[charging_speed_kw]]&gt;=250,"Ultra-Fast",IF(EV_Data4[[#This Row],[charging_speed_kw]]&gt;=150,"Fast-Charging","Standard-Charging"))</f>
        <v>Fast-Charging</v>
      </c>
      <c r="AF1618" t="str">
        <f>IF(EV_Data4[[#This Row],[acceleration_0_60_mph]]&lt;=3,"SportsPerformance",IF(EV_Data4[[#This Row],[acceleration_0_60_mph]]&lt;=5,"HighPerformance","Standard"))</f>
        <v>SportsPerformance</v>
      </c>
      <c r="AG1618" t="str">
        <f>IF(EV_Data4[[#This Row],[customer_rating]]&gt;=4.5,"Excellent",IF(EV_Data4[[#This Row],[customer_rating]]&gt;=3.5,"Good","Average"))</f>
        <v>Good</v>
      </c>
      <c r="AH161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19" spans="1:34" x14ac:dyDescent="0.3">
      <c r="A1619" t="s">
        <v>83</v>
      </c>
      <c r="B1619" t="s">
        <v>84</v>
      </c>
      <c r="C1619">
        <v>2022</v>
      </c>
      <c r="D1619" t="s">
        <v>26</v>
      </c>
      <c r="E1619" s="3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27</v>
      </c>
      <c r="N1619">
        <v>5</v>
      </c>
      <c r="O1619" t="s">
        <v>51</v>
      </c>
      <c r="P1619">
        <v>33</v>
      </c>
      <c r="Q1619">
        <v>1842</v>
      </c>
      <c r="R1619">
        <v>4</v>
      </c>
      <c r="S1619">
        <v>1</v>
      </c>
      <c r="T1619" t="s">
        <v>29</v>
      </c>
      <c r="U1619" t="s">
        <v>30</v>
      </c>
      <c r="V1619" s="3">
        <v>26663</v>
      </c>
      <c r="W1619">
        <v>3.51</v>
      </c>
      <c r="X1619">
        <v>7</v>
      </c>
      <c r="Y1619" s="1">
        <f>EV_Data4[[#This Row],[range_miles]]/EV_Data4[[#This Row],[battery_capacity_kwh]]</f>
        <v>3.481012658227848</v>
      </c>
      <c r="Z1619" s="4">
        <f>EV_Data4[[#This Row],[price_usd]]/EV_Data4[[#This Row],[range_miles]]</f>
        <v>560.03592727272724</v>
      </c>
      <c r="AA1619" s="2">
        <f>(EV_Data4[[#This Row],[customer_rating]]*EV_Data4[[#This Row],[safety_rating]]*1000)/EV_Data4[[#This Row],[price_usd]]</f>
        <v>9.1162982530731143E-2</v>
      </c>
      <c r="AB1619">
        <f>EV_Data4[[#This Row],[horsepower]]+EV_Data4[[#This Row],[torque_nm]]/EV_Data4[[#This Row],[acceleration_0_60_mph]]</f>
        <v>1199.1031390134528</v>
      </c>
      <c r="AC1619" t="str">
        <f>IF(EV_Data4[[#This Row],[price_usd]]&gt;=80000,"Luxury",IF(EV_Data4[[#This Row],[price_usd]]&gt;=40000,"Mid-Range","Budget"))</f>
        <v>Luxury</v>
      </c>
      <c r="AD1619" t="str">
        <f>IF(EV_Data4[[#This Row],[range_miles]]&gt;=350,"Long-Range",IF(EV_Data4[[#This Row],[range_miles]]&gt;=250,"Medium-Range","Short-Range"))</f>
        <v>Medium-Range</v>
      </c>
      <c r="AE1619" t="str">
        <f>IF(EV_Data4[[#This Row],[charging_speed_kw]]&gt;=250,"Ultra-Fast",IF(EV_Data4[[#This Row],[charging_speed_kw]]&gt;=150,"Fast-Charging","Standard-Charging"))</f>
        <v>Fast-Charging</v>
      </c>
      <c r="AF1619" t="str">
        <f>IF(EV_Data4[[#This Row],[acceleration_0_60_mph]]&lt;=3,"SportsPerformance",IF(EV_Data4[[#This Row],[acceleration_0_60_mph]]&lt;=5,"HighPerformance","Standard"))</f>
        <v>HighPerformance</v>
      </c>
      <c r="AG1619" t="str">
        <f>IF(EV_Data4[[#This Row],[customer_rating]]&gt;=4.5,"Excellent",IF(EV_Data4[[#This Row],[customer_rating]]&gt;=3.5,"Good","Average"))</f>
        <v>Good</v>
      </c>
      <c r="AH161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20" spans="1:34" x14ac:dyDescent="0.3">
      <c r="A1620" t="s">
        <v>42</v>
      </c>
      <c r="B1620" t="s">
        <v>115</v>
      </c>
      <c r="C1620">
        <v>2025</v>
      </c>
      <c r="D1620" t="s">
        <v>33</v>
      </c>
      <c r="E1620" s="3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27</v>
      </c>
      <c r="N1620">
        <v>5</v>
      </c>
      <c r="O1620" t="s">
        <v>58</v>
      </c>
      <c r="P1620">
        <v>34.6</v>
      </c>
      <c r="Q1620">
        <v>1566</v>
      </c>
      <c r="R1620">
        <v>4</v>
      </c>
      <c r="S1620">
        <v>2</v>
      </c>
      <c r="T1620" t="s">
        <v>45</v>
      </c>
      <c r="U1620" t="s">
        <v>37</v>
      </c>
      <c r="V1620" s="3">
        <v>65237</v>
      </c>
      <c r="W1620">
        <v>3.14</v>
      </c>
      <c r="X1620">
        <v>4</v>
      </c>
      <c r="Y1620" s="1">
        <f>EV_Data4[[#This Row],[range_miles]]/EV_Data4[[#This Row],[battery_capacity_kwh]]</f>
        <v>3.6673346693386772</v>
      </c>
      <c r="Z1620" s="4">
        <f>EV_Data4[[#This Row],[price_usd]]/EV_Data4[[#This Row],[range_miles]]</f>
        <v>338.76136612021861</v>
      </c>
      <c r="AA1620" s="2">
        <f>(EV_Data4[[#This Row],[customer_rating]]*EV_Data4[[#This Row],[safety_rating]]*1000)/EV_Data4[[#This Row],[price_usd]]</f>
        <v>0.2026024412626326</v>
      </c>
      <c r="AB1620">
        <f>EV_Data4[[#This Row],[horsepower]]+EV_Data4[[#This Row],[torque_nm]]/EV_Data4[[#This Row],[acceleration_0_60_mph]]</f>
        <v>778.74825174825173</v>
      </c>
      <c r="AC1620" t="str">
        <f>IF(EV_Data4[[#This Row],[price_usd]]&gt;=80000,"Luxury",IF(EV_Data4[[#This Row],[price_usd]]&gt;=40000,"Mid-Range","Budget"))</f>
        <v>Mid-Range</v>
      </c>
      <c r="AD1620" t="str">
        <f>IF(EV_Data4[[#This Row],[range_miles]]&gt;=350,"Long-Range",IF(EV_Data4[[#This Row],[range_miles]]&gt;=250,"Medium-Range","Short-Range"))</f>
        <v>Short-Range</v>
      </c>
      <c r="AE1620" t="str">
        <f>IF(EV_Data4[[#This Row],[charging_speed_kw]]&gt;=250,"Ultra-Fast",IF(EV_Data4[[#This Row],[charging_speed_kw]]&gt;=150,"Fast-Charging","Standard-Charging"))</f>
        <v>Standard-Charging</v>
      </c>
      <c r="AF1620" t="str">
        <f>IF(EV_Data4[[#This Row],[acceleration_0_60_mph]]&lt;=3,"SportsPerformance",IF(EV_Data4[[#This Row],[acceleration_0_60_mph]]&lt;=5,"HighPerformance","Standard"))</f>
        <v>Standard</v>
      </c>
      <c r="AG1620" t="str">
        <f>IF(EV_Data4[[#This Row],[customer_rating]]&gt;=4.5,"Excellent",IF(EV_Data4[[#This Row],[customer_rating]]&gt;=3.5,"Good","Average"))</f>
        <v>Average</v>
      </c>
      <c r="AH162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21" spans="1:34" x14ac:dyDescent="0.3">
      <c r="A1621" t="s">
        <v>38</v>
      </c>
      <c r="B1621" t="s">
        <v>55</v>
      </c>
      <c r="C1621">
        <v>2025</v>
      </c>
      <c r="D1621" t="s">
        <v>44</v>
      </c>
      <c r="E1621" s="3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48</v>
      </c>
      <c r="N1621">
        <v>5</v>
      </c>
      <c r="O1621" t="s">
        <v>58</v>
      </c>
      <c r="P1621">
        <v>27.9</v>
      </c>
      <c r="Q1621">
        <v>1690</v>
      </c>
      <c r="R1621">
        <v>4</v>
      </c>
      <c r="S1621">
        <v>1</v>
      </c>
      <c r="T1621" t="s">
        <v>41</v>
      </c>
      <c r="U1621" t="s">
        <v>66</v>
      </c>
      <c r="V1621" s="3">
        <v>20827</v>
      </c>
      <c r="W1621">
        <v>3.59</v>
      </c>
      <c r="X1621">
        <v>4</v>
      </c>
      <c r="Y1621" s="1">
        <f>EV_Data4[[#This Row],[range_miles]]/EV_Data4[[#This Row],[battery_capacity_kwh]]</f>
        <v>3.5714285714285716</v>
      </c>
      <c r="Z1621" s="4">
        <f>EV_Data4[[#This Row],[price_usd]]/EV_Data4[[#This Row],[range_miles]]</f>
        <v>93.039486486486481</v>
      </c>
      <c r="AA1621" s="2">
        <f>(EV_Data4[[#This Row],[customer_rating]]*EV_Data4[[#This Row],[safety_rating]]*1000)/EV_Data4[[#This Row],[price_usd]]</f>
        <v>0.41714343314274294</v>
      </c>
      <c r="AB1621">
        <f>EV_Data4[[#This Row],[horsepower]]+EV_Data4[[#This Row],[torque_nm]]/EV_Data4[[#This Row],[acceleration_0_60_mph]]</f>
        <v>328.70629370629371</v>
      </c>
      <c r="AC1621" t="str">
        <f>IF(EV_Data4[[#This Row],[price_usd]]&gt;=80000,"Luxury",IF(EV_Data4[[#This Row],[price_usd]]&gt;=40000,"Mid-Range","Budget"))</f>
        <v>Budget</v>
      </c>
      <c r="AD1621" t="str">
        <f>IF(EV_Data4[[#This Row],[range_miles]]&gt;=350,"Long-Range",IF(EV_Data4[[#This Row],[range_miles]]&gt;=250,"Medium-Range","Short-Range"))</f>
        <v>Long-Range</v>
      </c>
      <c r="AE1621" t="str">
        <f>IF(EV_Data4[[#This Row],[charging_speed_kw]]&gt;=250,"Ultra-Fast",IF(EV_Data4[[#This Row],[charging_speed_kw]]&gt;=150,"Fast-Charging","Standard-Charging"))</f>
        <v>Standard-Charging</v>
      </c>
      <c r="AF1621" t="str">
        <f>IF(EV_Data4[[#This Row],[acceleration_0_60_mph]]&lt;=3,"SportsPerformance",IF(EV_Data4[[#This Row],[acceleration_0_60_mph]]&lt;=5,"HighPerformance","Standard"))</f>
        <v>Standard</v>
      </c>
      <c r="AG1621" t="str">
        <f>IF(EV_Data4[[#This Row],[customer_rating]]&gt;=4.5,"Excellent",IF(EV_Data4[[#This Row],[customer_rating]]&gt;=3.5,"Good","Average"))</f>
        <v>Good</v>
      </c>
      <c r="AH162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22" spans="1:34" x14ac:dyDescent="0.3">
      <c r="A1622" t="s">
        <v>68</v>
      </c>
      <c r="B1622" t="s">
        <v>69</v>
      </c>
      <c r="C1622">
        <v>2025</v>
      </c>
      <c r="D1622" t="s">
        <v>61</v>
      </c>
      <c r="E1622" s="3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27</v>
      </c>
      <c r="N1622">
        <v>5</v>
      </c>
      <c r="O1622" t="s">
        <v>50</v>
      </c>
      <c r="P1622">
        <v>39.799999999999997</v>
      </c>
      <c r="Q1622">
        <v>1607</v>
      </c>
      <c r="R1622">
        <v>5</v>
      </c>
      <c r="S1622">
        <v>1</v>
      </c>
      <c r="T1622" t="s">
        <v>45</v>
      </c>
      <c r="U1622" t="s">
        <v>37</v>
      </c>
      <c r="V1622" s="3">
        <v>93480</v>
      </c>
      <c r="W1622">
        <v>3.41</v>
      </c>
      <c r="X1622">
        <v>4</v>
      </c>
      <c r="Y1622" s="1">
        <f>EV_Data4[[#This Row],[range_miles]]/EV_Data4[[#This Row],[battery_capacity_kwh]]</f>
        <v>3.4577603143418467</v>
      </c>
      <c r="Z1622" s="4">
        <f>EV_Data4[[#This Row],[price_usd]]/EV_Data4[[#This Row],[range_miles]]</f>
        <v>304.06409090909091</v>
      </c>
      <c r="AA1622" s="2">
        <f>(EV_Data4[[#This Row],[customer_rating]]*EV_Data4[[#This Row],[safety_rating]]*1000)/EV_Data4[[#This Row],[price_usd]]</f>
        <v>0.31860059407331887</v>
      </c>
      <c r="AB1622">
        <f>EV_Data4[[#This Row],[horsepower]]+EV_Data4[[#This Row],[torque_nm]]/EV_Data4[[#This Row],[acceleration_0_60_mph]]</f>
        <v>711.97626112759644</v>
      </c>
      <c r="AC1622" t="str">
        <f>IF(EV_Data4[[#This Row],[price_usd]]&gt;=80000,"Luxury",IF(EV_Data4[[#This Row],[price_usd]]&gt;=40000,"Mid-Range","Budget"))</f>
        <v>Mid-Range</v>
      </c>
      <c r="AD1622" t="str">
        <f>IF(EV_Data4[[#This Row],[range_miles]]&gt;=350,"Long-Range",IF(EV_Data4[[#This Row],[range_miles]]&gt;=250,"Medium-Range","Short-Range"))</f>
        <v>Short-Range</v>
      </c>
      <c r="AE1622" t="str">
        <f>IF(EV_Data4[[#This Row],[charging_speed_kw]]&gt;=250,"Ultra-Fast",IF(EV_Data4[[#This Row],[charging_speed_kw]]&gt;=150,"Fast-Charging","Standard-Charging"))</f>
        <v>Standard-Charging</v>
      </c>
      <c r="AF1622" t="str">
        <f>IF(EV_Data4[[#This Row],[acceleration_0_60_mph]]&lt;=3,"SportsPerformance",IF(EV_Data4[[#This Row],[acceleration_0_60_mph]]&lt;=5,"HighPerformance","Standard"))</f>
        <v>Standard</v>
      </c>
      <c r="AG1622" t="str">
        <f>IF(EV_Data4[[#This Row],[customer_rating]]&gt;=4.5,"Excellent",IF(EV_Data4[[#This Row],[customer_rating]]&gt;=3.5,"Good","Average"))</f>
        <v>Average</v>
      </c>
      <c r="AH162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23" spans="1:34" x14ac:dyDescent="0.3">
      <c r="A1623" t="s">
        <v>46</v>
      </c>
      <c r="B1623" t="s">
        <v>57</v>
      </c>
      <c r="C1623">
        <v>2026</v>
      </c>
      <c r="D1623" t="s">
        <v>44</v>
      </c>
      <c r="E1623" s="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34</v>
      </c>
      <c r="N1623">
        <v>7</v>
      </c>
      <c r="O1623" t="s">
        <v>35</v>
      </c>
      <c r="P1623">
        <v>63.1</v>
      </c>
      <c r="Q1623">
        <v>2140</v>
      </c>
      <c r="R1623">
        <v>5</v>
      </c>
      <c r="S1623">
        <v>2</v>
      </c>
      <c r="T1623" t="s">
        <v>41</v>
      </c>
      <c r="U1623" t="s">
        <v>30</v>
      </c>
      <c r="V1623" s="3">
        <v>158325</v>
      </c>
      <c r="W1623">
        <v>4.24</v>
      </c>
      <c r="X1623">
        <v>5</v>
      </c>
      <c r="Y1623" s="1">
        <f>EV_Data4[[#This Row],[range_miles]]/EV_Data4[[#This Row],[battery_capacity_kwh]]</f>
        <v>3.6398104265402842</v>
      </c>
      <c r="Z1623" s="4">
        <f>EV_Data4[[#This Row],[price_usd]]/EV_Data4[[#This Row],[range_miles]]</f>
        <v>332.38369791666668</v>
      </c>
      <c r="AA1623" s="2">
        <f>(EV_Data4[[#This Row],[customer_rating]]*EV_Data4[[#This Row],[safety_rating]]*1000)/EV_Data4[[#This Row],[price_usd]]</f>
        <v>0.16609819819495136</v>
      </c>
      <c r="AB1623">
        <f>EV_Data4[[#This Row],[horsepower]]+EV_Data4[[#This Row],[torque_nm]]/EV_Data4[[#This Row],[acceleration_0_60_mph]]</f>
        <v>1136.7391304347825</v>
      </c>
      <c r="AC1623" t="str">
        <f>IF(EV_Data4[[#This Row],[price_usd]]&gt;=80000,"Luxury",IF(EV_Data4[[#This Row],[price_usd]]&gt;=40000,"Mid-Range","Budget"))</f>
        <v>Luxury</v>
      </c>
      <c r="AD1623" t="str">
        <f>IF(EV_Data4[[#This Row],[range_miles]]&gt;=350,"Long-Range",IF(EV_Data4[[#This Row],[range_miles]]&gt;=250,"Medium-Range","Short-Range"))</f>
        <v>Long-Range</v>
      </c>
      <c r="AE1623" t="str">
        <f>IF(EV_Data4[[#This Row],[charging_speed_kw]]&gt;=250,"Ultra-Fast",IF(EV_Data4[[#This Row],[charging_speed_kw]]&gt;=150,"Fast-Charging","Standard-Charging"))</f>
        <v>Ultra-Fast</v>
      </c>
      <c r="AF1623" t="str">
        <f>IF(EV_Data4[[#This Row],[acceleration_0_60_mph]]&lt;=3,"SportsPerformance",IF(EV_Data4[[#This Row],[acceleration_0_60_mph]]&lt;=5,"HighPerformance","Standard"))</f>
        <v>HighPerformance</v>
      </c>
      <c r="AG1623" t="str">
        <f>IF(EV_Data4[[#This Row],[customer_rating]]&gt;=4.5,"Excellent",IF(EV_Data4[[#This Row],[customer_rating]]&gt;=3.5,"Good","Average"))</f>
        <v>Good</v>
      </c>
      <c r="AH162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24" spans="1:34" x14ac:dyDescent="0.3">
      <c r="A1624" t="s">
        <v>42</v>
      </c>
      <c r="B1624" t="s">
        <v>115</v>
      </c>
      <c r="C1624">
        <v>2024</v>
      </c>
      <c r="D1624" t="s">
        <v>61</v>
      </c>
      <c r="E1624" s="3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48</v>
      </c>
      <c r="N1624">
        <v>5</v>
      </c>
      <c r="O1624" t="s">
        <v>58</v>
      </c>
      <c r="P1624">
        <v>25.8</v>
      </c>
      <c r="Q1624">
        <v>1615</v>
      </c>
      <c r="R1624">
        <v>5</v>
      </c>
      <c r="S1624">
        <v>0</v>
      </c>
      <c r="T1624" t="s">
        <v>45</v>
      </c>
      <c r="U1624" t="s">
        <v>66</v>
      </c>
      <c r="V1624" s="3">
        <v>74025</v>
      </c>
      <c r="W1624">
        <v>3.37</v>
      </c>
      <c r="X1624">
        <v>4</v>
      </c>
      <c r="Y1624" s="1">
        <f>EV_Data4[[#This Row],[range_miles]]/EV_Data4[[#This Row],[battery_capacity_kwh]]</f>
        <v>3.4867503486750349</v>
      </c>
      <c r="Z1624" s="4">
        <f>EV_Data4[[#This Row],[price_usd]]/EV_Data4[[#This Row],[range_miles]]</f>
        <v>124.92288000000001</v>
      </c>
      <c r="AA1624" s="2">
        <f>(EV_Data4[[#This Row],[customer_rating]]*EV_Data4[[#This Row],[safety_rating]]*1000)/EV_Data4[[#This Row],[price_usd]]</f>
        <v>0.53953287019959828</v>
      </c>
      <c r="AB1624">
        <f>EV_Data4[[#This Row],[horsepower]]+EV_Data4[[#This Row],[torque_nm]]/EV_Data4[[#This Row],[acceleration_0_60_mph]]</f>
        <v>238.90401396160559</v>
      </c>
      <c r="AC1624" t="str">
        <f>IF(EV_Data4[[#This Row],[price_usd]]&gt;=80000,"Luxury",IF(EV_Data4[[#This Row],[price_usd]]&gt;=40000,"Mid-Range","Budget"))</f>
        <v>Budget</v>
      </c>
      <c r="AD1624" t="str">
        <f>IF(EV_Data4[[#This Row],[range_miles]]&gt;=350,"Long-Range",IF(EV_Data4[[#This Row],[range_miles]]&gt;=250,"Medium-Range","Short-Range"))</f>
        <v>Medium-Range</v>
      </c>
      <c r="AE1624" t="str">
        <f>IF(EV_Data4[[#This Row],[charging_speed_kw]]&gt;=250,"Ultra-Fast",IF(EV_Data4[[#This Row],[charging_speed_kw]]&gt;=150,"Fast-Charging","Standard-Charging"))</f>
        <v>Standard-Charging</v>
      </c>
      <c r="AF1624" t="str">
        <f>IF(EV_Data4[[#This Row],[acceleration_0_60_mph]]&lt;=3,"SportsPerformance",IF(EV_Data4[[#This Row],[acceleration_0_60_mph]]&lt;=5,"HighPerformance","Standard"))</f>
        <v>Standard</v>
      </c>
      <c r="AG1624" t="str">
        <f>IF(EV_Data4[[#This Row],[customer_rating]]&gt;=4.5,"Excellent",IF(EV_Data4[[#This Row],[customer_rating]]&gt;=3.5,"Good","Average"))</f>
        <v>Average</v>
      </c>
      <c r="AH162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25" spans="1:34" x14ac:dyDescent="0.3">
      <c r="A1625" t="s">
        <v>31</v>
      </c>
      <c r="B1625" t="s">
        <v>112</v>
      </c>
      <c r="C1625">
        <v>2025</v>
      </c>
      <c r="D1625" t="s">
        <v>61</v>
      </c>
      <c r="E1625" s="3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34</v>
      </c>
      <c r="N1625">
        <v>5</v>
      </c>
      <c r="O1625" t="s">
        <v>35</v>
      </c>
      <c r="P1625">
        <v>58.3</v>
      </c>
      <c r="Q1625">
        <v>2099</v>
      </c>
      <c r="R1625">
        <v>5</v>
      </c>
      <c r="S1625">
        <v>0</v>
      </c>
      <c r="T1625" t="s">
        <v>36</v>
      </c>
      <c r="U1625" t="s">
        <v>37</v>
      </c>
      <c r="V1625" s="3">
        <v>1982</v>
      </c>
      <c r="W1625">
        <v>3.52</v>
      </c>
      <c r="X1625">
        <v>4</v>
      </c>
      <c r="Y1625" s="1">
        <f>EV_Data4[[#This Row],[range_miles]]/EV_Data4[[#This Row],[battery_capacity_kwh]]</f>
        <v>3.1213872832369942</v>
      </c>
      <c r="Z1625" s="4">
        <f>EV_Data4[[#This Row],[price_usd]]/EV_Data4[[#This Row],[range_miles]]</f>
        <v>215.59587962962962</v>
      </c>
      <c r="AA1625" s="2">
        <f>(EV_Data4[[#This Row],[customer_rating]]*EV_Data4[[#This Row],[safety_rating]]*1000)/EV_Data4[[#This Row],[price_usd]]</f>
        <v>0.37793617216366954</v>
      </c>
      <c r="AB1625">
        <f>EV_Data4[[#This Row],[horsepower]]+EV_Data4[[#This Row],[torque_nm]]/EV_Data4[[#This Row],[acceleration_0_60_mph]]</f>
        <v>484.1669793621013</v>
      </c>
      <c r="AC1625" t="str">
        <f>IF(EV_Data4[[#This Row],[price_usd]]&gt;=80000,"Luxury",IF(EV_Data4[[#This Row],[price_usd]]&gt;=40000,"Mid-Range","Budget"))</f>
        <v>Mid-Range</v>
      </c>
      <c r="AD1625" t="str">
        <f>IF(EV_Data4[[#This Row],[range_miles]]&gt;=350,"Long-Range",IF(EV_Data4[[#This Row],[range_miles]]&gt;=250,"Medium-Range","Short-Range"))</f>
        <v>Short-Range</v>
      </c>
      <c r="AE1625" t="str">
        <f>IF(EV_Data4[[#This Row],[charging_speed_kw]]&gt;=250,"Ultra-Fast",IF(EV_Data4[[#This Row],[charging_speed_kw]]&gt;=150,"Fast-Charging","Standard-Charging"))</f>
        <v>Standard-Charging</v>
      </c>
      <c r="AF1625" t="str">
        <f>IF(EV_Data4[[#This Row],[acceleration_0_60_mph]]&lt;=3,"SportsPerformance",IF(EV_Data4[[#This Row],[acceleration_0_60_mph]]&lt;=5,"HighPerformance","Standard"))</f>
        <v>Standard</v>
      </c>
      <c r="AG1625" t="str">
        <f>IF(EV_Data4[[#This Row],[customer_rating]]&gt;=4.5,"Excellent",IF(EV_Data4[[#This Row],[customer_rating]]&gt;=3.5,"Good","Average"))</f>
        <v>Good</v>
      </c>
      <c r="AH162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26" spans="1:34" x14ac:dyDescent="0.3">
      <c r="A1626" t="s">
        <v>46</v>
      </c>
      <c r="B1626" t="s">
        <v>78</v>
      </c>
      <c r="C1626">
        <v>2025</v>
      </c>
      <c r="D1626" t="s">
        <v>56</v>
      </c>
      <c r="E1626" s="3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48</v>
      </c>
      <c r="N1626">
        <v>5</v>
      </c>
      <c r="O1626" t="s">
        <v>51</v>
      </c>
      <c r="P1626">
        <v>21.1</v>
      </c>
      <c r="Q1626">
        <v>1896</v>
      </c>
      <c r="R1626">
        <v>5</v>
      </c>
      <c r="S1626">
        <v>2</v>
      </c>
      <c r="T1626" t="s">
        <v>41</v>
      </c>
      <c r="U1626" t="s">
        <v>33</v>
      </c>
      <c r="V1626" s="3">
        <v>233990</v>
      </c>
      <c r="W1626">
        <v>3.63</v>
      </c>
      <c r="X1626">
        <v>5</v>
      </c>
      <c r="Y1626" s="1">
        <f>EV_Data4[[#This Row],[range_miles]]/EV_Data4[[#This Row],[battery_capacity_kwh]]</f>
        <v>3.5725429017160688</v>
      </c>
      <c r="Z1626" s="4">
        <f>EV_Data4[[#This Row],[price_usd]]/EV_Data4[[#This Row],[range_miles]]</f>
        <v>417.58034934497812</v>
      </c>
      <c r="AA1626" s="2">
        <f>(EV_Data4[[#This Row],[customer_rating]]*EV_Data4[[#This Row],[safety_rating]]*1000)/EV_Data4[[#This Row],[price_usd]]</f>
        <v>0.18980213519559033</v>
      </c>
      <c r="AB1626">
        <f>EV_Data4[[#This Row],[horsepower]]+EV_Data4[[#This Row],[torque_nm]]/EV_Data4[[#This Row],[acceleration_0_60_mph]]</f>
        <v>764.15926892950392</v>
      </c>
      <c r="AC1626" t="str">
        <f>IF(EV_Data4[[#This Row],[price_usd]]&gt;=80000,"Luxury",IF(EV_Data4[[#This Row],[price_usd]]&gt;=40000,"Mid-Range","Budget"))</f>
        <v>Luxury</v>
      </c>
      <c r="AD1626" t="str">
        <f>IF(EV_Data4[[#This Row],[range_miles]]&gt;=350,"Long-Range",IF(EV_Data4[[#This Row],[range_miles]]&gt;=250,"Medium-Range","Short-Range"))</f>
        <v>Short-Range</v>
      </c>
      <c r="AE1626" t="str">
        <f>IF(EV_Data4[[#This Row],[charging_speed_kw]]&gt;=250,"Ultra-Fast",IF(EV_Data4[[#This Row],[charging_speed_kw]]&gt;=150,"Fast-Charging","Standard-Charging"))</f>
        <v>Ultra-Fast</v>
      </c>
      <c r="AF1626" t="str">
        <f>IF(EV_Data4[[#This Row],[acceleration_0_60_mph]]&lt;=3,"SportsPerformance",IF(EV_Data4[[#This Row],[acceleration_0_60_mph]]&lt;=5,"HighPerformance","Standard"))</f>
        <v>Standard</v>
      </c>
      <c r="AG1626" t="str">
        <f>IF(EV_Data4[[#This Row],[customer_rating]]&gt;=4.5,"Excellent",IF(EV_Data4[[#This Row],[customer_rating]]&gt;=3.5,"Good","Average"))</f>
        <v>Good</v>
      </c>
      <c r="AH162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27" spans="1:34" x14ac:dyDescent="0.3">
      <c r="A1627" t="s">
        <v>83</v>
      </c>
      <c r="B1627" t="s">
        <v>84</v>
      </c>
      <c r="C1627">
        <v>2022</v>
      </c>
      <c r="D1627" t="s">
        <v>33</v>
      </c>
      <c r="E1627" s="3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48</v>
      </c>
      <c r="N1627">
        <v>5</v>
      </c>
      <c r="O1627" t="s">
        <v>40</v>
      </c>
      <c r="P1627">
        <v>65</v>
      </c>
      <c r="Q1627">
        <v>1527</v>
      </c>
      <c r="R1627">
        <v>5</v>
      </c>
      <c r="S1627">
        <v>2</v>
      </c>
      <c r="T1627" t="s">
        <v>29</v>
      </c>
      <c r="U1627" t="s">
        <v>30</v>
      </c>
      <c r="V1627" s="3">
        <v>29505</v>
      </c>
      <c r="W1627">
        <v>3.78</v>
      </c>
      <c r="X1627">
        <v>5</v>
      </c>
      <c r="Y1627" s="1">
        <f>EV_Data4[[#This Row],[range_miles]]/EV_Data4[[#This Row],[battery_capacity_kwh]]</f>
        <v>3.3863275039745631</v>
      </c>
      <c r="Z1627" s="4">
        <f>EV_Data4[[#This Row],[price_usd]]/EV_Data4[[#This Row],[range_miles]]</f>
        <v>547.88863849765255</v>
      </c>
      <c r="AA1627" s="2">
        <f>(EV_Data4[[#This Row],[customer_rating]]*EV_Data4[[#This Row],[safety_rating]]*1000)/EV_Data4[[#This Row],[price_usd]]</f>
        <v>0.16195333892943531</v>
      </c>
      <c r="AB1627">
        <f>EV_Data4[[#This Row],[horsepower]]+EV_Data4[[#This Row],[torque_nm]]/EV_Data4[[#This Row],[acceleration_0_60_mph]]</f>
        <v>1118.392370572207</v>
      </c>
      <c r="AC1627" t="str">
        <f>IF(EV_Data4[[#This Row],[price_usd]]&gt;=80000,"Luxury",IF(EV_Data4[[#This Row],[price_usd]]&gt;=40000,"Mid-Range","Budget"))</f>
        <v>Luxury</v>
      </c>
      <c r="AD1627" t="str">
        <f>IF(EV_Data4[[#This Row],[range_miles]]&gt;=350,"Long-Range",IF(EV_Data4[[#This Row],[range_miles]]&gt;=250,"Medium-Range","Short-Range"))</f>
        <v>Short-Range</v>
      </c>
      <c r="AE1627" t="str">
        <f>IF(EV_Data4[[#This Row],[charging_speed_kw]]&gt;=250,"Ultra-Fast",IF(EV_Data4[[#This Row],[charging_speed_kw]]&gt;=150,"Fast-Charging","Standard-Charging"))</f>
        <v>Standard-Charging</v>
      </c>
      <c r="AF1627" t="str">
        <f>IF(EV_Data4[[#This Row],[acceleration_0_60_mph]]&lt;=3,"SportsPerformance",IF(EV_Data4[[#This Row],[acceleration_0_60_mph]]&lt;=5,"HighPerformance","Standard"))</f>
        <v>Standard</v>
      </c>
      <c r="AG1627" t="str">
        <f>IF(EV_Data4[[#This Row],[customer_rating]]&gt;=4.5,"Excellent",IF(EV_Data4[[#This Row],[customer_rating]]&gt;=3.5,"Good","Average"))</f>
        <v>Good</v>
      </c>
      <c r="AH162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28" spans="1:34" x14ac:dyDescent="0.3">
      <c r="A1628" t="s">
        <v>46</v>
      </c>
      <c r="B1628" t="s">
        <v>72</v>
      </c>
      <c r="C1628">
        <v>2022</v>
      </c>
      <c r="D1628" t="s">
        <v>44</v>
      </c>
      <c r="E1628" s="3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34</v>
      </c>
      <c r="N1628">
        <v>5</v>
      </c>
      <c r="O1628" t="s">
        <v>28</v>
      </c>
      <c r="P1628">
        <v>55.6</v>
      </c>
      <c r="Q1628">
        <v>2380</v>
      </c>
      <c r="R1628">
        <v>4</v>
      </c>
      <c r="S1628">
        <v>3</v>
      </c>
      <c r="T1628" t="s">
        <v>41</v>
      </c>
      <c r="U1628" t="s">
        <v>33</v>
      </c>
      <c r="V1628" s="3">
        <v>226922</v>
      </c>
      <c r="W1628">
        <v>4.0199999999999996</v>
      </c>
      <c r="X1628">
        <v>5</v>
      </c>
      <c r="Y1628" s="1">
        <f>EV_Data4[[#This Row],[range_miles]]/EV_Data4[[#This Row],[battery_capacity_kwh]]</f>
        <v>3.6984815618221258</v>
      </c>
      <c r="Z1628" s="4">
        <f>EV_Data4[[#This Row],[price_usd]]/EV_Data4[[#This Row],[range_miles]]</f>
        <v>260.17812316715543</v>
      </c>
      <c r="AA1628" s="2">
        <f>(EV_Data4[[#This Row],[customer_rating]]*EV_Data4[[#This Row],[safety_rating]]*1000)/EV_Data4[[#This Row],[price_usd]]</f>
        <v>0.18124285257314127</v>
      </c>
      <c r="AB1628">
        <f>EV_Data4[[#This Row],[horsepower]]+EV_Data4[[#This Row],[torque_nm]]/EV_Data4[[#This Row],[acceleration_0_60_mph]]</f>
        <v>723.91075050709935</v>
      </c>
      <c r="AC1628" t="str">
        <f>IF(EV_Data4[[#This Row],[price_usd]]&gt;=80000,"Luxury",IF(EV_Data4[[#This Row],[price_usd]]&gt;=40000,"Mid-Range","Budget"))</f>
        <v>Luxury</v>
      </c>
      <c r="AD1628" t="str">
        <f>IF(EV_Data4[[#This Row],[range_miles]]&gt;=350,"Long-Range",IF(EV_Data4[[#This Row],[range_miles]]&gt;=250,"Medium-Range","Short-Range"))</f>
        <v>Medium-Range</v>
      </c>
      <c r="AE1628" t="str">
        <f>IF(EV_Data4[[#This Row],[charging_speed_kw]]&gt;=250,"Ultra-Fast",IF(EV_Data4[[#This Row],[charging_speed_kw]]&gt;=150,"Fast-Charging","Standard-Charging"))</f>
        <v>Fast-Charging</v>
      </c>
      <c r="AF1628" t="str">
        <f>IF(EV_Data4[[#This Row],[acceleration_0_60_mph]]&lt;=3,"SportsPerformance",IF(EV_Data4[[#This Row],[acceleration_0_60_mph]]&lt;=5,"HighPerformance","Standard"))</f>
        <v>HighPerformance</v>
      </c>
      <c r="AG1628" t="str">
        <f>IF(EV_Data4[[#This Row],[customer_rating]]&gt;=4.5,"Excellent",IF(EV_Data4[[#This Row],[customer_rating]]&gt;=3.5,"Good","Average"))</f>
        <v>Good</v>
      </c>
      <c r="AH162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629" spans="1:34" x14ac:dyDescent="0.3">
      <c r="A1629" t="s">
        <v>68</v>
      </c>
      <c r="B1629" t="s">
        <v>106</v>
      </c>
      <c r="C1629">
        <v>2026</v>
      </c>
      <c r="D1629" t="s">
        <v>61</v>
      </c>
      <c r="E1629" s="3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27</v>
      </c>
      <c r="N1629">
        <v>5</v>
      </c>
      <c r="O1629" t="s">
        <v>58</v>
      </c>
      <c r="P1629">
        <v>15.7</v>
      </c>
      <c r="Q1629">
        <v>1500</v>
      </c>
      <c r="R1629">
        <v>4</v>
      </c>
      <c r="S1629">
        <v>1</v>
      </c>
      <c r="T1629" t="s">
        <v>45</v>
      </c>
      <c r="U1629" t="s">
        <v>37</v>
      </c>
      <c r="V1629" s="3">
        <v>130091</v>
      </c>
      <c r="W1629">
        <v>3.79</v>
      </c>
      <c r="X1629">
        <v>5</v>
      </c>
      <c r="Y1629" s="1">
        <f>EV_Data4[[#This Row],[range_miles]]/EV_Data4[[#This Row],[battery_capacity_kwh]]</f>
        <v>3.4701986754966887</v>
      </c>
      <c r="Z1629" s="4">
        <f>EV_Data4[[#This Row],[price_usd]]/EV_Data4[[#This Row],[range_miles]]</f>
        <v>227.73400763358777</v>
      </c>
      <c r="AA1629" s="2">
        <f>(EV_Data4[[#This Row],[customer_rating]]*EV_Data4[[#This Row],[safety_rating]]*1000)/EV_Data4[[#This Row],[price_usd]]</f>
        <v>0.25407973109113002</v>
      </c>
      <c r="AB1629">
        <f>EV_Data4[[#This Row],[horsepower]]+EV_Data4[[#This Row],[torque_nm]]/EV_Data4[[#This Row],[acceleration_0_60_mph]]</f>
        <v>809.58059914407988</v>
      </c>
      <c r="AC1629" t="str">
        <f>IF(EV_Data4[[#This Row],[price_usd]]&gt;=80000,"Luxury",IF(EV_Data4[[#This Row],[price_usd]]&gt;=40000,"Mid-Range","Budget"))</f>
        <v>Mid-Range</v>
      </c>
      <c r="AD1629" t="str">
        <f>IF(EV_Data4[[#This Row],[range_miles]]&gt;=350,"Long-Range",IF(EV_Data4[[#This Row],[range_miles]]&gt;=250,"Medium-Range","Short-Range"))</f>
        <v>Medium-Range</v>
      </c>
      <c r="AE1629" t="str">
        <f>IF(EV_Data4[[#This Row],[charging_speed_kw]]&gt;=250,"Ultra-Fast",IF(EV_Data4[[#This Row],[charging_speed_kw]]&gt;=150,"Fast-Charging","Standard-Charging"))</f>
        <v>Standard-Charging</v>
      </c>
      <c r="AF1629" t="str">
        <f>IF(EV_Data4[[#This Row],[acceleration_0_60_mph]]&lt;=3,"SportsPerformance",IF(EV_Data4[[#This Row],[acceleration_0_60_mph]]&lt;=5,"HighPerformance","Standard"))</f>
        <v>Standard</v>
      </c>
      <c r="AG1629" t="str">
        <f>IF(EV_Data4[[#This Row],[customer_rating]]&gt;=4.5,"Excellent",IF(EV_Data4[[#This Row],[customer_rating]]&gt;=3.5,"Good","Average"))</f>
        <v>Good</v>
      </c>
      <c r="AH162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30" spans="1:34" x14ac:dyDescent="0.3">
      <c r="A1630" t="s">
        <v>46</v>
      </c>
      <c r="B1630" t="s">
        <v>72</v>
      </c>
      <c r="C1630">
        <v>2024</v>
      </c>
      <c r="D1630" t="s">
        <v>33</v>
      </c>
      <c r="E1630" s="3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27</v>
      </c>
      <c r="N1630">
        <v>5</v>
      </c>
      <c r="O1630" t="s">
        <v>28</v>
      </c>
      <c r="P1630">
        <v>72.099999999999994</v>
      </c>
      <c r="Q1630">
        <v>2309</v>
      </c>
      <c r="R1630">
        <v>5</v>
      </c>
      <c r="S1630">
        <v>2</v>
      </c>
      <c r="T1630" t="s">
        <v>41</v>
      </c>
      <c r="U1630" t="s">
        <v>30</v>
      </c>
      <c r="V1630" s="3">
        <v>117109</v>
      </c>
      <c r="W1630">
        <v>3.79</v>
      </c>
      <c r="X1630">
        <v>4</v>
      </c>
      <c r="Y1630" s="1">
        <f>EV_Data4[[#This Row],[range_miles]]/EV_Data4[[#This Row],[battery_capacity_kwh]]</f>
        <v>3.5063113604488079</v>
      </c>
      <c r="Z1630" s="4">
        <f>EV_Data4[[#This Row],[price_usd]]/EV_Data4[[#This Row],[range_miles]]</f>
        <v>594.67039999999997</v>
      </c>
      <c r="AA1630" s="2">
        <f>(EV_Data4[[#This Row],[customer_rating]]*EV_Data4[[#This Row],[safety_rating]]*1000)/EV_Data4[[#This Row],[price_usd]]</f>
        <v>0.12746556748074228</v>
      </c>
      <c r="AB1630">
        <f>EV_Data4[[#This Row],[horsepower]]+EV_Data4[[#This Row],[torque_nm]]/EV_Data4[[#This Row],[acceleration_0_60_mph]]</f>
        <v>1114.1951837769329</v>
      </c>
      <c r="AC1630" t="str">
        <f>IF(EV_Data4[[#This Row],[price_usd]]&gt;=80000,"Luxury",IF(EV_Data4[[#This Row],[price_usd]]&gt;=40000,"Mid-Range","Budget"))</f>
        <v>Luxury</v>
      </c>
      <c r="AD1630" t="str">
        <f>IF(EV_Data4[[#This Row],[range_miles]]&gt;=350,"Long-Range",IF(EV_Data4[[#This Row],[range_miles]]&gt;=250,"Medium-Range","Short-Range"))</f>
        <v>Medium-Range</v>
      </c>
      <c r="AE1630" t="str">
        <f>IF(EV_Data4[[#This Row],[charging_speed_kw]]&gt;=250,"Ultra-Fast",IF(EV_Data4[[#This Row],[charging_speed_kw]]&gt;=150,"Fast-Charging","Standard-Charging"))</f>
        <v>Ultra-Fast</v>
      </c>
      <c r="AF1630" t="str">
        <f>IF(EV_Data4[[#This Row],[acceleration_0_60_mph]]&lt;=3,"SportsPerformance",IF(EV_Data4[[#This Row],[acceleration_0_60_mph]]&lt;=5,"HighPerformance","Standard"))</f>
        <v>Standard</v>
      </c>
      <c r="AG1630" t="str">
        <f>IF(EV_Data4[[#This Row],[customer_rating]]&gt;=4.5,"Excellent",IF(EV_Data4[[#This Row],[customer_rating]]&gt;=3.5,"Good","Average"))</f>
        <v>Good</v>
      </c>
      <c r="AH163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31" spans="1:34" x14ac:dyDescent="0.3">
      <c r="A1631" t="s">
        <v>24</v>
      </c>
      <c r="B1631" t="s">
        <v>25</v>
      </c>
      <c r="C1631">
        <v>2025</v>
      </c>
      <c r="D1631" t="s">
        <v>61</v>
      </c>
      <c r="E1631" s="3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34</v>
      </c>
      <c r="N1631">
        <v>5</v>
      </c>
      <c r="O1631" t="s">
        <v>58</v>
      </c>
      <c r="P1631">
        <v>28.2</v>
      </c>
      <c r="Q1631">
        <v>1783</v>
      </c>
      <c r="R1631">
        <v>5</v>
      </c>
      <c r="S1631">
        <v>1</v>
      </c>
      <c r="T1631" t="s">
        <v>29</v>
      </c>
      <c r="U1631" t="s">
        <v>37</v>
      </c>
      <c r="V1631" s="3">
        <v>272524</v>
      </c>
      <c r="W1631">
        <v>3.48</v>
      </c>
      <c r="X1631">
        <v>3</v>
      </c>
      <c r="Y1631" s="1">
        <f>EV_Data4[[#This Row],[range_miles]]/EV_Data4[[#This Row],[battery_capacity_kwh]]</f>
        <v>3.6455696202531644</v>
      </c>
      <c r="Z1631" s="4">
        <f>EV_Data4[[#This Row],[price_usd]]/EV_Data4[[#This Row],[range_miles]]</f>
        <v>167.391875</v>
      </c>
      <c r="AA1631" s="2">
        <f>(EV_Data4[[#This Row],[customer_rating]]*EV_Data4[[#This Row],[safety_rating]]*1000)/EV_Data4[[#This Row],[price_usd]]</f>
        <v>0.36092950548923997</v>
      </c>
      <c r="AB1631">
        <f>EV_Data4[[#This Row],[horsepower]]+EV_Data4[[#This Row],[torque_nm]]/EV_Data4[[#This Row],[acceleration_0_60_mph]]</f>
        <v>479.00593471810089</v>
      </c>
      <c r="AC1631" t="str">
        <f>IF(EV_Data4[[#This Row],[price_usd]]&gt;=80000,"Luxury",IF(EV_Data4[[#This Row],[price_usd]]&gt;=40000,"Mid-Range","Budget"))</f>
        <v>Mid-Range</v>
      </c>
      <c r="AD1631" t="str">
        <f>IF(EV_Data4[[#This Row],[range_miles]]&gt;=350,"Long-Range",IF(EV_Data4[[#This Row],[range_miles]]&gt;=250,"Medium-Range","Short-Range"))</f>
        <v>Medium-Range</v>
      </c>
      <c r="AE1631" t="str">
        <f>IF(EV_Data4[[#This Row],[charging_speed_kw]]&gt;=250,"Ultra-Fast",IF(EV_Data4[[#This Row],[charging_speed_kw]]&gt;=150,"Fast-Charging","Standard-Charging"))</f>
        <v>Standard-Charging</v>
      </c>
      <c r="AF1631" t="str">
        <f>IF(EV_Data4[[#This Row],[acceleration_0_60_mph]]&lt;=3,"SportsPerformance",IF(EV_Data4[[#This Row],[acceleration_0_60_mph]]&lt;=5,"HighPerformance","Standard"))</f>
        <v>Standard</v>
      </c>
      <c r="AG1631" t="str">
        <f>IF(EV_Data4[[#This Row],[customer_rating]]&gt;=4.5,"Excellent",IF(EV_Data4[[#This Row],[customer_rating]]&gt;=3.5,"Good","Average"))</f>
        <v>Average</v>
      </c>
      <c r="AH163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32" spans="1:34" x14ac:dyDescent="0.3">
      <c r="A1632" t="s">
        <v>38</v>
      </c>
      <c r="B1632" t="s">
        <v>39</v>
      </c>
      <c r="C1632">
        <v>2021</v>
      </c>
      <c r="D1632" t="s">
        <v>56</v>
      </c>
      <c r="E1632" s="3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48</v>
      </c>
      <c r="N1632">
        <v>5</v>
      </c>
      <c r="O1632" t="s">
        <v>40</v>
      </c>
      <c r="P1632">
        <v>72.8</v>
      </c>
      <c r="Q1632">
        <v>1500</v>
      </c>
      <c r="R1632">
        <v>4</v>
      </c>
      <c r="S1632">
        <v>1</v>
      </c>
      <c r="T1632" t="s">
        <v>41</v>
      </c>
      <c r="U1632" t="s">
        <v>37</v>
      </c>
      <c r="V1632" s="3">
        <v>3168</v>
      </c>
      <c r="W1632">
        <v>3.49</v>
      </c>
      <c r="X1632">
        <v>4</v>
      </c>
      <c r="Y1632" s="1">
        <f>EV_Data4[[#This Row],[range_miles]]/EV_Data4[[#This Row],[battery_capacity_kwh]]</f>
        <v>3.5373134328358211</v>
      </c>
      <c r="Z1632" s="4">
        <f>EV_Data4[[#This Row],[price_usd]]/EV_Data4[[#This Row],[range_miles]]</f>
        <v>244.58050632911394</v>
      </c>
      <c r="AA1632" s="2">
        <f>(EV_Data4[[#This Row],[customer_rating]]*EV_Data4[[#This Row],[safety_rating]]*1000)/EV_Data4[[#This Row],[price_usd]]</f>
        <v>0.2408325768499168</v>
      </c>
      <c r="AB1632">
        <f>EV_Data4[[#This Row],[horsepower]]+EV_Data4[[#This Row],[torque_nm]]/EV_Data4[[#This Row],[acceleration_0_60_mph]]</f>
        <v>834.94573643410854</v>
      </c>
      <c r="AC1632" t="str">
        <f>IF(EV_Data4[[#This Row],[price_usd]]&gt;=80000,"Luxury",IF(EV_Data4[[#This Row],[price_usd]]&gt;=40000,"Mid-Range","Budget"))</f>
        <v>Mid-Range</v>
      </c>
      <c r="AD1632" t="str">
        <f>IF(EV_Data4[[#This Row],[range_miles]]&gt;=350,"Long-Range",IF(EV_Data4[[#This Row],[range_miles]]&gt;=250,"Medium-Range","Short-Range"))</f>
        <v>Short-Range</v>
      </c>
      <c r="AE1632" t="str">
        <f>IF(EV_Data4[[#This Row],[charging_speed_kw]]&gt;=250,"Ultra-Fast",IF(EV_Data4[[#This Row],[charging_speed_kw]]&gt;=150,"Fast-Charging","Standard-Charging"))</f>
        <v>Standard-Charging</v>
      </c>
      <c r="AF1632" t="str">
        <f>IF(EV_Data4[[#This Row],[acceleration_0_60_mph]]&lt;=3,"SportsPerformance",IF(EV_Data4[[#This Row],[acceleration_0_60_mph]]&lt;=5,"HighPerformance","Standard"))</f>
        <v>Standard</v>
      </c>
      <c r="AG1632" t="str">
        <f>IF(EV_Data4[[#This Row],[customer_rating]]&gt;=4.5,"Excellent",IF(EV_Data4[[#This Row],[customer_rating]]&gt;=3.5,"Good","Average"))</f>
        <v>Average</v>
      </c>
      <c r="AH163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33" spans="1:34" x14ac:dyDescent="0.3">
      <c r="A1633" t="s">
        <v>63</v>
      </c>
      <c r="B1633" t="s">
        <v>73</v>
      </c>
      <c r="C1633">
        <v>2026</v>
      </c>
      <c r="D1633" t="s">
        <v>44</v>
      </c>
      <c r="E1633" s="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34</v>
      </c>
      <c r="N1633">
        <v>7</v>
      </c>
      <c r="O1633" t="s">
        <v>51</v>
      </c>
      <c r="P1633">
        <v>30.8</v>
      </c>
      <c r="Q1633">
        <v>1766</v>
      </c>
      <c r="R1633">
        <v>4</v>
      </c>
      <c r="S1633">
        <v>2</v>
      </c>
      <c r="T1633" t="s">
        <v>65</v>
      </c>
      <c r="U1633" t="s">
        <v>33</v>
      </c>
      <c r="V1633" s="3">
        <v>158795</v>
      </c>
      <c r="W1633">
        <v>3.92</v>
      </c>
      <c r="X1633">
        <v>3</v>
      </c>
      <c r="Y1633" s="1">
        <f>EV_Data4[[#This Row],[range_miles]]/EV_Data4[[#This Row],[battery_capacity_kwh]]</f>
        <v>3.4758771929824559</v>
      </c>
      <c r="Z1633" s="4">
        <f>EV_Data4[[#This Row],[price_usd]]/EV_Data4[[#This Row],[range_miles]]</f>
        <v>290.81858044164039</v>
      </c>
      <c r="AA1633" s="2">
        <f>(EV_Data4[[#This Row],[customer_rating]]*EV_Data4[[#This Row],[safety_rating]]*1000)/EV_Data4[[#This Row],[price_usd]]</f>
        <v>0.17008446407502634</v>
      </c>
      <c r="AB1633">
        <f>EV_Data4[[#This Row],[horsepower]]+EV_Data4[[#This Row],[torque_nm]]/EV_Data4[[#This Row],[acceleration_0_60_mph]]</f>
        <v>1233.7408312958435</v>
      </c>
      <c r="AC1633" t="str">
        <f>IF(EV_Data4[[#This Row],[price_usd]]&gt;=80000,"Luxury",IF(EV_Data4[[#This Row],[price_usd]]&gt;=40000,"Mid-Range","Budget"))</f>
        <v>Luxury</v>
      </c>
      <c r="AD1633" t="str">
        <f>IF(EV_Data4[[#This Row],[range_miles]]&gt;=350,"Long-Range",IF(EV_Data4[[#This Row],[range_miles]]&gt;=250,"Medium-Range","Short-Range"))</f>
        <v>Medium-Range</v>
      </c>
      <c r="AE1633" t="str">
        <f>IF(EV_Data4[[#This Row],[charging_speed_kw]]&gt;=250,"Ultra-Fast",IF(EV_Data4[[#This Row],[charging_speed_kw]]&gt;=150,"Fast-Charging","Standard-Charging"))</f>
        <v>Standard-Charging</v>
      </c>
      <c r="AF1633" t="str">
        <f>IF(EV_Data4[[#This Row],[acceleration_0_60_mph]]&lt;=3,"SportsPerformance",IF(EV_Data4[[#This Row],[acceleration_0_60_mph]]&lt;=5,"HighPerformance","Standard"))</f>
        <v>HighPerformance</v>
      </c>
      <c r="AG1633" t="str">
        <f>IF(EV_Data4[[#This Row],[customer_rating]]&gt;=4.5,"Excellent",IF(EV_Data4[[#This Row],[customer_rating]]&gt;=3.5,"Good","Average"))</f>
        <v>Good</v>
      </c>
      <c r="AH163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34" spans="1:34" x14ac:dyDescent="0.3">
      <c r="A1634" t="s">
        <v>83</v>
      </c>
      <c r="B1634" t="s">
        <v>114</v>
      </c>
      <c r="C1634">
        <v>2020</v>
      </c>
      <c r="D1634" t="s">
        <v>61</v>
      </c>
      <c r="E1634" s="3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27</v>
      </c>
      <c r="N1634">
        <v>7</v>
      </c>
      <c r="O1634" t="s">
        <v>51</v>
      </c>
      <c r="P1634">
        <v>38.9</v>
      </c>
      <c r="Q1634">
        <v>1511</v>
      </c>
      <c r="R1634">
        <v>4</v>
      </c>
      <c r="S1634">
        <v>1</v>
      </c>
      <c r="T1634" t="s">
        <v>29</v>
      </c>
      <c r="U1634" t="s">
        <v>33</v>
      </c>
      <c r="V1634" s="3">
        <v>43577</v>
      </c>
      <c r="W1634">
        <v>3.37</v>
      </c>
      <c r="X1634">
        <v>8</v>
      </c>
      <c r="Y1634" s="1">
        <f>EV_Data4[[#This Row],[range_miles]]/EV_Data4[[#This Row],[battery_capacity_kwh]]</f>
        <v>3.6407766990291259</v>
      </c>
      <c r="Z1634" s="4">
        <f>EV_Data4[[#This Row],[price_usd]]/EV_Data4[[#This Row],[range_miles]]</f>
        <v>627.904</v>
      </c>
      <c r="AA1634" s="2">
        <f>(EV_Data4[[#This Row],[customer_rating]]*EV_Data4[[#This Row],[safety_rating]]*1000)/EV_Data4[[#This Row],[price_usd]]</f>
        <v>0.14312166615703462</v>
      </c>
      <c r="AB1634">
        <f>EV_Data4[[#This Row],[horsepower]]+EV_Data4[[#This Row],[torque_nm]]/EV_Data4[[#This Row],[acceleration_0_60_mph]]</f>
        <v>800.59595959595958</v>
      </c>
      <c r="AC1634" t="str">
        <f>IF(EV_Data4[[#This Row],[price_usd]]&gt;=80000,"Luxury",IF(EV_Data4[[#This Row],[price_usd]]&gt;=40000,"Mid-Range","Budget"))</f>
        <v>Luxury</v>
      </c>
      <c r="AD1634" t="str">
        <f>IF(EV_Data4[[#This Row],[range_miles]]&gt;=350,"Long-Range",IF(EV_Data4[[#This Row],[range_miles]]&gt;=250,"Medium-Range","Short-Range"))</f>
        <v>Short-Range</v>
      </c>
      <c r="AE1634" t="str">
        <f>IF(EV_Data4[[#This Row],[charging_speed_kw]]&gt;=250,"Ultra-Fast",IF(EV_Data4[[#This Row],[charging_speed_kw]]&gt;=150,"Fast-Charging","Standard-Charging"))</f>
        <v>Standard-Charging</v>
      </c>
      <c r="AF1634" t="str">
        <f>IF(EV_Data4[[#This Row],[acceleration_0_60_mph]]&lt;=3,"SportsPerformance",IF(EV_Data4[[#This Row],[acceleration_0_60_mph]]&lt;=5,"HighPerformance","Standard"))</f>
        <v>Standard</v>
      </c>
      <c r="AG1634" t="str">
        <f>IF(EV_Data4[[#This Row],[customer_rating]]&gt;=4.5,"Excellent",IF(EV_Data4[[#This Row],[customer_rating]]&gt;=3.5,"Good","Average"))</f>
        <v>Average</v>
      </c>
      <c r="AH163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35" spans="1:34" x14ac:dyDescent="0.3">
      <c r="A1635" t="s">
        <v>76</v>
      </c>
      <c r="B1635" t="s">
        <v>77</v>
      </c>
      <c r="C1635">
        <v>2024</v>
      </c>
      <c r="D1635" t="s">
        <v>56</v>
      </c>
      <c r="E1635" s="3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34</v>
      </c>
      <c r="N1635">
        <v>5</v>
      </c>
      <c r="O1635" t="s">
        <v>50</v>
      </c>
      <c r="P1635">
        <v>15.1</v>
      </c>
      <c r="Q1635">
        <v>1500</v>
      </c>
      <c r="R1635">
        <v>5</v>
      </c>
      <c r="S1635">
        <v>0</v>
      </c>
      <c r="T1635" t="s">
        <v>41</v>
      </c>
      <c r="U1635" t="s">
        <v>37</v>
      </c>
      <c r="V1635" s="3">
        <v>25281</v>
      </c>
      <c r="W1635">
        <v>3.55</v>
      </c>
      <c r="X1635">
        <v>4</v>
      </c>
      <c r="Y1635" s="1">
        <f>EV_Data4[[#This Row],[range_miles]]/EV_Data4[[#This Row],[battery_capacity_kwh]]</f>
        <v>3.3375959079283888</v>
      </c>
      <c r="Z1635" s="4">
        <f>EV_Data4[[#This Row],[price_usd]]/EV_Data4[[#This Row],[range_miles]]</f>
        <v>146.34846743295017</v>
      </c>
      <c r="AA1635" s="2">
        <f>(EV_Data4[[#This Row],[customer_rating]]*EV_Data4[[#This Row],[safety_rating]]*1000)/EV_Data4[[#This Row],[price_usd]]</f>
        <v>0.46469678861793945</v>
      </c>
      <c r="AB1635">
        <f>EV_Data4[[#This Row],[horsepower]]+EV_Data4[[#This Row],[torque_nm]]/EV_Data4[[#This Row],[acceleration_0_60_mph]]</f>
        <v>307.5</v>
      </c>
      <c r="AC1635" t="str">
        <f>IF(EV_Data4[[#This Row],[price_usd]]&gt;=80000,"Luxury",IF(EV_Data4[[#This Row],[price_usd]]&gt;=40000,"Mid-Range","Budget"))</f>
        <v>Budget</v>
      </c>
      <c r="AD1635" t="str">
        <f>IF(EV_Data4[[#This Row],[range_miles]]&gt;=350,"Long-Range",IF(EV_Data4[[#This Row],[range_miles]]&gt;=250,"Medium-Range","Short-Range"))</f>
        <v>Medium-Range</v>
      </c>
      <c r="AE1635" t="str">
        <f>IF(EV_Data4[[#This Row],[charging_speed_kw]]&gt;=250,"Ultra-Fast",IF(EV_Data4[[#This Row],[charging_speed_kw]]&gt;=150,"Fast-Charging","Standard-Charging"))</f>
        <v>Standard-Charging</v>
      </c>
      <c r="AF1635" t="str">
        <f>IF(EV_Data4[[#This Row],[acceleration_0_60_mph]]&lt;=3,"SportsPerformance",IF(EV_Data4[[#This Row],[acceleration_0_60_mph]]&lt;=5,"HighPerformance","Standard"))</f>
        <v>Standard</v>
      </c>
      <c r="AG1635" t="str">
        <f>IF(EV_Data4[[#This Row],[customer_rating]]&gt;=4.5,"Excellent",IF(EV_Data4[[#This Row],[customer_rating]]&gt;=3.5,"Good","Average"))</f>
        <v>Good</v>
      </c>
      <c r="AH163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36" spans="1:34" x14ac:dyDescent="0.3">
      <c r="A1636" t="s">
        <v>94</v>
      </c>
      <c r="B1636" t="s">
        <v>120</v>
      </c>
      <c r="C1636">
        <v>2020</v>
      </c>
      <c r="D1636" t="s">
        <v>61</v>
      </c>
      <c r="E1636" s="3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48</v>
      </c>
      <c r="N1636">
        <v>5</v>
      </c>
      <c r="O1636" t="s">
        <v>51</v>
      </c>
      <c r="P1636">
        <v>29.5</v>
      </c>
      <c r="Q1636">
        <v>1679</v>
      </c>
      <c r="R1636">
        <v>4</v>
      </c>
      <c r="S1636">
        <v>1</v>
      </c>
      <c r="T1636" t="s">
        <v>41</v>
      </c>
      <c r="U1636" t="s">
        <v>33</v>
      </c>
      <c r="V1636" s="3">
        <v>16890</v>
      </c>
      <c r="W1636">
        <v>3.32</v>
      </c>
      <c r="X1636">
        <v>5</v>
      </c>
      <c r="Y1636" s="1">
        <f>EV_Data4[[#This Row],[range_miles]]/EV_Data4[[#This Row],[battery_capacity_kwh]]</f>
        <v>3.4379905808477234</v>
      </c>
      <c r="Z1636" s="4">
        <f>EV_Data4[[#This Row],[price_usd]]/EV_Data4[[#This Row],[range_miles]]</f>
        <v>342.0205936073059</v>
      </c>
      <c r="AA1636" s="2">
        <f>(EV_Data4[[#This Row],[customer_rating]]*EV_Data4[[#This Row],[safety_rating]]*1000)/EV_Data4[[#This Row],[price_usd]]</f>
        <v>0.17729712929513311</v>
      </c>
      <c r="AB1636">
        <f>EV_Data4[[#This Row],[horsepower]]+EV_Data4[[#This Row],[torque_nm]]/EV_Data4[[#This Row],[acceleration_0_60_mph]]</f>
        <v>382.03389830508473</v>
      </c>
      <c r="AC1636" t="str">
        <f>IF(EV_Data4[[#This Row],[price_usd]]&gt;=80000,"Luxury",IF(EV_Data4[[#This Row],[price_usd]]&gt;=40000,"Mid-Range","Budget"))</f>
        <v>Mid-Range</v>
      </c>
      <c r="AD1636" t="str">
        <f>IF(EV_Data4[[#This Row],[range_miles]]&gt;=350,"Long-Range",IF(EV_Data4[[#This Row],[range_miles]]&gt;=250,"Medium-Range","Short-Range"))</f>
        <v>Short-Range</v>
      </c>
      <c r="AE1636" t="str">
        <f>IF(EV_Data4[[#This Row],[charging_speed_kw]]&gt;=250,"Ultra-Fast",IF(EV_Data4[[#This Row],[charging_speed_kw]]&gt;=150,"Fast-Charging","Standard-Charging"))</f>
        <v>Standard-Charging</v>
      </c>
      <c r="AF1636" t="str">
        <f>IF(EV_Data4[[#This Row],[acceleration_0_60_mph]]&lt;=3,"SportsPerformance",IF(EV_Data4[[#This Row],[acceleration_0_60_mph]]&lt;=5,"HighPerformance","Standard"))</f>
        <v>Standard</v>
      </c>
      <c r="AG1636" t="str">
        <f>IF(EV_Data4[[#This Row],[customer_rating]]&gt;=4.5,"Excellent",IF(EV_Data4[[#This Row],[customer_rating]]&gt;=3.5,"Good","Average"))</f>
        <v>Average</v>
      </c>
      <c r="AH163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37" spans="1:34" x14ac:dyDescent="0.3">
      <c r="A1637" t="s">
        <v>63</v>
      </c>
      <c r="B1637" t="s">
        <v>82</v>
      </c>
      <c r="C1637">
        <v>2024</v>
      </c>
      <c r="D1637" t="s">
        <v>44</v>
      </c>
      <c r="E1637" s="3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48</v>
      </c>
      <c r="N1637">
        <v>5</v>
      </c>
      <c r="O1637" t="s">
        <v>35</v>
      </c>
      <c r="P1637">
        <v>46.6</v>
      </c>
      <c r="Q1637">
        <v>2029</v>
      </c>
      <c r="R1637">
        <v>4</v>
      </c>
      <c r="S1637">
        <v>0</v>
      </c>
      <c r="T1637" t="s">
        <v>65</v>
      </c>
      <c r="U1637" t="s">
        <v>33</v>
      </c>
      <c r="V1637" s="3">
        <v>152424</v>
      </c>
      <c r="W1637">
        <v>3.65</v>
      </c>
      <c r="X1637">
        <v>3</v>
      </c>
      <c r="Y1637" s="1">
        <f>EV_Data4[[#This Row],[range_miles]]/EV_Data4[[#This Row],[battery_capacity_kwh]]</f>
        <v>3.5803757828810023</v>
      </c>
      <c r="Z1637" s="4">
        <f>EV_Data4[[#This Row],[price_usd]]/EV_Data4[[#This Row],[range_miles]]</f>
        <v>227.03483965014576</v>
      </c>
      <c r="AA1637" s="2">
        <f>(EV_Data4[[#This Row],[customer_rating]]*EV_Data4[[#This Row],[safety_rating]]*1000)/EV_Data4[[#This Row],[price_usd]]</f>
        <v>0.18748487119083071</v>
      </c>
      <c r="AB1637">
        <f>EV_Data4[[#This Row],[horsepower]]+EV_Data4[[#This Row],[torque_nm]]/EV_Data4[[#This Row],[acceleration_0_60_mph]]</f>
        <v>1048.2698412698412</v>
      </c>
      <c r="AC1637" t="str">
        <f>IF(EV_Data4[[#This Row],[price_usd]]&gt;=80000,"Luxury",IF(EV_Data4[[#This Row],[price_usd]]&gt;=40000,"Mid-Range","Budget"))</f>
        <v>Mid-Range</v>
      </c>
      <c r="AD1637" t="str">
        <f>IF(EV_Data4[[#This Row],[range_miles]]&gt;=350,"Long-Range",IF(EV_Data4[[#This Row],[range_miles]]&gt;=250,"Medium-Range","Short-Range"))</f>
        <v>Medium-Range</v>
      </c>
      <c r="AE1637" t="str">
        <f>IF(EV_Data4[[#This Row],[charging_speed_kw]]&gt;=250,"Ultra-Fast",IF(EV_Data4[[#This Row],[charging_speed_kw]]&gt;=150,"Fast-Charging","Standard-Charging"))</f>
        <v>Standard-Charging</v>
      </c>
      <c r="AF1637" t="str">
        <f>IF(EV_Data4[[#This Row],[acceleration_0_60_mph]]&lt;=3,"SportsPerformance",IF(EV_Data4[[#This Row],[acceleration_0_60_mph]]&lt;=5,"HighPerformance","Standard"))</f>
        <v>Standard</v>
      </c>
      <c r="AG1637" t="str">
        <f>IF(EV_Data4[[#This Row],[customer_rating]]&gt;=4.5,"Excellent",IF(EV_Data4[[#This Row],[customer_rating]]&gt;=3.5,"Good","Average"))</f>
        <v>Good</v>
      </c>
      <c r="AH163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38" spans="1:34" x14ac:dyDescent="0.3">
      <c r="A1638" t="s">
        <v>24</v>
      </c>
      <c r="B1638" t="s">
        <v>70</v>
      </c>
      <c r="C1638">
        <v>2025</v>
      </c>
      <c r="D1638" t="s">
        <v>61</v>
      </c>
      <c r="E1638" s="3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34</v>
      </c>
      <c r="N1638">
        <v>5</v>
      </c>
      <c r="O1638" t="s">
        <v>50</v>
      </c>
      <c r="P1638">
        <v>34.200000000000003</v>
      </c>
      <c r="Q1638">
        <v>1500</v>
      </c>
      <c r="R1638">
        <v>4</v>
      </c>
      <c r="S1638">
        <v>1</v>
      </c>
      <c r="T1638" t="s">
        <v>29</v>
      </c>
      <c r="U1638" t="s">
        <v>33</v>
      </c>
      <c r="V1638" s="3">
        <v>264457</v>
      </c>
      <c r="W1638">
        <v>3.12</v>
      </c>
      <c r="X1638">
        <v>3</v>
      </c>
      <c r="Y1638" s="1">
        <f>EV_Data4[[#This Row],[range_miles]]/EV_Data4[[#This Row],[battery_capacity_kwh]]</f>
        <v>3.22265625</v>
      </c>
      <c r="Z1638" s="4">
        <f>EV_Data4[[#This Row],[price_usd]]/EV_Data4[[#This Row],[range_miles]]</f>
        <v>461.12048484848486</v>
      </c>
      <c r="AA1638" s="2">
        <f>(EV_Data4[[#This Row],[customer_rating]]*EV_Data4[[#This Row],[safety_rating]]*1000)/EV_Data4[[#This Row],[price_usd]]</f>
        <v>0.16402733368311812</v>
      </c>
      <c r="AB1638">
        <f>EV_Data4[[#This Row],[horsepower]]+EV_Data4[[#This Row],[torque_nm]]/EV_Data4[[#This Row],[acceleration_0_60_mph]]</f>
        <v>928.85714285714289</v>
      </c>
      <c r="AC1638" t="str">
        <f>IF(EV_Data4[[#This Row],[price_usd]]&gt;=80000,"Luxury",IF(EV_Data4[[#This Row],[price_usd]]&gt;=40000,"Mid-Range","Budget"))</f>
        <v>Mid-Range</v>
      </c>
      <c r="AD1638" t="str">
        <f>IF(EV_Data4[[#This Row],[range_miles]]&gt;=350,"Long-Range",IF(EV_Data4[[#This Row],[range_miles]]&gt;=250,"Medium-Range","Short-Range"))</f>
        <v>Short-Range</v>
      </c>
      <c r="AE1638" t="str">
        <f>IF(EV_Data4[[#This Row],[charging_speed_kw]]&gt;=250,"Ultra-Fast",IF(EV_Data4[[#This Row],[charging_speed_kw]]&gt;=150,"Fast-Charging","Standard-Charging"))</f>
        <v>Standard-Charging</v>
      </c>
      <c r="AF1638" t="str">
        <f>IF(EV_Data4[[#This Row],[acceleration_0_60_mph]]&lt;=3,"SportsPerformance",IF(EV_Data4[[#This Row],[acceleration_0_60_mph]]&lt;=5,"HighPerformance","Standard"))</f>
        <v>Standard</v>
      </c>
      <c r="AG1638" t="str">
        <f>IF(EV_Data4[[#This Row],[customer_rating]]&gt;=4.5,"Excellent",IF(EV_Data4[[#This Row],[customer_rating]]&gt;=3.5,"Good","Average"))</f>
        <v>Average</v>
      </c>
      <c r="AH163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39" spans="1:34" x14ac:dyDescent="0.3">
      <c r="A1639" t="s">
        <v>46</v>
      </c>
      <c r="B1639" t="s">
        <v>78</v>
      </c>
      <c r="C1639">
        <v>2023</v>
      </c>
      <c r="D1639" t="s">
        <v>56</v>
      </c>
      <c r="E1639" s="3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48</v>
      </c>
      <c r="N1639">
        <v>5</v>
      </c>
      <c r="O1639" t="s">
        <v>35</v>
      </c>
      <c r="P1639">
        <v>46.3</v>
      </c>
      <c r="Q1639">
        <v>2166</v>
      </c>
      <c r="R1639">
        <v>3</v>
      </c>
      <c r="S1639">
        <v>3</v>
      </c>
      <c r="T1639" t="s">
        <v>41</v>
      </c>
      <c r="U1639" t="s">
        <v>37</v>
      </c>
      <c r="V1639" s="3">
        <v>183636</v>
      </c>
      <c r="W1639">
        <v>3.65</v>
      </c>
      <c r="X1639">
        <v>5</v>
      </c>
      <c r="Y1639" s="1">
        <f>EV_Data4[[#This Row],[range_miles]]/EV_Data4[[#This Row],[battery_capacity_kwh]]</f>
        <v>3.4949832775919734</v>
      </c>
      <c r="Z1639" s="4">
        <f>EV_Data4[[#This Row],[price_usd]]/EV_Data4[[#This Row],[range_miles]]</f>
        <v>267.62023923444974</v>
      </c>
      <c r="AA1639" s="2">
        <f>(EV_Data4[[#This Row],[customer_rating]]*EV_Data4[[#This Row],[safety_rating]]*1000)/EV_Data4[[#This Row],[price_usd]]</f>
        <v>0.19577123407213287</v>
      </c>
      <c r="AB1639">
        <f>EV_Data4[[#This Row],[horsepower]]+EV_Data4[[#This Row],[torque_nm]]/EV_Data4[[#This Row],[acceleration_0_60_mph]]</f>
        <v>423.23344947735188</v>
      </c>
      <c r="AC1639" t="str">
        <f>IF(EV_Data4[[#This Row],[price_usd]]&gt;=80000,"Luxury",IF(EV_Data4[[#This Row],[price_usd]]&gt;=40000,"Mid-Range","Budget"))</f>
        <v>Mid-Range</v>
      </c>
      <c r="AD1639" t="str">
        <f>IF(EV_Data4[[#This Row],[range_miles]]&gt;=350,"Long-Range",IF(EV_Data4[[#This Row],[range_miles]]&gt;=250,"Medium-Range","Short-Range"))</f>
        <v>Short-Range</v>
      </c>
      <c r="AE1639" t="str">
        <f>IF(EV_Data4[[#This Row],[charging_speed_kw]]&gt;=250,"Ultra-Fast",IF(EV_Data4[[#This Row],[charging_speed_kw]]&gt;=150,"Fast-Charging","Standard-Charging"))</f>
        <v>Fast-Charging</v>
      </c>
      <c r="AF1639" t="str">
        <f>IF(EV_Data4[[#This Row],[acceleration_0_60_mph]]&lt;=3,"SportsPerformance",IF(EV_Data4[[#This Row],[acceleration_0_60_mph]]&lt;=5,"HighPerformance","Standard"))</f>
        <v>Standard</v>
      </c>
      <c r="AG1639" t="str">
        <f>IF(EV_Data4[[#This Row],[customer_rating]]&gt;=4.5,"Excellent",IF(EV_Data4[[#This Row],[customer_rating]]&gt;=3.5,"Good","Average"))</f>
        <v>Good</v>
      </c>
      <c r="AH1639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640" spans="1:34" x14ac:dyDescent="0.3">
      <c r="A1640" t="s">
        <v>121</v>
      </c>
      <c r="B1640" t="s">
        <v>135</v>
      </c>
      <c r="C1640">
        <v>2022</v>
      </c>
      <c r="D1640" t="s">
        <v>56</v>
      </c>
      <c r="E1640" s="3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48</v>
      </c>
      <c r="N1640">
        <v>7</v>
      </c>
      <c r="O1640" t="s">
        <v>50</v>
      </c>
      <c r="P1640">
        <v>17.8</v>
      </c>
      <c r="Q1640">
        <v>1500</v>
      </c>
      <c r="R1640">
        <v>5</v>
      </c>
      <c r="S1640">
        <v>0</v>
      </c>
      <c r="T1640" t="s">
        <v>123</v>
      </c>
      <c r="U1640" t="s">
        <v>37</v>
      </c>
      <c r="V1640" s="3">
        <v>3048</v>
      </c>
      <c r="W1640">
        <v>3.39</v>
      </c>
      <c r="X1640">
        <v>4</v>
      </c>
      <c r="Y1640" s="1">
        <f>EV_Data4[[#This Row],[range_miles]]/EV_Data4[[#This Row],[battery_capacity_kwh]]</f>
        <v>3.4892086330935248</v>
      </c>
      <c r="Z1640" s="4">
        <f>EV_Data4[[#This Row],[price_usd]]/EV_Data4[[#This Row],[range_miles]]</f>
        <v>158.05013745704466</v>
      </c>
      <c r="AA1640" s="2">
        <f>(EV_Data4[[#This Row],[customer_rating]]*EV_Data4[[#This Row],[safety_rating]]*1000)/EV_Data4[[#This Row],[price_usd]]</f>
        <v>0.36853762747433882</v>
      </c>
      <c r="AB1640">
        <f>EV_Data4[[#This Row],[horsepower]]+EV_Data4[[#This Row],[torque_nm]]/EV_Data4[[#This Row],[acceleration_0_60_mph]]</f>
        <v>203.29764065335752</v>
      </c>
      <c r="AC1640" t="str">
        <f>IF(EV_Data4[[#This Row],[price_usd]]&gt;=80000,"Luxury",IF(EV_Data4[[#This Row],[price_usd]]&gt;=40000,"Mid-Range","Budget"))</f>
        <v>Mid-Range</v>
      </c>
      <c r="AD1640" t="str">
        <f>IF(EV_Data4[[#This Row],[range_miles]]&gt;=350,"Long-Range",IF(EV_Data4[[#This Row],[range_miles]]&gt;=250,"Medium-Range","Short-Range"))</f>
        <v>Medium-Range</v>
      </c>
      <c r="AE1640" t="str">
        <f>IF(EV_Data4[[#This Row],[charging_speed_kw]]&gt;=250,"Ultra-Fast",IF(EV_Data4[[#This Row],[charging_speed_kw]]&gt;=150,"Fast-Charging","Standard-Charging"))</f>
        <v>Standard-Charging</v>
      </c>
      <c r="AF1640" t="str">
        <f>IF(EV_Data4[[#This Row],[acceleration_0_60_mph]]&lt;=3,"SportsPerformance",IF(EV_Data4[[#This Row],[acceleration_0_60_mph]]&lt;=5,"HighPerformance","Standard"))</f>
        <v>Standard</v>
      </c>
      <c r="AG1640" t="str">
        <f>IF(EV_Data4[[#This Row],[customer_rating]]&gt;=4.5,"Excellent",IF(EV_Data4[[#This Row],[customer_rating]]&gt;=3.5,"Good","Average"))</f>
        <v>Average</v>
      </c>
      <c r="AH164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41" spans="1:34" x14ac:dyDescent="0.3">
      <c r="A1641" t="s">
        <v>94</v>
      </c>
      <c r="B1641" t="s">
        <v>133</v>
      </c>
      <c r="C1641">
        <v>2020</v>
      </c>
      <c r="D1641" t="s">
        <v>56</v>
      </c>
      <c r="E1641" s="3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34</v>
      </c>
      <c r="N1641">
        <v>2</v>
      </c>
      <c r="O1641" t="s">
        <v>28</v>
      </c>
      <c r="P1641">
        <v>67.599999999999994</v>
      </c>
      <c r="Q1641">
        <v>2714</v>
      </c>
      <c r="R1641">
        <v>5</v>
      </c>
      <c r="S1641">
        <v>0</v>
      </c>
      <c r="T1641" t="s">
        <v>41</v>
      </c>
      <c r="U1641" t="s">
        <v>37</v>
      </c>
      <c r="V1641" s="3">
        <v>12678</v>
      </c>
      <c r="W1641">
        <v>3.7</v>
      </c>
      <c r="X1641">
        <v>4</v>
      </c>
      <c r="Y1641" s="1">
        <f>EV_Data4[[#This Row],[range_miles]]/EV_Data4[[#This Row],[battery_capacity_kwh]]</f>
        <v>3.5943517329910137</v>
      </c>
      <c r="Z1641" s="4">
        <f>EV_Data4[[#This Row],[price_usd]]/EV_Data4[[#This Row],[range_miles]]</f>
        <v>228.77124999999998</v>
      </c>
      <c r="AA1641" s="2">
        <f>(EV_Data4[[#This Row],[customer_rating]]*EV_Data4[[#This Row],[safety_rating]]*1000)/EV_Data4[[#This Row],[price_usd]]</f>
        <v>0.28881001686806612</v>
      </c>
      <c r="AB1641">
        <f>EV_Data4[[#This Row],[horsepower]]+EV_Data4[[#This Row],[torque_nm]]/EV_Data4[[#This Row],[acceleration_0_60_mph]]</f>
        <v>175.8732212160414</v>
      </c>
      <c r="AC1641" t="str">
        <f>IF(EV_Data4[[#This Row],[price_usd]]&gt;=80000,"Luxury",IF(EV_Data4[[#This Row],[price_usd]]&gt;=40000,"Mid-Range","Budget"))</f>
        <v>Mid-Range</v>
      </c>
      <c r="AD1641" t="str">
        <f>IF(EV_Data4[[#This Row],[range_miles]]&gt;=350,"Long-Range",IF(EV_Data4[[#This Row],[range_miles]]&gt;=250,"Medium-Range","Short-Range"))</f>
        <v>Medium-Range</v>
      </c>
      <c r="AE1641" t="str">
        <f>IF(EV_Data4[[#This Row],[charging_speed_kw]]&gt;=250,"Ultra-Fast",IF(EV_Data4[[#This Row],[charging_speed_kw]]&gt;=150,"Fast-Charging","Standard-Charging"))</f>
        <v>Standard-Charging</v>
      </c>
      <c r="AF1641" t="str">
        <f>IF(EV_Data4[[#This Row],[acceleration_0_60_mph]]&lt;=3,"SportsPerformance",IF(EV_Data4[[#This Row],[acceleration_0_60_mph]]&lt;=5,"HighPerformance","Standard"))</f>
        <v>Standard</v>
      </c>
      <c r="AG1641" t="str">
        <f>IF(EV_Data4[[#This Row],[customer_rating]]&gt;=4.5,"Excellent",IF(EV_Data4[[#This Row],[customer_rating]]&gt;=3.5,"Good","Average"))</f>
        <v>Good</v>
      </c>
      <c r="AH164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42" spans="1:34" x14ac:dyDescent="0.3">
      <c r="A1642" t="s">
        <v>42</v>
      </c>
      <c r="B1642" t="s">
        <v>80</v>
      </c>
      <c r="C1642">
        <v>2025</v>
      </c>
      <c r="D1642" t="s">
        <v>44</v>
      </c>
      <c r="E1642" s="3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27</v>
      </c>
      <c r="N1642">
        <v>7</v>
      </c>
      <c r="O1642" t="s">
        <v>35</v>
      </c>
      <c r="P1642">
        <v>51.9</v>
      </c>
      <c r="Q1642">
        <v>2029</v>
      </c>
      <c r="R1642">
        <v>5</v>
      </c>
      <c r="S1642">
        <v>0</v>
      </c>
      <c r="T1642" t="s">
        <v>45</v>
      </c>
      <c r="U1642" t="s">
        <v>37</v>
      </c>
      <c r="V1642" s="3">
        <v>139592</v>
      </c>
      <c r="W1642">
        <v>3.62</v>
      </c>
      <c r="X1642">
        <v>4</v>
      </c>
      <c r="Y1642" s="1">
        <f>EV_Data4[[#This Row],[range_miles]]/EV_Data4[[#This Row],[battery_capacity_kwh]]</f>
        <v>3.1914893617021276</v>
      </c>
      <c r="Z1642" s="4">
        <f>EV_Data4[[#This Row],[price_usd]]/EV_Data4[[#This Row],[range_miles]]</f>
        <v>131.09936666666667</v>
      </c>
      <c r="AA1642" s="2">
        <f>(EV_Data4[[#This Row],[customer_rating]]*EV_Data4[[#This Row],[safety_rating]]*1000)/EV_Data4[[#This Row],[price_usd]]</f>
        <v>0.46021071548527698</v>
      </c>
      <c r="AB1642">
        <f>EV_Data4[[#This Row],[horsepower]]+EV_Data4[[#This Row],[torque_nm]]/EV_Data4[[#This Row],[acceleration_0_60_mph]]</f>
        <v>339.52657004830917</v>
      </c>
      <c r="AC1642" t="str">
        <f>IF(EV_Data4[[#This Row],[price_usd]]&gt;=80000,"Luxury",IF(EV_Data4[[#This Row],[price_usd]]&gt;=40000,"Mid-Range","Budget"))</f>
        <v>Budget</v>
      </c>
      <c r="AD1642" t="str">
        <f>IF(EV_Data4[[#This Row],[range_miles]]&gt;=350,"Long-Range",IF(EV_Data4[[#This Row],[range_miles]]&gt;=250,"Medium-Range","Short-Range"))</f>
        <v>Medium-Range</v>
      </c>
      <c r="AE1642" t="str">
        <f>IF(EV_Data4[[#This Row],[charging_speed_kw]]&gt;=250,"Ultra-Fast",IF(EV_Data4[[#This Row],[charging_speed_kw]]&gt;=150,"Fast-Charging","Standard-Charging"))</f>
        <v>Standard-Charging</v>
      </c>
      <c r="AF1642" t="str">
        <f>IF(EV_Data4[[#This Row],[acceleration_0_60_mph]]&lt;=3,"SportsPerformance",IF(EV_Data4[[#This Row],[acceleration_0_60_mph]]&lt;=5,"HighPerformance","Standard"))</f>
        <v>HighPerformance</v>
      </c>
      <c r="AG1642" t="str">
        <f>IF(EV_Data4[[#This Row],[customer_rating]]&gt;=4.5,"Excellent",IF(EV_Data4[[#This Row],[customer_rating]]&gt;=3.5,"Good","Average"))</f>
        <v>Good</v>
      </c>
      <c r="AH164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43" spans="1:34" x14ac:dyDescent="0.3">
      <c r="A1643" t="s">
        <v>52</v>
      </c>
      <c r="B1643" t="s">
        <v>53</v>
      </c>
      <c r="C1643">
        <v>2024</v>
      </c>
      <c r="D1643" t="s">
        <v>33</v>
      </c>
      <c r="E1643" s="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48</v>
      </c>
      <c r="N1643">
        <v>5</v>
      </c>
      <c r="O1643" t="s">
        <v>50</v>
      </c>
      <c r="P1643">
        <v>39.6</v>
      </c>
      <c r="Q1643">
        <v>1543</v>
      </c>
      <c r="R1643">
        <v>5</v>
      </c>
      <c r="S1643">
        <v>1</v>
      </c>
      <c r="T1643" t="s">
        <v>29</v>
      </c>
      <c r="U1643" t="s">
        <v>30</v>
      </c>
      <c r="V1643" s="3">
        <v>50870</v>
      </c>
      <c r="W1643">
        <v>3.8</v>
      </c>
      <c r="X1643">
        <v>7</v>
      </c>
      <c r="Y1643" s="1">
        <f>EV_Data4[[#This Row],[range_miles]]/EV_Data4[[#This Row],[battery_capacity_kwh]]</f>
        <v>3.3738601823708207</v>
      </c>
      <c r="Z1643" s="4">
        <f>EV_Data4[[#This Row],[price_usd]]/EV_Data4[[#This Row],[range_miles]]</f>
        <v>904.77373873873864</v>
      </c>
      <c r="AA1643" s="2">
        <f>(EV_Data4[[#This Row],[customer_rating]]*EV_Data4[[#This Row],[safety_rating]]*1000)/EV_Data4[[#This Row],[price_usd]]</f>
        <v>9.4593357345774121E-2</v>
      </c>
      <c r="AB1643">
        <f>EV_Data4[[#This Row],[horsepower]]+EV_Data4[[#This Row],[torque_nm]]/EV_Data4[[#This Row],[acceleration_0_60_mph]]</f>
        <v>1174.6031746031747</v>
      </c>
      <c r="AC1643" t="str">
        <f>IF(EV_Data4[[#This Row],[price_usd]]&gt;=80000,"Luxury",IF(EV_Data4[[#This Row],[price_usd]]&gt;=40000,"Mid-Range","Budget"))</f>
        <v>Luxury</v>
      </c>
      <c r="AD1643" t="str">
        <f>IF(EV_Data4[[#This Row],[range_miles]]&gt;=350,"Long-Range",IF(EV_Data4[[#This Row],[range_miles]]&gt;=250,"Medium-Range","Short-Range"))</f>
        <v>Short-Range</v>
      </c>
      <c r="AE1643" t="str">
        <f>IF(EV_Data4[[#This Row],[charging_speed_kw]]&gt;=250,"Ultra-Fast",IF(EV_Data4[[#This Row],[charging_speed_kw]]&gt;=150,"Fast-Charging","Standard-Charging"))</f>
        <v>Standard-Charging</v>
      </c>
      <c r="AF1643" t="str">
        <f>IF(EV_Data4[[#This Row],[acceleration_0_60_mph]]&lt;=3,"SportsPerformance",IF(EV_Data4[[#This Row],[acceleration_0_60_mph]]&lt;=5,"HighPerformance","Standard"))</f>
        <v>Standard</v>
      </c>
      <c r="AG1643" t="str">
        <f>IF(EV_Data4[[#This Row],[customer_rating]]&gt;=4.5,"Excellent",IF(EV_Data4[[#This Row],[customer_rating]]&gt;=3.5,"Good","Average"))</f>
        <v>Good</v>
      </c>
      <c r="AH164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44" spans="1:34" x14ac:dyDescent="0.3">
      <c r="A1644" t="s">
        <v>68</v>
      </c>
      <c r="B1644" t="s">
        <v>69</v>
      </c>
      <c r="C1644">
        <v>2025</v>
      </c>
      <c r="D1644" t="s">
        <v>26</v>
      </c>
      <c r="E1644" s="3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48</v>
      </c>
      <c r="N1644">
        <v>5</v>
      </c>
      <c r="O1644" t="s">
        <v>58</v>
      </c>
      <c r="P1644">
        <v>39.700000000000003</v>
      </c>
      <c r="Q1644">
        <v>1500</v>
      </c>
      <c r="R1644">
        <v>4</v>
      </c>
      <c r="S1644">
        <v>0</v>
      </c>
      <c r="T1644" t="s">
        <v>45</v>
      </c>
      <c r="U1644" t="s">
        <v>33</v>
      </c>
      <c r="V1644" s="3">
        <v>65013</v>
      </c>
      <c r="W1644">
        <v>3.72</v>
      </c>
      <c r="X1644">
        <v>4</v>
      </c>
      <c r="Y1644" s="1">
        <f>EV_Data4[[#This Row],[range_miles]]/EV_Data4[[#This Row],[battery_capacity_kwh]]</f>
        <v>3.4476987447698746</v>
      </c>
      <c r="Z1644" s="4">
        <f>EV_Data4[[#This Row],[price_usd]]/EV_Data4[[#This Row],[range_miles]]</f>
        <v>201.50604368932039</v>
      </c>
      <c r="AA1644" s="2">
        <f>(EV_Data4[[#This Row],[customer_rating]]*EV_Data4[[#This Row],[safety_rating]]*1000)/EV_Data4[[#This Row],[price_usd]]</f>
        <v>0.17923286167065502</v>
      </c>
      <c r="AB1644">
        <f>EV_Data4[[#This Row],[horsepower]]+EV_Data4[[#This Row],[torque_nm]]/EV_Data4[[#This Row],[acceleration_0_60_mph]]</f>
        <v>1214.0515222482436</v>
      </c>
      <c r="AC1644" t="str">
        <f>IF(EV_Data4[[#This Row],[price_usd]]&gt;=80000,"Luxury",IF(EV_Data4[[#This Row],[price_usd]]&gt;=40000,"Mid-Range","Budget"))</f>
        <v>Luxury</v>
      </c>
      <c r="AD1644" t="str">
        <f>IF(EV_Data4[[#This Row],[range_miles]]&gt;=350,"Long-Range",IF(EV_Data4[[#This Row],[range_miles]]&gt;=250,"Medium-Range","Short-Range"))</f>
        <v>Long-Range</v>
      </c>
      <c r="AE1644" t="str">
        <f>IF(EV_Data4[[#This Row],[charging_speed_kw]]&gt;=250,"Ultra-Fast",IF(EV_Data4[[#This Row],[charging_speed_kw]]&gt;=150,"Fast-Charging","Standard-Charging"))</f>
        <v>Fast-Charging</v>
      </c>
      <c r="AF1644" t="str">
        <f>IF(EV_Data4[[#This Row],[acceleration_0_60_mph]]&lt;=3,"SportsPerformance",IF(EV_Data4[[#This Row],[acceleration_0_60_mph]]&lt;=5,"HighPerformance","Standard"))</f>
        <v>HighPerformance</v>
      </c>
      <c r="AG1644" t="str">
        <f>IF(EV_Data4[[#This Row],[customer_rating]]&gt;=4.5,"Excellent",IF(EV_Data4[[#This Row],[customer_rating]]&gt;=3.5,"Good","Average"))</f>
        <v>Good</v>
      </c>
      <c r="AH164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45" spans="1:34" x14ac:dyDescent="0.3">
      <c r="A1645" t="s">
        <v>83</v>
      </c>
      <c r="B1645" t="s">
        <v>84</v>
      </c>
      <c r="C1645">
        <v>2023</v>
      </c>
      <c r="D1645" t="s">
        <v>44</v>
      </c>
      <c r="E1645" s="3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48</v>
      </c>
      <c r="N1645">
        <v>7</v>
      </c>
      <c r="O1645" t="s">
        <v>40</v>
      </c>
      <c r="P1645">
        <v>68.7</v>
      </c>
      <c r="Q1645">
        <v>1543</v>
      </c>
      <c r="R1645">
        <v>4</v>
      </c>
      <c r="S1645">
        <v>2</v>
      </c>
      <c r="T1645" t="s">
        <v>29</v>
      </c>
      <c r="U1645" t="s">
        <v>30</v>
      </c>
      <c r="V1645" s="3">
        <v>49932</v>
      </c>
      <c r="W1645">
        <v>3.32</v>
      </c>
      <c r="X1645">
        <v>7</v>
      </c>
      <c r="Y1645" s="1">
        <f>EV_Data4[[#This Row],[range_miles]]/EV_Data4[[#This Row],[battery_capacity_kwh]]</f>
        <v>3.1108597285067869</v>
      </c>
      <c r="Z1645" s="4">
        <f>EV_Data4[[#This Row],[price_usd]]/EV_Data4[[#This Row],[range_miles]]</f>
        <v>476.82705454545453</v>
      </c>
      <c r="AA1645" s="2">
        <f>(EV_Data4[[#This Row],[customer_rating]]*EV_Data4[[#This Row],[safety_rating]]*1000)/EV_Data4[[#This Row],[price_usd]]</f>
        <v>0.10127552249933347</v>
      </c>
      <c r="AB1645">
        <f>EV_Data4[[#This Row],[horsepower]]+EV_Data4[[#This Row],[torque_nm]]/EV_Data4[[#This Row],[acceleration_0_60_mph]]</f>
        <v>1182.9918032786886</v>
      </c>
      <c r="AC1645" t="str">
        <f>IF(EV_Data4[[#This Row],[price_usd]]&gt;=80000,"Luxury",IF(EV_Data4[[#This Row],[price_usd]]&gt;=40000,"Mid-Range","Budget"))</f>
        <v>Luxury</v>
      </c>
      <c r="AD1645" t="str">
        <f>IF(EV_Data4[[#This Row],[range_miles]]&gt;=350,"Long-Range",IF(EV_Data4[[#This Row],[range_miles]]&gt;=250,"Medium-Range","Short-Range"))</f>
        <v>Medium-Range</v>
      </c>
      <c r="AE1645" t="str">
        <f>IF(EV_Data4[[#This Row],[charging_speed_kw]]&gt;=250,"Ultra-Fast",IF(EV_Data4[[#This Row],[charging_speed_kw]]&gt;=150,"Fast-Charging","Standard-Charging"))</f>
        <v>Standard-Charging</v>
      </c>
      <c r="AF1645" t="str">
        <f>IF(EV_Data4[[#This Row],[acceleration_0_60_mph]]&lt;=3,"SportsPerformance",IF(EV_Data4[[#This Row],[acceleration_0_60_mph]]&lt;=5,"HighPerformance","Standard"))</f>
        <v>HighPerformance</v>
      </c>
      <c r="AG1645" t="str">
        <f>IF(EV_Data4[[#This Row],[customer_rating]]&gt;=4.5,"Excellent",IF(EV_Data4[[#This Row],[customer_rating]]&gt;=3.5,"Good","Average"))</f>
        <v>Average</v>
      </c>
      <c r="AH164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46" spans="1:34" x14ac:dyDescent="0.3">
      <c r="A1646" t="s">
        <v>46</v>
      </c>
      <c r="B1646" t="s">
        <v>49</v>
      </c>
      <c r="C1646">
        <v>2023</v>
      </c>
      <c r="D1646" t="s">
        <v>44</v>
      </c>
      <c r="E1646" s="3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34</v>
      </c>
      <c r="N1646">
        <v>7</v>
      </c>
      <c r="O1646" t="s">
        <v>40</v>
      </c>
      <c r="P1646">
        <v>75.099999999999994</v>
      </c>
      <c r="Q1646">
        <v>1500</v>
      </c>
      <c r="R1646">
        <v>3</v>
      </c>
      <c r="S1646">
        <v>3</v>
      </c>
      <c r="T1646" t="s">
        <v>41</v>
      </c>
      <c r="U1646" t="s">
        <v>37</v>
      </c>
      <c r="V1646" s="3">
        <v>462962</v>
      </c>
      <c r="W1646">
        <v>4.05</v>
      </c>
      <c r="X1646">
        <v>4</v>
      </c>
      <c r="Y1646" s="1">
        <f>EV_Data4[[#This Row],[range_miles]]/EV_Data4[[#This Row],[battery_capacity_kwh]]</f>
        <v>3.3147632311977717</v>
      </c>
      <c r="Z1646" s="4">
        <f>EV_Data4[[#This Row],[price_usd]]/EV_Data4[[#This Row],[range_miles]]</f>
        <v>178.41089635854343</v>
      </c>
      <c r="AA1646" s="2">
        <f>(EV_Data4[[#This Row],[customer_rating]]*EV_Data4[[#This Row],[safety_rating]]*1000)/EV_Data4[[#This Row],[price_usd]]</f>
        <v>0.1907597245460978</v>
      </c>
      <c r="AB1646">
        <f>EV_Data4[[#This Row],[horsepower]]+EV_Data4[[#This Row],[torque_nm]]/EV_Data4[[#This Row],[acceleration_0_60_mph]]</f>
        <v>538.80575539568349</v>
      </c>
      <c r="AC1646" t="str">
        <f>IF(EV_Data4[[#This Row],[price_usd]]&gt;=80000,"Luxury",IF(EV_Data4[[#This Row],[price_usd]]&gt;=40000,"Mid-Range","Budget"))</f>
        <v>Mid-Range</v>
      </c>
      <c r="AD1646" t="str">
        <f>IF(EV_Data4[[#This Row],[range_miles]]&gt;=350,"Long-Range",IF(EV_Data4[[#This Row],[range_miles]]&gt;=250,"Medium-Range","Short-Range"))</f>
        <v>Long-Range</v>
      </c>
      <c r="AE1646" t="str">
        <f>IF(EV_Data4[[#This Row],[charging_speed_kw]]&gt;=250,"Ultra-Fast",IF(EV_Data4[[#This Row],[charging_speed_kw]]&gt;=150,"Fast-Charging","Standard-Charging"))</f>
        <v>Fast-Charging</v>
      </c>
      <c r="AF1646" t="str">
        <f>IF(EV_Data4[[#This Row],[acceleration_0_60_mph]]&lt;=3,"SportsPerformance",IF(EV_Data4[[#This Row],[acceleration_0_60_mph]]&lt;=5,"HighPerformance","Standard"))</f>
        <v>HighPerformance</v>
      </c>
      <c r="AG1646" t="str">
        <f>IF(EV_Data4[[#This Row],[customer_rating]]&gt;=4.5,"Excellent",IF(EV_Data4[[#This Row],[customer_rating]]&gt;=3.5,"Good","Average"))</f>
        <v>Good</v>
      </c>
      <c r="AH1646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647" spans="1:34" x14ac:dyDescent="0.3">
      <c r="A1647" t="s">
        <v>38</v>
      </c>
      <c r="B1647" t="s">
        <v>39</v>
      </c>
      <c r="C1647">
        <v>2025</v>
      </c>
      <c r="D1647" t="s">
        <v>44</v>
      </c>
      <c r="E1647" s="3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27</v>
      </c>
      <c r="N1647">
        <v>7</v>
      </c>
      <c r="O1647" t="s">
        <v>28</v>
      </c>
      <c r="P1647">
        <v>71.900000000000006</v>
      </c>
      <c r="Q1647">
        <v>2310</v>
      </c>
      <c r="R1647">
        <v>4</v>
      </c>
      <c r="S1647">
        <v>2</v>
      </c>
      <c r="T1647" t="s">
        <v>41</v>
      </c>
      <c r="U1647" t="s">
        <v>37</v>
      </c>
      <c r="V1647" s="3">
        <v>20559</v>
      </c>
      <c r="W1647">
        <v>3.37</v>
      </c>
      <c r="X1647">
        <v>4</v>
      </c>
      <c r="Y1647" s="1">
        <f>EV_Data4[[#This Row],[range_miles]]/EV_Data4[[#This Row],[battery_capacity_kwh]]</f>
        <v>3.6927772126144456</v>
      </c>
      <c r="Z1647" s="4">
        <f>EV_Data4[[#This Row],[price_usd]]/EV_Data4[[#This Row],[range_miles]]</f>
        <v>103.81099173553719</v>
      </c>
      <c r="AA1647" s="2">
        <f>(EV_Data4[[#This Row],[customer_rating]]*EV_Data4[[#This Row],[safety_rating]]*1000)/EV_Data4[[#This Row],[price_usd]]</f>
        <v>0.35771728605096303</v>
      </c>
      <c r="AB1647">
        <f>EV_Data4[[#This Row],[horsepower]]+EV_Data4[[#This Row],[torque_nm]]/EV_Data4[[#This Row],[acceleration_0_60_mph]]</f>
        <v>476.21392190152801</v>
      </c>
      <c r="AC1647" t="str">
        <f>IF(EV_Data4[[#This Row],[price_usd]]&gt;=80000,"Luxury",IF(EV_Data4[[#This Row],[price_usd]]&gt;=40000,"Mid-Range","Budget"))</f>
        <v>Budget</v>
      </c>
      <c r="AD1647" t="str">
        <f>IF(EV_Data4[[#This Row],[range_miles]]&gt;=350,"Long-Range",IF(EV_Data4[[#This Row],[range_miles]]&gt;=250,"Medium-Range","Short-Range"))</f>
        <v>Long-Range</v>
      </c>
      <c r="AE1647" t="str">
        <f>IF(EV_Data4[[#This Row],[charging_speed_kw]]&gt;=250,"Ultra-Fast",IF(EV_Data4[[#This Row],[charging_speed_kw]]&gt;=150,"Fast-Charging","Standard-Charging"))</f>
        <v>Standard-Charging</v>
      </c>
      <c r="AF1647" t="str">
        <f>IF(EV_Data4[[#This Row],[acceleration_0_60_mph]]&lt;=3,"SportsPerformance",IF(EV_Data4[[#This Row],[acceleration_0_60_mph]]&lt;=5,"HighPerformance","Standard"))</f>
        <v>Standard</v>
      </c>
      <c r="AG1647" t="str">
        <f>IF(EV_Data4[[#This Row],[customer_rating]]&gt;=4.5,"Excellent",IF(EV_Data4[[#This Row],[customer_rating]]&gt;=3.5,"Good","Average"))</f>
        <v>Average</v>
      </c>
      <c r="AH164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48" spans="1:34" x14ac:dyDescent="0.3">
      <c r="A1648" t="s">
        <v>46</v>
      </c>
      <c r="B1648" t="s">
        <v>49</v>
      </c>
      <c r="C1648">
        <v>2025</v>
      </c>
      <c r="D1648" t="s">
        <v>33</v>
      </c>
      <c r="E1648" s="3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48</v>
      </c>
      <c r="N1648">
        <v>5</v>
      </c>
      <c r="O1648" t="s">
        <v>35</v>
      </c>
      <c r="P1648">
        <v>53.5</v>
      </c>
      <c r="Q1648">
        <v>2239</v>
      </c>
      <c r="R1648">
        <v>4</v>
      </c>
      <c r="S1648">
        <v>2</v>
      </c>
      <c r="T1648" t="s">
        <v>41</v>
      </c>
      <c r="U1648" t="s">
        <v>37</v>
      </c>
      <c r="V1648" s="3">
        <v>484636</v>
      </c>
      <c r="W1648">
        <v>3.69</v>
      </c>
      <c r="X1648">
        <v>5</v>
      </c>
      <c r="Y1648" s="1">
        <f>EV_Data4[[#This Row],[range_miles]]/EV_Data4[[#This Row],[battery_capacity_kwh]]</f>
        <v>3.029739776951673</v>
      </c>
      <c r="Z1648" s="4">
        <f>EV_Data4[[#This Row],[price_usd]]/EV_Data4[[#This Row],[range_miles]]</f>
        <v>248.3084662576687</v>
      </c>
      <c r="AA1648" s="2">
        <f>(EV_Data4[[#This Row],[customer_rating]]*EV_Data4[[#This Row],[safety_rating]]*1000)/EV_Data4[[#This Row],[price_usd]]</f>
        <v>0.36467603623832223</v>
      </c>
      <c r="AB1648">
        <f>EV_Data4[[#This Row],[horsepower]]+EV_Data4[[#This Row],[torque_nm]]/EV_Data4[[#This Row],[acceleration_0_60_mph]]</f>
        <v>256.81664098613248</v>
      </c>
      <c r="AC1648" t="str">
        <f>IF(EV_Data4[[#This Row],[price_usd]]&gt;=80000,"Luxury",IF(EV_Data4[[#This Row],[price_usd]]&gt;=40000,"Mid-Range","Budget"))</f>
        <v>Mid-Range</v>
      </c>
      <c r="AD1648" t="str">
        <f>IF(EV_Data4[[#This Row],[range_miles]]&gt;=350,"Long-Range",IF(EV_Data4[[#This Row],[range_miles]]&gt;=250,"Medium-Range","Short-Range"))</f>
        <v>Short-Range</v>
      </c>
      <c r="AE1648" t="str">
        <f>IF(EV_Data4[[#This Row],[charging_speed_kw]]&gt;=250,"Ultra-Fast",IF(EV_Data4[[#This Row],[charging_speed_kw]]&gt;=150,"Fast-Charging","Standard-Charging"))</f>
        <v>Ultra-Fast</v>
      </c>
      <c r="AF1648" t="str">
        <f>IF(EV_Data4[[#This Row],[acceleration_0_60_mph]]&lt;=3,"SportsPerformance",IF(EV_Data4[[#This Row],[acceleration_0_60_mph]]&lt;=5,"HighPerformance","Standard"))</f>
        <v>Standard</v>
      </c>
      <c r="AG1648" t="str">
        <f>IF(EV_Data4[[#This Row],[customer_rating]]&gt;=4.5,"Excellent",IF(EV_Data4[[#This Row],[customer_rating]]&gt;=3.5,"Good","Average"))</f>
        <v>Good</v>
      </c>
      <c r="AH164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49" spans="1:34" x14ac:dyDescent="0.3">
      <c r="A1649" t="s">
        <v>52</v>
      </c>
      <c r="B1649" t="s">
        <v>53</v>
      </c>
      <c r="C1649">
        <v>2024</v>
      </c>
      <c r="D1649" t="s">
        <v>56</v>
      </c>
      <c r="E1649" s="3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27</v>
      </c>
      <c r="N1649">
        <v>7</v>
      </c>
      <c r="O1649" t="s">
        <v>58</v>
      </c>
      <c r="P1649">
        <v>38.700000000000003</v>
      </c>
      <c r="Q1649">
        <v>1698</v>
      </c>
      <c r="R1649">
        <v>4</v>
      </c>
      <c r="S1649">
        <v>1</v>
      </c>
      <c r="T1649" t="s">
        <v>29</v>
      </c>
      <c r="U1649" t="s">
        <v>30</v>
      </c>
      <c r="V1649" s="3">
        <v>36359</v>
      </c>
      <c r="W1649">
        <v>3.55</v>
      </c>
      <c r="X1649">
        <v>8</v>
      </c>
      <c r="Y1649" s="1">
        <f>EV_Data4[[#This Row],[range_miles]]/EV_Data4[[#This Row],[battery_capacity_kwh]]</f>
        <v>3.0737704918032787</v>
      </c>
      <c r="Z1649" s="4">
        <f>EV_Data4[[#This Row],[price_usd]]/EV_Data4[[#This Row],[range_miles]]</f>
        <v>745.84</v>
      </c>
      <c r="AA1649" s="2">
        <f>(EV_Data4[[#This Row],[customer_rating]]*EV_Data4[[#This Row],[safety_rating]]*1000)/EV_Data4[[#This Row],[price_usd]]</f>
        <v>0.12692623976545461</v>
      </c>
      <c r="AB1649">
        <f>EV_Data4[[#This Row],[horsepower]]+EV_Data4[[#This Row],[torque_nm]]/EV_Data4[[#This Row],[acceleration_0_60_mph]]</f>
        <v>627.76744186046517</v>
      </c>
      <c r="AC1649" t="str">
        <f>IF(EV_Data4[[#This Row],[price_usd]]&gt;=80000,"Luxury",IF(EV_Data4[[#This Row],[price_usd]]&gt;=40000,"Mid-Range","Budget"))</f>
        <v>Luxury</v>
      </c>
      <c r="AD1649" t="str">
        <f>IF(EV_Data4[[#This Row],[range_miles]]&gt;=350,"Long-Range",IF(EV_Data4[[#This Row],[range_miles]]&gt;=250,"Medium-Range","Short-Range"))</f>
        <v>Short-Range</v>
      </c>
      <c r="AE1649" t="str">
        <f>IF(EV_Data4[[#This Row],[charging_speed_kw]]&gt;=250,"Ultra-Fast",IF(EV_Data4[[#This Row],[charging_speed_kw]]&gt;=150,"Fast-Charging","Standard-Charging"))</f>
        <v>Standard-Charging</v>
      </c>
      <c r="AF1649" t="str">
        <f>IF(EV_Data4[[#This Row],[acceleration_0_60_mph]]&lt;=3,"SportsPerformance",IF(EV_Data4[[#This Row],[acceleration_0_60_mph]]&lt;=5,"HighPerformance","Standard"))</f>
        <v>Standard</v>
      </c>
      <c r="AG1649" t="str">
        <f>IF(EV_Data4[[#This Row],[customer_rating]]&gt;=4.5,"Excellent",IF(EV_Data4[[#This Row],[customer_rating]]&gt;=3.5,"Good","Average"))</f>
        <v>Good</v>
      </c>
      <c r="AH164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50" spans="1:34" x14ac:dyDescent="0.3">
      <c r="A1650" t="s">
        <v>76</v>
      </c>
      <c r="B1650" t="s">
        <v>91</v>
      </c>
      <c r="C1650">
        <v>2024</v>
      </c>
      <c r="D1650" t="s">
        <v>26</v>
      </c>
      <c r="E1650" s="3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27</v>
      </c>
      <c r="N1650">
        <v>2</v>
      </c>
      <c r="O1650" t="s">
        <v>28</v>
      </c>
      <c r="P1650">
        <v>77.400000000000006</v>
      </c>
      <c r="Q1650">
        <v>2776</v>
      </c>
      <c r="R1650">
        <v>4</v>
      </c>
      <c r="S1650">
        <v>1</v>
      </c>
      <c r="T1650" t="s">
        <v>41</v>
      </c>
      <c r="U1650" t="s">
        <v>30</v>
      </c>
      <c r="V1650" s="3">
        <v>44309</v>
      </c>
      <c r="W1650">
        <v>3.77</v>
      </c>
      <c r="X1650">
        <v>3</v>
      </c>
      <c r="Y1650" s="1">
        <f>EV_Data4[[#This Row],[range_miles]]/EV_Data4[[#This Row],[battery_capacity_kwh]]</f>
        <v>3.4212920837124656</v>
      </c>
      <c r="Z1650" s="4">
        <f>EV_Data4[[#This Row],[price_usd]]/EV_Data4[[#This Row],[range_miles]]</f>
        <v>283.95470744680853</v>
      </c>
      <c r="AA1650" s="2">
        <f>(EV_Data4[[#This Row],[customer_rating]]*EV_Data4[[#This Row],[safety_rating]]*1000)/EV_Data4[[#This Row],[price_usd]]</f>
        <v>0.14124218379523179</v>
      </c>
      <c r="AB1650">
        <f>EV_Data4[[#This Row],[horsepower]]+EV_Data4[[#This Row],[torque_nm]]/EV_Data4[[#This Row],[acceleration_0_60_mph]]</f>
        <v>1281.4465408805031</v>
      </c>
      <c r="AC1650" t="str">
        <f>IF(EV_Data4[[#This Row],[price_usd]]&gt;=80000,"Luxury",IF(EV_Data4[[#This Row],[price_usd]]&gt;=40000,"Mid-Range","Budget"))</f>
        <v>Luxury</v>
      </c>
      <c r="AD1650" t="str">
        <f>IF(EV_Data4[[#This Row],[range_miles]]&gt;=350,"Long-Range",IF(EV_Data4[[#This Row],[range_miles]]&gt;=250,"Medium-Range","Short-Range"))</f>
        <v>Long-Range</v>
      </c>
      <c r="AE1650" t="str">
        <f>IF(EV_Data4[[#This Row],[charging_speed_kw]]&gt;=250,"Ultra-Fast",IF(EV_Data4[[#This Row],[charging_speed_kw]]&gt;=150,"Fast-Charging","Standard-Charging"))</f>
        <v>Fast-Charging</v>
      </c>
      <c r="AF1650" t="str">
        <f>IF(EV_Data4[[#This Row],[acceleration_0_60_mph]]&lt;=3,"SportsPerformance",IF(EV_Data4[[#This Row],[acceleration_0_60_mph]]&lt;=5,"HighPerformance","Standard"))</f>
        <v>HighPerformance</v>
      </c>
      <c r="AG1650" t="str">
        <f>IF(EV_Data4[[#This Row],[customer_rating]]&gt;=4.5,"Excellent",IF(EV_Data4[[#This Row],[customer_rating]]&gt;=3.5,"Good","Average"))</f>
        <v>Good</v>
      </c>
      <c r="AH165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51" spans="1:34" x14ac:dyDescent="0.3">
      <c r="A1651" t="s">
        <v>38</v>
      </c>
      <c r="B1651" t="s">
        <v>101</v>
      </c>
      <c r="C1651">
        <v>2025</v>
      </c>
      <c r="D1651" t="s">
        <v>33</v>
      </c>
      <c r="E1651" s="3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27</v>
      </c>
      <c r="N1651">
        <v>7</v>
      </c>
      <c r="O1651" t="s">
        <v>40</v>
      </c>
      <c r="P1651">
        <v>70.8</v>
      </c>
      <c r="Q1651">
        <v>1527</v>
      </c>
      <c r="R1651">
        <v>5</v>
      </c>
      <c r="S1651">
        <v>0</v>
      </c>
      <c r="T1651" t="s">
        <v>41</v>
      </c>
      <c r="U1651" t="s">
        <v>37</v>
      </c>
      <c r="V1651" s="3">
        <v>2175</v>
      </c>
      <c r="W1651">
        <v>3.23</v>
      </c>
      <c r="X1651">
        <v>4</v>
      </c>
      <c r="Y1651" s="1">
        <f>EV_Data4[[#This Row],[range_miles]]/EV_Data4[[#This Row],[battery_capacity_kwh]]</f>
        <v>3.3169129720853858</v>
      </c>
      <c r="Z1651" s="4">
        <f>EV_Data4[[#This Row],[price_usd]]/EV_Data4[[#This Row],[range_miles]]</f>
        <v>237.6181188118812</v>
      </c>
      <c r="AA1651" s="2">
        <f>(EV_Data4[[#This Row],[customer_rating]]*EV_Data4[[#This Row],[safety_rating]]*1000)/EV_Data4[[#This Row],[price_usd]]</f>
        <v>0.33646632440853802</v>
      </c>
      <c r="AB1651">
        <f>EV_Data4[[#This Row],[horsepower]]+EV_Data4[[#This Row],[torque_nm]]/EV_Data4[[#This Row],[acceleration_0_60_mph]]</f>
        <v>640.66789667896683</v>
      </c>
      <c r="AC1651" t="str">
        <f>IF(EV_Data4[[#This Row],[price_usd]]&gt;=80000,"Luxury",IF(EV_Data4[[#This Row],[price_usd]]&gt;=40000,"Mid-Range","Budget"))</f>
        <v>Mid-Range</v>
      </c>
      <c r="AD1651" t="str">
        <f>IF(EV_Data4[[#This Row],[range_miles]]&gt;=350,"Long-Range",IF(EV_Data4[[#This Row],[range_miles]]&gt;=250,"Medium-Range","Short-Range"))</f>
        <v>Short-Range</v>
      </c>
      <c r="AE1651" t="str">
        <f>IF(EV_Data4[[#This Row],[charging_speed_kw]]&gt;=250,"Ultra-Fast",IF(EV_Data4[[#This Row],[charging_speed_kw]]&gt;=150,"Fast-Charging","Standard-Charging"))</f>
        <v>Standard-Charging</v>
      </c>
      <c r="AF1651" t="str">
        <f>IF(EV_Data4[[#This Row],[acceleration_0_60_mph]]&lt;=3,"SportsPerformance",IF(EV_Data4[[#This Row],[acceleration_0_60_mph]]&lt;=5,"HighPerformance","Standard"))</f>
        <v>Standard</v>
      </c>
      <c r="AG1651" t="str">
        <f>IF(EV_Data4[[#This Row],[customer_rating]]&gt;=4.5,"Excellent",IF(EV_Data4[[#This Row],[customer_rating]]&gt;=3.5,"Good","Average"))</f>
        <v>Average</v>
      </c>
      <c r="AH165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52" spans="1:34" x14ac:dyDescent="0.3">
      <c r="A1652" t="s">
        <v>46</v>
      </c>
      <c r="B1652" t="s">
        <v>78</v>
      </c>
      <c r="C1652">
        <v>2024</v>
      </c>
      <c r="D1652" t="s">
        <v>56</v>
      </c>
      <c r="E1652" s="3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34</v>
      </c>
      <c r="N1652">
        <v>5</v>
      </c>
      <c r="O1652" t="s">
        <v>28</v>
      </c>
      <c r="P1652">
        <v>54.1</v>
      </c>
      <c r="Q1652">
        <v>2584</v>
      </c>
      <c r="R1652">
        <v>5</v>
      </c>
      <c r="S1652">
        <v>2</v>
      </c>
      <c r="T1652" t="s">
        <v>41</v>
      </c>
      <c r="U1652" t="s">
        <v>33</v>
      </c>
      <c r="V1652" s="3">
        <v>135414</v>
      </c>
      <c r="W1652">
        <v>3.99</v>
      </c>
      <c r="X1652">
        <v>4</v>
      </c>
      <c r="Y1652" s="1">
        <f>EV_Data4[[#This Row],[range_miles]]/EV_Data4[[#This Row],[battery_capacity_kwh]]</f>
        <v>3.6287425149700598</v>
      </c>
      <c r="Z1652" s="4">
        <f>EV_Data4[[#This Row],[price_usd]]/EV_Data4[[#This Row],[range_miles]]</f>
        <v>258.58706270627061</v>
      </c>
      <c r="AA1652" s="2">
        <f>(EV_Data4[[#This Row],[customer_rating]]*EV_Data4[[#This Row],[safety_rating]]*1000)/EV_Data4[[#This Row],[price_usd]]</f>
        <v>0.25462056558183421</v>
      </c>
      <c r="AB1652">
        <f>EV_Data4[[#This Row],[horsepower]]+EV_Data4[[#This Row],[torque_nm]]/EV_Data4[[#This Row],[acceleration_0_60_mph]]</f>
        <v>611.7856093979442</v>
      </c>
      <c r="AC1652" t="str">
        <f>IF(EV_Data4[[#This Row],[price_usd]]&gt;=80000,"Luxury",IF(EV_Data4[[#This Row],[price_usd]]&gt;=40000,"Mid-Range","Budget"))</f>
        <v>Mid-Range</v>
      </c>
      <c r="AD1652" t="str">
        <f>IF(EV_Data4[[#This Row],[range_miles]]&gt;=350,"Long-Range",IF(EV_Data4[[#This Row],[range_miles]]&gt;=250,"Medium-Range","Short-Range"))</f>
        <v>Medium-Range</v>
      </c>
      <c r="AE1652" t="str">
        <f>IF(EV_Data4[[#This Row],[charging_speed_kw]]&gt;=250,"Ultra-Fast",IF(EV_Data4[[#This Row],[charging_speed_kw]]&gt;=150,"Fast-Charging","Standard-Charging"))</f>
        <v>Ultra-Fast</v>
      </c>
      <c r="AF1652" t="str">
        <f>IF(EV_Data4[[#This Row],[acceleration_0_60_mph]]&lt;=3,"SportsPerformance",IF(EV_Data4[[#This Row],[acceleration_0_60_mph]]&lt;=5,"HighPerformance","Standard"))</f>
        <v>Standard</v>
      </c>
      <c r="AG1652" t="str">
        <f>IF(EV_Data4[[#This Row],[customer_rating]]&gt;=4.5,"Excellent",IF(EV_Data4[[#This Row],[customer_rating]]&gt;=3.5,"Good","Average"))</f>
        <v>Good</v>
      </c>
      <c r="AH165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53" spans="1:34" x14ac:dyDescent="0.3">
      <c r="A1653" t="s">
        <v>63</v>
      </c>
      <c r="B1653" t="s">
        <v>107</v>
      </c>
      <c r="C1653">
        <v>2025</v>
      </c>
      <c r="D1653" t="s">
        <v>33</v>
      </c>
      <c r="E1653" s="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48</v>
      </c>
      <c r="N1653">
        <v>5</v>
      </c>
      <c r="O1653" t="s">
        <v>51</v>
      </c>
      <c r="P1653">
        <v>39.200000000000003</v>
      </c>
      <c r="Q1653">
        <v>1710</v>
      </c>
      <c r="R1653">
        <v>5</v>
      </c>
      <c r="S1653">
        <v>0</v>
      </c>
      <c r="T1653" t="s">
        <v>65</v>
      </c>
      <c r="U1653" t="s">
        <v>30</v>
      </c>
      <c r="V1653" s="3">
        <v>207780</v>
      </c>
      <c r="W1653">
        <v>3.62</v>
      </c>
      <c r="X1653">
        <v>3</v>
      </c>
      <c r="Y1653" s="1">
        <f>EV_Data4[[#This Row],[range_miles]]/EV_Data4[[#This Row],[battery_capacity_kwh]]</f>
        <v>3.6633663366336631</v>
      </c>
      <c r="Z1653" s="4">
        <f>EV_Data4[[#This Row],[price_usd]]/EV_Data4[[#This Row],[range_miles]]</f>
        <v>392.88034749034745</v>
      </c>
      <c r="AA1653" s="2">
        <f>(EV_Data4[[#This Row],[customer_rating]]*EV_Data4[[#This Row],[safety_rating]]*1000)/EV_Data4[[#This Row],[price_usd]]</f>
        <v>0.17787647137500773</v>
      </c>
      <c r="AB1653">
        <f>EV_Data4[[#This Row],[horsepower]]+EV_Data4[[#This Row],[torque_nm]]/EV_Data4[[#This Row],[acceleration_0_60_mph]]</f>
        <v>1115.6735751295337</v>
      </c>
      <c r="AC1653" t="str">
        <f>IF(EV_Data4[[#This Row],[price_usd]]&gt;=80000,"Luxury",IF(EV_Data4[[#This Row],[price_usd]]&gt;=40000,"Mid-Range","Budget"))</f>
        <v>Luxury</v>
      </c>
      <c r="AD1653" t="str">
        <f>IF(EV_Data4[[#This Row],[range_miles]]&gt;=350,"Long-Range",IF(EV_Data4[[#This Row],[range_miles]]&gt;=250,"Medium-Range","Short-Range"))</f>
        <v>Medium-Range</v>
      </c>
      <c r="AE1653" t="str">
        <f>IF(EV_Data4[[#This Row],[charging_speed_kw]]&gt;=250,"Ultra-Fast",IF(EV_Data4[[#This Row],[charging_speed_kw]]&gt;=150,"Fast-Charging","Standard-Charging"))</f>
        <v>Standard-Charging</v>
      </c>
      <c r="AF1653" t="str">
        <f>IF(EV_Data4[[#This Row],[acceleration_0_60_mph]]&lt;=3,"SportsPerformance",IF(EV_Data4[[#This Row],[acceleration_0_60_mph]]&lt;=5,"HighPerformance","Standard"))</f>
        <v>Standard</v>
      </c>
      <c r="AG1653" t="str">
        <f>IF(EV_Data4[[#This Row],[customer_rating]]&gt;=4.5,"Excellent",IF(EV_Data4[[#This Row],[customer_rating]]&gt;=3.5,"Good","Average"))</f>
        <v>Good</v>
      </c>
      <c r="AH165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54" spans="1:34" x14ac:dyDescent="0.3">
      <c r="A1654" t="s">
        <v>63</v>
      </c>
      <c r="B1654" t="s">
        <v>73</v>
      </c>
      <c r="C1654">
        <v>2021</v>
      </c>
      <c r="D1654" t="s">
        <v>26</v>
      </c>
      <c r="E1654" s="3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27</v>
      </c>
      <c r="N1654">
        <v>5</v>
      </c>
      <c r="O1654" t="s">
        <v>51</v>
      </c>
      <c r="P1654">
        <v>29.8</v>
      </c>
      <c r="Q1654">
        <v>1516</v>
      </c>
      <c r="R1654">
        <v>4</v>
      </c>
      <c r="S1654">
        <v>0</v>
      </c>
      <c r="T1654" t="s">
        <v>65</v>
      </c>
      <c r="U1654" t="s">
        <v>37</v>
      </c>
      <c r="V1654" s="3">
        <v>110969</v>
      </c>
      <c r="W1654">
        <v>3.76</v>
      </c>
      <c r="X1654">
        <v>4</v>
      </c>
      <c r="Y1654" s="1">
        <f>EV_Data4[[#This Row],[range_miles]]/EV_Data4[[#This Row],[battery_capacity_kwh]]</f>
        <v>3.4939759036144578</v>
      </c>
      <c r="Z1654" s="4">
        <f>EV_Data4[[#This Row],[price_usd]]/EV_Data4[[#This Row],[range_miles]]</f>
        <v>114.22824451410658</v>
      </c>
      <c r="AA1654" s="2">
        <f>(EV_Data4[[#This Row],[customer_rating]]*EV_Data4[[#This Row],[safety_rating]]*1000)/EV_Data4[[#This Row],[price_usd]]</f>
        <v>0.41274673898516445</v>
      </c>
      <c r="AB1654">
        <f>EV_Data4[[#This Row],[horsepower]]+EV_Data4[[#This Row],[torque_nm]]/EV_Data4[[#This Row],[acceleration_0_60_mph]]</f>
        <v>527.62566844919786</v>
      </c>
      <c r="AC1654" t="str">
        <f>IF(EV_Data4[[#This Row],[price_usd]]&gt;=80000,"Luxury",IF(EV_Data4[[#This Row],[price_usd]]&gt;=40000,"Mid-Range","Budget"))</f>
        <v>Budget</v>
      </c>
      <c r="AD1654" t="str">
        <f>IF(EV_Data4[[#This Row],[range_miles]]&gt;=350,"Long-Range",IF(EV_Data4[[#This Row],[range_miles]]&gt;=250,"Medium-Range","Short-Range"))</f>
        <v>Medium-Range</v>
      </c>
      <c r="AE1654" t="str">
        <f>IF(EV_Data4[[#This Row],[charging_speed_kw]]&gt;=250,"Ultra-Fast",IF(EV_Data4[[#This Row],[charging_speed_kw]]&gt;=150,"Fast-Charging","Standard-Charging"))</f>
        <v>Fast-Charging</v>
      </c>
      <c r="AF1654" t="str">
        <f>IF(EV_Data4[[#This Row],[acceleration_0_60_mph]]&lt;=3,"SportsPerformance",IF(EV_Data4[[#This Row],[acceleration_0_60_mph]]&lt;=5,"HighPerformance","Standard"))</f>
        <v>HighPerformance</v>
      </c>
      <c r="AG1654" t="str">
        <f>IF(EV_Data4[[#This Row],[customer_rating]]&gt;=4.5,"Excellent",IF(EV_Data4[[#This Row],[customer_rating]]&gt;=3.5,"Good","Average"))</f>
        <v>Good</v>
      </c>
      <c r="AH165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55" spans="1:34" x14ac:dyDescent="0.3">
      <c r="A1655" t="s">
        <v>24</v>
      </c>
      <c r="B1655" t="s">
        <v>70</v>
      </c>
      <c r="C1655">
        <v>2024</v>
      </c>
      <c r="D1655" t="s">
        <v>61</v>
      </c>
      <c r="E1655" s="3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48</v>
      </c>
      <c r="N1655">
        <v>7</v>
      </c>
      <c r="O1655" t="s">
        <v>58</v>
      </c>
      <c r="P1655">
        <v>21.5</v>
      </c>
      <c r="Q1655">
        <v>1516</v>
      </c>
      <c r="R1655">
        <v>4</v>
      </c>
      <c r="S1655">
        <v>0</v>
      </c>
      <c r="T1655" t="s">
        <v>29</v>
      </c>
      <c r="U1655" t="s">
        <v>37</v>
      </c>
      <c r="V1655" s="3">
        <v>248569</v>
      </c>
      <c r="W1655">
        <v>3.75</v>
      </c>
      <c r="X1655">
        <v>4</v>
      </c>
      <c r="Y1655" s="1">
        <f>EV_Data4[[#This Row],[range_miles]]/EV_Data4[[#This Row],[battery_capacity_kwh]]</f>
        <v>3.6386138613861387</v>
      </c>
      <c r="Z1655" s="4">
        <f>EV_Data4[[#This Row],[price_usd]]/EV_Data4[[#This Row],[range_miles]]</f>
        <v>153.44891156462586</v>
      </c>
      <c r="AA1655" s="2">
        <f>(EV_Data4[[#This Row],[customer_rating]]*EV_Data4[[#This Row],[safety_rating]]*1000)/EV_Data4[[#This Row],[price_usd]]</f>
        <v>0.33249117014282487</v>
      </c>
      <c r="AB1655">
        <f>EV_Data4[[#This Row],[horsepower]]+EV_Data4[[#This Row],[torque_nm]]/EV_Data4[[#This Row],[acceleration_0_60_mph]]</f>
        <v>415.79720279720277</v>
      </c>
      <c r="AC1655" t="str">
        <f>IF(EV_Data4[[#This Row],[price_usd]]&gt;=80000,"Luxury",IF(EV_Data4[[#This Row],[price_usd]]&gt;=40000,"Mid-Range","Budget"))</f>
        <v>Mid-Range</v>
      </c>
      <c r="AD1655" t="str">
        <f>IF(EV_Data4[[#This Row],[range_miles]]&gt;=350,"Long-Range",IF(EV_Data4[[#This Row],[range_miles]]&gt;=250,"Medium-Range","Short-Range"))</f>
        <v>Medium-Range</v>
      </c>
      <c r="AE1655" t="str">
        <f>IF(EV_Data4[[#This Row],[charging_speed_kw]]&gt;=250,"Ultra-Fast",IF(EV_Data4[[#This Row],[charging_speed_kw]]&gt;=150,"Fast-Charging","Standard-Charging"))</f>
        <v>Standard-Charging</v>
      </c>
      <c r="AF1655" t="str">
        <f>IF(EV_Data4[[#This Row],[acceleration_0_60_mph]]&lt;=3,"SportsPerformance",IF(EV_Data4[[#This Row],[acceleration_0_60_mph]]&lt;=5,"HighPerformance","Standard"))</f>
        <v>Standard</v>
      </c>
      <c r="AG1655" t="str">
        <f>IF(EV_Data4[[#This Row],[customer_rating]]&gt;=4.5,"Excellent",IF(EV_Data4[[#This Row],[customer_rating]]&gt;=3.5,"Good","Average"))</f>
        <v>Good</v>
      </c>
      <c r="AH165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56" spans="1:34" x14ac:dyDescent="0.3">
      <c r="A1656" t="s">
        <v>46</v>
      </c>
      <c r="B1656" t="s">
        <v>49</v>
      </c>
      <c r="C1656">
        <v>2024</v>
      </c>
      <c r="D1656" t="s">
        <v>56</v>
      </c>
      <c r="E1656" s="3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27</v>
      </c>
      <c r="N1656">
        <v>5</v>
      </c>
      <c r="O1656" t="s">
        <v>51</v>
      </c>
      <c r="P1656">
        <v>25</v>
      </c>
      <c r="Q1656">
        <v>1774</v>
      </c>
      <c r="R1656">
        <v>4</v>
      </c>
      <c r="S1656">
        <v>2</v>
      </c>
      <c r="T1656" t="s">
        <v>41</v>
      </c>
      <c r="U1656" t="s">
        <v>30</v>
      </c>
      <c r="V1656" s="3">
        <v>402141</v>
      </c>
      <c r="W1656">
        <v>4.01</v>
      </c>
      <c r="X1656">
        <v>5</v>
      </c>
      <c r="Y1656" s="1">
        <f>EV_Data4[[#This Row],[range_miles]]/EV_Data4[[#This Row],[battery_capacity_kwh]]</f>
        <v>3.23943661971831</v>
      </c>
      <c r="Z1656" s="4">
        <f>EV_Data4[[#This Row],[price_usd]]/EV_Data4[[#This Row],[range_miles]]</f>
        <v>465.65588932806327</v>
      </c>
      <c r="AA1656" s="2">
        <f>(EV_Data4[[#This Row],[customer_rating]]*EV_Data4[[#This Row],[safety_rating]]*1000)/EV_Data4[[#This Row],[price_usd]]</f>
        <v>0.1361503439324056</v>
      </c>
      <c r="AB1656">
        <f>EV_Data4[[#This Row],[horsepower]]+EV_Data4[[#This Row],[torque_nm]]/EV_Data4[[#This Row],[acceleration_0_60_mph]]</f>
        <v>984.01754385964909</v>
      </c>
      <c r="AC1656" t="str">
        <f>IF(EV_Data4[[#This Row],[price_usd]]&gt;=80000,"Luxury",IF(EV_Data4[[#This Row],[price_usd]]&gt;=40000,"Mid-Range","Budget"))</f>
        <v>Luxury</v>
      </c>
      <c r="AD1656" t="str">
        <f>IF(EV_Data4[[#This Row],[range_miles]]&gt;=350,"Long-Range",IF(EV_Data4[[#This Row],[range_miles]]&gt;=250,"Medium-Range","Short-Range"))</f>
        <v>Medium-Range</v>
      </c>
      <c r="AE1656" t="str">
        <f>IF(EV_Data4[[#This Row],[charging_speed_kw]]&gt;=250,"Ultra-Fast",IF(EV_Data4[[#This Row],[charging_speed_kw]]&gt;=150,"Fast-Charging","Standard-Charging"))</f>
        <v>Fast-Charging</v>
      </c>
      <c r="AF1656" t="str">
        <f>IF(EV_Data4[[#This Row],[acceleration_0_60_mph]]&lt;=3,"SportsPerformance",IF(EV_Data4[[#This Row],[acceleration_0_60_mph]]&lt;=5,"HighPerformance","Standard"))</f>
        <v>Standard</v>
      </c>
      <c r="AG1656" t="str">
        <f>IF(EV_Data4[[#This Row],[customer_rating]]&gt;=4.5,"Excellent",IF(EV_Data4[[#This Row],[customer_rating]]&gt;=3.5,"Good","Average"))</f>
        <v>Good</v>
      </c>
      <c r="AH165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57" spans="1:34" x14ac:dyDescent="0.3">
      <c r="A1657" t="s">
        <v>92</v>
      </c>
      <c r="B1657" t="s">
        <v>127</v>
      </c>
      <c r="C1657">
        <v>2022</v>
      </c>
      <c r="D1657" t="s">
        <v>61</v>
      </c>
      <c r="E1657" s="3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27</v>
      </c>
      <c r="N1657">
        <v>5</v>
      </c>
      <c r="O1657" t="s">
        <v>35</v>
      </c>
      <c r="P1657">
        <v>50.8</v>
      </c>
      <c r="Q1657">
        <v>2057</v>
      </c>
      <c r="R1657">
        <v>5</v>
      </c>
      <c r="S1657">
        <v>2</v>
      </c>
      <c r="T1657" t="s">
        <v>65</v>
      </c>
      <c r="U1657" t="s">
        <v>37</v>
      </c>
      <c r="V1657" s="3">
        <v>19395</v>
      </c>
      <c r="W1657">
        <v>3.46</v>
      </c>
      <c r="X1657">
        <v>4</v>
      </c>
      <c r="Y1657" s="1">
        <f>EV_Data4[[#This Row],[range_miles]]/EV_Data4[[#This Row],[battery_capacity_kwh]]</f>
        <v>3.0550284629981022</v>
      </c>
      <c r="Z1657" s="4">
        <f>EV_Data4[[#This Row],[price_usd]]/EV_Data4[[#This Row],[range_miles]]</f>
        <v>398.05167701863354</v>
      </c>
      <c r="AA1657" s="2">
        <f>(EV_Data4[[#This Row],[customer_rating]]*EV_Data4[[#This Row],[safety_rating]]*1000)/EV_Data4[[#This Row],[price_usd]]</f>
        <v>0.26994840708594281</v>
      </c>
      <c r="AB1657">
        <f>EV_Data4[[#This Row],[horsepower]]+EV_Data4[[#This Row],[torque_nm]]/EV_Data4[[#This Row],[acceleration_0_60_mph]]</f>
        <v>570.21348314606746</v>
      </c>
      <c r="AC1657" t="str">
        <f>IF(EV_Data4[[#This Row],[price_usd]]&gt;=80000,"Luxury",IF(EV_Data4[[#This Row],[price_usd]]&gt;=40000,"Mid-Range","Budget"))</f>
        <v>Mid-Range</v>
      </c>
      <c r="AD1657" t="str">
        <f>IF(EV_Data4[[#This Row],[range_miles]]&gt;=350,"Long-Range",IF(EV_Data4[[#This Row],[range_miles]]&gt;=250,"Medium-Range","Short-Range"))</f>
        <v>Short-Range</v>
      </c>
      <c r="AE1657" t="str">
        <f>IF(EV_Data4[[#This Row],[charging_speed_kw]]&gt;=250,"Ultra-Fast",IF(EV_Data4[[#This Row],[charging_speed_kw]]&gt;=150,"Fast-Charging","Standard-Charging"))</f>
        <v>Standard-Charging</v>
      </c>
      <c r="AF1657" t="str">
        <f>IF(EV_Data4[[#This Row],[acceleration_0_60_mph]]&lt;=3,"SportsPerformance",IF(EV_Data4[[#This Row],[acceleration_0_60_mph]]&lt;=5,"HighPerformance","Standard"))</f>
        <v>Standard</v>
      </c>
      <c r="AG1657" t="str">
        <f>IF(EV_Data4[[#This Row],[customer_rating]]&gt;=4.5,"Excellent",IF(EV_Data4[[#This Row],[customer_rating]]&gt;=3.5,"Good","Average"))</f>
        <v>Average</v>
      </c>
      <c r="AH165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58" spans="1:34" x14ac:dyDescent="0.3">
      <c r="A1658" t="s">
        <v>42</v>
      </c>
      <c r="B1658" t="s">
        <v>54</v>
      </c>
      <c r="C1658">
        <v>2026</v>
      </c>
      <c r="D1658" t="s">
        <v>26</v>
      </c>
      <c r="E1658" s="3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27</v>
      </c>
      <c r="N1658">
        <v>5</v>
      </c>
      <c r="O1658" t="s">
        <v>28</v>
      </c>
      <c r="P1658">
        <v>67.5</v>
      </c>
      <c r="Q1658">
        <v>2916</v>
      </c>
      <c r="R1658">
        <v>5</v>
      </c>
      <c r="S1658">
        <v>0</v>
      </c>
      <c r="T1658" t="s">
        <v>45</v>
      </c>
      <c r="U1658" t="s">
        <v>33</v>
      </c>
      <c r="V1658" s="3">
        <v>123775</v>
      </c>
      <c r="W1658">
        <v>3.66</v>
      </c>
      <c r="X1658">
        <v>3</v>
      </c>
      <c r="Y1658" s="1">
        <f>EV_Data4[[#This Row],[range_miles]]/EV_Data4[[#This Row],[battery_capacity_kwh]]</f>
        <v>3.5</v>
      </c>
      <c r="Z1658" s="4">
        <f>EV_Data4[[#This Row],[price_usd]]/EV_Data4[[#This Row],[range_miles]]</f>
        <v>213.56297619047621</v>
      </c>
      <c r="AA1658" s="2">
        <f>(EV_Data4[[#This Row],[customer_rating]]*EV_Data4[[#This Row],[safety_rating]]*1000)/EV_Data4[[#This Row],[price_usd]]</f>
        <v>0.25502681544252864</v>
      </c>
      <c r="AB1658">
        <f>EV_Data4[[#This Row],[horsepower]]+EV_Data4[[#This Row],[torque_nm]]/EV_Data4[[#This Row],[acceleration_0_60_mph]]</f>
        <v>982.74157303370782</v>
      </c>
      <c r="AC1658" t="str">
        <f>IF(EV_Data4[[#This Row],[price_usd]]&gt;=80000,"Luxury",IF(EV_Data4[[#This Row],[price_usd]]&gt;=40000,"Mid-Range","Budget"))</f>
        <v>Mid-Range</v>
      </c>
      <c r="AD1658" t="str">
        <f>IF(EV_Data4[[#This Row],[range_miles]]&gt;=350,"Long-Range",IF(EV_Data4[[#This Row],[range_miles]]&gt;=250,"Medium-Range","Short-Range"))</f>
        <v>Medium-Range</v>
      </c>
      <c r="AE1658" t="str">
        <f>IF(EV_Data4[[#This Row],[charging_speed_kw]]&gt;=250,"Ultra-Fast",IF(EV_Data4[[#This Row],[charging_speed_kw]]&gt;=150,"Fast-Charging","Standard-Charging"))</f>
        <v>Fast-Charging</v>
      </c>
      <c r="AF1658" t="str">
        <f>IF(EV_Data4[[#This Row],[acceleration_0_60_mph]]&lt;=3,"SportsPerformance",IF(EV_Data4[[#This Row],[acceleration_0_60_mph]]&lt;=5,"HighPerformance","Standard"))</f>
        <v>HighPerformance</v>
      </c>
      <c r="AG1658" t="str">
        <f>IF(EV_Data4[[#This Row],[customer_rating]]&gt;=4.5,"Excellent",IF(EV_Data4[[#This Row],[customer_rating]]&gt;=3.5,"Good","Average"))</f>
        <v>Good</v>
      </c>
      <c r="AH165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59" spans="1:34" x14ac:dyDescent="0.3">
      <c r="A1659" t="s">
        <v>63</v>
      </c>
      <c r="B1659" t="s">
        <v>88</v>
      </c>
      <c r="C1659">
        <v>2026</v>
      </c>
      <c r="D1659" t="s">
        <v>26</v>
      </c>
      <c r="E1659" s="3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27</v>
      </c>
      <c r="N1659">
        <v>5</v>
      </c>
      <c r="O1659" t="s">
        <v>51</v>
      </c>
      <c r="P1659">
        <v>20.6</v>
      </c>
      <c r="Q1659">
        <v>1527</v>
      </c>
      <c r="R1659">
        <v>4</v>
      </c>
      <c r="S1659">
        <v>0</v>
      </c>
      <c r="T1659" t="s">
        <v>65</v>
      </c>
      <c r="U1659" t="s">
        <v>33</v>
      </c>
      <c r="V1659" s="3">
        <v>234079</v>
      </c>
      <c r="W1659">
        <v>3.75</v>
      </c>
      <c r="X1659">
        <v>4</v>
      </c>
      <c r="Y1659" s="1">
        <f>EV_Data4[[#This Row],[range_miles]]/EV_Data4[[#This Row],[battery_capacity_kwh]]</f>
        <v>3.4671532846715332</v>
      </c>
      <c r="Z1659" s="4">
        <f>EV_Data4[[#This Row],[price_usd]]/EV_Data4[[#This Row],[range_miles]]</f>
        <v>187.8562894736842</v>
      </c>
      <c r="AA1659" s="2">
        <f>(EV_Data4[[#This Row],[customer_rating]]*EV_Data4[[#This Row],[safety_rating]]*1000)/EV_Data4[[#This Row],[price_usd]]</f>
        <v>0.21012703019483397</v>
      </c>
      <c r="AB1659">
        <f>EV_Data4[[#This Row],[horsepower]]+EV_Data4[[#This Row],[torque_nm]]/EV_Data4[[#This Row],[acceleration_0_60_mph]]</f>
        <v>1012.1078431372549</v>
      </c>
      <c r="AC1659" t="str">
        <f>IF(EV_Data4[[#This Row],[price_usd]]&gt;=80000,"Luxury",IF(EV_Data4[[#This Row],[price_usd]]&gt;=40000,"Mid-Range","Budget"))</f>
        <v>Mid-Range</v>
      </c>
      <c r="AD1659" t="str">
        <f>IF(EV_Data4[[#This Row],[range_miles]]&gt;=350,"Long-Range",IF(EV_Data4[[#This Row],[range_miles]]&gt;=250,"Medium-Range","Short-Range"))</f>
        <v>Long-Range</v>
      </c>
      <c r="AE1659" t="str">
        <f>IF(EV_Data4[[#This Row],[charging_speed_kw]]&gt;=250,"Ultra-Fast",IF(EV_Data4[[#This Row],[charging_speed_kw]]&gt;=150,"Fast-Charging","Standard-Charging"))</f>
        <v>Fast-Charging</v>
      </c>
      <c r="AF1659" t="str">
        <f>IF(EV_Data4[[#This Row],[acceleration_0_60_mph]]&lt;=3,"SportsPerformance",IF(EV_Data4[[#This Row],[acceleration_0_60_mph]]&lt;=5,"HighPerformance","Standard"))</f>
        <v>HighPerformance</v>
      </c>
      <c r="AG1659" t="str">
        <f>IF(EV_Data4[[#This Row],[customer_rating]]&gt;=4.5,"Excellent",IF(EV_Data4[[#This Row],[customer_rating]]&gt;=3.5,"Good","Average"))</f>
        <v>Good</v>
      </c>
      <c r="AH165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60" spans="1:34" x14ac:dyDescent="0.3">
      <c r="A1660" t="s">
        <v>24</v>
      </c>
      <c r="B1660" t="s">
        <v>75</v>
      </c>
      <c r="C1660">
        <v>2023</v>
      </c>
      <c r="D1660" t="s">
        <v>26</v>
      </c>
      <c r="E1660" s="3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48</v>
      </c>
      <c r="N1660">
        <v>7</v>
      </c>
      <c r="O1660" t="s">
        <v>50</v>
      </c>
      <c r="P1660">
        <v>27.1</v>
      </c>
      <c r="Q1660">
        <v>1677</v>
      </c>
      <c r="R1660">
        <v>4</v>
      </c>
      <c r="S1660">
        <v>2</v>
      </c>
      <c r="T1660" t="s">
        <v>29</v>
      </c>
      <c r="U1660" t="s">
        <v>33</v>
      </c>
      <c r="V1660" s="3">
        <v>291745</v>
      </c>
      <c r="W1660">
        <v>3.72</v>
      </c>
      <c r="X1660">
        <v>4</v>
      </c>
      <c r="Y1660" s="1">
        <f>EV_Data4[[#This Row],[range_miles]]/EV_Data4[[#This Row],[battery_capacity_kwh]]</f>
        <v>3.5204081632653059</v>
      </c>
      <c r="Z1660" s="4">
        <f>EV_Data4[[#This Row],[price_usd]]/EV_Data4[[#This Row],[range_miles]]</f>
        <v>298.35249999999996</v>
      </c>
      <c r="AA1660" s="2">
        <f>(EV_Data4[[#This Row],[customer_rating]]*EV_Data4[[#This Row],[safety_rating]]*1000)/EV_Data4[[#This Row],[price_usd]]</f>
        <v>0.18070250283896019</v>
      </c>
      <c r="AB1660">
        <f>EV_Data4[[#This Row],[horsepower]]+EV_Data4[[#This Row],[torque_nm]]/EV_Data4[[#This Row],[acceleration_0_60_mph]]</f>
        <v>1287.8199233716475</v>
      </c>
      <c r="AC1660" t="str">
        <f>IF(EV_Data4[[#This Row],[price_usd]]&gt;=80000,"Luxury",IF(EV_Data4[[#This Row],[price_usd]]&gt;=40000,"Mid-Range","Budget"))</f>
        <v>Luxury</v>
      </c>
      <c r="AD1660" t="str">
        <f>IF(EV_Data4[[#This Row],[range_miles]]&gt;=350,"Long-Range",IF(EV_Data4[[#This Row],[range_miles]]&gt;=250,"Medium-Range","Short-Range"))</f>
        <v>Medium-Range</v>
      </c>
      <c r="AE1660" t="str">
        <f>IF(EV_Data4[[#This Row],[charging_speed_kw]]&gt;=250,"Ultra-Fast",IF(EV_Data4[[#This Row],[charging_speed_kw]]&gt;=150,"Fast-Charging","Standard-Charging"))</f>
        <v>Fast-Charging</v>
      </c>
      <c r="AF1660" t="str">
        <f>IF(EV_Data4[[#This Row],[acceleration_0_60_mph]]&lt;=3,"SportsPerformance",IF(EV_Data4[[#This Row],[acceleration_0_60_mph]]&lt;=5,"HighPerformance","Standard"))</f>
        <v>SportsPerformance</v>
      </c>
      <c r="AG1660" t="str">
        <f>IF(EV_Data4[[#This Row],[customer_rating]]&gt;=4.5,"Excellent",IF(EV_Data4[[#This Row],[customer_rating]]&gt;=3.5,"Good","Average"))</f>
        <v>Good</v>
      </c>
      <c r="AH166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61" spans="1:34" x14ac:dyDescent="0.3">
      <c r="A1661" t="s">
        <v>24</v>
      </c>
      <c r="B1661" t="s">
        <v>70</v>
      </c>
      <c r="C1661">
        <v>2024</v>
      </c>
      <c r="D1661" t="s">
        <v>44</v>
      </c>
      <c r="E1661" s="3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48</v>
      </c>
      <c r="N1661">
        <v>5</v>
      </c>
      <c r="O1661" t="s">
        <v>51</v>
      </c>
      <c r="P1661">
        <v>25.2</v>
      </c>
      <c r="Q1661">
        <v>1500</v>
      </c>
      <c r="R1661">
        <v>4</v>
      </c>
      <c r="S1661">
        <v>0</v>
      </c>
      <c r="T1661" t="s">
        <v>29</v>
      </c>
      <c r="U1661" t="s">
        <v>33</v>
      </c>
      <c r="V1661" s="3">
        <v>292447</v>
      </c>
      <c r="W1661">
        <v>3.87</v>
      </c>
      <c r="X1661">
        <v>3</v>
      </c>
      <c r="Y1661" s="1">
        <f>EV_Data4[[#This Row],[range_miles]]/EV_Data4[[#This Row],[battery_capacity_kwh]]</f>
        <v>3.6550060313630879</v>
      </c>
      <c r="Z1661" s="4">
        <f>EV_Data4[[#This Row],[price_usd]]/EV_Data4[[#This Row],[range_miles]]</f>
        <v>229.8550495049505</v>
      </c>
      <c r="AA1661" s="2">
        <f>(EV_Data4[[#This Row],[customer_rating]]*EV_Data4[[#This Row],[safety_rating]]*1000)/EV_Data4[[#This Row],[price_usd]]</f>
        <v>0.22226663726084797</v>
      </c>
      <c r="AB1661">
        <f>EV_Data4[[#This Row],[horsepower]]+EV_Data4[[#This Row],[torque_nm]]/EV_Data4[[#This Row],[acceleration_0_60_mph]]</f>
        <v>837.48207171314743</v>
      </c>
      <c r="AC1661" t="str">
        <f>IF(EV_Data4[[#This Row],[price_usd]]&gt;=80000,"Luxury",IF(EV_Data4[[#This Row],[price_usd]]&gt;=40000,"Mid-Range","Budget"))</f>
        <v>Mid-Range</v>
      </c>
      <c r="AD1661" t="str">
        <f>IF(EV_Data4[[#This Row],[range_miles]]&gt;=350,"Long-Range",IF(EV_Data4[[#This Row],[range_miles]]&gt;=250,"Medium-Range","Short-Range"))</f>
        <v>Medium-Range</v>
      </c>
      <c r="AE1661" t="str">
        <f>IF(EV_Data4[[#This Row],[charging_speed_kw]]&gt;=250,"Ultra-Fast",IF(EV_Data4[[#This Row],[charging_speed_kw]]&gt;=150,"Fast-Charging","Standard-Charging"))</f>
        <v>Standard-Charging</v>
      </c>
      <c r="AF1661" t="str">
        <f>IF(EV_Data4[[#This Row],[acceleration_0_60_mph]]&lt;=3,"SportsPerformance",IF(EV_Data4[[#This Row],[acceleration_0_60_mph]]&lt;=5,"HighPerformance","Standard"))</f>
        <v>Standard</v>
      </c>
      <c r="AG1661" t="str">
        <f>IF(EV_Data4[[#This Row],[customer_rating]]&gt;=4.5,"Excellent",IF(EV_Data4[[#This Row],[customer_rating]]&gt;=3.5,"Good","Average"))</f>
        <v>Good</v>
      </c>
      <c r="AH166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62" spans="1:34" x14ac:dyDescent="0.3">
      <c r="A1662" t="s">
        <v>42</v>
      </c>
      <c r="B1662" t="s">
        <v>54</v>
      </c>
      <c r="C1662">
        <v>2023</v>
      </c>
      <c r="D1662" t="s">
        <v>26</v>
      </c>
      <c r="E1662" s="3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27</v>
      </c>
      <c r="N1662">
        <v>5</v>
      </c>
      <c r="O1662" t="s">
        <v>51</v>
      </c>
      <c r="P1662">
        <v>20.8</v>
      </c>
      <c r="Q1662">
        <v>1529</v>
      </c>
      <c r="R1662">
        <v>5</v>
      </c>
      <c r="S1662">
        <v>0</v>
      </c>
      <c r="T1662" t="s">
        <v>45</v>
      </c>
      <c r="U1662" t="s">
        <v>37</v>
      </c>
      <c r="V1662" s="3">
        <v>97616</v>
      </c>
      <c r="W1662">
        <v>3.74</v>
      </c>
      <c r="X1662">
        <v>4</v>
      </c>
      <c r="Y1662" s="1">
        <f>EV_Data4[[#This Row],[range_miles]]/EV_Data4[[#This Row],[battery_capacity_kwh]]</f>
        <v>3.5991140642303434</v>
      </c>
      <c r="Z1662" s="4">
        <f>EV_Data4[[#This Row],[price_usd]]/EV_Data4[[#This Row],[range_miles]]</f>
        <v>183.48575384615384</v>
      </c>
      <c r="AA1662" s="2">
        <f>(EV_Data4[[#This Row],[customer_rating]]*EV_Data4[[#This Row],[safety_rating]]*1000)/EV_Data4[[#This Row],[price_usd]]</f>
        <v>0.31358544373262603</v>
      </c>
      <c r="AB1662">
        <f>EV_Data4[[#This Row],[horsepower]]+EV_Data4[[#This Row],[torque_nm]]/EV_Data4[[#This Row],[acceleration_0_60_mph]]</f>
        <v>848.14583333333337</v>
      </c>
      <c r="AC1662" t="str">
        <f>IF(EV_Data4[[#This Row],[price_usd]]&gt;=80000,"Luxury",IF(EV_Data4[[#This Row],[price_usd]]&gt;=40000,"Mid-Range","Budget"))</f>
        <v>Mid-Range</v>
      </c>
      <c r="AD1662" t="str">
        <f>IF(EV_Data4[[#This Row],[range_miles]]&gt;=350,"Long-Range",IF(EV_Data4[[#This Row],[range_miles]]&gt;=250,"Medium-Range","Short-Range"))</f>
        <v>Medium-Range</v>
      </c>
      <c r="AE1662" t="str">
        <f>IF(EV_Data4[[#This Row],[charging_speed_kw]]&gt;=250,"Ultra-Fast",IF(EV_Data4[[#This Row],[charging_speed_kw]]&gt;=150,"Fast-Charging","Standard-Charging"))</f>
        <v>Fast-Charging</v>
      </c>
      <c r="AF1662" t="str">
        <f>IF(EV_Data4[[#This Row],[acceleration_0_60_mph]]&lt;=3,"SportsPerformance",IF(EV_Data4[[#This Row],[acceleration_0_60_mph]]&lt;=5,"HighPerformance","Standard"))</f>
        <v>HighPerformance</v>
      </c>
      <c r="AG1662" t="str">
        <f>IF(EV_Data4[[#This Row],[customer_rating]]&gt;=4.5,"Excellent",IF(EV_Data4[[#This Row],[customer_rating]]&gt;=3.5,"Good","Average"))</f>
        <v>Good</v>
      </c>
      <c r="AH166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63" spans="1:34" x14ac:dyDescent="0.3">
      <c r="A1663" t="s">
        <v>68</v>
      </c>
      <c r="B1663" t="s">
        <v>90</v>
      </c>
      <c r="C1663">
        <v>2024</v>
      </c>
      <c r="D1663" t="s">
        <v>26</v>
      </c>
      <c r="E1663" s="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27</v>
      </c>
      <c r="N1663">
        <v>5</v>
      </c>
      <c r="O1663" t="s">
        <v>58</v>
      </c>
      <c r="P1663">
        <v>39.299999999999997</v>
      </c>
      <c r="Q1663">
        <v>1500</v>
      </c>
      <c r="R1663">
        <v>5</v>
      </c>
      <c r="S1663">
        <v>1</v>
      </c>
      <c r="T1663" t="s">
        <v>45</v>
      </c>
      <c r="U1663" t="s">
        <v>37</v>
      </c>
      <c r="V1663" s="3">
        <v>113793</v>
      </c>
      <c r="W1663">
        <v>4.03</v>
      </c>
      <c r="X1663">
        <v>4</v>
      </c>
      <c r="Y1663" s="1">
        <f>EV_Data4[[#This Row],[range_miles]]/EV_Data4[[#This Row],[battery_capacity_kwh]]</f>
        <v>3.4321223709369026</v>
      </c>
      <c r="Z1663" s="4">
        <f>EV_Data4[[#This Row],[price_usd]]/EV_Data4[[#This Row],[range_miles]]</f>
        <v>124.78206128133705</v>
      </c>
      <c r="AA1663" s="2">
        <f>(EV_Data4[[#This Row],[customer_rating]]*EV_Data4[[#This Row],[safety_rating]]*1000)/EV_Data4[[#This Row],[price_usd]]</f>
        <v>0.44980931656664463</v>
      </c>
      <c r="AB1663">
        <f>EV_Data4[[#This Row],[horsepower]]+EV_Data4[[#This Row],[torque_nm]]/EV_Data4[[#This Row],[acceleration_0_60_mph]]</f>
        <v>543.4375</v>
      </c>
      <c r="AC1663" t="str">
        <f>IF(EV_Data4[[#This Row],[price_usd]]&gt;=80000,"Luxury",IF(EV_Data4[[#This Row],[price_usd]]&gt;=40000,"Mid-Range","Budget"))</f>
        <v>Mid-Range</v>
      </c>
      <c r="AD1663" t="str">
        <f>IF(EV_Data4[[#This Row],[range_miles]]&gt;=350,"Long-Range",IF(EV_Data4[[#This Row],[range_miles]]&gt;=250,"Medium-Range","Short-Range"))</f>
        <v>Long-Range</v>
      </c>
      <c r="AE1663" t="str">
        <f>IF(EV_Data4[[#This Row],[charging_speed_kw]]&gt;=250,"Ultra-Fast",IF(EV_Data4[[#This Row],[charging_speed_kw]]&gt;=150,"Fast-Charging","Standard-Charging"))</f>
        <v>Fast-Charging</v>
      </c>
      <c r="AF1663" t="str">
        <f>IF(EV_Data4[[#This Row],[acceleration_0_60_mph]]&lt;=3,"SportsPerformance",IF(EV_Data4[[#This Row],[acceleration_0_60_mph]]&lt;=5,"HighPerformance","Standard"))</f>
        <v>SportsPerformance</v>
      </c>
      <c r="AG1663" t="str">
        <f>IF(EV_Data4[[#This Row],[customer_rating]]&gt;=4.5,"Excellent",IF(EV_Data4[[#This Row],[customer_rating]]&gt;=3.5,"Good","Average"))</f>
        <v>Good</v>
      </c>
      <c r="AH166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64" spans="1:34" x14ac:dyDescent="0.3">
      <c r="A1664" t="s">
        <v>94</v>
      </c>
      <c r="B1664" t="s">
        <v>95</v>
      </c>
      <c r="C1664">
        <v>2025</v>
      </c>
      <c r="D1664" t="s">
        <v>61</v>
      </c>
      <c r="E1664" s="3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27</v>
      </c>
      <c r="N1664">
        <v>7</v>
      </c>
      <c r="O1664" t="s">
        <v>35</v>
      </c>
      <c r="P1664">
        <v>53.8</v>
      </c>
      <c r="Q1664">
        <v>2018</v>
      </c>
      <c r="R1664">
        <v>5</v>
      </c>
      <c r="S1664">
        <v>2</v>
      </c>
      <c r="T1664" t="s">
        <v>41</v>
      </c>
      <c r="U1664" t="s">
        <v>33</v>
      </c>
      <c r="V1664" s="3">
        <v>28225</v>
      </c>
      <c r="W1664">
        <v>3.26</v>
      </c>
      <c r="X1664">
        <v>5</v>
      </c>
      <c r="Y1664" s="1">
        <f>EV_Data4[[#This Row],[range_miles]]/EV_Data4[[#This Row],[battery_capacity_kwh]]</f>
        <v>3.2262051915945609</v>
      </c>
      <c r="Z1664" s="4">
        <f>EV_Data4[[#This Row],[price_usd]]/EV_Data4[[#This Row],[range_miles]]</f>
        <v>305.4507662835249</v>
      </c>
      <c r="AA1664" s="2">
        <f>(EV_Data4[[#This Row],[customer_rating]]*EV_Data4[[#This Row],[safety_rating]]*1000)/EV_Data4[[#This Row],[price_usd]]</f>
        <v>0.20445883321741057</v>
      </c>
      <c r="AB1664">
        <f>EV_Data4[[#This Row],[horsepower]]+EV_Data4[[#This Row],[torque_nm]]/EV_Data4[[#This Row],[acceleration_0_60_mph]]</f>
        <v>765.86274509803923</v>
      </c>
      <c r="AC1664" t="str">
        <f>IF(EV_Data4[[#This Row],[price_usd]]&gt;=80000,"Luxury",IF(EV_Data4[[#This Row],[price_usd]]&gt;=40000,"Mid-Range","Budget"))</f>
        <v>Mid-Range</v>
      </c>
      <c r="AD1664" t="str">
        <f>IF(EV_Data4[[#This Row],[range_miles]]&gt;=350,"Long-Range",IF(EV_Data4[[#This Row],[range_miles]]&gt;=250,"Medium-Range","Short-Range"))</f>
        <v>Medium-Range</v>
      </c>
      <c r="AE1664" t="str">
        <f>IF(EV_Data4[[#This Row],[charging_speed_kw]]&gt;=250,"Ultra-Fast",IF(EV_Data4[[#This Row],[charging_speed_kw]]&gt;=150,"Fast-Charging","Standard-Charging"))</f>
        <v>Standard-Charging</v>
      </c>
      <c r="AF1664" t="str">
        <f>IF(EV_Data4[[#This Row],[acceleration_0_60_mph]]&lt;=3,"SportsPerformance",IF(EV_Data4[[#This Row],[acceleration_0_60_mph]]&lt;=5,"HighPerformance","Standard"))</f>
        <v>Standard</v>
      </c>
      <c r="AG1664" t="str">
        <f>IF(EV_Data4[[#This Row],[customer_rating]]&gt;=4.5,"Excellent",IF(EV_Data4[[#This Row],[customer_rating]]&gt;=3.5,"Good","Average"))</f>
        <v>Average</v>
      </c>
      <c r="AH166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65" spans="1:34" x14ac:dyDescent="0.3">
      <c r="A1665" t="s">
        <v>68</v>
      </c>
      <c r="B1665" t="s">
        <v>106</v>
      </c>
      <c r="C1665">
        <v>2025</v>
      </c>
      <c r="D1665" t="s">
        <v>33</v>
      </c>
      <c r="E1665" s="3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27</v>
      </c>
      <c r="N1665">
        <v>7</v>
      </c>
      <c r="O1665" t="s">
        <v>58</v>
      </c>
      <c r="P1665">
        <v>32.299999999999997</v>
      </c>
      <c r="Q1665">
        <v>1506</v>
      </c>
      <c r="R1665">
        <v>5</v>
      </c>
      <c r="S1665">
        <v>2</v>
      </c>
      <c r="T1665" t="s">
        <v>45</v>
      </c>
      <c r="U1665" t="s">
        <v>33</v>
      </c>
      <c r="V1665" s="3">
        <v>78985</v>
      </c>
      <c r="W1665">
        <v>3.32</v>
      </c>
      <c r="X1665">
        <v>5</v>
      </c>
      <c r="Y1665" s="1">
        <f>EV_Data4[[#This Row],[range_miles]]/EV_Data4[[#This Row],[battery_capacity_kwh]]</f>
        <v>3.5799522673031028</v>
      </c>
      <c r="Z1665" s="4">
        <f>EV_Data4[[#This Row],[price_usd]]/EV_Data4[[#This Row],[range_miles]]</f>
        <v>436.221</v>
      </c>
      <c r="AA1665" s="2">
        <f>(EV_Data4[[#This Row],[customer_rating]]*EV_Data4[[#This Row],[safety_rating]]*1000)/EV_Data4[[#This Row],[price_usd]]</f>
        <v>0.25369403734956969</v>
      </c>
      <c r="AB1665">
        <f>EV_Data4[[#This Row],[horsepower]]+EV_Data4[[#This Row],[torque_nm]]/EV_Data4[[#This Row],[acceleration_0_60_mph]]</f>
        <v>925.31620553359687</v>
      </c>
      <c r="AC1665" t="str">
        <f>IF(EV_Data4[[#This Row],[price_usd]]&gt;=80000,"Luxury",IF(EV_Data4[[#This Row],[price_usd]]&gt;=40000,"Mid-Range","Budget"))</f>
        <v>Mid-Range</v>
      </c>
      <c r="AD1665" t="str">
        <f>IF(EV_Data4[[#This Row],[range_miles]]&gt;=350,"Long-Range",IF(EV_Data4[[#This Row],[range_miles]]&gt;=250,"Medium-Range","Short-Range"))</f>
        <v>Short-Range</v>
      </c>
      <c r="AE1665" t="str">
        <f>IF(EV_Data4[[#This Row],[charging_speed_kw]]&gt;=250,"Ultra-Fast",IF(EV_Data4[[#This Row],[charging_speed_kw]]&gt;=150,"Fast-Charging","Standard-Charging"))</f>
        <v>Standard-Charging</v>
      </c>
      <c r="AF1665" t="str">
        <f>IF(EV_Data4[[#This Row],[acceleration_0_60_mph]]&lt;=3,"SportsPerformance",IF(EV_Data4[[#This Row],[acceleration_0_60_mph]]&lt;=5,"HighPerformance","Standard"))</f>
        <v>Standard</v>
      </c>
      <c r="AG1665" t="str">
        <f>IF(EV_Data4[[#This Row],[customer_rating]]&gt;=4.5,"Excellent",IF(EV_Data4[[#This Row],[customer_rating]]&gt;=3.5,"Good","Average"))</f>
        <v>Average</v>
      </c>
      <c r="AH166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66" spans="1:34" x14ac:dyDescent="0.3">
      <c r="A1666" t="s">
        <v>121</v>
      </c>
      <c r="B1666" t="s">
        <v>122</v>
      </c>
      <c r="C1666">
        <v>2024</v>
      </c>
      <c r="D1666" t="s">
        <v>61</v>
      </c>
      <c r="E1666" s="3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48</v>
      </c>
      <c r="N1666">
        <v>5</v>
      </c>
      <c r="O1666" t="s">
        <v>40</v>
      </c>
      <c r="P1666">
        <v>72.599999999999994</v>
      </c>
      <c r="Q1666">
        <v>1623</v>
      </c>
      <c r="R1666">
        <v>5</v>
      </c>
      <c r="S1666">
        <v>2</v>
      </c>
      <c r="T1666" t="s">
        <v>123</v>
      </c>
      <c r="U1666" t="s">
        <v>33</v>
      </c>
      <c r="V1666" s="3">
        <v>16760</v>
      </c>
      <c r="W1666">
        <v>3.31</v>
      </c>
      <c r="X1666">
        <v>5</v>
      </c>
      <c r="Y1666" s="1">
        <f>EV_Data4[[#This Row],[range_miles]]/EV_Data4[[#This Row],[battery_capacity_kwh]]</f>
        <v>3.6194895591647329</v>
      </c>
      <c r="Z1666" s="4">
        <f>EV_Data4[[#This Row],[price_usd]]/EV_Data4[[#This Row],[range_miles]]</f>
        <v>483.27307692307699</v>
      </c>
      <c r="AA1666" s="2">
        <f>(EV_Data4[[#This Row],[customer_rating]]*EV_Data4[[#This Row],[safety_rating]]*1000)/EV_Data4[[#This Row],[price_usd]]</f>
        <v>0.21952338885749681</v>
      </c>
      <c r="AB1666">
        <f>EV_Data4[[#This Row],[horsepower]]+EV_Data4[[#This Row],[torque_nm]]/EV_Data4[[#This Row],[acceleration_0_60_mph]]</f>
        <v>664.35243553008593</v>
      </c>
      <c r="AC1666" t="str">
        <f>IF(EV_Data4[[#This Row],[price_usd]]&gt;=80000,"Luxury",IF(EV_Data4[[#This Row],[price_usd]]&gt;=40000,"Mid-Range","Budget"))</f>
        <v>Mid-Range</v>
      </c>
      <c r="AD1666" t="str">
        <f>IF(EV_Data4[[#This Row],[range_miles]]&gt;=350,"Long-Range",IF(EV_Data4[[#This Row],[range_miles]]&gt;=250,"Medium-Range","Short-Range"))</f>
        <v>Short-Range</v>
      </c>
      <c r="AE1666" t="str">
        <f>IF(EV_Data4[[#This Row],[charging_speed_kw]]&gt;=250,"Ultra-Fast",IF(EV_Data4[[#This Row],[charging_speed_kw]]&gt;=150,"Fast-Charging","Standard-Charging"))</f>
        <v>Standard-Charging</v>
      </c>
      <c r="AF1666" t="str">
        <f>IF(EV_Data4[[#This Row],[acceleration_0_60_mph]]&lt;=3,"SportsPerformance",IF(EV_Data4[[#This Row],[acceleration_0_60_mph]]&lt;=5,"HighPerformance","Standard"))</f>
        <v>Standard</v>
      </c>
      <c r="AG1666" t="str">
        <f>IF(EV_Data4[[#This Row],[customer_rating]]&gt;=4.5,"Excellent",IF(EV_Data4[[#This Row],[customer_rating]]&gt;=3.5,"Good","Average"))</f>
        <v>Average</v>
      </c>
      <c r="AH166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67" spans="1:34" x14ac:dyDescent="0.3">
      <c r="A1667" t="s">
        <v>52</v>
      </c>
      <c r="B1667" t="s">
        <v>62</v>
      </c>
      <c r="C1667">
        <v>2024</v>
      </c>
      <c r="D1667" t="s">
        <v>44</v>
      </c>
      <c r="E1667" s="3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27</v>
      </c>
      <c r="N1667">
        <v>7</v>
      </c>
      <c r="O1667" t="s">
        <v>28</v>
      </c>
      <c r="P1667">
        <v>70.2</v>
      </c>
      <c r="Q1667">
        <v>2380</v>
      </c>
      <c r="R1667">
        <v>3</v>
      </c>
      <c r="S1667">
        <v>1</v>
      </c>
      <c r="T1667" t="s">
        <v>29</v>
      </c>
      <c r="U1667" t="s">
        <v>33</v>
      </c>
      <c r="V1667" s="3">
        <v>37523</v>
      </c>
      <c r="W1667">
        <v>4.16</v>
      </c>
      <c r="X1667">
        <v>6</v>
      </c>
      <c r="Y1667" s="1">
        <f>EV_Data4[[#This Row],[range_miles]]/EV_Data4[[#This Row],[battery_capacity_kwh]]</f>
        <v>3.773987206823028</v>
      </c>
      <c r="Z1667" s="4">
        <f>EV_Data4[[#This Row],[price_usd]]/EV_Data4[[#This Row],[range_miles]]</f>
        <v>270.60742937853109</v>
      </c>
      <c r="AA1667" s="2">
        <f>(EV_Data4[[#This Row],[customer_rating]]*EV_Data4[[#This Row],[safety_rating]]*1000)/EV_Data4[[#This Row],[price_usd]]</f>
        <v>0.1302781574367689</v>
      </c>
      <c r="AB1667">
        <f>EV_Data4[[#This Row],[horsepower]]+EV_Data4[[#This Row],[torque_nm]]/EV_Data4[[#This Row],[acceleration_0_60_mph]]</f>
        <v>573.52928416485895</v>
      </c>
      <c r="AC1667" t="str">
        <f>IF(EV_Data4[[#This Row],[price_usd]]&gt;=80000,"Luxury",IF(EV_Data4[[#This Row],[price_usd]]&gt;=40000,"Mid-Range","Budget"))</f>
        <v>Luxury</v>
      </c>
      <c r="AD1667" t="str">
        <f>IF(EV_Data4[[#This Row],[range_miles]]&gt;=350,"Long-Range",IF(EV_Data4[[#This Row],[range_miles]]&gt;=250,"Medium-Range","Short-Range"))</f>
        <v>Long-Range</v>
      </c>
      <c r="AE1667" t="str">
        <f>IF(EV_Data4[[#This Row],[charging_speed_kw]]&gt;=250,"Ultra-Fast",IF(EV_Data4[[#This Row],[charging_speed_kw]]&gt;=150,"Fast-Charging","Standard-Charging"))</f>
        <v>Standard-Charging</v>
      </c>
      <c r="AF1667" t="str">
        <f>IF(EV_Data4[[#This Row],[acceleration_0_60_mph]]&lt;=3,"SportsPerformance",IF(EV_Data4[[#This Row],[acceleration_0_60_mph]]&lt;=5,"HighPerformance","Standard"))</f>
        <v>HighPerformance</v>
      </c>
      <c r="AG1667" t="str">
        <f>IF(EV_Data4[[#This Row],[customer_rating]]&gt;=4.5,"Excellent",IF(EV_Data4[[#This Row],[customer_rating]]&gt;=3.5,"Good","Average"))</f>
        <v>Good</v>
      </c>
      <c r="AH166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68" spans="1:34" x14ac:dyDescent="0.3">
      <c r="A1668" t="s">
        <v>63</v>
      </c>
      <c r="B1668" t="s">
        <v>73</v>
      </c>
      <c r="C1668">
        <v>2024</v>
      </c>
      <c r="D1668" t="s">
        <v>44</v>
      </c>
      <c r="E1668" s="3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34</v>
      </c>
      <c r="N1668">
        <v>5</v>
      </c>
      <c r="O1668" t="s">
        <v>50</v>
      </c>
      <c r="P1668">
        <v>18.899999999999999</v>
      </c>
      <c r="Q1668">
        <v>1677</v>
      </c>
      <c r="R1668">
        <v>5</v>
      </c>
      <c r="S1668">
        <v>0</v>
      </c>
      <c r="T1668" t="s">
        <v>65</v>
      </c>
      <c r="U1668" t="s">
        <v>33</v>
      </c>
      <c r="V1668" s="3">
        <v>239905</v>
      </c>
      <c r="W1668">
        <v>3.59</v>
      </c>
      <c r="X1668">
        <v>4</v>
      </c>
      <c r="Y1668" s="1">
        <f>EV_Data4[[#This Row],[range_miles]]/EV_Data4[[#This Row],[battery_capacity_kwh]]</f>
        <v>3.1322505800464038</v>
      </c>
      <c r="Z1668" s="4">
        <f>EV_Data4[[#This Row],[price_usd]]/EV_Data4[[#This Row],[range_miles]]</f>
        <v>243.00133333333335</v>
      </c>
      <c r="AA1668" s="2">
        <f>(EV_Data4[[#This Row],[customer_rating]]*EV_Data4[[#This Row],[safety_rating]]*1000)/EV_Data4[[#This Row],[price_usd]]</f>
        <v>0.27358484239379266</v>
      </c>
      <c r="AB1668">
        <f>EV_Data4[[#This Row],[horsepower]]+EV_Data4[[#This Row],[torque_nm]]/EV_Data4[[#This Row],[acceleration_0_60_mph]]</f>
        <v>848.65753424657532</v>
      </c>
      <c r="AC1668" t="str">
        <f>IF(EV_Data4[[#This Row],[price_usd]]&gt;=80000,"Luxury",IF(EV_Data4[[#This Row],[price_usd]]&gt;=40000,"Mid-Range","Budget"))</f>
        <v>Mid-Range</v>
      </c>
      <c r="AD1668" t="str">
        <f>IF(EV_Data4[[#This Row],[range_miles]]&gt;=350,"Long-Range",IF(EV_Data4[[#This Row],[range_miles]]&gt;=250,"Medium-Range","Short-Range"))</f>
        <v>Medium-Range</v>
      </c>
      <c r="AE1668" t="str">
        <f>IF(EV_Data4[[#This Row],[charging_speed_kw]]&gt;=250,"Ultra-Fast",IF(EV_Data4[[#This Row],[charging_speed_kw]]&gt;=150,"Fast-Charging","Standard-Charging"))</f>
        <v>Standard-Charging</v>
      </c>
      <c r="AF1668" t="str">
        <f>IF(EV_Data4[[#This Row],[acceleration_0_60_mph]]&lt;=3,"SportsPerformance",IF(EV_Data4[[#This Row],[acceleration_0_60_mph]]&lt;=5,"HighPerformance","Standard"))</f>
        <v>Standard</v>
      </c>
      <c r="AG1668" t="str">
        <f>IF(EV_Data4[[#This Row],[customer_rating]]&gt;=4.5,"Excellent",IF(EV_Data4[[#This Row],[customer_rating]]&gt;=3.5,"Good","Average"))</f>
        <v>Good</v>
      </c>
      <c r="AH166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69" spans="1:34" x14ac:dyDescent="0.3">
      <c r="A1669" t="s">
        <v>94</v>
      </c>
      <c r="B1669" t="s">
        <v>128</v>
      </c>
      <c r="C1669">
        <v>2024</v>
      </c>
      <c r="D1669" t="s">
        <v>61</v>
      </c>
      <c r="E1669" s="3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48</v>
      </c>
      <c r="N1669">
        <v>7</v>
      </c>
      <c r="O1669" t="s">
        <v>51</v>
      </c>
      <c r="P1669">
        <v>30.1</v>
      </c>
      <c r="Q1669">
        <v>1500</v>
      </c>
      <c r="R1669">
        <v>5</v>
      </c>
      <c r="S1669">
        <v>1</v>
      </c>
      <c r="T1669" t="s">
        <v>41</v>
      </c>
      <c r="U1669" t="s">
        <v>33</v>
      </c>
      <c r="V1669" s="3">
        <v>18207</v>
      </c>
      <c r="W1669">
        <v>3.15</v>
      </c>
      <c r="X1669">
        <v>4</v>
      </c>
      <c r="Y1669" s="1">
        <f>EV_Data4[[#This Row],[range_miles]]/EV_Data4[[#This Row],[battery_capacity_kwh]]</f>
        <v>3.7318840579710142</v>
      </c>
      <c r="Z1669" s="4">
        <f>EV_Data4[[#This Row],[price_usd]]/EV_Data4[[#This Row],[range_miles]]</f>
        <v>413.70830097087378</v>
      </c>
      <c r="AA1669" s="2">
        <f>(EV_Data4[[#This Row],[customer_rating]]*EV_Data4[[#This Row],[safety_rating]]*1000)/EV_Data4[[#This Row],[price_usd]]</f>
        <v>0.18480729175650354</v>
      </c>
      <c r="AB1669">
        <f>EV_Data4[[#This Row],[horsepower]]+EV_Data4[[#This Row],[torque_nm]]/EV_Data4[[#This Row],[acceleration_0_60_mph]]</f>
        <v>1089.2131147540983</v>
      </c>
      <c r="AC1669" t="str">
        <f>IF(EV_Data4[[#This Row],[price_usd]]&gt;=80000,"Luxury",IF(EV_Data4[[#This Row],[price_usd]]&gt;=40000,"Mid-Range","Budget"))</f>
        <v>Luxury</v>
      </c>
      <c r="AD1669" t="str">
        <f>IF(EV_Data4[[#This Row],[range_miles]]&gt;=350,"Long-Range",IF(EV_Data4[[#This Row],[range_miles]]&gt;=250,"Medium-Range","Short-Range"))</f>
        <v>Short-Range</v>
      </c>
      <c r="AE1669" t="str">
        <f>IF(EV_Data4[[#This Row],[charging_speed_kw]]&gt;=250,"Ultra-Fast",IF(EV_Data4[[#This Row],[charging_speed_kw]]&gt;=150,"Fast-Charging","Standard-Charging"))</f>
        <v>Standard-Charging</v>
      </c>
      <c r="AF1669" t="str">
        <f>IF(EV_Data4[[#This Row],[acceleration_0_60_mph]]&lt;=3,"SportsPerformance",IF(EV_Data4[[#This Row],[acceleration_0_60_mph]]&lt;=5,"HighPerformance","Standard"))</f>
        <v>Standard</v>
      </c>
      <c r="AG1669" t="str">
        <f>IF(EV_Data4[[#This Row],[customer_rating]]&gt;=4.5,"Excellent",IF(EV_Data4[[#This Row],[customer_rating]]&gt;=3.5,"Good","Average"))</f>
        <v>Average</v>
      </c>
      <c r="AH166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70" spans="1:34" x14ac:dyDescent="0.3">
      <c r="A1670" t="s">
        <v>46</v>
      </c>
      <c r="B1670" t="s">
        <v>57</v>
      </c>
      <c r="C1670">
        <v>2026</v>
      </c>
      <c r="D1670" t="s">
        <v>26</v>
      </c>
      <c r="E1670" s="3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48</v>
      </c>
      <c r="N1670">
        <v>7</v>
      </c>
      <c r="O1670" t="s">
        <v>28</v>
      </c>
      <c r="P1670">
        <v>65.900000000000006</v>
      </c>
      <c r="Q1670">
        <v>2374</v>
      </c>
      <c r="R1670">
        <v>4</v>
      </c>
      <c r="S1670">
        <v>2</v>
      </c>
      <c r="T1670" t="s">
        <v>41</v>
      </c>
      <c r="U1670" t="s">
        <v>30</v>
      </c>
      <c r="V1670" s="3">
        <v>192234</v>
      </c>
      <c r="W1670">
        <v>3.86</v>
      </c>
      <c r="X1670">
        <v>4</v>
      </c>
      <c r="Y1670" s="1">
        <f>EV_Data4[[#This Row],[range_miles]]/EV_Data4[[#This Row],[battery_capacity_kwh]]</f>
        <v>3.6707317073170733</v>
      </c>
      <c r="Z1670" s="4">
        <f>EV_Data4[[#This Row],[price_usd]]/EV_Data4[[#This Row],[range_miles]]</f>
        <v>576.74750830564778</v>
      </c>
      <c r="AA1670" s="2">
        <f>(EV_Data4[[#This Row],[customer_rating]]*EV_Data4[[#This Row],[safety_rating]]*1000)/EV_Data4[[#This Row],[price_usd]]</f>
        <v>8.8939579841129948E-2</v>
      </c>
      <c r="AB1670">
        <f>EV_Data4[[#This Row],[horsepower]]+EV_Data4[[#This Row],[torque_nm]]/EV_Data4[[#This Row],[acceleration_0_60_mph]]</f>
        <v>1200.6681514476616</v>
      </c>
      <c r="AC1670" t="str">
        <f>IF(EV_Data4[[#This Row],[price_usd]]&gt;=80000,"Luxury",IF(EV_Data4[[#This Row],[price_usd]]&gt;=40000,"Mid-Range","Budget"))</f>
        <v>Luxury</v>
      </c>
      <c r="AD1670" t="str">
        <f>IF(EV_Data4[[#This Row],[range_miles]]&gt;=350,"Long-Range",IF(EV_Data4[[#This Row],[range_miles]]&gt;=250,"Medium-Range","Short-Range"))</f>
        <v>Medium-Range</v>
      </c>
      <c r="AE1670" t="str">
        <f>IF(EV_Data4[[#This Row],[charging_speed_kw]]&gt;=250,"Ultra-Fast",IF(EV_Data4[[#This Row],[charging_speed_kw]]&gt;=150,"Fast-Charging","Standard-Charging"))</f>
        <v>Ultra-Fast</v>
      </c>
      <c r="AF1670" t="str">
        <f>IF(EV_Data4[[#This Row],[acceleration_0_60_mph]]&lt;=3,"SportsPerformance",IF(EV_Data4[[#This Row],[acceleration_0_60_mph]]&lt;=5,"HighPerformance","Standard"))</f>
        <v>HighPerformance</v>
      </c>
      <c r="AG1670" t="str">
        <f>IF(EV_Data4[[#This Row],[customer_rating]]&gt;=4.5,"Excellent",IF(EV_Data4[[#This Row],[customer_rating]]&gt;=3.5,"Good","Average"))</f>
        <v>Good</v>
      </c>
      <c r="AH167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71" spans="1:34" x14ac:dyDescent="0.3">
      <c r="A1671" t="s">
        <v>76</v>
      </c>
      <c r="B1671" t="s">
        <v>98</v>
      </c>
      <c r="C1671">
        <v>2024</v>
      </c>
      <c r="D1671" t="s">
        <v>44</v>
      </c>
      <c r="E1671" s="3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48</v>
      </c>
      <c r="N1671">
        <v>5</v>
      </c>
      <c r="O1671" t="s">
        <v>40</v>
      </c>
      <c r="P1671">
        <v>79.7</v>
      </c>
      <c r="Q1671">
        <v>1566</v>
      </c>
      <c r="R1671">
        <v>4</v>
      </c>
      <c r="S1671">
        <v>2</v>
      </c>
      <c r="T1671" t="s">
        <v>41</v>
      </c>
      <c r="U1671" t="s">
        <v>33</v>
      </c>
      <c r="V1671" s="3">
        <v>53055</v>
      </c>
      <c r="W1671">
        <v>3.46</v>
      </c>
      <c r="X1671">
        <v>4</v>
      </c>
      <c r="Y1671" s="1">
        <f>EV_Data4[[#This Row],[range_miles]]/EV_Data4[[#This Row],[battery_capacity_kwh]]</f>
        <v>3.3849329205366354</v>
      </c>
      <c r="Z1671" s="4">
        <f>EV_Data4[[#This Row],[price_usd]]/EV_Data4[[#This Row],[range_miles]]</f>
        <v>284.73161585365852</v>
      </c>
      <c r="AA1671" s="2">
        <f>(EV_Data4[[#This Row],[customer_rating]]*EV_Data4[[#This Row],[safety_rating]]*1000)/EV_Data4[[#This Row],[price_usd]]</f>
        <v>0.14819261227705122</v>
      </c>
      <c r="AB1671">
        <f>EV_Data4[[#This Row],[horsepower]]+EV_Data4[[#This Row],[torque_nm]]/EV_Data4[[#This Row],[acceleration_0_60_mph]]</f>
        <v>1189.8268398268399</v>
      </c>
      <c r="AC1671" t="str">
        <f>IF(EV_Data4[[#This Row],[price_usd]]&gt;=80000,"Luxury",IF(EV_Data4[[#This Row],[price_usd]]&gt;=40000,"Mid-Range","Budget"))</f>
        <v>Luxury</v>
      </c>
      <c r="AD1671" t="str">
        <f>IF(EV_Data4[[#This Row],[range_miles]]&gt;=350,"Long-Range",IF(EV_Data4[[#This Row],[range_miles]]&gt;=250,"Medium-Range","Short-Range"))</f>
        <v>Medium-Range</v>
      </c>
      <c r="AE1671" t="str">
        <f>IF(EV_Data4[[#This Row],[charging_speed_kw]]&gt;=250,"Ultra-Fast",IF(EV_Data4[[#This Row],[charging_speed_kw]]&gt;=150,"Fast-Charging","Standard-Charging"))</f>
        <v>Standard-Charging</v>
      </c>
      <c r="AF1671" t="str">
        <f>IF(EV_Data4[[#This Row],[acceleration_0_60_mph]]&lt;=3,"SportsPerformance",IF(EV_Data4[[#This Row],[acceleration_0_60_mph]]&lt;=5,"HighPerformance","Standard"))</f>
        <v>HighPerformance</v>
      </c>
      <c r="AG1671" t="str">
        <f>IF(EV_Data4[[#This Row],[customer_rating]]&gt;=4.5,"Excellent",IF(EV_Data4[[#This Row],[customer_rating]]&gt;=3.5,"Good","Average"))</f>
        <v>Average</v>
      </c>
      <c r="AH167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72" spans="1:34" x14ac:dyDescent="0.3">
      <c r="A1672" t="s">
        <v>24</v>
      </c>
      <c r="B1672" t="s">
        <v>74</v>
      </c>
      <c r="C1672">
        <v>2025</v>
      </c>
      <c r="D1672" t="s">
        <v>61</v>
      </c>
      <c r="E1672" s="3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27</v>
      </c>
      <c r="N1672">
        <v>5</v>
      </c>
      <c r="O1672" t="s">
        <v>58</v>
      </c>
      <c r="P1672">
        <v>29</v>
      </c>
      <c r="Q1672">
        <v>1783</v>
      </c>
      <c r="R1672">
        <v>4</v>
      </c>
      <c r="S1672">
        <v>0</v>
      </c>
      <c r="T1672" t="s">
        <v>29</v>
      </c>
      <c r="U1672" t="s">
        <v>37</v>
      </c>
      <c r="V1672" s="3">
        <v>280770</v>
      </c>
      <c r="W1672">
        <v>3.65</v>
      </c>
      <c r="X1672">
        <v>3</v>
      </c>
      <c r="Y1672" s="1">
        <f>EV_Data4[[#This Row],[range_miles]]/EV_Data4[[#This Row],[battery_capacity_kwh]]</f>
        <v>3.7871674491392802</v>
      </c>
      <c r="Z1672" s="4">
        <f>EV_Data4[[#This Row],[price_usd]]/EV_Data4[[#This Row],[range_miles]]</f>
        <v>251.48181818181817</v>
      </c>
      <c r="AA1672" s="2">
        <f>(EV_Data4[[#This Row],[customer_rating]]*EV_Data4[[#This Row],[safety_rating]]*1000)/EV_Data4[[#This Row],[price_usd]]</f>
        <v>0.23990035919327754</v>
      </c>
      <c r="AB1672">
        <f>EV_Data4[[#This Row],[horsepower]]+EV_Data4[[#This Row],[torque_nm]]/EV_Data4[[#This Row],[acceleration_0_60_mph]]</f>
        <v>720.03986135181981</v>
      </c>
      <c r="AC1672" t="str">
        <f>IF(EV_Data4[[#This Row],[price_usd]]&gt;=80000,"Luxury",IF(EV_Data4[[#This Row],[price_usd]]&gt;=40000,"Mid-Range","Budget"))</f>
        <v>Mid-Range</v>
      </c>
      <c r="AD1672" t="str">
        <f>IF(EV_Data4[[#This Row],[range_miles]]&gt;=350,"Long-Range",IF(EV_Data4[[#This Row],[range_miles]]&gt;=250,"Medium-Range","Short-Range"))</f>
        <v>Short-Range</v>
      </c>
      <c r="AE1672" t="str">
        <f>IF(EV_Data4[[#This Row],[charging_speed_kw]]&gt;=250,"Ultra-Fast",IF(EV_Data4[[#This Row],[charging_speed_kw]]&gt;=150,"Fast-Charging","Standard-Charging"))</f>
        <v>Standard-Charging</v>
      </c>
      <c r="AF1672" t="str">
        <f>IF(EV_Data4[[#This Row],[acceleration_0_60_mph]]&lt;=3,"SportsPerformance",IF(EV_Data4[[#This Row],[acceleration_0_60_mph]]&lt;=5,"HighPerformance","Standard"))</f>
        <v>Standard</v>
      </c>
      <c r="AG1672" t="str">
        <f>IF(EV_Data4[[#This Row],[customer_rating]]&gt;=4.5,"Excellent",IF(EV_Data4[[#This Row],[customer_rating]]&gt;=3.5,"Good","Average"))</f>
        <v>Good</v>
      </c>
      <c r="AH167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73" spans="1:34" x14ac:dyDescent="0.3">
      <c r="A1673" t="s">
        <v>86</v>
      </c>
      <c r="B1673" t="s">
        <v>105</v>
      </c>
      <c r="C1673">
        <v>2024</v>
      </c>
      <c r="D1673" t="s">
        <v>56</v>
      </c>
      <c r="E1673" s="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48</v>
      </c>
      <c r="N1673">
        <v>5</v>
      </c>
      <c r="O1673" t="s">
        <v>58</v>
      </c>
      <c r="P1673">
        <v>32.4</v>
      </c>
      <c r="Q1673">
        <v>1555</v>
      </c>
      <c r="R1673">
        <v>5</v>
      </c>
      <c r="S1673">
        <v>1</v>
      </c>
      <c r="T1673" t="s">
        <v>29</v>
      </c>
      <c r="U1673" t="s">
        <v>33</v>
      </c>
      <c r="V1673" s="3">
        <v>32172</v>
      </c>
      <c r="W1673">
        <v>3.58</v>
      </c>
      <c r="X1673">
        <v>6</v>
      </c>
      <c r="Y1673" s="1">
        <f>EV_Data4[[#This Row],[range_miles]]/EV_Data4[[#This Row],[battery_capacity_kwh]]</f>
        <v>3.8080959520239879</v>
      </c>
      <c r="Z1673" s="4">
        <f>EV_Data4[[#This Row],[price_usd]]/EV_Data4[[#This Row],[range_miles]]</f>
        <v>270.19299212598429</v>
      </c>
      <c r="AA1673" s="2">
        <f>(EV_Data4[[#This Row],[customer_rating]]*EV_Data4[[#This Row],[safety_rating]]*1000)/EV_Data4[[#This Row],[price_usd]]</f>
        <v>0.2608226082785387</v>
      </c>
      <c r="AB1673">
        <f>EV_Data4[[#This Row],[horsepower]]+EV_Data4[[#This Row],[torque_nm]]/EV_Data4[[#This Row],[acceleration_0_60_mph]]</f>
        <v>421.40875912408757</v>
      </c>
      <c r="AC1673" t="str">
        <f>IF(EV_Data4[[#This Row],[price_usd]]&gt;=80000,"Luxury",IF(EV_Data4[[#This Row],[price_usd]]&gt;=40000,"Mid-Range","Budget"))</f>
        <v>Mid-Range</v>
      </c>
      <c r="AD1673" t="str">
        <f>IF(EV_Data4[[#This Row],[range_miles]]&gt;=350,"Long-Range",IF(EV_Data4[[#This Row],[range_miles]]&gt;=250,"Medium-Range","Short-Range"))</f>
        <v>Medium-Range</v>
      </c>
      <c r="AE1673" t="str">
        <f>IF(EV_Data4[[#This Row],[charging_speed_kw]]&gt;=250,"Ultra-Fast",IF(EV_Data4[[#This Row],[charging_speed_kw]]&gt;=150,"Fast-Charging","Standard-Charging"))</f>
        <v>Standard-Charging</v>
      </c>
      <c r="AF1673" t="str">
        <f>IF(EV_Data4[[#This Row],[acceleration_0_60_mph]]&lt;=3,"SportsPerformance",IF(EV_Data4[[#This Row],[acceleration_0_60_mph]]&lt;=5,"HighPerformance","Standard"))</f>
        <v>Standard</v>
      </c>
      <c r="AG1673" t="str">
        <f>IF(EV_Data4[[#This Row],[customer_rating]]&gt;=4.5,"Excellent",IF(EV_Data4[[#This Row],[customer_rating]]&gt;=3.5,"Good","Average"))</f>
        <v>Good</v>
      </c>
      <c r="AH167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74" spans="1:34" x14ac:dyDescent="0.3">
      <c r="A1674" t="s">
        <v>52</v>
      </c>
      <c r="B1674" t="s">
        <v>62</v>
      </c>
      <c r="C1674">
        <v>2025</v>
      </c>
      <c r="D1674" t="s">
        <v>33</v>
      </c>
      <c r="E1674" s="3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27</v>
      </c>
      <c r="N1674">
        <v>5</v>
      </c>
      <c r="O1674" t="s">
        <v>51</v>
      </c>
      <c r="P1674">
        <v>25.4</v>
      </c>
      <c r="Q1674">
        <v>1630</v>
      </c>
      <c r="R1674">
        <v>4</v>
      </c>
      <c r="S1674">
        <v>1</v>
      </c>
      <c r="T1674" t="s">
        <v>29</v>
      </c>
      <c r="U1674" t="s">
        <v>30</v>
      </c>
      <c r="V1674" s="3">
        <v>79528</v>
      </c>
      <c r="W1674">
        <v>3.66</v>
      </c>
      <c r="X1674">
        <v>8</v>
      </c>
      <c r="Y1674" s="1">
        <f>EV_Data4[[#This Row],[range_miles]]/EV_Data4[[#This Row],[battery_capacity_kwh]]</f>
        <v>3.5820895522388061</v>
      </c>
      <c r="Z1674" s="4">
        <f>EV_Data4[[#This Row],[price_usd]]/EV_Data4[[#This Row],[range_miles]]</f>
        <v>764.06214285714282</v>
      </c>
      <c r="AA1674" s="2">
        <f>(EV_Data4[[#This Row],[customer_rating]]*EV_Data4[[#This Row],[safety_rating]]*1000)/EV_Data4[[#This Row],[price_usd]]</f>
        <v>0.11405205447948792</v>
      </c>
      <c r="AB1674">
        <f>EV_Data4[[#This Row],[horsepower]]+EV_Data4[[#This Row],[torque_nm]]/EV_Data4[[#This Row],[acceleration_0_60_mph]]</f>
        <v>748.22284122562678</v>
      </c>
      <c r="AC1674" t="str">
        <f>IF(EV_Data4[[#This Row],[price_usd]]&gt;=80000,"Luxury",IF(EV_Data4[[#This Row],[price_usd]]&gt;=40000,"Mid-Range","Budget"))</f>
        <v>Luxury</v>
      </c>
      <c r="AD1674" t="str">
        <f>IF(EV_Data4[[#This Row],[range_miles]]&gt;=350,"Long-Range",IF(EV_Data4[[#This Row],[range_miles]]&gt;=250,"Medium-Range","Short-Range"))</f>
        <v>Short-Range</v>
      </c>
      <c r="AE1674" t="str">
        <f>IF(EV_Data4[[#This Row],[charging_speed_kw]]&gt;=250,"Ultra-Fast",IF(EV_Data4[[#This Row],[charging_speed_kw]]&gt;=150,"Fast-Charging","Standard-Charging"))</f>
        <v>Standard-Charging</v>
      </c>
      <c r="AF1674" t="str">
        <f>IF(EV_Data4[[#This Row],[acceleration_0_60_mph]]&lt;=3,"SportsPerformance",IF(EV_Data4[[#This Row],[acceleration_0_60_mph]]&lt;=5,"HighPerformance","Standard"))</f>
        <v>Standard</v>
      </c>
      <c r="AG1674" t="str">
        <f>IF(EV_Data4[[#This Row],[customer_rating]]&gt;=4.5,"Excellent",IF(EV_Data4[[#This Row],[customer_rating]]&gt;=3.5,"Good","Average"))</f>
        <v>Good</v>
      </c>
      <c r="AH167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75" spans="1:34" x14ac:dyDescent="0.3">
      <c r="A1675" t="s">
        <v>76</v>
      </c>
      <c r="B1675" t="s">
        <v>81</v>
      </c>
      <c r="C1675">
        <v>2024</v>
      </c>
      <c r="D1675" t="s">
        <v>26</v>
      </c>
      <c r="E1675" s="3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27</v>
      </c>
      <c r="N1675">
        <v>7</v>
      </c>
      <c r="O1675" t="s">
        <v>50</v>
      </c>
      <c r="P1675">
        <v>16.7</v>
      </c>
      <c r="Q1675">
        <v>1500</v>
      </c>
      <c r="R1675">
        <v>5</v>
      </c>
      <c r="S1675">
        <v>0</v>
      </c>
      <c r="T1675" t="s">
        <v>41</v>
      </c>
      <c r="U1675" t="s">
        <v>30</v>
      </c>
      <c r="V1675" s="3">
        <v>28651</v>
      </c>
      <c r="W1675">
        <v>3.57</v>
      </c>
      <c r="X1675">
        <v>3</v>
      </c>
      <c r="Y1675" s="1">
        <f>EV_Data4[[#This Row],[range_miles]]/EV_Data4[[#This Row],[battery_capacity_kwh]]</f>
        <v>3.5171568627450984</v>
      </c>
      <c r="Z1675" s="4">
        <f>EV_Data4[[#This Row],[price_usd]]/EV_Data4[[#This Row],[range_miles]]</f>
        <v>401.70240418118465</v>
      </c>
      <c r="AA1675" s="2">
        <f>(EV_Data4[[#This Row],[customer_rating]]*EV_Data4[[#This Row],[safety_rating]]*1000)/EV_Data4[[#This Row],[price_usd]]</f>
        <v>0.15482885166693422</v>
      </c>
      <c r="AB1675">
        <f>EV_Data4[[#This Row],[horsepower]]+EV_Data4[[#This Row],[torque_nm]]/EV_Data4[[#This Row],[acceleration_0_60_mph]]</f>
        <v>1240.5194805194806</v>
      </c>
      <c r="AC1675" t="str">
        <f>IF(EV_Data4[[#This Row],[price_usd]]&gt;=80000,"Luxury",IF(EV_Data4[[#This Row],[price_usd]]&gt;=40000,"Mid-Range","Budget"))</f>
        <v>Luxury</v>
      </c>
      <c r="AD1675" t="str">
        <f>IF(EV_Data4[[#This Row],[range_miles]]&gt;=350,"Long-Range",IF(EV_Data4[[#This Row],[range_miles]]&gt;=250,"Medium-Range","Short-Range"))</f>
        <v>Medium-Range</v>
      </c>
      <c r="AE1675" t="str">
        <f>IF(EV_Data4[[#This Row],[charging_speed_kw]]&gt;=250,"Ultra-Fast",IF(EV_Data4[[#This Row],[charging_speed_kw]]&gt;=150,"Fast-Charging","Standard-Charging"))</f>
        <v>Fast-Charging</v>
      </c>
      <c r="AF1675" t="str">
        <f>IF(EV_Data4[[#This Row],[acceleration_0_60_mph]]&lt;=3,"SportsPerformance",IF(EV_Data4[[#This Row],[acceleration_0_60_mph]]&lt;=5,"HighPerformance","Standard"))</f>
        <v>HighPerformance</v>
      </c>
      <c r="AG1675" t="str">
        <f>IF(EV_Data4[[#This Row],[customer_rating]]&gt;=4.5,"Excellent",IF(EV_Data4[[#This Row],[customer_rating]]&gt;=3.5,"Good","Average"))</f>
        <v>Good</v>
      </c>
      <c r="AH167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76" spans="1:34" x14ac:dyDescent="0.3">
      <c r="A1676" t="s">
        <v>76</v>
      </c>
      <c r="B1676" t="s">
        <v>98</v>
      </c>
      <c r="C1676">
        <v>2021</v>
      </c>
      <c r="D1676" t="s">
        <v>33</v>
      </c>
      <c r="E1676" s="3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48</v>
      </c>
      <c r="N1676">
        <v>5</v>
      </c>
      <c r="O1676" t="s">
        <v>35</v>
      </c>
      <c r="P1676">
        <v>54.5</v>
      </c>
      <c r="Q1676">
        <v>1826</v>
      </c>
      <c r="R1676">
        <v>4</v>
      </c>
      <c r="S1676">
        <v>0</v>
      </c>
      <c r="T1676" t="s">
        <v>41</v>
      </c>
      <c r="U1676" t="s">
        <v>33</v>
      </c>
      <c r="V1676" s="3">
        <v>45842</v>
      </c>
      <c r="W1676">
        <v>3.05</v>
      </c>
      <c r="X1676">
        <v>4</v>
      </c>
      <c r="Y1676" s="1">
        <f>EV_Data4[[#This Row],[range_miles]]/EV_Data4[[#This Row],[battery_capacity_kwh]]</f>
        <v>3.432494279176201</v>
      </c>
      <c r="Z1676" s="4">
        <f>EV_Data4[[#This Row],[price_usd]]/EV_Data4[[#This Row],[range_miles]]</f>
        <v>652.89200000000005</v>
      </c>
      <c r="AA1676" s="2">
        <f>(EV_Data4[[#This Row],[customer_rating]]*EV_Data4[[#This Row],[safety_rating]]*1000)/EV_Data4[[#This Row],[price_usd]]</f>
        <v>0.12457394689065471</v>
      </c>
      <c r="AB1676">
        <f>EV_Data4[[#This Row],[horsepower]]+EV_Data4[[#This Row],[torque_nm]]/EV_Data4[[#This Row],[acceleration_0_60_mph]]</f>
        <v>1119.0849673202615</v>
      </c>
      <c r="AC1676" t="str">
        <f>IF(EV_Data4[[#This Row],[price_usd]]&gt;=80000,"Luxury",IF(EV_Data4[[#This Row],[price_usd]]&gt;=40000,"Mid-Range","Budget"))</f>
        <v>Luxury</v>
      </c>
      <c r="AD1676" t="str">
        <f>IF(EV_Data4[[#This Row],[range_miles]]&gt;=350,"Long-Range",IF(EV_Data4[[#This Row],[range_miles]]&gt;=250,"Medium-Range","Short-Range"))</f>
        <v>Short-Range</v>
      </c>
      <c r="AE1676" t="str">
        <f>IF(EV_Data4[[#This Row],[charging_speed_kw]]&gt;=250,"Ultra-Fast",IF(EV_Data4[[#This Row],[charging_speed_kw]]&gt;=150,"Fast-Charging","Standard-Charging"))</f>
        <v>Standard-Charging</v>
      </c>
      <c r="AF1676" t="str">
        <f>IF(EV_Data4[[#This Row],[acceleration_0_60_mph]]&lt;=3,"SportsPerformance",IF(EV_Data4[[#This Row],[acceleration_0_60_mph]]&lt;=5,"HighPerformance","Standard"))</f>
        <v>Standard</v>
      </c>
      <c r="AG1676" t="str">
        <f>IF(EV_Data4[[#This Row],[customer_rating]]&gt;=4.5,"Excellent",IF(EV_Data4[[#This Row],[customer_rating]]&gt;=3.5,"Good","Average"))</f>
        <v>Average</v>
      </c>
      <c r="AH167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77" spans="1:34" x14ac:dyDescent="0.3">
      <c r="A1677" t="s">
        <v>63</v>
      </c>
      <c r="B1677" t="s">
        <v>73</v>
      </c>
      <c r="C1677">
        <v>2024</v>
      </c>
      <c r="D1677" t="s">
        <v>61</v>
      </c>
      <c r="E1677" s="3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48</v>
      </c>
      <c r="N1677">
        <v>7</v>
      </c>
      <c r="O1677" t="s">
        <v>40</v>
      </c>
      <c r="P1677">
        <v>64.8</v>
      </c>
      <c r="Q1677">
        <v>1633</v>
      </c>
      <c r="R1677">
        <v>5</v>
      </c>
      <c r="S1677">
        <v>0</v>
      </c>
      <c r="T1677" t="s">
        <v>65</v>
      </c>
      <c r="U1677" t="s">
        <v>37</v>
      </c>
      <c r="V1677" s="3">
        <v>109861</v>
      </c>
      <c r="W1677">
        <v>3.54</v>
      </c>
      <c r="X1677">
        <v>5</v>
      </c>
      <c r="Y1677" s="1">
        <f>EV_Data4[[#This Row],[range_miles]]/EV_Data4[[#This Row],[battery_capacity_kwh]]</f>
        <v>3.576864535768645</v>
      </c>
      <c r="Z1677" s="4">
        <f>EV_Data4[[#This Row],[price_usd]]/EV_Data4[[#This Row],[range_miles]]</f>
        <v>182.64842553191488</v>
      </c>
      <c r="AA1677" s="2">
        <f>(EV_Data4[[#This Row],[customer_rating]]*EV_Data4[[#This Row],[safety_rating]]*1000)/EV_Data4[[#This Row],[price_usd]]</f>
        <v>0.41237228690487343</v>
      </c>
      <c r="AB1677">
        <f>EV_Data4[[#This Row],[horsepower]]+EV_Data4[[#This Row],[torque_nm]]/EV_Data4[[#This Row],[acceleration_0_60_mph]]</f>
        <v>510.5625</v>
      </c>
      <c r="AC1677" t="str">
        <f>IF(EV_Data4[[#This Row],[price_usd]]&gt;=80000,"Luxury",IF(EV_Data4[[#This Row],[price_usd]]&gt;=40000,"Mid-Range","Budget"))</f>
        <v>Mid-Range</v>
      </c>
      <c r="AD1677" t="str">
        <f>IF(EV_Data4[[#This Row],[range_miles]]&gt;=350,"Long-Range",IF(EV_Data4[[#This Row],[range_miles]]&gt;=250,"Medium-Range","Short-Range"))</f>
        <v>Short-Range</v>
      </c>
      <c r="AE1677" t="str">
        <f>IF(EV_Data4[[#This Row],[charging_speed_kw]]&gt;=250,"Ultra-Fast",IF(EV_Data4[[#This Row],[charging_speed_kw]]&gt;=150,"Fast-Charging","Standard-Charging"))</f>
        <v>Standard-Charging</v>
      </c>
      <c r="AF1677" t="str">
        <f>IF(EV_Data4[[#This Row],[acceleration_0_60_mph]]&lt;=3,"SportsPerformance",IF(EV_Data4[[#This Row],[acceleration_0_60_mph]]&lt;=5,"HighPerformance","Standard"))</f>
        <v>Standard</v>
      </c>
      <c r="AG1677" t="str">
        <f>IF(EV_Data4[[#This Row],[customer_rating]]&gt;=4.5,"Excellent",IF(EV_Data4[[#This Row],[customer_rating]]&gt;=3.5,"Good","Average"))</f>
        <v>Good</v>
      </c>
      <c r="AH167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78" spans="1:34" x14ac:dyDescent="0.3">
      <c r="A1678" t="s">
        <v>46</v>
      </c>
      <c r="B1678" t="s">
        <v>47</v>
      </c>
      <c r="C1678">
        <v>2025</v>
      </c>
      <c r="D1678" t="s">
        <v>61</v>
      </c>
      <c r="E1678" s="3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27</v>
      </c>
      <c r="N1678">
        <v>7</v>
      </c>
      <c r="O1678" t="s">
        <v>50</v>
      </c>
      <c r="P1678">
        <v>21</v>
      </c>
      <c r="Q1678">
        <v>1500</v>
      </c>
      <c r="R1678">
        <v>5</v>
      </c>
      <c r="S1678">
        <v>2</v>
      </c>
      <c r="T1678" t="s">
        <v>41</v>
      </c>
      <c r="U1678" t="s">
        <v>30</v>
      </c>
      <c r="V1678" s="3">
        <v>136780</v>
      </c>
      <c r="W1678">
        <v>3.7</v>
      </c>
      <c r="X1678">
        <v>4</v>
      </c>
      <c r="Y1678" s="1">
        <f>EV_Data4[[#This Row],[range_miles]]/EV_Data4[[#This Row],[battery_capacity_kwh]]</f>
        <v>3.3630952380952381</v>
      </c>
      <c r="Z1678" s="4">
        <f>EV_Data4[[#This Row],[price_usd]]/EV_Data4[[#This Row],[range_miles]]</f>
        <v>457.62641592920357</v>
      </c>
      <c r="AA1678" s="2">
        <f>(EV_Data4[[#This Row],[customer_rating]]*EV_Data4[[#This Row],[safety_rating]]*1000)/EV_Data4[[#This Row],[price_usd]]</f>
        <v>0.17887605310859023</v>
      </c>
      <c r="AB1678">
        <f>EV_Data4[[#This Row],[horsepower]]+EV_Data4[[#This Row],[torque_nm]]/EV_Data4[[#This Row],[acceleration_0_60_mph]]</f>
        <v>863.22580645161293</v>
      </c>
      <c r="AC1678" t="str">
        <f>IF(EV_Data4[[#This Row],[price_usd]]&gt;=80000,"Luxury",IF(EV_Data4[[#This Row],[price_usd]]&gt;=40000,"Mid-Range","Budget"))</f>
        <v>Luxury</v>
      </c>
      <c r="AD1678" t="str">
        <f>IF(EV_Data4[[#This Row],[range_miles]]&gt;=350,"Long-Range",IF(EV_Data4[[#This Row],[range_miles]]&gt;=250,"Medium-Range","Short-Range"))</f>
        <v>Short-Range</v>
      </c>
      <c r="AE1678" t="str">
        <f>IF(EV_Data4[[#This Row],[charging_speed_kw]]&gt;=250,"Ultra-Fast",IF(EV_Data4[[#This Row],[charging_speed_kw]]&gt;=150,"Fast-Charging","Standard-Charging"))</f>
        <v>Ultra-Fast</v>
      </c>
      <c r="AF1678" t="str">
        <f>IF(EV_Data4[[#This Row],[acceleration_0_60_mph]]&lt;=3,"SportsPerformance",IF(EV_Data4[[#This Row],[acceleration_0_60_mph]]&lt;=5,"HighPerformance","Standard"))</f>
        <v>Standard</v>
      </c>
      <c r="AG1678" t="str">
        <f>IF(EV_Data4[[#This Row],[customer_rating]]&gt;=4.5,"Excellent",IF(EV_Data4[[#This Row],[customer_rating]]&gt;=3.5,"Good","Average"))</f>
        <v>Good</v>
      </c>
      <c r="AH167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79" spans="1:34" x14ac:dyDescent="0.3">
      <c r="A1679" t="s">
        <v>24</v>
      </c>
      <c r="B1679" t="s">
        <v>85</v>
      </c>
      <c r="C1679">
        <v>2025</v>
      </c>
      <c r="D1679" t="s">
        <v>44</v>
      </c>
      <c r="E1679" s="3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48</v>
      </c>
      <c r="N1679">
        <v>5</v>
      </c>
      <c r="O1679" t="s">
        <v>51</v>
      </c>
      <c r="P1679">
        <v>16.8</v>
      </c>
      <c r="Q1679">
        <v>1552</v>
      </c>
      <c r="R1679">
        <v>5</v>
      </c>
      <c r="S1679">
        <v>0</v>
      </c>
      <c r="T1679" t="s">
        <v>29</v>
      </c>
      <c r="U1679" t="s">
        <v>37</v>
      </c>
      <c r="V1679" s="3">
        <v>243592</v>
      </c>
      <c r="W1679">
        <v>3.37</v>
      </c>
      <c r="X1679">
        <v>5</v>
      </c>
      <c r="Y1679" s="1">
        <f>EV_Data4[[#This Row],[range_miles]]/EV_Data4[[#This Row],[battery_capacity_kwh]]</f>
        <v>3.4296028880866429</v>
      </c>
      <c r="Z1679" s="4">
        <f>EV_Data4[[#This Row],[price_usd]]/EV_Data4[[#This Row],[range_miles]]</f>
        <v>163.79617543859649</v>
      </c>
      <c r="AA1679" s="2">
        <f>(EV_Data4[[#This Row],[customer_rating]]*EV_Data4[[#This Row],[safety_rating]]*1000)/EV_Data4[[#This Row],[price_usd]]</f>
        <v>0.36095352568050448</v>
      </c>
      <c r="AB1679">
        <f>EV_Data4[[#This Row],[horsepower]]+EV_Data4[[#This Row],[torque_nm]]/EV_Data4[[#This Row],[acceleration_0_60_mph]]</f>
        <v>448.6</v>
      </c>
      <c r="AC1679" t="str">
        <f>IF(EV_Data4[[#This Row],[price_usd]]&gt;=80000,"Luxury",IF(EV_Data4[[#This Row],[price_usd]]&gt;=40000,"Mid-Range","Budget"))</f>
        <v>Mid-Range</v>
      </c>
      <c r="AD1679" t="str">
        <f>IF(EV_Data4[[#This Row],[range_miles]]&gt;=350,"Long-Range",IF(EV_Data4[[#This Row],[range_miles]]&gt;=250,"Medium-Range","Short-Range"))</f>
        <v>Medium-Range</v>
      </c>
      <c r="AE1679" t="str">
        <f>IF(EV_Data4[[#This Row],[charging_speed_kw]]&gt;=250,"Ultra-Fast",IF(EV_Data4[[#This Row],[charging_speed_kw]]&gt;=150,"Fast-Charging","Standard-Charging"))</f>
        <v>Standard-Charging</v>
      </c>
      <c r="AF1679" t="str">
        <f>IF(EV_Data4[[#This Row],[acceleration_0_60_mph]]&lt;=3,"SportsPerformance",IF(EV_Data4[[#This Row],[acceleration_0_60_mph]]&lt;=5,"HighPerformance","Standard"))</f>
        <v>HighPerformance</v>
      </c>
      <c r="AG1679" t="str">
        <f>IF(EV_Data4[[#This Row],[customer_rating]]&gt;=4.5,"Excellent",IF(EV_Data4[[#This Row],[customer_rating]]&gt;=3.5,"Good","Average"))</f>
        <v>Average</v>
      </c>
      <c r="AH167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80" spans="1:34" x14ac:dyDescent="0.3">
      <c r="A1680" t="s">
        <v>46</v>
      </c>
      <c r="B1680" t="s">
        <v>49</v>
      </c>
      <c r="C1680">
        <v>2025</v>
      </c>
      <c r="D1680" t="s">
        <v>56</v>
      </c>
      <c r="E1680" s="3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27</v>
      </c>
      <c r="N1680">
        <v>7</v>
      </c>
      <c r="O1680" t="s">
        <v>51</v>
      </c>
      <c r="P1680">
        <v>33.1</v>
      </c>
      <c r="Q1680">
        <v>1522</v>
      </c>
      <c r="R1680">
        <v>4</v>
      </c>
      <c r="S1680">
        <v>2</v>
      </c>
      <c r="T1680" t="s">
        <v>41</v>
      </c>
      <c r="U1680" t="s">
        <v>37</v>
      </c>
      <c r="V1680" s="3">
        <v>420151</v>
      </c>
      <c r="W1680">
        <v>3.64</v>
      </c>
      <c r="X1680">
        <v>4</v>
      </c>
      <c r="Y1680" s="1">
        <f>EV_Data4[[#This Row],[range_miles]]/EV_Data4[[#This Row],[battery_capacity_kwh]]</f>
        <v>3.125</v>
      </c>
      <c r="Z1680" s="4">
        <f>EV_Data4[[#This Row],[price_usd]]/EV_Data4[[#This Row],[range_miles]]</f>
        <v>259.12446666666665</v>
      </c>
      <c r="AA1680" s="2">
        <f>(EV_Data4[[#This Row],[customer_rating]]*EV_Data4[[#This Row],[safety_rating]]*1000)/EV_Data4[[#This Row],[price_usd]]</f>
        <v>0.37459475716560409</v>
      </c>
      <c r="AB1680">
        <f>EV_Data4[[#This Row],[horsepower]]+EV_Data4[[#This Row],[torque_nm]]/EV_Data4[[#This Row],[acceleration_0_60_mph]]</f>
        <v>367.13592233009706</v>
      </c>
      <c r="AC1680" t="str">
        <f>IF(EV_Data4[[#This Row],[price_usd]]&gt;=80000,"Luxury",IF(EV_Data4[[#This Row],[price_usd]]&gt;=40000,"Mid-Range","Budget"))</f>
        <v>Budget</v>
      </c>
      <c r="AD1680" t="str">
        <f>IF(EV_Data4[[#This Row],[range_miles]]&gt;=350,"Long-Range",IF(EV_Data4[[#This Row],[range_miles]]&gt;=250,"Medium-Range","Short-Range"))</f>
        <v>Short-Range</v>
      </c>
      <c r="AE1680" t="str">
        <f>IF(EV_Data4[[#This Row],[charging_speed_kw]]&gt;=250,"Ultra-Fast",IF(EV_Data4[[#This Row],[charging_speed_kw]]&gt;=150,"Fast-Charging","Standard-Charging"))</f>
        <v>Ultra-Fast</v>
      </c>
      <c r="AF1680" t="str">
        <f>IF(EV_Data4[[#This Row],[acceleration_0_60_mph]]&lt;=3,"SportsPerformance",IF(EV_Data4[[#This Row],[acceleration_0_60_mph]]&lt;=5,"HighPerformance","Standard"))</f>
        <v>Standard</v>
      </c>
      <c r="AG1680" t="str">
        <f>IF(EV_Data4[[#This Row],[customer_rating]]&gt;=4.5,"Excellent",IF(EV_Data4[[#This Row],[customer_rating]]&gt;=3.5,"Good","Average"))</f>
        <v>Good</v>
      </c>
      <c r="AH168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81" spans="1:34" x14ac:dyDescent="0.3">
      <c r="A1681" t="s">
        <v>38</v>
      </c>
      <c r="B1681" t="s">
        <v>39</v>
      </c>
      <c r="C1681">
        <v>2023</v>
      </c>
      <c r="D1681" t="s">
        <v>26</v>
      </c>
      <c r="E1681" s="3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48</v>
      </c>
      <c r="N1681">
        <v>5</v>
      </c>
      <c r="O1681" t="s">
        <v>51</v>
      </c>
      <c r="P1681">
        <v>25</v>
      </c>
      <c r="Q1681">
        <v>1534</v>
      </c>
      <c r="R1681">
        <v>3</v>
      </c>
      <c r="S1681">
        <v>0</v>
      </c>
      <c r="T1681" t="s">
        <v>41</v>
      </c>
      <c r="U1681" t="s">
        <v>37</v>
      </c>
      <c r="V1681" s="3">
        <v>9783</v>
      </c>
      <c r="W1681">
        <v>3.17</v>
      </c>
      <c r="X1681">
        <v>5</v>
      </c>
      <c r="Y1681" s="1">
        <f>EV_Data4[[#This Row],[range_miles]]/EV_Data4[[#This Row],[battery_capacity_kwh]]</f>
        <v>3.3806818181818179</v>
      </c>
      <c r="Z1681" s="4">
        <f>EV_Data4[[#This Row],[price_usd]]/EV_Data4[[#This Row],[range_miles]]</f>
        <v>165.71941176470588</v>
      </c>
      <c r="AA1681" s="2">
        <f>(EV_Data4[[#This Row],[customer_rating]]*EV_Data4[[#This Row],[safety_rating]]*1000)/EV_Data4[[#This Row],[price_usd]]</f>
        <v>0.24111830212148611</v>
      </c>
      <c r="AB1681">
        <f>EV_Data4[[#This Row],[horsepower]]+EV_Data4[[#This Row],[torque_nm]]/EV_Data4[[#This Row],[acceleration_0_60_mph]]</f>
        <v>470.53125</v>
      </c>
      <c r="AC1681" t="str">
        <f>IF(EV_Data4[[#This Row],[price_usd]]&gt;=80000,"Luxury",IF(EV_Data4[[#This Row],[price_usd]]&gt;=40000,"Mid-Range","Budget"))</f>
        <v>Budget</v>
      </c>
      <c r="AD1681" t="str">
        <f>IF(EV_Data4[[#This Row],[range_miles]]&gt;=350,"Long-Range",IF(EV_Data4[[#This Row],[range_miles]]&gt;=250,"Medium-Range","Short-Range"))</f>
        <v>Short-Range</v>
      </c>
      <c r="AE1681" t="str">
        <f>IF(EV_Data4[[#This Row],[charging_speed_kw]]&gt;=250,"Ultra-Fast",IF(EV_Data4[[#This Row],[charging_speed_kw]]&gt;=150,"Fast-Charging","Standard-Charging"))</f>
        <v>Fast-Charging</v>
      </c>
      <c r="AF1681" t="str">
        <f>IF(EV_Data4[[#This Row],[acceleration_0_60_mph]]&lt;=3,"SportsPerformance",IF(EV_Data4[[#This Row],[acceleration_0_60_mph]]&lt;=5,"HighPerformance","Standard"))</f>
        <v>HighPerformance</v>
      </c>
      <c r="AG1681" t="str">
        <f>IF(EV_Data4[[#This Row],[customer_rating]]&gt;=4.5,"Excellent",IF(EV_Data4[[#This Row],[customer_rating]]&gt;=3.5,"Good","Average"))</f>
        <v>Average</v>
      </c>
      <c r="AH168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82" spans="1:34" x14ac:dyDescent="0.3">
      <c r="A1682" t="s">
        <v>63</v>
      </c>
      <c r="B1682" t="s">
        <v>64</v>
      </c>
      <c r="C1682">
        <v>2025</v>
      </c>
      <c r="D1682" t="s">
        <v>61</v>
      </c>
      <c r="E1682" s="3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27</v>
      </c>
      <c r="N1682">
        <v>7</v>
      </c>
      <c r="O1682" t="s">
        <v>50</v>
      </c>
      <c r="P1682">
        <v>18.100000000000001</v>
      </c>
      <c r="Q1682">
        <v>1522</v>
      </c>
      <c r="R1682">
        <v>4</v>
      </c>
      <c r="S1682">
        <v>1</v>
      </c>
      <c r="T1682" t="s">
        <v>65</v>
      </c>
      <c r="U1682" t="s">
        <v>37</v>
      </c>
      <c r="V1682" s="3">
        <v>196975</v>
      </c>
      <c r="W1682">
        <v>3.39</v>
      </c>
      <c r="X1682">
        <v>4</v>
      </c>
      <c r="Y1682" s="1">
        <f>EV_Data4[[#This Row],[range_miles]]/EV_Data4[[#This Row],[battery_capacity_kwh]]</f>
        <v>3.6842105263157894</v>
      </c>
      <c r="Z1682" s="4">
        <f>EV_Data4[[#This Row],[price_usd]]/EV_Data4[[#This Row],[range_miles]]</f>
        <v>334.44521739130437</v>
      </c>
      <c r="AA1682" s="2">
        <f>(EV_Data4[[#This Row],[customer_rating]]*EV_Data4[[#This Row],[safety_rating]]*1000)/EV_Data4[[#This Row],[price_usd]]</f>
        <v>0.25183078753950178</v>
      </c>
      <c r="AB1682">
        <f>EV_Data4[[#This Row],[horsepower]]+EV_Data4[[#This Row],[torque_nm]]/EV_Data4[[#This Row],[acceleration_0_60_mph]]</f>
        <v>679.55584082156611</v>
      </c>
      <c r="AC1682" t="str">
        <f>IF(EV_Data4[[#This Row],[price_usd]]&gt;=80000,"Luxury",IF(EV_Data4[[#This Row],[price_usd]]&gt;=40000,"Mid-Range","Budget"))</f>
        <v>Mid-Range</v>
      </c>
      <c r="AD1682" t="str">
        <f>IF(EV_Data4[[#This Row],[range_miles]]&gt;=350,"Long-Range",IF(EV_Data4[[#This Row],[range_miles]]&gt;=250,"Medium-Range","Short-Range"))</f>
        <v>Short-Range</v>
      </c>
      <c r="AE1682" t="str">
        <f>IF(EV_Data4[[#This Row],[charging_speed_kw]]&gt;=250,"Ultra-Fast",IF(EV_Data4[[#This Row],[charging_speed_kw]]&gt;=150,"Fast-Charging","Standard-Charging"))</f>
        <v>Standard-Charging</v>
      </c>
      <c r="AF1682" t="str">
        <f>IF(EV_Data4[[#This Row],[acceleration_0_60_mph]]&lt;=3,"SportsPerformance",IF(EV_Data4[[#This Row],[acceleration_0_60_mph]]&lt;=5,"HighPerformance","Standard"))</f>
        <v>Standard</v>
      </c>
      <c r="AG1682" t="str">
        <f>IF(EV_Data4[[#This Row],[customer_rating]]&gt;=4.5,"Excellent",IF(EV_Data4[[#This Row],[customer_rating]]&gt;=3.5,"Good","Average"))</f>
        <v>Average</v>
      </c>
      <c r="AH168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83" spans="1:34" x14ac:dyDescent="0.3">
      <c r="A1683" t="s">
        <v>124</v>
      </c>
      <c r="B1683" t="s">
        <v>125</v>
      </c>
      <c r="C1683">
        <v>2024</v>
      </c>
      <c r="D1683" t="s">
        <v>26</v>
      </c>
      <c r="E1683" s="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48</v>
      </c>
      <c r="N1683">
        <v>5</v>
      </c>
      <c r="O1683" t="s">
        <v>35</v>
      </c>
      <c r="P1683">
        <v>54.5</v>
      </c>
      <c r="Q1683">
        <v>2233</v>
      </c>
      <c r="R1683">
        <v>4</v>
      </c>
      <c r="S1683">
        <v>1</v>
      </c>
      <c r="T1683" t="s">
        <v>41</v>
      </c>
      <c r="U1683" t="s">
        <v>30</v>
      </c>
      <c r="V1683" s="3">
        <v>13230</v>
      </c>
      <c r="W1683">
        <v>3.53</v>
      </c>
      <c r="X1683">
        <v>5</v>
      </c>
      <c r="Y1683" s="1">
        <f>EV_Data4[[#This Row],[range_miles]]/EV_Data4[[#This Row],[battery_capacity_kwh]]</f>
        <v>3.5889570552147241</v>
      </c>
      <c r="Z1683" s="4">
        <f>EV_Data4[[#This Row],[price_usd]]/EV_Data4[[#This Row],[range_miles]]</f>
        <v>444.72085470085466</v>
      </c>
      <c r="AA1683" s="2">
        <f>(EV_Data4[[#This Row],[customer_rating]]*EV_Data4[[#This Row],[safety_rating]]*1000)/EV_Data4[[#This Row],[price_usd]]</f>
        <v>9.0456563488527847E-2</v>
      </c>
      <c r="AB1683">
        <f>EV_Data4[[#This Row],[horsepower]]+EV_Data4[[#This Row],[torque_nm]]/EV_Data4[[#This Row],[acceleration_0_60_mph]]</f>
        <v>851.67236467236467</v>
      </c>
      <c r="AC1683" t="str">
        <f>IF(EV_Data4[[#This Row],[price_usd]]&gt;=80000,"Luxury",IF(EV_Data4[[#This Row],[price_usd]]&gt;=40000,"Mid-Range","Budget"))</f>
        <v>Luxury</v>
      </c>
      <c r="AD1683" t="str">
        <f>IF(EV_Data4[[#This Row],[range_miles]]&gt;=350,"Long-Range",IF(EV_Data4[[#This Row],[range_miles]]&gt;=250,"Medium-Range","Short-Range"))</f>
        <v>Long-Range</v>
      </c>
      <c r="AE1683" t="str">
        <f>IF(EV_Data4[[#This Row],[charging_speed_kw]]&gt;=250,"Ultra-Fast",IF(EV_Data4[[#This Row],[charging_speed_kw]]&gt;=150,"Fast-Charging","Standard-Charging"))</f>
        <v>Ultra-Fast</v>
      </c>
      <c r="AF1683" t="str">
        <f>IF(EV_Data4[[#This Row],[acceleration_0_60_mph]]&lt;=3,"SportsPerformance",IF(EV_Data4[[#This Row],[acceleration_0_60_mph]]&lt;=5,"HighPerformance","Standard"))</f>
        <v>HighPerformance</v>
      </c>
      <c r="AG1683" t="str">
        <f>IF(EV_Data4[[#This Row],[customer_rating]]&gt;=4.5,"Excellent",IF(EV_Data4[[#This Row],[customer_rating]]&gt;=3.5,"Good","Average"))</f>
        <v>Good</v>
      </c>
      <c r="AH168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84" spans="1:34" x14ac:dyDescent="0.3">
      <c r="A1684" t="s">
        <v>83</v>
      </c>
      <c r="B1684" t="s">
        <v>89</v>
      </c>
      <c r="C1684">
        <v>2024</v>
      </c>
      <c r="D1684" t="s">
        <v>26</v>
      </c>
      <c r="E1684" s="3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34</v>
      </c>
      <c r="N1684">
        <v>7</v>
      </c>
      <c r="O1684" t="s">
        <v>40</v>
      </c>
      <c r="P1684">
        <v>75.599999999999994</v>
      </c>
      <c r="Q1684">
        <v>1584</v>
      </c>
      <c r="R1684">
        <v>4</v>
      </c>
      <c r="S1684">
        <v>1</v>
      </c>
      <c r="T1684" t="s">
        <v>29</v>
      </c>
      <c r="U1684" t="s">
        <v>30</v>
      </c>
      <c r="V1684" s="3">
        <v>59392</v>
      </c>
      <c r="W1684">
        <v>3.8</v>
      </c>
      <c r="X1684">
        <v>5</v>
      </c>
      <c r="Y1684" s="1">
        <f>EV_Data4[[#This Row],[range_miles]]/EV_Data4[[#This Row],[battery_capacity_kwh]]</f>
        <v>3.6262513904338149</v>
      </c>
      <c r="Z1684" s="4">
        <f>EV_Data4[[#This Row],[price_usd]]/EV_Data4[[#This Row],[range_miles]]</f>
        <v>399.31334355828221</v>
      </c>
      <c r="AA1684" s="2">
        <f>(EV_Data4[[#This Row],[customer_rating]]*EV_Data4[[#This Row],[safety_rating]]*1000)/EV_Data4[[#This Row],[price_usd]]</f>
        <v>0.11676486053704922</v>
      </c>
      <c r="AB1684">
        <f>EV_Data4[[#This Row],[horsepower]]+EV_Data4[[#This Row],[torque_nm]]/EV_Data4[[#This Row],[acceleration_0_60_mph]]</f>
        <v>1340.0722021660649</v>
      </c>
      <c r="AC1684" t="str">
        <f>IF(EV_Data4[[#This Row],[price_usd]]&gt;=80000,"Luxury",IF(EV_Data4[[#This Row],[price_usd]]&gt;=40000,"Mid-Range","Budget"))</f>
        <v>Luxury</v>
      </c>
      <c r="AD1684" t="str">
        <f>IF(EV_Data4[[#This Row],[range_miles]]&gt;=350,"Long-Range",IF(EV_Data4[[#This Row],[range_miles]]&gt;=250,"Medium-Range","Short-Range"))</f>
        <v>Medium-Range</v>
      </c>
      <c r="AE1684" t="str">
        <f>IF(EV_Data4[[#This Row],[charging_speed_kw]]&gt;=250,"Ultra-Fast",IF(EV_Data4[[#This Row],[charging_speed_kw]]&gt;=150,"Fast-Charging","Standard-Charging"))</f>
        <v>Fast-Charging</v>
      </c>
      <c r="AF1684" t="str">
        <f>IF(EV_Data4[[#This Row],[acceleration_0_60_mph]]&lt;=3,"SportsPerformance",IF(EV_Data4[[#This Row],[acceleration_0_60_mph]]&lt;=5,"HighPerformance","Standard"))</f>
        <v>SportsPerformance</v>
      </c>
      <c r="AG1684" t="str">
        <f>IF(EV_Data4[[#This Row],[customer_rating]]&gt;=4.5,"Excellent",IF(EV_Data4[[#This Row],[customer_rating]]&gt;=3.5,"Good","Average"))</f>
        <v>Good</v>
      </c>
      <c r="AH168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85" spans="1:34" x14ac:dyDescent="0.3">
      <c r="A1685" t="s">
        <v>52</v>
      </c>
      <c r="B1685" t="s">
        <v>62</v>
      </c>
      <c r="C1685">
        <v>2025</v>
      </c>
      <c r="D1685" t="s">
        <v>33</v>
      </c>
      <c r="E1685" s="3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48</v>
      </c>
      <c r="N1685">
        <v>7</v>
      </c>
      <c r="O1685" t="s">
        <v>58</v>
      </c>
      <c r="P1685">
        <v>21</v>
      </c>
      <c r="Q1685">
        <v>1585</v>
      </c>
      <c r="R1685">
        <v>5</v>
      </c>
      <c r="S1685">
        <v>2</v>
      </c>
      <c r="T1685" t="s">
        <v>29</v>
      </c>
      <c r="U1685" t="s">
        <v>30</v>
      </c>
      <c r="V1685" s="3">
        <v>44720</v>
      </c>
      <c r="W1685">
        <v>3.56</v>
      </c>
      <c r="X1685">
        <v>7</v>
      </c>
      <c r="Y1685" s="1">
        <f>EV_Data4[[#This Row],[range_miles]]/EV_Data4[[#This Row],[battery_capacity_kwh]]</f>
        <v>3.7371663244353179</v>
      </c>
      <c r="Z1685" s="4">
        <f>EV_Data4[[#This Row],[price_usd]]/EV_Data4[[#This Row],[range_miles]]</f>
        <v>841.95554945054948</v>
      </c>
      <c r="AA1685" s="2">
        <f>(EV_Data4[[#This Row],[customer_rating]]*EV_Data4[[#This Row],[safety_rating]]*1000)/EV_Data4[[#This Row],[price_usd]]</f>
        <v>0.11616076153429049</v>
      </c>
      <c r="AB1685">
        <f>EV_Data4[[#This Row],[horsepower]]+EV_Data4[[#This Row],[torque_nm]]/EV_Data4[[#This Row],[acceleration_0_60_mph]]</f>
        <v>1091.2180851063829</v>
      </c>
      <c r="AC1685" t="str">
        <f>IF(EV_Data4[[#This Row],[price_usd]]&gt;=80000,"Luxury",IF(EV_Data4[[#This Row],[price_usd]]&gt;=40000,"Mid-Range","Budget"))</f>
        <v>Luxury</v>
      </c>
      <c r="AD1685" t="str">
        <f>IF(EV_Data4[[#This Row],[range_miles]]&gt;=350,"Long-Range",IF(EV_Data4[[#This Row],[range_miles]]&gt;=250,"Medium-Range","Short-Range"))</f>
        <v>Short-Range</v>
      </c>
      <c r="AE1685" t="str">
        <f>IF(EV_Data4[[#This Row],[charging_speed_kw]]&gt;=250,"Ultra-Fast",IF(EV_Data4[[#This Row],[charging_speed_kw]]&gt;=150,"Fast-Charging","Standard-Charging"))</f>
        <v>Standard-Charging</v>
      </c>
      <c r="AF1685" t="str">
        <f>IF(EV_Data4[[#This Row],[acceleration_0_60_mph]]&lt;=3,"SportsPerformance",IF(EV_Data4[[#This Row],[acceleration_0_60_mph]]&lt;=5,"HighPerformance","Standard"))</f>
        <v>Standard</v>
      </c>
      <c r="AG1685" t="str">
        <f>IF(EV_Data4[[#This Row],[customer_rating]]&gt;=4.5,"Excellent",IF(EV_Data4[[#This Row],[customer_rating]]&gt;=3.5,"Good","Average"))</f>
        <v>Good</v>
      </c>
      <c r="AH168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86" spans="1:34" x14ac:dyDescent="0.3">
      <c r="A1686" t="s">
        <v>46</v>
      </c>
      <c r="B1686" t="s">
        <v>78</v>
      </c>
      <c r="C1686">
        <v>2025</v>
      </c>
      <c r="D1686" t="s">
        <v>33</v>
      </c>
      <c r="E1686" s="3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27</v>
      </c>
      <c r="N1686">
        <v>7</v>
      </c>
      <c r="O1686" t="s">
        <v>35</v>
      </c>
      <c r="P1686">
        <v>69.8</v>
      </c>
      <c r="Q1686">
        <v>1918</v>
      </c>
      <c r="R1686">
        <v>4</v>
      </c>
      <c r="S1686">
        <v>3</v>
      </c>
      <c r="T1686" t="s">
        <v>41</v>
      </c>
      <c r="U1686" t="s">
        <v>37</v>
      </c>
      <c r="V1686" s="3">
        <v>226355</v>
      </c>
      <c r="W1686">
        <v>3.72</v>
      </c>
      <c r="X1686">
        <v>6</v>
      </c>
      <c r="Y1686" s="1">
        <f>EV_Data4[[#This Row],[range_miles]]/EV_Data4[[#This Row],[battery_capacity_kwh]]</f>
        <v>3.5830618892508146</v>
      </c>
      <c r="Z1686" s="4">
        <f>EV_Data4[[#This Row],[price_usd]]/EV_Data4[[#This Row],[range_miles]]</f>
        <v>273.97750000000002</v>
      </c>
      <c r="AA1686" s="2">
        <f>(EV_Data4[[#This Row],[customer_rating]]*EV_Data4[[#This Row],[safety_rating]]*1000)/EV_Data4[[#This Row],[price_usd]]</f>
        <v>0.24686831450160554</v>
      </c>
      <c r="AB1686">
        <f>EV_Data4[[#This Row],[horsepower]]+EV_Data4[[#This Row],[torque_nm]]/EV_Data4[[#This Row],[acceleration_0_60_mph]]</f>
        <v>473.37878787878788</v>
      </c>
      <c r="AC1686" t="str">
        <f>IF(EV_Data4[[#This Row],[price_usd]]&gt;=80000,"Luxury",IF(EV_Data4[[#This Row],[price_usd]]&gt;=40000,"Mid-Range","Budget"))</f>
        <v>Mid-Range</v>
      </c>
      <c r="AD1686" t="str">
        <f>IF(EV_Data4[[#This Row],[range_miles]]&gt;=350,"Long-Range",IF(EV_Data4[[#This Row],[range_miles]]&gt;=250,"Medium-Range","Short-Range"))</f>
        <v>Short-Range</v>
      </c>
      <c r="AE1686" t="str">
        <f>IF(EV_Data4[[#This Row],[charging_speed_kw]]&gt;=250,"Ultra-Fast",IF(EV_Data4[[#This Row],[charging_speed_kw]]&gt;=150,"Fast-Charging","Standard-Charging"))</f>
        <v>Ultra-Fast</v>
      </c>
      <c r="AF1686" t="str">
        <f>IF(EV_Data4[[#This Row],[acceleration_0_60_mph]]&lt;=3,"SportsPerformance",IF(EV_Data4[[#This Row],[acceleration_0_60_mph]]&lt;=5,"HighPerformance","Standard"))</f>
        <v>Standard</v>
      </c>
      <c r="AG1686" t="str">
        <f>IF(EV_Data4[[#This Row],[customer_rating]]&gt;=4.5,"Excellent",IF(EV_Data4[[#This Row],[customer_rating]]&gt;=3.5,"Good","Average"))</f>
        <v>Good</v>
      </c>
      <c r="AH1686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687" spans="1:34" x14ac:dyDescent="0.3">
      <c r="A1687" t="s">
        <v>52</v>
      </c>
      <c r="B1687" t="s">
        <v>97</v>
      </c>
      <c r="C1687">
        <v>2025</v>
      </c>
      <c r="D1687" t="s">
        <v>33</v>
      </c>
      <c r="E1687" s="3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27</v>
      </c>
      <c r="N1687">
        <v>7</v>
      </c>
      <c r="O1687" t="s">
        <v>58</v>
      </c>
      <c r="P1687">
        <v>16.899999999999999</v>
      </c>
      <c r="Q1687">
        <v>1500</v>
      </c>
      <c r="R1687">
        <v>5</v>
      </c>
      <c r="S1687">
        <v>1</v>
      </c>
      <c r="T1687" t="s">
        <v>29</v>
      </c>
      <c r="U1687" t="s">
        <v>30</v>
      </c>
      <c r="V1687" s="3">
        <v>22987</v>
      </c>
      <c r="W1687">
        <v>3.81</v>
      </c>
      <c r="X1687">
        <v>8</v>
      </c>
      <c r="Y1687" s="1">
        <f>EV_Data4[[#This Row],[range_miles]]/EV_Data4[[#This Row],[battery_capacity_kwh]]</f>
        <v>3.4952766531713904</v>
      </c>
      <c r="Z1687" s="4">
        <f>EV_Data4[[#This Row],[price_usd]]/EV_Data4[[#This Row],[range_miles]]</f>
        <v>783.68150579150586</v>
      </c>
      <c r="AA1687" s="2">
        <f>(EV_Data4[[#This Row],[customer_rating]]*EV_Data4[[#This Row],[safety_rating]]*1000)/EV_Data4[[#This Row],[price_usd]]</f>
        <v>9.3854611865361148E-2</v>
      </c>
      <c r="AB1687">
        <f>EV_Data4[[#This Row],[horsepower]]+EV_Data4[[#This Row],[torque_nm]]/EV_Data4[[#This Row],[acceleration_0_60_mph]]</f>
        <v>1133.689024390244</v>
      </c>
      <c r="AC1687" t="str">
        <f>IF(EV_Data4[[#This Row],[price_usd]]&gt;=80000,"Luxury",IF(EV_Data4[[#This Row],[price_usd]]&gt;=40000,"Mid-Range","Budget"))</f>
        <v>Luxury</v>
      </c>
      <c r="AD1687" t="str">
        <f>IF(EV_Data4[[#This Row],[range_miles]]&gt;=350,"Long-Range",IF(EV_Data4[[#This Row],[range_miles]]&gt;=250,"Medium-Range","Short-Range"))</f>
        <v>Medium-Range</v>
      </c>
      <c r="AE1687" t="str">
        <f>IF(EV_Data4[[#This Row],[charging_speed_kw]]&gt;=250,"Ultra-Fast",IF(EV_Data4[[#This Row],[charging_speed_kw]]&gt;=150,"Fast-Charging","Standard-Charging"))</f>
        <v>Standard-Charging</v>
      </c>
      <c r="AF1687" t="str">
        <f>IF(EV_Data4[[#This Row],[acceleration_0_60_mph]]&lt;=3,"SportsPerformance",IF(EV_Data4[[#This Row],[acceleration_0_60_mph]]&lt;=5,"HighPerformance","Standard"))</f>
        <v>Standard</v>
      </c>
      <c r="AG1687" t="str">
        <f>IF(EV_Data4[[#This Row],[customer_rating]]&gt;=4.5,"Excellent",IF(EV_Data4[[#This Row],[customer_rating]]&gt;=3.5,"Good","Average"))</f>
        <v>Good</v>
      </c>
      <c r="AH168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88" spans="1:34" x14ac:dyDescent="0.3">
      <c r="A1688" t="s">
        <v>94</v>
      </c>
      <c r="B1688" t="s">
        <v>120</v>
      </c>
      <c r="C1688">
        <v>2021</v>
      </c>
      <c r="D1688" t="s">
        <v>26</v>
      </c>
      <c r="E1688" s="3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27</v>
      </c>
      <c r="N1688">
        <v>5</v>
      </c>
      <c r="O1688" t="s">
        <v>50</v>
      </c>
      <c r="P1688">
        <v>17.5</v>
      </c>
      <c r="Q1688">
        <v>1500</v>
      </c>
      <c r="R1688">
        <v>5</v>
      </c>
      <c r="S1688">
        <v>2</v>
      </c>
      <c r="T1688" t="s">
        <v>41</v>
      </c>
      <c r="U1688" t="s">
        <v>30</v>
      </c>
      <c r="V1688" s="3">
        <v>4505</v>
      </c>
      <c r="W1688">
        <v>3.89</v>
      </c>
      <c r="X1688">
        <v>5</v>
      </c>
      <c r="Y1688" s="1">
        <f>EV_Data4[[#This Row],[range_miles]]/EV_Data4[[#This Row],[battery_capacity_kwh]]</f>
        <v>3.5800185013876042</v>
      </c>
      <c r="Z1688" s="4">
        <f>EV_Data4[[#This Row],[price_usd]]/EV_Data4[[#This Row],[range_miles]]</f>
        <v>293.57697674418603</v>
      </c>
      <c r="AA1688" s="2">
        <f>(EV_Data4[[#This Row],[customer_rating]]*EV_Data4[[#This Row],[safety_rating]]*1000)/EV_Data4[[#This Row],[price_usd]]</f>
        <v>0.17119325394719273</v>
      </c>
      <c r="AB1688">
        <f>EV_Data4[[#This Row],[horsepower]]+EV_Data4[[#This Row],[torque_nm]]/EV_Data4[[#This Row],[acceleration_0_60_mph]]</f>
        <v>1321.376811594203</v>
      </c>
      <c r="AC1688" t="str">
        <f>IF(EV_Data4[[#This Row],[price_usd]]&gt;=80000,"Luxury",IF(EV_Data4[[#This Row],[price_usd]]&gt;=40000,"Mid-Range","Budget"))</f>
        <v>Luxury</v>
      </c>
      <c r="AD1688" t="str">
        <f>IF(EV_Data4[[#This Row],[range_miles]]&gt;=350,"Long-Range",IF(EV_Data4[[#This Row],[range_miles]]&gt;=250,"Medium-Range","Short-Range"))</f>
        <v>Long-Range</v>
      </c>
      <c r="AE1688" t="str">
        <f>IF(EV_Data4[[#This Row],[charging_speed_kw]]&gt;=250,"Ultra-Fast",IF(EV_Data4[[#This Row],[charging_speed_kw]]&gt;=150,"Fast-Charging","Standard-Charging"))</f>
        <v>Fast-Charging</v>
      </c>
      <c r="AF1688" t="str">
        <f>IF(EV_Data4[[#This Row],[acceleration_0_60_mph]]&lt;=3,"SportsPerformance",IF(EV_Data4[[#This Row],[acceleration_0_60_mph]]&lt;=5,"HighPerformance","Standard"))</f>
        <v>SportsPerformance</v>
      </c>
      <c r="AG1688" t="str">
        <f>IF(EV_Data4[[#This Row],[customer_rating]]&gt;=4.5,"Excellent",IF(EV_Data4[[#This Row],[customer_rating]]&gt;=3.5,"Good","Average"))</f>
        <v>Good</v>
      </c>
      <c r="AH168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89" spans="1:34" x14ac:dyDescent="0.3">
      <c r="A1689" t="s">
        <v>68</v>
      </c>
      <c r="B1689" t="s">
        <v>79</v>
      </c>
      <c r="C1689">
        <v>2024</v>
      </c>
      <c r="D1689" t="s">
        <v>26</v>
      </c>
      <c r="E1689" s="3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27</v>
      </c>
      <c r="N1689">
        <v>5</v>
      </c>
      <c r="O1689" t="s">
        <v>50</v>
      </c>
      <c r="P1689">
        <v>28</v>
      </c>
      <c r="Q1689">
        <v>1500</v>
      </c>
      <c r="R1689">
        <v>4</v>
      </c>
      <c r="S1689">
        <v>1</v>
      </c>
      <c r="T1689" t="s">
        <v>45</v>
      </c>
      <c r="U1689" t="s">
        <v>33</v>
      </c>
      <c r="V1689" s="3">
        <v>71992</v>
      </c>
      <c r="W1689">
        <v>4.07</v>
      </c>
      <c r="X1689">
        <v>4</v>
      </c>
      <c r="Y1689" s="1">
        <f>EV_Data4[[#This Row],[range_miles]]/EV_Data4[[#This Row],[battery_capacity_kwh]]</f>
        <v>3.4264432029795158</v>
      </c>
      <c r="Z1689" s="4">
        <f>EV_Data4[[#This Row],[price_usd]]/EV_Data4[[#This Row],[range_miles]]</f>
        <v>210.63565217391303</v>
      </c>
      <c r="AA1689" s="2">
        <f>(EV_Data4[[#This Row],[customer_rating]]*EV_Data4[[#This Row],[safety_rating]]*1000)/EV_Data4[[#This Row],[price_usd]]</f>
        <v>0.21002679260705692</v>
      </c>
      <c r="AB1689">
        <f>EV_Data4[[#This Row],[horsepower]]+EV_Data4[[#This Row],[torque_nm]]/EV_Data4[[#This Row],[acceleration_0_60_mph]]</f>
        <v>1192.8901601830664</v>
      </c>
      <c r="AC1689" t="str">
        <f>IF(EV_Data4[[#This Row],[price_usd]]&gt;=80000,"Luxury",IF(EV_Data4[[#This Row],[price_usd]]&gt;=40000,"Mid-Range","Budget"))</f>
        <v>Mid-Range</v>
      </c>
      <c r="AD1689" t="str">
        <f>IF(EV_Data4[[#This Row],[range_miles]]&gt;=350,"Long-Range",IF(EV_Data4[[#This Row],[range_miles]]&gt;=250,"Medium-Range","Short-Range"))</f>
        <v>Long-Range</v>
      </c>
      <c r="AE1689" t="str">
        <f>IF(EV_Data4[[#This Row],[charging_speed_kw]]&gt;=250,"Ultra-Fast",IF(EV_Data4[[#This Row],[charging_speed_kw]]&gt;=150,"Fast-Charging","Standard-Charging"))</f>
        <v>Fast-Charging</v>
      </c>
      <c r="AF1689" t="str">
        <f>IF(EV_Data4[[#This Row],[acceleration_0_60_mph]]&lt;=3,"SportsPerformance",IF(EV_Data4[[#This Row],[acceleration_0_60_mph]]&lt;=5,"HighPerformance","Standard"))</f>
        <v>HighPerformance</v>
      </c>
      <c r="AG1689" t="str">
        <f>IF(EV_Data4[[#This Row],[customer_rating]]&gt;=4.5,"Excellent",IF(EV_Data4[[#This Row],[customer_rating]]&gt;=3.5,"Good","Average"))</f>
        <v>Good</v>
      </c>
      <c r="AH168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690" spans="1:34" x14ac:dyDescent="0.3">
      <c r="A1690" t="s">
        <v>42</v>
      </c>
      <c r="B1690" t="s">
        <v>43</v>
      </c>
      <c r="C1690">
        <v>2023</v>
      </c>
      <c r="D1690" t="s">
        <v>56</v>
      </c>
      <c r="E1690" s="3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34</v>
      </c>
      <c r="N1690">
        <v>7</v>
      </c>
      <c r="O1690" t="s">
        <v>35</v>
      </c>
      <c r="P1690">
        <v>64</v>
      </c>
      <c r="Q1690">
        <v>2270</v>
      </c>
      <c r="R1690">
        <v>4</v>
      </c>
      <c r="S1690">
        <v>2</v>
      </c>
      <c r="T1690" t="s">
        <v>45</v>
      </c>
      <c r="U1690" t="s">
        <v>37</v>
      </c>
      <c r="V1690" s="3">
        <v>57685</v>
      </c>
      <c r="W1690">
        <v>3.6</v>
      </c>
      <c r="X1690">
        <v>4</v>
      </c>
      <c r="Y1690" s="1">
        <f>EV_Data4[[#This Row],[range_miles]]/EV_Data4[[#This Row],[battery_capacity_kwh]]</f>
        <v>3.4963768115942027</v>
      </c>
      <c r="Z1690" s="4">
        <f>EV_Data4[[#This Row],[price_usd]]/EV_Data4[[#This Row],[range_miles]]</f>
        <v>245.51735751295337</v>
      </c>
      <c r="AA1690" s="2">
        <f>(EV_Data4[[#This Row],[customer_rating]]*EV_Data4[[#This Row],[safety_rating]]*1000)/EV_Data4[[#This Row],[price_usd]]</f>
        <v>0.30389459922316941</v>
      </c>
      <c r="AB1690">
        <f>EV_Data4[[#This Row],[horsepower]]+EV_Data4[[#This Row],[torque_nm]]/EV_Data4[[#This Row],[acceleration_0_60_mph]]</f>
        <v>579.01410934744263</v>
      </c>
      <c r="AC1690" t="str">
        <f>IF(EV_Data4[[#This Row],[price_usd]]&gt;=80000,"Luxury",IF(EV_Data4[[#This Row],[price_usd]]&gt;=40000,"Mid-Range","Budget"))</f>
        <v>Mid-Range</v>
      </c>
      <c r="AD1690" t="str">
        <f>IF(EV_Data4[[#This Row],[range_miles]]&gt;=350,"Long-Range",IF(EV_Data4[[#This Row],[range_miles]]&gt;=250,"Medium-Range","Short-Range"))</f>
        <v>Short-Range</v>
      </c>
      <c r="AE1690" t="str">
        <f>IF(EV_Data4[[#This Row],[charging_speed_kw]]&gt;=250,"Ultra-Fast",IF(EV_Data4[[#This Row],[charging_speed_kw]]&gt;=150,"Fast-Charging","Standard-Charging"))</f>
        <v>Standard-Charging</v>
      </c>
      <c r="AF1690" t="str">
        <f>IF(EV_Data4[[#This Row],[acceleration_0_60_mph]]&lt;=3,"SportsPerformance",IF(EV_Data4[[#This Row],[acceleration_0_60_mph]]&lt;=5,"HighPerformance","Standard"))</f>
        <v>Standard</v>
      </c>
      <c r="AG1690" t="str">
        <f>IF(EV_Data4[[#This Row],[customer_rating]]&gt;=4.5,"Excellent",IF(EV_Data4[[#This Row],[customer_rating]]&gt;=3.5,"Good","Average"))</f>
        <v>Good</v>
      </c>
      <c r="AH169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91" spans="1:34" x14ac:dyDescent="0.3">
      <c r="A1691" t="s">
        <v>76</v>
      </c>
      <c r="B1691" t="s">
        <v>98</v>
      </c>
      <c r="C1691">
        <v>2025</v>
      </c>
      <c r="D1691" t="s">
        <v>44</v>
      </c>
      <c r="E1691" s="3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27</v>
      </c>
      <c r="N1691">
        <v>5</v>
      </c>
      <c r="O1691" t="s">
        <v>51</v>
      </c>
      <c r="P1691">
        <v>16.5</v>
      </c>
      <c r="Q1691">
        <v>1592</v>
      </c>
      <c r="R1691">
        <v>5</v>
      </c>
      <c r="S1691">
        <v>0</v>
      </c>
      <c r="T1691" t="s">
        <v>41</v>
      </c>
      <c r="U1691" t="s">
        <v>33</v>
      </c>
      <c r="V1691" s="3">
        <v>49288</v>
      </c>
      <c r="W1691">
        <v>3.95</v>
      </c>
      <c r="X1691">
        <v>4</v>
      </c>
      <c r="Y1691" s="1">
        <f>EV_Data4[[#This Row],[range_miles]]/EV_Data4[[#This Row],[battery_capacity_kwh]]</f>
        <v>3.5056390977443606</v>
      </c>
      <c r="Z1691" s="4">
        <f>EV_Data4[[#This Row],[price_usd]]/EV_Data4[[#This Row],[range_miles]]</f>
        <v>186.7875603217158</v>
      </c>
      <c r="AA1691" s="2">
        <f>(EV_Data4[[#This Row],[customer_rating]]*EV_Data4[[#This Row],[safety_rating]]*1000)/EV_Data4[[#This Row],[price_usd]]</f>
        <v>0.28347209830783665</v>
      </c>
      <c r="AB1691">
        <f>EV_Data4[[#This Row],[horsepower]]+EV_Data4[[#This Row],[torque_nm]]/EV_Data4[[#This Row],[acceleration_0_60_mph]]</f>
        <v>855.2611806797853</v>
      </c>
      <c r="AC1691" t="str">
        <f>IF(EV_Data4[[#This Row],[price_usd]]&gt;=80000,"Luxury",IF(EV_Data4[[#This Row],[price_usd]]&gt;=40000,"Mid-Range","Budget"))</f>
        <v>Mid-Range</v>
      </c>
      <c r="AD1691" t="str">
        <f>IF(EV_Data4[[#This Row],[range_miles]]&gt;=350,"Long-Range",IF(EV_Data4[[#This Row],[range_miles]]&gt;=250,"Medium-Range","Short-Range"))</f>
        <v>Long-Range</v>
      </c>
      <c r="AE1691" t="str">
        <f>IF(EV_Data4[[#This Row],[charging_speed_kw]]&gt;=250,"Ultra-Fast",IF(EV_Data4[[#This Row],[charging_speed_kw]]&gt;=150,"Fast-Charging","Standard-Charging"))</f>
        <v>Standard-Charging</v>
      </c>
      <c r="AF1691" t="str">
        <f>IF(EV_Data4[[#This Row],[acceleration_0_60_mph]]&lt;=3,"SportsPerformance",IF(EV_Data4[[#This Row],[acceleration_0_60_mph]]&lt;=5,"HighPerformance","Standard"))</f>
        <v>Standard</v>
      </c>
      <c r="AG1691" t="str">
        <f>IF(EV_Data4[[#This Row],[customer_rating]]&gt;=4.5,"Excellent",IF(EV_Data4[[#This Row],[customer_rating]]&gt;=3.5,"Good","Average"))</f>
        <v>Good</v>
      </c>
      <c r="AH169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92" spans="1:34" x14ac:dyDescent="0.3">
      <c r="A1692" t="s">
        <v>46</v>
      </c>
      <c r="B1692" t="s">
        <v>72</v>
      </c>
      <c r="C1692">
        <v>2024</v>
      </c>
      <c r="D1692" t="s">
        <v>33</v>
      </c>
      <c r="E1692" s="3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48</v>
      </c>
      <c r="N1692">
        <v>5</v>
      </c>
      <c r="O1692" t="s">
        <v>28</v>
      </c>
      <c r="P1692">
        <v>78.2</v>
      </c>
      <c r="Q1692">
        <v>2528</v>
      </c>
      <c r="R1692">
        <v>5</v>
      </c>
      <c r="S1692">
        <v>2</v>
      </c>
      <c r="T1692" t="s">
        <v>41</v>
      </c>
      <c r="U1692" t="s">
        <v>30</v>
      </c>
      <c r="V1692" s="3">
        <v>212436</v>
      </c>
      <c r="W1692">
        <v>3.54</v>
      </c>
      <c r="X1692">
        <v>6</v>
      </c>
      <c r="Y1692" s="1">
        <f>EV_Data4[[#This Row],[range_miles]]/EV_Data4[[#This Row],[battery_capacity_kwh]]</f>
        <v>3.2405566600397617</v>
      </c>
      <c r="Z1692" s="4">
        <f>EV_Data4[[#This Row],[price_usd]]/EV_Data4[[#This Row],[range_miles]]</f>
        <v>675.63496932515341</v>
      </c>
      <c r="AA1692" s="2">
        <f>(EV_Data4[[#This Row],[customer_rating]]*EV_Data4[[#This Row],[safety_rating]]*1000)/EV_Data4[[#This Row],[price_usd]]</f>
        <v>0.160721339162887</v>
      </c>
      <c r="AB1692">
        <f>EV_Data4[[#This Row],[horsepower]]+EV_Data4[[#This Row],[torque_nm]]/EV_Data4[[#This Row],[acceleration_0_60_mph]]</f>
        <v>967.7987012987013</v>
      </c>
      <c r="AC1692" t="str">
        <f>IF(EV_Data4[[#This Row],[price_usd]]&gt;=80000,"Luxury",IF(EV_Data4[[#This Row],[price_usd]]&gt;=40000,"Mid-Range","Budget"))</f>
        <v>Luxury</v>
      </c>
      <c r="AD1692" t="str">
        <f>IF(EV_Data4[[#This Row],[range_miles]]&gt;=350,"Long-Range",IF(EV_Data4[[#This Row],[range_miles]]&gt;=250,"Medium-Range","Short-Range"))</f>
        <v>Short-Range</v>
      </c>
      <c r="AE1692" t="str">
        <f>IF(EV_Data4[[#This Row],[charging_speed_kw]]&gt;=250,"Ultra-Fast",IF(EV_Data4[[#This Row],[charging_speed_kw]]&gt;=150,"Fast-Charging","Standard-Charging"))</f>
        <v>Ultra-Fast</v>
      </c>
      <c r="AF1692" t="str">
        <f>IF(EV_Data4[[#This Row],[acceleration_0_60_mph]]&lt;=3,"SportsPerformance",IF(EV_Data4[[#This Row],[acceleration_0_60_mph]]&lt;=5,"HighPerformance","Standard"))</f>
        <v>Standard</v>
      </c>
      <c r="AG1692" t="str">
        <f>IF(EV_Data4[[#This Row],[customer_rating]]&gt;=4.5,"Excellent",IF(EV_Data4[[#This Row],[customer_rating]]&gt;=3.5,"Good","Average"))</f>
        <v>Good</v>
      </c>
      <c r="AH169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93" spans="1:34" x14ac:dyDescent="0.3">
      <c r="A1693" t="s">
        <v>68</v>
      </c>
      <c r="B1693" t="s">
        <v>106</v>
      </c>
      <c r="C1693">
        <v>2025</v>
      </c>
      <c r="D1693" t="s">
        <v>61</v>
      </c>
      <c r="E1693" s="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48</v>
      </c>
      <c r="N1693">
        <v>7</v>
      </c>
      <c r="O1693" t="s">
        <v>28</v>
      </c>
      <c r="P1693">
        <v>67.400000000000006</v>
      </c>
      <c r="Q1693">
        <v>2434</v>
      </c>
      <c r="R1693">
        <v>5</v>
      </c>
      <c r="S1693">
        <v>0</v>
      </c>
      <c r="T1693" t="s">
        <v>45</v>
      </c>
      <c r="U1693" t="s">
        <v>37</v>
      </c>
      <c r="V1693" s="3">
        <v>133046</v>
      </c>
      <c r="W1693">
        <v>3.73</v>
      </c>
      <c r="X1693">
        <v>4</v>
      </c>
      <c r="Y1693" s="1">
        <f>EV_Data4[[#This Row],[range_miles]]/EV_Data4[[#This Row],[battery_capacity_kwh]]</f>
        <v>3.5769230769230771</v>
      </c>
      <c r="Z1693" s="4">
        <f>EV_Data4[[#This Row],[price_usd]]/EV_Data4[[#This Row],[range_miles]]</f>
        <v>227.36448028673837</v>
      </c>
      <c r="AA1693" s="2">
        <f>(EV_Data4[[#This Row],[customer_rating]]*EV_Data4[[#This Row],[safety_rating]]*1000)/EV_Data4[[#This Row],[price_usd]]</f>
        <v>0.29400317082025623</v>
      </c>
      <c r="AB1693">
        <f>EV_Data4[[#This Row],[horsepower]]+EV_Data4[[#This Row],[torque_nm]]/EV_Data4[[#This Row],[acceleration_0_60_mph]]</f>
        <v>857.45247148288968</v>
      </c>
      <c r="AC1693" t="str">
        <f>IF(EV_Data4[[#This Row],[price_usd]]&gt;=80000,"Luxury",IF(EV_Data4[[#This Row],[price_usd]]&gt;=40000,"Mid-Range","Budget"))</f>
        <v>Mid-Range</v>
      </c>
      <c r="AD1693" t="str">
        <f>IF(EV_Data4[[#This Row],[range_miles]]&gt;=350,"Long-Range",IF(EV_Data4[[#This Row],[range_miles]]&gt;=250,"Medium-Range","Short-Range"))</f>
        <v>Medium-Range</v>
      </c>
      <c r="AE1693" t="str">
        <f>IF(EV_Data4[[#This Row],[charging_speed_kw]]&gt;=250,"Ultra-Fast",IF(EV_Data4[[#This Row],[charging_speed_kw]]&gt;=150,"Fast-Charging","Standard-Charging"))</f>
        <v>Standard-Charging</v>
      </c>
      <c r="AF1693" t="str">
        <f>IF(EV_Data4[[#This Row],[acceleration_0_60_mph]]&lt;=3,"SportsPerformance",IF(EV_Data4[[#This Row],[acceleration_0_60_mph]]&lt;=5,"HighPerformance","Standard"))</f>
        <v>Standard</v>
      </c>
      <c r="AG1693" t="str">
        <f>IF(EV_Data4[[#This Row],[customer_rating]]&gt;=4.5,"Excellent",IF(EV_Data4[[#This Row],[customer_rating]]&gt;=3.5,"Good","Average"))</f>
        <v>Good</v>
      </c>
      <c r="AH169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94" spans="1:34" x14ac:dyDescent="0.3">
      <c r="A1694" t="s">
        <v>24</v>
      </c>
      <c r="B1694" t="s">
        <v>75</v>
      </c>
      <c r="C1694">
        <v>2022</v>
      </c>
      <c r="D1694" t="s">
        <v>44</v>
      </c>
      <c r="E1694" s="3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27</v>
      </c>
      <c r="N1694">
        <v>5</v>
      </c>
      <c r="O1694" t="s">
        <v>51</v>
      </c>
      <c r="P1694">
        <v>26.4</v>
      </c>
      <c r="Q1694">
        <v>1710</v>
      </c>
      <c r="R1694">
        <v>5</v>
      </c>
      <c r="S1694">
        <v>0</v>
      </c>
      <c r="T1694" t="s">
        <v>29</v>
      </c>
      <c r="U1694" t="s">
        <v>37</v>
      </c>
      <c r="V1694" s="3">
        <v>222081</v>
      </c>
      <c r="W1694">
        <v>3.78</v>
      </c>
      <c r="X1694">
        <v>5</v>
      </c>
      <c r="Y1694" s="1">
        <f>EV_Data4[[#This Row],[range_miles]]/EV_Data4[[#This Row],[battery_capacity_kwh]]</f>
        <v>3.4312796208530805</v>
      </c>
      <c r="Z1694" s="4">
        <f>EV_Data4[[#This Row],[price_usd]]/EV_Data4[[#This Row],[range_miles]]</f>
        <v>167.15174033149171</v>
      </c>
      <c r="AA1694" s="2">
        <f>(EV_Data4[[#This Row],[customer_rating]]*EV_Data4[[#This Row],[safety_rating]]*1000)/EV_Data4[[#This Row],[price_usd]]</f>
        <v>0.3123505902351934</v>
      </c>
      <c r="AB1694">
        <f>EV_Data4[[#This Row],[horsepower]]+EV_Data4[[#This Row],[torque_nm]]/EV_Data4[[#This Row],[acceleration_0_60_mph]]</f>
        <v>728.47211895910777</v>
      </c>
      <c r="AC1694" t="str">
        <f>IF(EV_Data4[[#This Row],[price_usd]]&gt;=80000,"Luxury",IF(EV_Data4[[#This Row],[price_usd]]&gt;=40000,"Mid-Range","Budget"))</f>
        <v>Mid-Range</v>
      </c>
      <c r="AD1694" t="str">
        <f>IF(EV_Data4[[#This Row],[range_miles]]&gt;=350,"Long-Range",IF(EV_Data4[[#This Row],[range_miles]]&gt;=250,"Medium-Range","Short-Range"))</f>
        <v>Long-Range</v>
      </c>
      <c r="AE1694" t="str">
        <f>IF(EV_Data4[[#This Row],[charging_speed_kw]]&gt;=250,"Ultra-Fast",IF(EV_Data4[[#This Row],[charging_speed_kw]]&gt;=150,"Fast-Charging","Standard-Charging"))</f>
        <v>Standard-Charging</v>
      </c>
      <c r="AF1694" t="str">
        <f>IF(EV_Data4[[#This Row],[acceleration_0_60_mph]]&lt;=3,"SportsPerformance",IF(EV_Data4[[#This Row],[acceleration_0_60_mph]]&lt;=5,"HighPerformance","Standard"))</f>
        <v>Standard</v>
      </c>
      <c r="AG1694" t="str">
        <f>IF(EV_Data4[[#This Row],[customer_rating]]&gt;=4.5,"Excellent",IF(EV_Data4[[#This Row],[customer_rating]]&gt;=3.5,"Good","Average"))</f>
        <v>Good</v>
      </c>
      <c r="AH169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95" spans="1:34" x14ac:dyDescent="0.3">
      <c r="A1695" t="s">
        <v>46</v>
      </c>
      <c r="B1695" t="s">
        <v>78</v>
      </c>
      <c r="C1695">
        <v>2023</v>
      </c>
      <c r="D1695" t="s">
        <v>26</v>
      </c>
      <c r="E1695" s="3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27</v>
      </c>
      <c r="N1695">
        <v>7</v>
      </c>
      <c r="O1695" t="s">
        <v>50</v>
      </c>
      <c r="P1695">
        <v>24.6</v>
      </c>
      <c r="Q1695">
        <v>1774</v>
      </c>
      <c r="R1695">
        <v>4</v>
      </c>
      <c r="S1695">
        <v>2</v>
      </c>
      <c r="T1695" t="s">
        <v>41</v>
      </c>
      <c r="U1695" t="s">
        <v>30</v>
      </c>
      <c r="V1695" s="3">
        <v>176852</v>
      </c>
      <c r="W1695">
        <v>4.05</v>
      </c>
      <c r="X1695">
        <v>5</v>
      </c>
      <c r="Y1695" s="1">
        <f>EV_Data4[[#This Row],[range_miles]]/EV_Data4[[#This Row],[battery_capacity_kwh]]</f>
        <v>3.4413727359389892</v>
      </c>
      <c r="Z1695" s="4">
        <f>EV_Data4[[#This Row],[price_usd]]/EV_Data4[[#This Row],[range_miles]]</f>
        <v>309.60343490304706</v>
      </c>
      <c r="AA1695" s="2">
        <f>(EV_Data4[[#This Row],[customer_rating]]*EV_Data4[[#This Row],[safety_rating]]*1000)/EV_Data4[[#This Row],[price_usd]]</f>
        <v>0.14494460074204479</v>
      </c>
      <c r="AB1695">
        <f>EV_Data4[[#This Row],[horsepower]]+EV_Data4[[#This Row],[torque_nm]]/EV_Data4[[#This Row],[acceleration_0_60_mph]]</f>
        <v>1005.8670694864048</v>
      </c>
      <c r="AC1695" t="str">
        <f>IF(EV_Data4[[#This Row],[price_usd]]&gt;=80000,"Luxury",IF(EV_Data4[[#This Row],[price_usd]]&gt;=40000,"Mid-Range","Budget"))</f>
        <v>Luxury</v>
      </c>
      <c r="AD1695" t="str">
        <f>IF(EV_Data4[[#This Row],[range_miles]]&gt;=350,"Long-Range",IF(EV_Data4[[#This Row],[range_miles]]&gt;=250,"Medium-Range","Short-Range"))</f>
        <v>Long-Range</v>
      </c>
      <c r="AE1695" t="str">
        <f>IF(EV_Data4[[#This Row],[charging_speed_kw]]&gt;=250,"Ultra-Fast",IF(EV_Data4[[#This Row],[charging_speed_kw]]&gt;=150,"Fast-Charging","Standard-Charging"))</f>
        <v>Ultra-Fast</v>
      </c>
      <c r="AF1695" t="str">
        <f>IF(EV_Data4[[#This Row],[acceleration_0_60_mph]]&lt;=3,"SportsPerformance",IF(EV_Data4[[#This Row],[acceleration_0_60_mph]]&lt;=5,"HighPerformance","Standard"))</f>
        <v>HighPerformance</v>
      </c>
      <c r="AG1695" t="str">
        <f>IF(EV_Data4[[#This Row],[customer_rating]]&gt;=4.5,"Excellent",IF(EV_Data4[[#This Row],[customer_rating]]&gt;=3.5,"Good","Average"))</f>
        <v>Good</v>
      </c>
      <c r="AH169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696" spans="1:34" x14ac:dyDescent="0.3">
      <c r="A1696" t="s">
        <v>24</v>
      </c>
      <c r="B1696" t="s">
        <v>74</v>
      </c>
      <c r="C1696">
        <v>2025</v>
      </c>
      <c r="D1696" t="s">
        <v>44</v>
      </c>
      <c r="E1696" s="3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34</v>
      </c>
      <c r="N1696">
        <v>5</v>
      </c>
      <c r="O1696" t="s">
        <v>58</v>
      </c>
      <c r="P1696">
        <v>39.700000000000003</v>
      </c>
      <c r="Q1696">
        <v>1868</v>
      </c>
      <c r="R1696">
        <v>4</v>
      </c>
      <c r="S1696">
        <v>0</v>
      </c>
      <c r="T1696" t="s">
        <v>29</v>
      </c>
      <c r="U1696" t="s">
        <v>30</v>
      </c>
      <c r="V1696" s="3">
        <v>269645</v>
      </c>
      <c r="W1696">
        <v>3.59</v>
      </c>
      <c r="X1696">
        <v>5</v>
      </c>
      <c r="Y1696" s="1">
        <f>EV_Data4[[#This Row],[range_miles]]/EV_Data4[[#This Row],[battery_capacity_kwh]]</f>
        <v>3.3453670276774972</v>
      </c>
      <c r="Z1696" s="4">
        <f>EV_Data4[[#This Row],[price_usd]]/EV_Data4[[#This Row],[range_miles]]</f>
        <v>366.0337050359712</v>
      </c>
      <c r="AA1696" s="2">
        <f>(EV_Data4[[#This Row],[customer_rating]]*EV_Data4[[#This Row],[safety_rating]]*1000)/EV_Data4[[#This Row],[price_usd]]</f>
        <v>0.141119999465395</v>
      </c>
      <c r="AB1696">
        <f>EV_Data4[[#This Row],[horsepower]]+EV_Data4[[#This Row],[torque_nm]]/EV_Data4[[#This Row],[acceleration_0_60_mph]]</f>
        <v>1186.0416666666667</v>
      </c>
      <c r="AC1696" t="str">
        <f>IF(EV_Data4[[#This Row],[price_usd]]&gt;=80000,"Luxury",IF(EV_Data4[[#This Row],[price_usd]]&gt;=40000,"Mid-Range","Budget"))</f>
        <v>Luxury</v>
      </c>
      <c r="AD1696" t="str">
        <f>IF(EV_Data4[[#This Row],[range_miles]]&gt;=350,"Long-Range",IF(EV_Data4[[#This Row],[range_miles]]&gt;=250,"Medium-Range","Short-Range"))</f>
        <v>Medium-Range</v>
      </c>
      <c r="AE1696" t="str">
        <f>IF(EV_Data4[[#This Row],[charging_speed_kw]]&gt;=250,"Ultra-Fast",IF(EV_Data4[[#This Row],[charging_speed_kw]]&gt;=150,"Fast-Charging","Standard-Charging"))</f>
        <v>Standard-Charging</v>
      </c>
      <c r="AF1696" t="str">
        <f>IF(EV_Data4[[#This Row],[acceleration_0_60_mph]]&lt;=3,"SportsPerformance",IF(EV_Data4[[#This Row],[acceleration_0_60_mph]]&lt;=5,"HighPerformance","Standard"))</f>
        <v>HighPerformance</v>
      </c>
      <c r="AG1696" t="str">
        <f>IF(EV_Data4[[#This Row],[customer_rating]]&gt;=4.5,"Excellent",IF(EV_Data4[[#This Row],[customer_rating]]&gt;=3.5,"Good","Average"))</f>
        <v>Good</v>
      </c>
      <c r="AH169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697" spans="1:34" x14ac:dyDescent="0.3">
      <c r="A1697" t="s">
        <v>46</v>
      </c>
      <c r="B1697" t="s">
        <v>78</v>
      </c>
      <c r="C1697">
        <v>2021</v>
      </c>
      <c r="D1697" t="s">
        <v>33</v>
      </c>
      <c r="E1697" s="3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27</v>
      </c>
      <c r="N1697">
        <v>5</v>
      </c>
      <c r="O1697" t="s">
        <v>50</v>
      </c>
      <c r="P1697">
        <v>23.8</v>
      </c>
      <c r="Q1697">
        <v>1554</v>
      </c>
      <c r="R1697">
        <v>4</v>
      </c>
      <c r="S1697">
        <v>3</v>
      </c>
      <c r="T1697" t="s">
        <v>41</v>
      </c>
      <c r="U1697" t="s">
        <v>30</v>
      </c>
      <c r="V1697" s="3">
        <v>177339</v>
      </c>
      <c r="W1697">
        <v>3.7</v>
      </c>
      <c r="X1697">
        <v>5</v>
      </c>
      <c r="Y1697" s="1">
        <f>EV_Data4[[#This Row],[range_miles]]/EV_Data4[[#This Row],[battery_capacity_kwh]]</f>
        <v>3.5394126738794434</v>
      </c>
      <c r="Z1697" s="4">
        <f>EV_Data4[[#This Row],[price_usd]]/EV_Data4[[#This Row],[range_miles]]</f>
        <v>515.33091703056766</v>
      </c>
      <c r="AA1697" s="2">
        <f>(EV_Data4[[#This Row],[customer_rating]]*EV_Data4[[#This Row],[safety_rating]]*1000)/EV_Data4[[#This Row],[price_usd]]</f>
        <v>0.12541227165857222</v>
      </c>
      <c r="AB1697">
        <f>EV_Data4[[#This Row],[horsepower]]+EV_Data4[[#This Row],[torque_nm]]/EV_Data4[[#This Row],[acceleration_0_60_mph]]</f>
        <v>1013.255442670537</v>
      </c>
      <c r="AC1697" t="str">
        <f>IF(EV_Data4[[#This Row],[price_usd]]&gt;=80000,"Luxury",IF(EV_Data4[[#This Row],[price_usd]]&gt;=40000,"Mid-Range","Budget"))</f>
        <v>Luxury</v>
      </c>
      <c r="AD1697" t="str">
        <f>IF(EV_Data4[[#This Row],[range_miles]]&gt;=350,"Long-Range",IF(EV_Data4[[#This Row],[range_miles]]&gt;=250,"Medium-Range","Short-Range"))</f>
        <v>Short-Range</v>
      </c>
      <c r="AE1697" t="str">
        <f>IF(EV_Data4[[#This Row],[charging_speed_kw]]&gt;=250,"Ultra-Fast",IF(EV_Data4[[#This Row],[charging_speed_kw]]&gt;=150,"Fast-Charging","Standard-Charging"))</f>
        <v>Ultra-Fast</v>
      </c>
      <c r="AF1697" t="str">
        <f>IF(EV_Data4[[#This Row],[acceleration_0_60_mph]]&lt;=3,"SportsPerformance",IF(EV_Data4[[#This Row],[acceleration_0_60_mph]]&lt;=5,"HighPerformance","Standard"))</f>
        <v>Standard</v>
      </c>
      <c r="AG1697" t="str">
        <f>IF(EV_Data4[[#This Row],[customer_rating]]&gt;=4.5,"Excellent",IF(EV_Data4[[#This Row],[customer_rating]]&gt;=3.5,"Good","Average"))</f>
        <v>Good</v>
      </c>
      <c r="AH1697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698" spans="1:34" x14ac:dyDescent="0.3">
      <c r="A1698" t="s">
        <v>46</v>
      </c>
      <c r="B1698" t="s">
        <v>78</v>
      </c>
      <c r="C1698">
        <v>2024</v>
      </c>
      <c r="D1698" t="s">
        <v>33</v>
      </c>
      <c r="E1698" s="3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48</v>
      </c>
      <c r="N1698">
        <v>5</v>
      </c>
      <c r="O1698" t="s">
        <v>50</v>
      </c>
      <c r="P1698">
        <v>33.4</v>
      </c>
      <c r="Q1698">
        <v>1546</v>
      </c>
      <c r="R1698">
        <v>4</v>
      </c>
      <c r="S1698">
        <v>3</v>
      </c>
      <c r="T1698" t="s">
        <v>41</v>
      </c>
      <c r="U1698" t="s">
        <v>33</v>
      </c>
      <c r="V1698" s="3">
        <v>202000</v>
      </c>
      <c r="W1698">
        <v>3.76</v>
      </c>
      <c r="X1698">
        <v>5</v>
      </c>
      <c r="Y1698" s="1">
        <f>EV_Data4[[#This Row],[range_miles]]/EV_Data4[[#This Row],[battery_capacity_kwh]]</f>
        <v>3.9044943820224716</v>
      </c>
      <c r="Z1698" s="4">
        <f>EV_Data4[[#This Row],[price_usd]]/EV_Data4[[#This Row],[range_miles]]</f>
        <v>290.76068345323739</v>
      </c>
      <c r="AA1698" s="2">
        <f>(EV_Data4[[#This Row],[customer_rating]]*EV_Data4[[#This Row],[safety_rating]]*1000)/EV_Data4[[#This Row],[price_usd]]</f>
        <v>0.18606614478247147</v>
      </c>
      <c r="AB1698">
        <f>EV_Data4[[#This Row],[horsepower]]+EV_Data4[[#This Row],[torque_nm]]/EV_Data4[[#This Row],[acceleration_0_60_mph]]</f>
        <v>659.77419354838707</v>
      </c>
      <c r="AC1698" t="str">
        <f>IF(EV_Data4[[#This Row],[price_usd]]&gt;=80000,"Luxury",IF(EV_Data4[[#This Row],[price_usd]]&gt;=40000,"Mid-Range","Budget"))</f>
        <v>Luxury</v>
      </c>
      <c r="AD1698" t="str">
        <f>IF(EV_Data4[[#This Row],[range_miles]]&gt;=350,"Long-Range",IF(EV_Data4[[#This Row],[range_miles]]&gt;=250,"Medium-Range","Short-Range"))</f>
        <v>Medium-Range</v>
      </c>
      <c r="AE1698" t="str">
        <f>IF(EV_Data4[[#This Row],[charging_speed_kw]]&gt;=250,"Ultra-Fast",IF(EV_Data4[[#This Row],[charging_speed_kw]]&gt;=150,"Fast-Charging","Standard-Charging"))</f>
        <v>Ultra-Fast</v>
      </c>
      <c r="AF1698" t="str">
        <f>IF(EV_Data4[[#This Row],[acceleration_0_60_mph]]&lt;=3,"SportsPerformance",IF(EV_Data4[[#This Row],[acceleration_0_60_mph]]&lt;=5,"HighPerformance","Standard"))</f>
        <v>Standard</v>
      </c>
      <c r="AG1698" t="str">
        <f>IF(EV_Data4[[#This Row],[customer_rating]]&gt;=4.5,"Excellent",IF(EV_Data4[[#This Row],[customer_rating]]&gt;=3.5,"Good","Average"))</f>
        <v>Good</v>
      </c>
      <c r="AH169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699" spans="1:34" x14ac:dyDescent="0.3">
      <c r="A1699" t="s">
        <v>46</v>
      </c>
      <c r="B1699" t="s">
        <v>78</v>
      </c>
      <c r="C1699">
        <v>2021</v>
      </c>
      <c r="D1699" t="s">
        <v>44</v>
      </c>
      <c r="E1699" s="3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27</v>
      </c>
      <c r="N1699">
        <v>5</v>
      </c>
      <c r="O1699" t="s">
        <v>51</v>
      </c>
      <c r="P1699">
        <v>18.7</v>
      </c>
      <c r="Q1699">
        <v>1733</v>
      </c>
      <c r="R1699">
        <v>5</v>
      </c>
      <c r="S1699">
        <v>2</v>
      </c>
      <c r="T1699" t="s">
        <v>41</v>
      </c>
      <c r="U1699" t="s">
        <v>30</v>
      </c>
      <c r="V1699" s="3">
        <v>123098</v>
      </c>
      <c r="W1699">
        <v>3.96</v>
      </c>
      <c r="X1699">
        <v>5</v>
      </c>
      <c r="Y1699" s="1">
        <f>EV_Data4[[#This Row],[range_miles]]/EV_Data4[[#This Row],[battery_capacity_kwh]]</f>
        <v>3.5414424111948328</v>
      </c>
      <c r="Z1699" s="4">
        <f>EV_Data4[[#This Row],[price_usd]]/EV_Data4[[#This Row],[range_miles]]</f>
        <v>359.24635258358666</v>
      </c>
      <c r="AA1699" s="2">
        <f>(EV_Data4[[#This Row],[customer_rating]]*EV_Data4[[#This Row],[safety_rating]]*1000)/EV_Data4[[#This Row],[price_usd]]</f>
        <v>0.16752395782965099</v>
      </c>
      <c r="AB1699">
        <f>EV_Data4[[#This Row],[horsepower]]+EV_Data4[[#This Row],[torque_nm]]/EV_Data4[[#This Row],[acceleration_0_60_mph]]</f>
        <v>977.69369369369372</v>
      </c>
      <c r="AC1699" t="str">
        <f>IF(EV_Data4[[#This Row],[price_usd]]&gt;=80000,"Luxury",IF(EV_Data4[[#This Row],[price_usd]]&gt;=40000,"Mid-Range","Budget"))</f>
        <v>Luxury</v>
      </c>
      <c r="AD1699" t="str">
        <f>IF(EV_Data4[[#This Row],[range_miles]]&gt;=350,"Long-Range",IF(EV_Data4[[#This Row],[range_miles]]&gt;=250,"Medium-Range","Short-Range"))</f>
        <v>Medium-Range</v>
      </c>
      <c r="AE1699" t="str">
        <f>IF(EV_Data4[[#This Row],[charging_speed_kw]]&gt;=250,"Ultra-Fast",IF(EV_Data4[[#This Row],[charging_speed_kw]]&gt;=150,"Fast-Charging","Standard-Charging"))</f>
        <v>Ultra-Fast</v>
      </c>
      <c r="AF1699" t="str">
        <f>IF(EV_Data4[[#This Row],[acceleration_0_60_mph]]&lt;=3,"SportsPerformance",IF(EV_Data4[[#This Row],[acceleration_0_60_mph]]&lt;=5,"HighPerformance","Standard"))</f>
        <v>Standard</v>
      </c>
      <c r="AG1699" t="str">
        <f>IF(EV_Data4[[#This Row],[customer_rating]]&gt;=4.5,"Excellent",IF(EV_Data4[[#This Row],[customer_rating]]&gt;=3.5,"Good","Average"))</f>
        <v>Good</v>
      </c>
      <c r="AH169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00" spans="1:34" x14ac:dyDescent="0.3">
      <c r="A1700" t="s">
        <v>31</v>
      </c>
      <c r="B1700" t="s">
        <v>112</v>
      </c>
      <c r="C1700">
        <v>2025</v>
      </c>
      <c r="D1700" t="s">
        <v>61</v>
      </c>
      <c r="E1700" s="3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27</v>
      </c>
      <c r="N1700">
        <v>7</v>
      </c>
      <c r="O1700" t="s">
        <v>51</v>
      </c>
      <c r="P1700">
        <v>20.100000000000001</v>
      </c>
      <c r="Q1700">
        <v>1542</v>
      </c>
      <c r="R1700">
        <v>5</v>
      </c>
      <c r="S1700">
        <v>0</v>
      </c>
      <c r="T1700" t="s">
        <v>36</v>
      </c>
      <c r="U1700" t="s">
        <v>37</v>
      </c>
      <c r="V1700" s="3">
        <v>21759</v>
      </c>
      <c r="W1700">
        <v>3.51</v>
      </c>
      <c r="X1700">
        <v>5</v>
      </c>
      <c r="Y1700" s="1">
        <f>EV_Data4[[#This Row],[range_miles]]/EV_Data4[[#This Row],[battery_capacity_kwh]]</f>
        <v>3.6339522546419096</v>
      </c>
      <c r="Z1700" s="4">
        <f>EV_Data4[[#This Row],[price_usd]]/EV_Data4[[#This Row],[range_miles]]</f>
        <v>178.27270072992701</v>
      </c>
      <c r="AA1700" s="2">
        <f>(EV_Data4[[#This Row],[customer_rating]]*EV_Data4[[#This Row],[safety_rating]]*1000)/EV_Data4[[#This Row],[price_usd]]</f>
        <v>0.35928717424629525</v>
      </c>
      <c r="AB1700">
        <f>EV_Data4[[#This Row],[horsepower]]+EV_Data4[[#This Row],[torque_nm]]/EV_Data4[[#This Row],[acceleration_0_60_mph]]</f>
        <v>463.17910447761193</v>
      </c>
      <c r="AC1700" t="str">
        <f>IF(EV_Data4[[#This Row],[price_usd]]&gt;=80000,"Luxury",IF(EV_Data4[[#This Row],[price_usd]]&gt;=40000,"Mid-Range","Budget"))</f>
        <v>Mid-Range</v>
      </c>
      <c r="AD1700" t="str">
        <f>IF(EV_Data4[[#This Row],[range_miles]]&gt;=350,"Long-Range",IF(EV_Data4[[#This Row],[range_miles]]&gt;=250,"Medium-Range","Short-Range"))</f>
        <v>Medium-Range</v>
      </c>
      <c r="AE1700" t="str">
        <f>IF(EV_Data4[[#This Row],[charging_speed_kw]]&gt;=250,"Ultra-Fast",IF(EV_Data4[[#This Row],[charging_speed_kw]]&gt;=150,"Fast-Charging","Standard-Charging"))</f>
        <v>Standard-Charging</v>
      </c>
      <c r="AF1700" t="str">
        <f>IF(EV_Data4[[#This Row],[acceleration_0_60_mph]]&lt;=3,"SportsPerformance",IF(EV_Data4[[#This Row],[acceleration_0_60_mph]]&lt;=5,"HighPerformance","Standard"))</f>
        <v>Standard</v>
      </c>
      <c r="AG1700" t="str">
        <f>IF(EV_Data4[[#This Row],[customer_rating]]&gt;=4.5,"Excellent",IF(EV_Data4[[#This Row],[customer_rating]]&gt;=3.5,"Good","Average"))</f>
        <v>Good</v>
      </c>
      <c r="AH170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01" spans="1:34" x14ac:dyDescent="0.3">
      <c r="A1701" t="s">
        <v>42</v>
      </c>
      <c r="B1701" t="s">
        <v>115</v>
      </c>
      <c r="C1701">
        <v>2023</v>
      </c>
      <c r="D1701" t="s">
        <v>33</v>
      </c>
      <c r="E1701" s="3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34</v>
      </c>
      <c r="N1701">
        <v>7</v>
      </c>
      <c r="O1701" t="s">
        <v>40</v>
      </c>
      <c r="P1701">
        <v>76.2</v>
      </c>
      <c r="Q1701">
        <v>1788</v>
      </c>
      <c r="R1701">
        <v>4</v>
      </c>
      <c r="S1701">
        <v>0</v>
      </c>
      <c r="T1701" t="s">
        <v>45</v>
      </c>
      <c r="U1701" t="s">
        <v>33</v>
      </c>
      <c r="V1701" s="3">
        <v>95064</v>
      </c>
      <c r="W1701">
        <v>3.74</v>
      </c>
      <c r="X1701">
        <v>4</v>
      </c>
      <c r="Y1701" s="1">
        <f>EV_Data4[[#This Row],[range_miles]]/EV_Data4[[#This Row],[battery_capacity_kwh]]</f>
        <v>3.6641221374045805</v>
      </c>
      <c r="Z1701" s="4">
        <f>EV_Data4[[#This Row],[price_usd]]/EV_Data4[[#This Row],[range_miles]]</f>
        <v>286.12326388888891</v>
      </c>
      <c r="AA1701" s="2">
        <f>(EV_Data4[[#This Row],[customer_rating]]*EV_Data4[[#This Row],[safety_rating]]*1000)/EV_Data4[[#This Row],[price_usd]]</f>
        <v>0.18154568677301328</v>
      </c>
      <c r="AB1701">
        <f>EV_Data4[[#This Row],[horsepower]]+EV_Data4[[#This Row],[torque_nm]]/EV_Data4[[#This Row],[acceleration_0_60_mph]]</f>
        <v>1153.1707317073171</v>
      </c>
      <c r="AC1701" t="str">
        <f>IF(EV_Data4[[#This Row],[price_usd]]&gt;=80000,"Luxury",IF(EV_Data4[[#This Row],[price_usd]]&gt;=40000,"Mid-Range","Budget"))</f>
        <v>Luxury</v>
      </c>
      <c r="AD1701" t="str">
        <f>IF(EV_Data4[[#This Row],[range_miles]]&gt;=350,"Long-Range",IF(EV_Data4[[#This Row],[range_miles]]&gt;=250,"Medium-Range","Short-Range"))</f>
        <v>Medium-Range</v>
      </c>
      <c r="AE1701" t="str">
        <f>IF(EV_Data4[[#This Row],[charging_speed_kw]]&gt;=250,"Ultra-Fast",IF(EV_Data4[[#This Row],[charging_speed_kw]]&gt;=150,"Fast-Charging","Standard-Charging"))</f>
        <v>Standard-Charging</v>
      </c>
      <c r="AF1701" t="str">
        <f>IF(EV_Data4[[#This Row],[acceleration_0_60_mph]]&lt;=3,"SportsPerformance",IF(EV_Data4[[#This Row],[acceleration_0_60_mph]]&lt;=5,"HighPerformance","Standard"))</f>
        <v>Standard</v>
      </c>
      <c r="AG1701" t="str">
        <f>IF(EV_Data4[[#This Row],[customer_rating]]&gt;=4.5,"Excellent",IF(EV_Data4[[#This Row],[customer_rating]]&gt;=3.5,"Good","Average"))</f>
        <v>Good</v>
      </c>
      <c r="AH170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02" spans="1:34" x14ac:dyDescent="0.3">
      <c r="A1702" t="s">
        <v>59</v>
      </c>
      <c r="B1702" t="s">
        <v>60</v>
      </c>
      <c r="C1702">
        <v>2024</v>
      </c>
      <c r="D1702" t="s">
        <v>56</v>
      </c>
      <c r="E1702" s="3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34</v>
      </c>
      <c r="N1702">
        <v>7</v>
      </c>
      <c r="O1702" t="s">
        <v>35</v>
      </c>
      <c r="P1702">
        <v>55.4</v>
      </c>
      <c r="Q1702">
        <v>1923</v>
      </c>
      <c r="R1702">
        <v>4</v>
      </c>
      <c r="S1702">
        <v>1</v>
      </c>
      <c r="T1702" t="s">
        <v>41</v>
      </c>
      <c r="U1702" t="s">
        <v>33</v>
      </c>
      <c r="V1702" s="3">
        <v>25585</v>
      </c>
      <c r="W1702">
        <v>3.16</v>
      </c>
      <c r="X1702">
        <v>4</v>
      </c>
      <c r="Y1702" s="1">
        <f>EV_Data4[[#This Row],[range_miles]]/EV_Data4[[#This Row],[battery_capacity_kwh]]</f>
        <v>3.4904013961605584</v>
      </c>
      <c r="Z1702" s="4">
        <f>EV_Data4[[#This Row],[price_usd]]/EV_Data4[[#This Row],[range_miles]]</f>
        <v>427.93234999999999</v>
      </c>
      <c r="AA1702" s="2">
        <f>(EV_Data4[[#This Row],[customer_rating]]*EV_Data4[[#This Row],[safety_rating]]*1000)/EV_Data4[[#This Row],[price_usd]]</f>
        <v>0.14768689490289763</v>
      </c>
      <c r="AB1702">
        <f>EV_Data4[[#This Row],[horsepower]]+EV_Data4[[#This Row],[torque_nm]]/EV_Data4[[#This Row],[acceleration_0_60_mph]]</f>
        <v>801.4375</v>
      </c>
      <c r="AC1702" t="str">
        <f>IF(EV_Data4[[#This Row],[price_usd]]&gt;=80000,"Luxury",IF(EV_Data4[[#This Row],[price_usd]]&gt;=40000,"Mid-Range","Budget"))</f>
        <v>Luxury</v>
      </c>
      <c r="AD1702" t="str">
        <f>IF(EV_Data4[[#This Row],[range_miles]]&gt;=350,"Long-Range",IF(EV_Data4[[#This Row],[range_miles]]&gt;=250,"Medium-Range","Short-Range"))</f>
        <v>Short-Range</v>
      </c>
      <c r="AE1702" t="str">
        <f>IF(EV_Data4[[#This Row],[charging_speed_kw]]&gt;=250,"Ultra-Fast",IF(EV_Data4[[#This Row],[charging_speed_kw]]&gt;=150,"Fast-Charging","Standard-Charging"))</f>
        <v>Standard-Charging</v>
      </c>
      <c r="AF1702" t="str">
        <f>IF(EV_Data4[[#This Row],[acceleration_0_60_mph]]&lt;=3,"SportsPerformance",IF(EV_Data4[[#This Row],[acceleration_0_60_mph]]&lt;=5,"HighPerformance","Standard"))</f>
        <v>Standard</v>
      </c>
      <c r="AG1702" t="str">
        <f>IF(EV_Data4[[#This Row],[customer_rating]]&gt;=4.5,"Excellent",IF(EV_Data4[[#This Row],[customer_rating]]&gt;=3.5,"Good","Average"))</f>
        <v>Average</v>
      </c>
      <c r="AH170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03" spans="1:34" x14ac:dyDescent="0.3">
      <c r="A1703" t="s">
        <v>24</v>
      </c>
      <c r="B1703" t="s">
        <v>85</v>
      </c>
      <c r="C1703">
        <v>2024</v>
      </c>
      <c r="D1703" t="s">
        <v>26</v>
      </c>
      <c r="E1703" s="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48</v>
      </c>
      <c r="N1703">
        <v>5</v>
      </c>
      <c r="O1703" t="s">
        <v>51</v>
      </c>
      <c r="P1703">
        <v>39.9</v>
      </c>
      <c r="Q1703">
        <v>1653</v>
      </c>
      <c r="R1703">
        <v>3</v>
      </c>
      <c r="S1703">
        <v>1</v>
      </c>
      <c r="T1703" t="s">
        <v>29</v>
      </c>
      <c r="U1703" t="s">
        <v>37</v>
      </c>
      <c r="V1703" s="3">
        <v>209815</v>
      </c>
      <c r="W1703">
        <v>3.08</v>
      </c>
      <c r="X1703">
        <v>5</v>
      </c>
      <c r="Y1703" s="1">
        <f>EV_Data4[[#This Row],[range_miles]]/EV_Data4[[#This Row],[battery_capacity_kwh]]</f>
        <v>3.4538152610441766</v>
      </c>
      <c r="Z1703" s="4">
        <f>EV_Data4[[#This Row],[price_usd]]/EV_Data4[[#This Row],[range_miles]]</f>
        <v>207.71670542635661</v>
      </c>
      <c r="AA1703" s="2">
        <f>(EV_Data4[[#This Row],[customer_rating]]*EV_Data4[[#This Row],[safety_rating]]*1000)/EV_Data4[[#This Row],[price_usd]]</f>
        <v>0.17241729987417642</v>
      </c>
      <c r="AB1703">
        <f>EV_Data4[[#This Row],[horsepower]]+EV_Data4[[#This Row],[torque_nm]]/EV_Data4[[#This Row],[acceleration_0_60_mph]]</f>
        <v>674.69597069597069</v>
      </c>
      <c r="AC1703" t="str">
        <f>IF(EV_Data4[[#This Row],[price_usd]]&gt;=80000,"Luxury",IF(EV_Data4[[#This Row],[price_usd]]&gt;=40000,"Mid-Range","Budget"))</f>
        <v>Mid-Range</v>
      </c>
      <c r="AD1703" t="str">
        <f>IF(EV_Data4[[#This Row],[range_miles]]&gt;=350,"Long-Range",IF(EV_Data4[[#This Row],[range_miles]]&gt;=250,"Medium-Range","Short-Range"))</f>
        <v>Medium-Range</v>
      </c>
      <c r="AE1703" t="str">
        <f>IF(EV_Data4[[#This Row],[charging_speed_kw]]&gt;=250,"Ultra-Fast",IF(EV_Data4[[#This Row],[charging_speed_kw]]&gt;=150,"Fast-Charging","Standard-Charging"))</f>
        <v>Fast-Charging</v>
      </c>
      <c r="AF1703" t="str">
        <f>IF(EV_Data4[[#This Row],[acceleration_0_60_mph]]&lt;=3,"SportsPerformance",IF(EV_Data4[[#This Row],[acceleration_0_60_mph]]&lt;=5,"HighPerformance","Standard"))</f>
        <v>SportsPerformance</v>
      </c>
      <c r="AG1703" t="str">
        <f>IF(EV_Data4[[#This Row],[customer_rating]]&gt;=4.5,"Excellent",IF(EV_Data4[[#This Row],[customer_rating]]&gt;=3.5,"Good","Average"))</f>
        <v>Average</v>
      </c>
      <c r="AH170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04" spans="1:34" x14ac:dyDescent="0.3">
      <c r="A1704" t="s">
        <v>63</v>
      </c>
      <c r="B1704" t="s">
        <v>107</v>
      </c>
      <c r="C1704">
        <v>2022</v>
      </c>
      <c r="D1704" t="s">
        <v>61</v>
      </c>
      <c r="E1704" s="3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34</v>
      </c>
      <c r="N1704">
        <v>7</v>
      </c>
      <c r="O1704" t="s">
        <v>50</v>
      </c>
      <c r="P1704">
        <v>18.7</v>
      </c>
      <c r="Q1704">
        <v>1558</v>
      </c>
      <c r="R1704">
        <v>3</v>
      </c>
      <c r="S1704">
        <v>1</v>
      </c>
      <c r="T1704" t="s">
        <v>65</v>
      </c>
      <c r="U1704" t="s">
        <v>33</v>
      </c>
      <c r="V1704" s="3">
        <v>187796</v>
      </c>
      <c r="W1704">
        <v>3.45</v>
      </c>
      <c r="X1704">
        <v>4</v>
      </c>
      <c r="Y1704" s="1">
        <f>EV_Data4[[#This Row],[range_miles]]/EV_Data4[[#This Row],[battery_capacity_kwh]]</f>
        <v>3.5885167464114835</v>
      </c>
      <c r="Z1704" s="4">
        <f>EV_Data4[[#This Row],[price_usd]]/EV_Data4[[#This Row],[range_miles]]</f>
        <v>466.87046666666669</v>
      </c>
      <c r="AA1704" s="2">
        <f>(EV_Data4[[#This Row],[customer_rating]]*EV_Data4[[#This Row],[safety_rating]]*1000)/EV_Data4[[#This Row],[price_usd]]</f>
        <v>0.14779259971752337</v>
      </c>
      <c r="AB1704">
        <f>EV_Data4[[#This Row],[horsepower]]+EV_Data4[[#This Row],[torque_nm]]/EV_Data4[[#This Row],[acceleration_0_60_mph]]</f>
        <v>824.54450261780107</v>
      </c>
      <c r="AC1704" t="str">
        <f>IF(EV_Data4[[#This Row],[price_usd]]&gt;=80000,"Luxury",IF(EV_Data4[[#This Row],[price_usd]]&gt;=40000,"Mid-Range","Budget"))</f>
        <v>Mid-Range</v>
      </c>
      <c r="AD1704" t="str">
        <f>IF(EV_Data4[[#This Row],[range_miles]]&gt;=350,"Long-Range",IF(EV_Data4[[#This Row],[range_miles]]&gt;=250,"Medium-Range","Short-Range"))</f>
        <v>Short-Range</v>
      </c>
      <c r="AE1704" t="str">
        <f>IF(EV_Data4[[#This Row],[charging_speed_kw]]&gt;=250,"Ultra-Fast",IF(EV_Data4[[#This Row],[charging_speed_kw]]&gt;=150,"Fast-Charging","Standard-Charging"))</f>
        <v>Standard-Charging</v>
      </c>
      <c r="AF1704" t="str">
        <f>IF(EV_Data4[[#This Row],[acceleration_0_60_mph]]&lt;=3,"SportsPerformance",IF(EV_Data4[[#This Row],[acceleration_0_60_mph]]&lt;=5,"HighPerformance","Standard"))</f>
        <v>Standard</v>
      </c>
      <c r="AG1704" t="str">
        <f>IF(EV_Data4[[#This Row],[customer_rating]]&gt;=4.5,"Excellent",IF(EV_Data4[[#This Row],[customer_rating]]&gt;=3.5,"Good","Average"))</f>
        <v>Average</v>
      </c>
      <c r="AH170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05" spans="1:34" x14ac:dyDescent="0.3">
      <c r="A1705" t="s">
        <v>68</v>
      </c>
      <c r="B1705" t="s">
        <v>109</v>
      </c>
      <c r="C1705">
        <v>2024</v>
      </c>
      <c r="D1705" t="s">
        <v>61</v>
      </c>
      <c r="E1705" s="3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48</v>
      </c>
      <c r="N1705">
        <v>5</v>
      </c>
      <c r="O1705" t="s">
        <v>28</v>
      </c>
      <c r="P1705">
        <v>72.8</v>
      </c>
      <c r="Q1705">
        <v>2029</v>
      </c>
      <c r="R1705">
        <v>4</v>
      </c>
      <c r="S1705">
        <v>0</v>
      </c>
      <c r="T1705" t="s">
        <v>45</v>
      </c>
      <c r="U1705" t="s">
        <v>66</v>
      </c>
      <c r="V1705" s="3">
        <v>83425</v>
      </c>
      <c r="W1705">
        <v>3.35</v>
      </c>
      <c r="X1705">
        <v>4</v>
      </c>
      <c r="Y1705" s="1">
        <f>EV_Data4[[#This Row],[range_miles]]/EV_Data4[[#This Row],[battery_capacity_kwh]]</f>
        <v>3.2011747430249637</v>
      </c>
      <c r="Z1705" s="4">
        <f>EV_Data4[[#This Row],[price_usd]]/EV_Data4[[#This Row],[range_miles]]</f>
        <v>143.37967889908256</v>
      </c>
      <c r="AA1705" s="2">
        <f>(EV_Data4[[#This Row],[customer_rating]]*EV_Data4[[#This Row],[safety_rating]]*1000)/EV_Data4[[#This Row],[price_usd]]</f>
        <v>0.42870712488846413</v>
      </c>
      <c r="AB1705">
        <f>EV_Data4[[#This Row],[horsepower]]+EV_Data4[[#This Row],[torque_nm]]/EV_Data4[[#This Row],[acceleration_0_60_mph]]</f>
        <v>258.83979328165373</v>
      </c>
      <c r="AC1705" t="str">
        <f>IF(EV_Data4[[#This Row],[price_usd]]&gt;=80000,"Luxury",IF(EV_Data4[[#This Row],[price_usd]]&gt;=40000,"Mid-Range","Budget"))</f>
        <v>Budget</v>
      </c>
      <c r="AD1705" t="str">
        <f>IF(EV_Data4[[#This Row],[range_miles]]&gt;=350,"Long-Range",IF(EV_Data4[[#This Row],[range_miles]]&gt;=250,"Medium-Range","Short-Range"))</f>
        <v>Short-Range</v>
      </c>
      <c r="AE1705" t="str">
        <f>IF(EV_Data4[[#This Row],[charging_speed_kw]]&gt;=250,"Ultra-Fast",IF(EV_Data4[[#This Row],[charging_speed_kw]]&gt;=150,"Fast-Charging","Standard-Charging"))</f>
        <v>Standard-Charging</v>
      </c>
      <c r="AF1705" t="str">
        <f>IF(EV_Data4[[#This Row],[acceleration_0_60_mph]]&lt;=3,"SportsPerformance",IF(EV_Data4[[#This Row],[acceleration_0_60_mph]]&lt;=5,"HighPerformance","Standard"))</f>
        <v>Standard</v>
      </c>
      <c r="AG1705" t="str">
        <f>IF(EV_Data4[[#This Row],[customer_rating]]&gt;=4.5,"Excellent",IF(EV_Data4[[#This Row],[customer_rating]]&gt;=3.5,"Good","Average"))</f>
        <v>Average</v>
      </c>
      <c r="AH170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06" spans="1:34" x14ac:dyDescent="0.3">
      <c r="A1706" t="s">
        <v>24</v>
      </c>
      <c r="B1706" t="s">
        <v>75</v>
      </c>
      <c r="C1706">
        <v>2022</v>
      </c>
      <c r="D1706" t="s">
        <v>26</v>
      </c>
      <c r="E1706" s="3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48</v>
      </c>
      <c r="N1706">
        <v>7</v>
      </c>
      <c r="O1706" t="s">
        <v>51</v>
      </c>
      <c r="P1706">
        <v>21.9</v>
      </c>
      <c r="Q1706">
        <v>1500</v>
      </c>
      <c r="R1706">
        <v>5</v>
      </c>
      <c r="S1706">
        <v>1</v>
      </c>
      <c r="T1706" t="s">
        <v>29</v>
      </c>
      <c r="U1706" t="s">
        <v>33</v>
      </c>
      <c r="V1706" s="3">
        <v>280321</v>
      </c>
      <c r="W1706">
        <v>3.69</v>
      </c>
      <c r="X1706">
        <v>5</v>
      </c>
      <c r="Y1706" s="1">
        <f>EV_Data4[[#This Row],[range_miles]]/EV_Data4[[#This Row],[battery_capacity_kwh]]</f>
        <v>3.3424408014571951</v>
      </c>
      <c r="Z1706" s="4">
        <f>EV_Data4[[#This Row],[price_usd]]/EV_Data4[[#This Row],[range_miles]]</f>
        <v>210.20367847411444</v>
      </c>
      <c r="AA1706" s="2">
        <f>(EV_Data4[[#This Row],[customer_rating]]*EV_Data4[[#This Row],[safety_rating]]*1000)/EV_Data4[[#This Row],[price_usd]]</f>
        <v>0.23916079836929927</v>
      </c>
      <c r="AB1706">
        <f>EV_Data4[[#This Row],[horsepower]]+EV_Data4[[#This Row],[torque_nm]]/EV_Data4[[#This Row],[acceleration_0_60_mph]]</f>
        <v>1115.187969924812</v>
      </c>
      <c r="AC1706" t="str">
        <f>IF(EV_Data4[[#This Row],[price_usd]]&gt;=80000,"Luxury",IF(EV_Data4[[#This Row],[price_usd]]&gt;=40000,"Mid-Range","Budget"))</f>
        <v>Mid-Range</v>
      </c>
      <c r="AD1706" t="str">
        <f>IF(EV_Data4[[#This Row],[range_miles]]&gt;=350,"Long-Range",IF(EV_Data4[[#This Row],[range_miles]]&gt;=250,"Medium-Range","Short-Range"))</f>
        <v>Long-Range</v>
      </c>
      <c r="AE1706" t="str">
        <f>IF(EV_Data4[[#This Row],[charging_speed_kw]]&gt;=250,"Ultra-Fast",IF(EV_Data4[[#This Row],[charging_speed_kw]]&gt;=150,"Fast-Charging","Standard-Charging"))</f>
        <v>Fast-Charging</v>
      </c>
      <c r="AF1706" t="str">
        <f>IF(EV_Data4[[#This Row],[acceleration_0_60_mph]]&lt;=3,"SportsPerformance",IF(EV_Data4[[#This Row],[acceleration_0_60_mph]]&lt;=5,"HighPerformance","Standard"))</f>
        <v>SportsPerformance</v>
      </c>
      <c r="AG1706" t="str">
        <f>IF(EV_Data4[[#This Row],[customer_rating]]&gt;=4.5,"Excellent",IF(EV_Data4[[#This Row],[customer_rating]]&gt;=3.5,"Good","Average"))</f>
        <v>Good</v>
      </c>
      <c r="AH170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07" spans="1:34" x14ac:dyDescent="0.3">
      <c r="A1707" t="s">
        <v>46</v>
      </c>
      <c r="B1707" t="s">
        <v>47</v>
      </c>
      <c r="C1707">
        <v>2025</v>
      </c>
      <c r="D1707" t="s">
        <v>26</v>
      </c>
      <c r="E1707" s="3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27</v>
      </c>
      <c r="N1707">
        <v>7</v>
      </c>
      <c r="O1707" t="s">
        <v>50</v>
      </c>
      <c r="P1707">
        <v>22.8</v>
      </c>
      <c r="Q1707">
        <v>1570</v>
      </c>
      <c r="R1707">
        <v>4</v>
      </c>
      <c r="S1707">
        <v>2</v>
      </c>
      <c r="T1707" t="s">
        <v>41</v>
      </c>
      <c r="U1707" t="s">
        <v>30</v>
      </c>
      <c r="V1707" s="3">
        <v>119703</v>
      </c>
      <c r="W1707">
        <v>4.0199999999999996</v>
      </c>
      <c r="X1707">
        <v>6</v>
      </c>
      <c r="Y1707" s="1">
        <f>EV_Data4[[#This Row],[range_miles]]/EV_Data4[[#This Row],[battery_capacity_kwh]]</f>
        <v>3.5307262569832401</v>
      </c>
      <c r="Z1707" s="4">
        <f>EV_Data4[[#This Row],[price_usd]]/EV_Data4[[#This Row],[range_miles]]</f>
        <v>421.91034810126587</v>
      </c>
      <c r="AA1707" s="2">
        <f>(EV_Data4[[#This Row],[customer_rating]]*EV_Data4[[#This Row],[safety_rating]]*1000)/EV_Data4[[#This Row],[price_usd]]</f>
        <v>0.12060874111851254</v>
      </c>
      <c r="AB1707">
        <f>EV_Data4[[#This Row],[horsepower]]+EV_Data4[[#This Row],[torque_nm]]/EV_Data4[[#This Row],[acceleration_0_60_mph]]</f>
        <v>1309.4285714285716</v>
      </c>
      <c r="AC1707" t="str">
        <f>IF(EV_Data4[[#This Row],[price_usd]]&gt;=80000,"Luxury",IF(EV_Data4[[#This Row],[price_usd]]&gt;=40000,"Mid-Range","Budget"))</f>
        <v>Luxury</v>
      </c>
      <c r="AD1707" t="str">
        <f>IF(EV_Data4[[#This Row],[range_miles]]&gt;=350,"Long-Range",IF(EV_Data4[[#This Row],[range_miles]]&gt;=250,"Medium-Range","Short-Range"))</f>
        <v>Medium-Range</v>
      </c>
      <c r="AE1707" t="str">
        <f>IF(EV_Data4[[#This Row],[charging_speed_kw]]&gt;=250,"Ultra-Fast",IF(EV_Data4[[#This Row],[charging_speed_kw]]&gt;=150,"Fast-Charging","Standard-Charging"))</f>
        <v>Ultra-Fast</v>
      </c>
      <c r="AF1707" t="str">
        <f>IF(EV_Data4[[#This Row],[acceleration_0_60_mph]]&lt;=3,"SportsPerformance",IF(EV_Data4[[#This Row],[acceleration_0_60_mph]]&lt;=5,"HighPerformance","Standard"))</f>
        <v>SportsPerformance</v>
      </c>
      <c r="AG1707" t="str">
        <f>IF(EV_Data4[[#This Row],[customer_rating]]&gt;=4.5,"Excellent",IF(EV_Data4[[#This Row],[customer_rating]]&gt;=3.5,"Good","Average"))</f>
        <v>Good</v>
      </c>
      <c r="AH170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08" spans="1:34" x14ac:dyDescent="0.3">
      <c r="A1708" t="s">
        <v>83</v>
      </c>
      <c r="B1708" t="s">
        <v>89</v>
      </c>
      <c r="C1708">
        <v>2025</v>
      </c>
      <c r="D1708" t="s">
        <v>61</v>
      </c>
      <c r="E1708" s="3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48</v>
      </c>
      <c r="N1708">
        <v>7</v>
      </c>
      <c r="O1708" t="s">
        <v>51</v>
      </c>
      <c r="P1708">
        <v>34.1</v>
      </c>
      <c r="Q1708">
        <v>1500</v>
      </c>
      <c r="R1708">
        <v>4</v>
      </c>
      <c r="S1708">
        <v>1</v>
      </c>
      <c r="T1708" t="s">
        <v>29</v>
      </c>
      <c r="U1708" t="s">
        <v>37</v>
      </c>
      <c r="V1708" s="3">
        <v>75130</v>
      </c>
      <c r="W1708">
        <v>3.39</v>
      </c>
      <c r="X1708">
        <v>5</v>
      </c>
      <c r="Y1708" s="1">
        <f>EV_Data4[[#This Row],[range_miles]]/EV_Data4[[#This Row],[battery_capacity_kwh]]</f>
        <v>3.7220843672456576</v>
      </c>
      <c r="Z1708" s="4">
        <f>EV_Data4[[#This Row],[price_usd]]/EV_Data4[[#This Row],[range_miles]]</f>
        <v>409.93740000000003</v>
      </c>
      <c r="AA1708" s="2">
        <f>(EV_Data4[[#This Row],[customer_rating]]*EV_Data4[[#This Row],[safety_rating]]*1000)/EV_Data4[[#This Row],[price_usd]]</f>
        <v>0.22052147474224112</v>
      </c>
      <c r="AB1708">
        <f>EV_Data4[[#This Row],[horsepower]]+EV_Data4[[#This Row],[torque_nm]]/EV_Data4[[#This Row],[acceleration_0_60_mph]]</f>
        <v>322.81081081081084</v>
      </c>
      <c r="AC1708" t="str">
        <f>IF(EV_Data4[[#This Row],[price_usd]]&gt;=80000,"Luxury",IF(EV_Data4[[#This Row],[price_usd]]&gt;=40000,"Mid-Range","Budget"))</f>
        <v>Mid-Range</v>
      </c>
      <c r="AD1708" t="str">
        <f>IF(EV_Data4[[#This Row],[range_miles]]&gt;=350,"Long-Range",IF(EV_Data4[[#This Row],[range_miles]]&gt;=250,"Medium-Range","Short-Range"))</f>
        <v>Short-Range</v>
      </c>
      <c r="AE1708" t="str">
        <f>IF(EV_Data4[[#This Row],[charging_speed_kw]]&gt;=250,"Ultra-Fast",IF(EV_Data4[[#This Row],[charging_speed_kw]]&gt;=150,"Fast-Charging","Standard-Charging"))</f>
        <v>Standard-Charging</v>
      </c>
      <c r="AF1708" t="str">
        <f>IF(EV_Data4[[#This Row],[acceleration_0_60_mph]]&lt;=3,"SportsPerformance",IF(EV_Data4[[#This Row],[acceleration_0_60_mph]]&lt;=5,"HighPerformance","Standard"))</f>
        <v>Standard</v>
      </c>
      <c r="AG1708" t="str">
        <f>IF(EV_Data4[[#This Row],[customer_rating]]&gt;=4.5,"Excellent",IF(EV_Data4[[#This Row],[customer_rating]]&gt;=3.5,"Good","Average"))</f>
        <v>Average</v>
      </c>
      <c r="AH170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09" spans="1:34" x14ac:dyDescent="0.3">
      <c r="A1709" t="s">
        <v>63</v>
      </c>
      <c r="B1709" t="s">
        <v>82</v>
      </c>
      <c r="C1709">
        <v>2024</v>
      </c>
      <c r="D1709" t="s">
        <v>26</v>
      </c>
      <c r="E1709" s="3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48</v>
      </c>
      <c r="N1709">
        <v>5</v>
      </c>
      <c r="O1709" t="s">
        <v>51</v>
      </c>
      <c r="P1709">
        <v>31.1</v>
      </c>
      <c r="Q1709">
        <v>1500</v>
      </c>
      <c r="R1709">
        <v>5</v>
      </c>
      <c r="S1709">
        <v>1</v>
      </c>
      <c r="T1709" t="s">
        <v>65</v>
      </c>
      <c r="U1709" t="s">
        <v>37</v>
      </c>
      <c r="V1709" s="3">
        <v>225829</v>
      </c>
      <c r="W1709">
        <v>3.87</v>
      </c>
      <c r="X1709">
        <v>4</v>
      </c>
      <c r="Y1709" s="1">
        <f>EV_Data4[[#This Row],[range_miles]]/EV_Data4[[#This Row],[battery_capacity_kwh]]</f>
        <v>3.6654366543665438</v>
      </c>
      <c r="Z1709" s="4">
        <f>EV_Data4[[#This Row],[price_usd]]/EV_Data4[[#This Row],[range_miles]]</f>
        <v>188.59788590604026</v>
      </c>
      <c r="AA1709" s="2">
        <f>(EV_Data4[[#This Row],[customer_rating]]*EV_Data4[[#This Row],[safety_rating]]*1000)/EV_Data4[[#This Row],[price_usd]]</f>
        <v>0.34429275595586434</v>
      </c>
      <c r="AB1709">
        <f>EV_Data4[[#This Row],[horsepower]]+EV_Data4[[#This Row],[torque_nm]]/EV_Data4[[#This Row],[acceleration_0_60_mph]]</f>
        <v>715.15717539863329</v>
      </c>
      <c r="AC1709" t="str">
        <f>IF(EV_Data4[[#This Row],[price_usd]]&gt;=80000,"Luxury",IF(EV_Data4[[#This Row],[price_usd]]&gt;=40000,"Mid-Range","Budget"))</f>
        <v>Mid-Range</v>
      </c>
      <c r="AD1709" t="str">
        <f>IF(EV_Data4[[#This Row],[range_miles]]&gt;=350,"Long-Range",IF(EV_Data4[[#This Row],[range_miles]]&gt;=250,"Medium-Range","Short-Range"))</f>
        <v>Medium-Range</v>
      </c>
      <c r="AE1709" t="str">
        <f>IF(EV_Data4[[#This Row],[charging_speed_kw]]&gt;=250,"Ultra-Fast",IF(EV_Data4[[#This Row],[charging_speed_kw]]&gt;=150,"Fast-Charging","Standard-Charging"))</f>
        <v>Fast-Charging</v>
      </c>
      <c r="AF1709" t="str">
        <f>IF(EV_Data4[[#This Row],[acceleration_0_60_mph]]&lt;=3,"SportsPerformance",IF(EV_Data4[[#This Row],[acceleration_0_60_mph]]&lt;=5,"HighPerformance","Standard"))</f>
        <v>HighPerformance</v>
      </c>
      <c r="AG1709" t="str">
        <f>IF(EV_Data4[[#This Row],[customer_rating]]&gt;=4.5,"Excellent",IF(EV_Data4[[#This Row],[customer_rating]]&gt;=3.5,"Good","Average"))</f>
        <v>Good</v>
      </c>
      <c r="AH170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10" spans="1:34" x14ac:dyDescent="0.3">
      <c r="A1710" t="s">
        <v>83</v>
      </c>
      <c r="B1710" t="s">
        <v>89</v>
      </c>
      <c r="C1710">
        <v>2025</v>
      </c>
      <c r="D1710" t="s">
        <v>33</v>
      </c>
      <c r="E1710" s="3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48</v>
      </c>
      <c r="N1710">
        <v>5</v>
      </c>
      <c r="O1710" t="s">
        <v>28</v>
      </c>
      <c r="P1710">
        <v>55.7</v>
      </c>
      <c r="Q1710">
        <v>2431</v>
      </c>
      <c r="R1710">
        <v>3</v>
      </c>
      <c r="S1710">
        <v>1</v>
      </c>
      <c r="T1710" t="s">
        <v>29</v>
      </c>
      <c r="U1710" t="s">
        <v>30</v>
      </c>
      <c r="V1710" s="3">
        <v>36980</v>
      </c>
      <c r="W1710">
        <v>3.17</v>
      </c>
      <c r="X1710">
        <v>6</v>
      </c>
      <c r="Y1710" s="1">
        <f>EV_Data4[[#This Row],[range_miles]]/EV_Data4[[#This Row],[battery_capacity_kwh]]</f>
        <v>3.3266932270916332</v>
      </c>
      <c r="Z1710" s="4">
        <f>EV_Data4[[#This Row],[price_usd]]/EV_Data4[[#This Row],[range_miles]]</f>
        <v>677.96850299401206</v>
      </c>
      <c r="AA1710" s="2">
        <f>(EV_Data4[[#This Row],[customer_rating]]*EV_Data4[[#This Row],[safety_rating]]*1000)/EV_Data4[[#This Row],[price_usd]]</f>
        <v>8.3995211478038387E-2</v>
      </c>
      <c r="AB1710">
        <f>EV_Data4[[#This Row],[horsepower]]+EV_Data4[[#This Row],[torque_nm]]/EV_Data4[[#This Row],[acceleration_0_60_mph]]</f>
        <v>1129.1637426900584</v>
      </c>
      <c r="AC1710" t="str">
        <f>IF(EV_Data4[[#This Row],[price_usd]]&gt;=80000,"Luxury",IF(EV_Data4[[#This Row],[price_usd]]&gt;=40000,"Mid-Range","Budget"))</f>
        <v>Luxury</v>
      </c>
      <c r="AD1710" t="str">
        <f>IF(EV_Data4[[#This Row],[range_miles]]&gt;=350,"Long-Range",IF(EV_Data4[[#This Row],[range_miles]]&gt;=250,"Medium-Range","Short-Range"))</f>
        <v>Short-Range</v>
      </c>
      <c r="AE1710" t="str">
        <f>IF(EV_Data4[[#This Row],[charging_speed_kw]]&gt;=250,"Ultra-Fast",IF(EV_Data4[[#This Row],[charging_speed_kw]]&gt;=150,"Fast-Charging","Standard-Charging"))</f>
        <v>Standard-Charging</v>
      </c>
      <c r="AF1710" t="str">
        <f>IF(EV_Data4[[#This Row],[acceleration_0_60_mph]]&lt;=3,"SportsPerformance",IF(EV_Data4[[#This Row],[acceleration_0_60_mph]]&lt;=5,"HighPerformance","Standard"))</f>
        <v>Standard</v>
      </c>
      <c r="AG1710" t="str">
        <f>IF(EV_Data4[[#This Row],[customer_rating]]&gt;=4.5,"Excellent",IF(EV_Data4[[#This Row],[customer_rating]]&gt;=3.5,"Good","Average"))</f>
        <v>Average</v>
      </c>
      <c r="AH171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11" spans="1:34" x14ac:dyDescent="0.3">
      <c r="A1711" t="s">
        <v>83</v>
      </c>
      <c r="B1711" t="s">
        <v>114</v>
      </c>
      <c r="C1711">
        <v>2023</v>
      </c>
      <c r="D1711" t="s">
        <v>33</v>
      </c>
      <c r="E1711" s="3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48</v>
      </c>
      <c r="N1711">
        <v>5</v>
      </c>
      <c r="O1711" t="s">
        <v>51</v>
      </c>
      <c r="P1711">
        <v>22.4</v>
      </c>
      <c r="Q1711">
        <v>1510</v>
      </c>
      <c r="R1711">
        <v>5</v>
      </c>
      <c r="S1711">
        <v>1</v>
      </c>
      <c r="T1711" t="s">
        <v>29</v>
      </c>
      <c r="U1711" t="s">
        <v>30</v>
      </c>
      <c r="V1711" s="3">
        <v>58894</v>
      </c>
      <c r="W1711">
        <v>3.16</v>
      </c>
      <c r="X1711">
        <v>8</v>
      </c>
      <c r="Y1711" s="1">
        <f>EV_Data4[[#This Row],[range_miles]]/EV_Data4[[#This Row],[battery_capacity_kwh]]</f>
        <v>3.4678899082568808</v>
      </c>
      <c r="Z1711" s="4">
        <f>EV_Data4[[#This Row],[price_usd]]/EV_Data4[[#This Row],[range_miles]]</f>
        <v>554.17767195767192</v>
      </c>
      <c r="AA1711" s="2">
        <f>(EV_Data4[[#This Row],[customer_rating]]*EV_Data4[[#This Row],[safety_rating]]*1000)/EV_Data4[[#This Row],[price_usd]]</f>
        <v>0.15085032802308354</v>
      </c>
      <c r="AB1711">
        <f>EV_Data4[[#This Row],[horsepower]]+EV_Data4[[#This Row],[torque_nm]]/EV_Data4[[#This Row],[acceleration_0_60_mph]]</f>
        <v>998.68023255813955</v>
      </c>
      <c r="AC1711" t="str">
        <f>IF(EV_Data4[[#This Row],[price_usd]]&gt;=80000,"Luxury",IF(EV_Data4[[#This Row],[price_usd]]&gt;=40000,"Mid-Range","Budget"))</f>
        <v>Luxury</v>
      </c>
      <c r="AD1711" t="str">
        <f>IF(EV_Data4[[#This Row],[range_miles]]&gt;=350,"Long-Range",IF(EV_Data4[[#This Row],[range_miles]]&gt;=250,"Medium-Range","Short-Range"))</f>
        <v>Short-Range</v>
      </c>
      <c r="AE1711" t="str">
        <f>IF(EV_Data4[[#This Row],[charging_speed_kw]]&gt;=250,"Ultra-Fast",IF(EV_Data4[[#This Row],[charging_speed_kw]]&gt;=150,"Fast-Charging","Standard-Charging"))</f>
        <v>Standard-Charging</v>
      </c>
      <c r="AF1711" t="str">
        <f>IF(EV_Data4[[#This Row],[acceleration_0_60_mph]]&lt;=3,"SportsPerformance",IF(EV_Data4[[#This Row],[acceleration_0_60_mph]]&lt;=5,"HighPerformance","Standard"))</f>
        <v>Standard</v>
      </c>
      <c r="AG1711" t="str">
        <f>IF(EV_Data4[[#This Row],[customer_rating]]&gt;=4.5,"Excellent",IF(EV_Data4[[#This Row],[customer_rating]]&gt;=3.5,"Good","Average"))</f>
        <v>Average</v>
      </c>
      <c r="AH171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12" spans="1:34" x14ac:dyDescent="0.3">
      <c r="A1712" t="s">
        <v>46</v>
      </c>
      <c r="B1712" t="s">
        <v>57</v>
      </c>
      <c r="C1712">
        <v>2026</v>
      </c>
      <c r="D1712" t="s">
        <v>26</v>
      </c>
      <c r="E1712" s="3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27</v>
      </c>
      <c r="N1712">
        <v>5</v>
      </c>
      <c r="O1712" t="s">
        <v>40</v>
      </c>
      <c r="P1712">
        <v>63.3</v>
      </c>
      <c r="Q1712">
        <v>1725</v>
      </c>
      <c r="R1712">
        <v>3</v>
      </c>
      <c r="S1712">
        <v>2</v>
      </c>
      <c r="T1712" t="s">
        <v>41</v>
      </c>
      <c r="U1712" t="s">
        <v>30</v>
      </c>
      <c r="V1712" s="3">
        <v>139118</v>
      </c>
      <c r="W1712">
        <v>4.3600000000000003</v>
      </c>
      <c r="X1712">
        <v>5</v>
      </c>
      <c r="Y1712" s="1">
        <f>EV_Data4[[#This Row],[range_miles]]/EV_Data4[[#This Row],[battery_capacity_kwh]]</f>
        <v>3.5150375939849621</v>
      </c>
      <c r="Z1712" s="4">
        <f>EV_Data4[[#This Row],[price_usd]]/EV_Data4[[#This Row],[range_miles]]</f>
        <v>321.49098930481284</v>
      </c>
      <c r="AA1712" s="2">
        <f>(EV_Data4[[#This Row],[customer_rating]]*EV_Data4[[#This Row],[safety_rating]]*1000)/EV_Data4[[#This Row],[price_usd]]</f>
        <v>0.10878457933676837</v>
      </c>
      <c r="AB1712">
        <f>EV_Data4[[#This Row],[horsepower]]+EV_Data4[[#This Row],[torque_nm]]/EV_Data4[[#This Row],[acceleration_0_60_mph]]</f>
        <v>1072.6145833333333</v>
      </c>
      <c r="AC1712" t="str">
        <f>IF(EV_Data4[[#This Row],[price_usd]]&gt;=80000,"Luxury",IF(EV_Data4[[#This Row],[price_usd]]&gt;=40000,"Mid-Range","Budget"))</f>
        <v>Luxury</v>
      </c>
      <c r="AD1712" t="str">
        <f>IF(EV_Data4[[#This Row],[range_miles]]&gt;=350,"Long-Range",IF(EV_Data4[[#This Row],[range_miles]]&gt;=250,"Medium-Range","Short-Range"))</f>
        <v>Long-Range</v>
      </c>
      <c r="AE1712" t="str">
        <f>IF(EV_Data4[[#This Row],[charging_speed_kw]]&gt;=250,"Ultra-Fast",IF(EV_Data4[[#This Row],[charging_speed_kw]]&gt;=150,"Fast-Charging","Standard-Charging"))</f>
        <v>Fast-Charging</v>
      </c>
      <c r="AF1712" t="str">
        <f>IF(EV_Data4[[#This Row],[acceleration_0_60_mph]]&lt;=3,"SportsPerformance",IF(EV_Data4[[#This Row],[acceleration_0_60_mph]]&lt;=5,"HighPerformance","Standard"))</f>
        <v>HighPerformance</v>
      </c>
      <c r="AG1712" t="str">
        <f>IF(EV_Data4[[#This Row],[customer_rating]]&gt;=4.5,"Excellent",IF(EV_Data4[[#This Row],[customer_rating]]&gt;=3.5,"Good","Average"))</f>
        <v>Good</v>
      </c>
      <c r="AH171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13" spans="1:34" x14ac:dyDescent="0.3">
      <c r="A1713" t="s">
        <v>46</v>
      </c>
      <c r="B1713" t="s">
        <v>78</v>
      </c>
      <c r="C1713">
        <v>2025</v>
      </c>
      <c r="D1713" t="s">
        <v>61</v>
      </c>
      <c r="E1713" s="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34</v>
      </c>
      <c r="N1713">
        <v>5</v>
      </c>
      <c r="O1713" t="s">
        <v>50</v>
      </c>
      <c r="P1713">
        <v>36</v>
      </c>
      <c r="Q1713">
        <v>1653</v>
      </c>
      <c r="R1713">
        <v>5</v>
      </c>
      <c r="S1713">
        <v>2</v>
      </c>
      <c r="T1713" t="s">
        <v>41</v>
      </c>
      <c r="U1713" t="s">
        <v>33</v>
      </c>
      <c r="V1713" s="3">
        <v>244820</v>
      </c>
      <c r="W1713">
        <v>3.64</v>
      </c>
      <c r="X1713">
        <v>6</v>
      </c>
      <c r="Y1713" s="1">
        <f>EV_Data4[[#This Row],[range_miles]]/EV_Data4[[#This Row],[battery_capacity_kwh]]</f>
        <v>3.0927835051546388</v>
      </c>
      <c r="Z1713" s="4">
        <f>EV_Data4[[#This Row],[price_usd]]/EV_Data4[[#This Row],[range_miles]]</f>
        <v>409.76161904761904</v>
      </c>
      <c r="AA1713" s="2">
        <f>(EV_Data4[[#This Row],[customer_rating]]*EV_Data4[[#This Row],[safety_rating]]*1000)/EV_Data4[[#This Row],[price_usd]]</f>
        <v>0.21150508646490632</v>
      </c>
      <c r="AB1713">
        <f>EV_Data4[[#This Row],[horsepower]]+EV_Data4[[#This Row],[torque_nm]]/EV_Data4[[#This Row],[acceleration_0_60_mph]]</f>
        <v>610.98079763663225</v>
      </c>
      <c r="AC1713" t="str">
        <f>IF(EV_Data4[[#This Row],[price_usd]]&gt;=80000,"Luxury",IF(EV_Data4[[#This Row],[price_usd]]&gt;=40000,"Mid-Range","Budget"))</f>
        <v>Luxury</v>
      </c>
      <c r="AD1713" t="str">
        <f>IF(EV_Data4[[#This Row],[range_miles]]&gt;=350,"Long-Range",IF(EV_Data4[[#This Row],[range_miles]]&gt;=250,"Medium-Range","Short-Range"))</f>
        <v>Short-Range</v>
      </c>
      <c r="AE1713" t="str">
        <f>IF(EV_Data4[[#This Row],[charging_speed_kw]]&gt;=250,"Ultra-Fast",IF(EV_Data4[[#This Row],[charging_speed_kw]]&gt;=150,"Fast-Charging","Standard-Charging"))</f>
        <v>Fast-Charging</v>
      </c>
      <c r="AF1713" t="str">
        <f>IF(EV_Data4[[#This Row],[acceleration_0_60_mph]]&lt;=3,"SportsPerformance",IF(EV_Data4[[#This Row],[acceleration_0_60_mph]]&lt;=5,"HighPerformance","Standard"))</f>
        <v>Standard</v>
      </c>
      <c r="AG1713" t="str">
        <f>IF(EV_Data4[[#This Row],[customer_rating]]&gt;=4.5,"Excellent",IF(EV_Data4[[#This Row],[customer_rating]]&gt;=3.5,"Good","Average"))</f>
        <v>Good</v>
      </c>
      <c r="AH171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14" spans="1:34" x14ac:dyDescent="0.3">
      <c r="A1714" t="s">
        <v>76</v>
      </c>
      <c r="B1714" t="s">
        <v>91</v>
      </c>
      <c r="C1714">
        <v>2024</v>
      </c>
      <c r="D1714" t="s">
        <v>26</v>
      </c>
      <c r="E1714" s="3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34</v>
      </c>
      <c r="N1714">
        <v>2</v>
      </c>
      <c r="O1714" t="s">
        <v>28</v>
      </c>
      <c r="P1714">
        <v>79.2</v>
      </c>
      <c r="Q1714">
        <v>2490</v>
      </c>
      <c r="R1714">
        <v>5</v>
      </c>
      <c r="S1714">
        <v>0</v>
      </c>
      <c r="T1714" t="s">
        <v>41</v>
      </c>
      <c r="U1714" t="s">
        <v>30</v>
      </c>
      <c r="V1714" s="3">
        <v>26657</v>
      </c>
      <c r="W1714">
        <v>3.63</v>
      </c>
      <c r="X1714">
        <v>4</v>
      </c>
      <c r="Y1714" s="1">
        <f>EV_Data4[[#This Row],[range_miles]]/EV_Data4[[#This Row],[battery_capacity_kwh]]</f>
        <v>3.3601070950468541</v>
      </c>
      <c r="Z1714" s="4">
        <f>EV_Data4[[#This Row],[price_usd]]/EV_Data4[[#This Row],[range_miles]]</f>
        <v>450.23964143426292</v>
      </c>
      <c r="AA1714" s="2">
        <f>(EV_Data4[[#This Row],[customer_rating]]*EV_Data4[[#This Row],[safety_rating]]*1000)/EV_Data4[[#This Row],[price_usd]]</f>
        <v>0.16060504299835016</v>
      </c>
      <c r="AB1714">
        <f>EV_Data4[[#This Row],[horsepower]]+EV_Data4[[#This Row],[torque_nm]]/EV_Data4[[#This Row],[acceleration_0_60_mph]]</f>
        <v>1212.2352941176471</v>
      </c>
      <c r="AC1714" t="str">
        <f>IF(EV_Data4[[#This Row],[price_usd]]&gt;=80000,"Luxury",IF(EV_Data4[[#This Row],[price_usd]]&gt;=40000,"Mid-Range","Budget"))</f>
        <v>Luxury</v>
      </c>
      <c r="AD1714" t="str">
        <f>IF(EV_Data4[[#This Row],[range_miles]]&gt;=350,"Long-Range",IF(EV_Data4[[#This Row],[range_miles]]&gt;=250,"Medium-Range","Short-Range"))</f>
        <v>Medium-Range</v>
      </c>
      <c r="AE1714" t="str">
        <f>IF(EV_Data4[[#This Row],[charging_speed_kw]]&gt;=250,"Ultra-Fast",IF(EV_Data4[[#This Row],[charging_speed_kw]]&gt;=150,"Fast-Charging","Standard-Charging"))</f>
        <v>Fast-Charging</v>
      </c>
      <c r="AF1714" t="str">
        <f>IF(EV_Data4[[#This Row],[acceleration_0_60_mph]]&lt;=3,"SportsPerformance",IF(EV_Data4[[#This Row],[acceleration_0_60_mph]]&lt;=5,"HighPerformance","Standard"))</f>
        <v>HighPerformance</v>
      </c>
      <c r="AG1714" t="str">
        <f>IF(EV_Data4[[#This Row],[customer_rating]]&gt;=4.5,"Excellent",IF(EV_Data4[[#This Row],[customer_rating]]&gt;=3.5,"Good","Average"))</f>
        <v>Good</v>
      </c>
      <c r="AH171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15" spans="1:34" x14ac:dyDescent="0.3">
      <c r="A1715" t="s">
        <v>68</v>
      </c>
      <c r="B1715" t="s">
        <v>106</v>
      </c>
      <c r="C1715">
        <v>2022</v>
      </c>
      <c r="D1715" t="s">
        <v>26</v>
      </c>
      <c r="E1715" s="3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48</v>
      </c>
      <c r="N1715">
        <v>5</v>
      </c>
      <c r="O1715" t="s">
        <v>28</v>
      </c>
      <c r="P1715">
        <v>50.7</v>
      </c>
      <c r="Q1715">
        <v>2567</v>
      </c>
      <c r="R1715">
        <v>5</v>
      </c>
      <c r="S1715">
        <v>1</v>
      </c>
      <c r="T1715" t="s">
        <v>45</v>
      </c>
      <c r="U1715" t="s">
        <v>33</v>
      </c>
      <c r="V1715" s="3">
        <v>73010</v>
      </c>
      <c r="W1715">
        <v>3.41</v>
      </c>
      <c r="X1715">
        <v>5</v>
      </c>
      <c r="Y1715" s="1">
        <f>EV_Data4[[#This Row],[range_miles]]/EV_Data4[[#This Row],[battery_capacity_kwh]]</f>
        <v>3.3806451612903228</v>
      </c>
      <c r="Z1715" s="4">
        <f>EV_Data4[[#This Row],[price_usd]]/EV_Data4[[#This Row],[range_miles]]</f>
        <v>334.95122137404582</v>
      </c>
      <c r="AA1715" s="2">
        <f>(EV_Data4[[#This Row],[customer_rating]]*EV_Data4[[#This Row],[safety_rating]]*1000)/EV_Data4[[#This Row],[price_usd]]</f>
        <v>0.19428600860419235</v>
      </c>
      <c r="AB1715">
        <f>EV_Data4[[#This Row],[horsepower]]+EV_Data4[[#This Row],[torque_nm]]/EV_Data4[[#This Row],[acceleration_0_60_mph]]</f>
        <v>1223.3009708737864</v>
      </c>
      <c r="AC1715" t="str">
        <f>IF(EV_Data4[[#This Row],[price_usd]]&gt;=80000,"Luxury",IF(EV_Data4[[#This Row],[price_usd]]&gt;=40000,"Mid-Range","Budget"))</f>
        <v>Luxury</v>
      </c>
      <c r="AD1715" t="str">
        <f>IF(EV_Data4[[#This Row],[range_miles]]&gt;=350,"Long-Range",IF(EV_Data4[[#This Row],[range_miles]]&gt;=250,"Medium-Range","Short-Range"))</f>
        <v>Medium-Range</v>
      </c>
      <c r="AE1715" t="str">
        <f>IF(EV_Data4[[#This Row],[charging_speed_kw]]&gt;=250,"Ultra-Fast",IF(EV_Data4[[#This Row],[charging_speed_kw]]&gt;=150,"Fast-Charging","Standard-Charging"))</f>
        <v>Fast-Charging</v>
      </c>
      <c r="AF1715" t="str">
        <f>IF(EV_Data4[[#This Row],[acceleration_0_60_mph]]&lt;=3,"SportsPerformance",IF(EV_Data4[[#This Row],[acceleration_0_60_mph]]&lt;=5,"HighPerformance","Standard"))</f>
        <v>HighPerformance</v>
      </c>
      <c r="AG1715" t="str">
        <f>IF(EV_Data4[[#This Row],[customer_rating]]&gt;=4.5,"Excellent",IF(EV_Data4[[#This Row],[customer_rating]]&gt;=3.5,"Good","Average"))</f>
        <v>Average</v>
      </c>
      <c r="AH171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16" spans="1:34" x14ac:dyDescent="0.3">
      <c r="A1716" t="s">
        <v>46</v>
      </c>
      <c r="B1716" t="s">
        <v>78</v>
      </c>
      <c r="C1716">
        <v>2022</v>
      </c>
      <c r="D1716" t="s">
        <v>26</v>
      </c>
      <c r="E1716" s="3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27</v>
      </c>
      <c r="N1716">
        <v>5</v>
      </c>
      <c r="O1716" t="s">
        <v>58</v>
      </c>
      <c r="P1716">
        <v>20.8</v>
      </c>
      <c r="Q1716">
        <v>1602</v>
      </c>
      <c r="R1716">
        <v>3</v>
      </c>
      <c r="S1716">
        <v>2</v>
      </c>
      <c r="T1716" t="s">
        <v>41</v>
      </c>
      <c r="U1716" t="s">
        <v>33</v>
      </c>
      <c r="V1716" s="3">
        <v>238571</v>
      </c>
      <c r="W1716">
        <v>4.04</v>
      </c>
      <c r="X1716">
        <v>4</v>
      </c>
      <c r="Y1716" s="1">
        <f>EV_Data4[[#This Row],[range_miles]]/EV_Data4[[#This Row],[battery_capacity_kwh]]</f>
        <v>3.3909090909090911</v>
      </c>
      <c r="Z1716" s="4">
        <f>EV_Data4[[#This Row],[price_usd]]/EV_Data4[[#This Row],[range_miles]]</f>
        <v>207.45238605898126</v>
      </c>
      <c r="AA1716" s="2">
        <f>(EV_Data4[[#This Row],[customer_rating]]*EV_Data4[[#This Row],[safety_rating]]*1000)/EV_Data4[[#This Row],[price_usd]]</f>
        <v>0.1566301463406313</v>
      </c>
      <c r="AB1716">
        <f>EV_Data4[[#This Row],[horsepower]]+EV_Data4[[#This Row],[torque_nm]]/EV_Data4[[#This Row],[acceleration_0_60_mph]]</f>
        <v>743.86644951140067</v>
      </c>
      <c r="AC1716" t="str">
        <f>IF(EV_Data4[[#This Row],[price_usd]]&gt;=80000,"Luxury",IF(EV_Data4[[#This Row],[price_usd]]&gt;=40000,"Mid-Range","Budget"))</f>
        <v>Mid-Range</v>
      </c>
      <c r="AD1716" t="str">
        <f>IF(EV_Data4[[#This Row],[range_miles]]&gt;=350,"Long-Range",IF(EV_Data4[[#This Row],[range_miles]]&gt;=250,"Medium-Range","Short-Range"))</f>
        <v>Long-Range</v>
      </c>
      <c r="AE1716" t="str">
        <f>IF(EV_Data4[[#This Row],[charging_speed_kw]]&gt;=250,"Ultra-Fast",IF(EV_Data4[[#This Row],[charging_speed_kw]]&gt;=150,"Fast-Charging","Standard-Charging"))</f>
        <v>Ultra-Fast</v>
      </c>
      <c r="AF1716" t="str">
        <f>IF(EV_Data4[[#This Row],[acceleration_0_60_mph]]&lt;=3,"SportsPerformance",IF(EV_Data4[[#This Row],[acceleration_0_60_mph]]&lt;=5,"HighPerformance","Standard"))</f>
        <v>HighPerformance</v>
      </c>
      <c r="AG1716" t="str">
        <f>IF(EV_Data4[[#This Row],[customer_rating]]&gt;=4.5,"Excellent",IF(EV_Data4[[#This Row],[customer_rating]]&gt;=3.5,"Good","Average"))</f>
        <v>Good</v>
      </c>
      <c r="AH171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17" spans="1:34" x14ac:dyDescent="0.3">
      <c r="A1717" t="s">
        <v>121</v>
      </c>
      <c r="B1717" t="s">
        <v>135</v>
      </c>
      <c r="C1717">
        <v>2025</v>
      </c>
      <c r="D1717" t="s">
        <v>56</v>
      </c>
      <c r="E1717" s="3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27</v>
      </c>
      <c r="N1717">
        <v>5</v>
      </c>
      <c r="O1717" t="s">
        <v>28</v>
      </c>
      <c r="P1717">
        <v>58.8</v>
      </c>
      <c r="Q1717">
        <v>2197</v>
      </c>
      <c r="R1717">
        <v>4</v>
      </c>
      <c r="S1717">
        <v>1</v>
      </c>
      <c r="T1717" t="s">
        <v>123</v>
      </c>
      <c r="U1717" t="s">
        <v>33</v>
      </c>
      <c r="V1717" s="3">
        <v>28712</v>
      </c>
      <c r="W1717">
        <v>3</v>
      </c>
      <c r="X1717">
        <v>3</v>
      </c>
      <c r="Y1717" s="1">
        <f>EV_Data4[[#This Row],[range_miles]]/EV_Data4[[#This Row],[battery_capacity_kwh]]</f>
        <v>3.5629453681710213</v>
      </c>
      <c r="Z1717" s="4">
        <f>EV_Data4[[#This Row],[price_usd]]/EV_Data4[[#This Row],[range_miles]]</f>
        <v>583.67613333333327</v>
      </c>
      <c r="AA1717" s="2">
        <f>(EV_Data4[[#This Row],[customer_rating]]*EV_Data4[[#This Row],[safety_rating]]*1000)/EV_Data4[[#This Row],[price_usd]]</f>
        <v>0.13706231149648973</v>
      </c>
      <c r="AB1717">
        <f>EV_Data4[[#This Row],[horsepower]]+EV_Data4[[#This Row],[torque_nm]]/EV_Data4[[#This Row],[acceleration_0_60_mph]]</f>
        <v>854.54003407155028</v>
      </c>
      <c r="AC1717" t="str">
        <f>IF(EV_Data4[[#This Row],[price_usd]]&gt;=80000,"Luxury",IF(EV_Data4[[#This Row],[price_usd]]&gt;=40000,"Mid-Range","Budget"))</f>
        <v>Luxury</v>
      </c>
      <c r="AD1717" t="str">
        <f>IF(EV_Data4[[#This Row],[range_miles]]&gt;=350,"Long-Range",IF(EV_Data4[[#This Row],[range_miles]]&gt;=250,"Medium-Range","Short-Range"))</f>
        <v>Short-Range</v>
      </c>
      <c r="AE1717" t="str">
        <f>IF(EV_Data4[[#This Row],[charging_speed_kw]]&gt;=250,"Ultra-Fast",IF(EV_Data4[[#This Row],[charging_speed_kw]]&gt;=150,"Fast-Charging","Standard-Charging"))</f>
        <v>Standard-Charging</v>
      </c>
      <c r="AF1717" t="str">
        <f>IF(EV_Data4[[#This Row],[acceleration_0_60_mph]]&lt;=3,"SportsPerformance",IF(EV_Data4[[#This Row],[acceleration_0_60_mph]]&lt;=5,"HighPerformance","Standard"))</f>
        <v>Standard</v>
      </c>
      <c r="AG1717" t="str">
        <f>IF(EV_Data4[[#This Row],[customer_rating]]&gt;=4.5,"Excellent",IF(EV_Data4[[#This Row],[customer_rating]]&gt;=3.5,"Good","Average"))</f>
        <v>Average</v>
      </c>
      <c r="AH171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18" spans="1:34" x14ac:dyDescent="0.3">
      <c r="A1718" t="s">
        <v>46</v>
      </c>
      <c r="B1718" t="s">
        <v>72</v>
      </c>
      <c r="C1718">
        <v>2023</v>
      </c>
      <c r="D1718" t="s">
        <v>44</v>
      </c>
      <c r="E1718" s="3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48</v>
      </c>
      <c r="N1718">
        <v>7</v>
      </c>
      <c r="O1718" t="s">
        <v>28</v>
      </c>
      <c r="P1718">
        <v>59.9</v>
      </c>
      <c r="Q1718">
        <v>2247</v>
      </c>
      <c r="R1718">
        <v>5</v>
      </c>
      <c r="S1718">
        <v>2</v>
      </c>
      <c r="T1718" t="s">
        <v>41</v>
      </c>
      <c r="U1718" t="s">
        <v>37</v>
      </c>
      <c r="V1718" s="3">
        <v>187262</v>
      </c>
      <c r="W1718">
        <v>4.38</v>
      </c>
      <c r="X1718">
        <v>6</v>
      </c>
      <c r="Y1718" s="1">
        <f>EV_Data4[[#This Row],[range_miles]]/EV_Data4[[#This Row],[battery_capacity_kwh]]</f>
        <v>3.5486891385767789</v>
      </c>
      <c r="Z1718" s="4">
        <f>EV_Data4[[#This Row],[price_usd]]/EV_Data4[[#This Row],[range_miles]]</f>
        <v>107.62509234828497</v>
      </c>
      <c r="AA1718" s="2">
        <f>(EV_Data4[[#This Row],[customer_rating]]*EV_Data4[[#This Row],[safety_rating]]*1000)/EV_Data4[[#This Row],[price_usd]]</f>
        <v>0.53689748273531368</v>
      </c>
      <c r="AB1718">
        <f>EV_Data4[[#This Row],[horsepower]]+EV_Data4[[#This Row],[torque_nm]]/EV_Data4[[#This Row],[acceleration_0_60_mph]]</f>
        <v>330.60215053763443</v>
      </c>
      <c r="AC1718" t="str">
        <f>IF(EV_Data4[[#This Row],[price_usd]]&gt;=80000,"Luxury",IF(EV_Data4[[#This Row],[price_usd]]&gt;=40000,"Mid-Range","Budget"))</f>
        <v>Mid-Range</v>
      </c>
      <c r="AD1718" t="str">
        <f>IF(EV_Data4[[#This Row],[range_miles]]&gt;=350,"Long-Range",IF(EV_Data4[[#This Row],[range_miles]]&gt;=250,"Medium-Range","Short-Range"))</f>
        <v>Long-Range</v>
      </c>
      <c r="AE1718" t="str">
        <f>IF(EV_Data4[[#This Row],[charging_speed_kw]]&gt;=250,"Ultra-Fast",IF(EV_Data4[[#This Row],[charging_speed_kw]]&gt;=150,"Fast-Charging","Standard-Charging"))</f>
        <v>Fast-Charging</v>
      </c>
      <c r="AF1718" t="str">
        <f>IF(EV_Data4[[#This Row],[acceleration_0_60_mph]]&lt;=3,"SportsPerformance",IF(EV_Data4[[#This Row],[acceleration_0_60_mph]]&lt;=5,"HighPerformance","Standard"))</f>
        <v>HighPerformance</v>
      </c>
      <c r="AG1718" t="str">
        <f>IF(EV_Data4[[#This Row],[customer_rating]]&gt;=4.5,"Excellent",IF(EV_Data4[[#This Row],[customer_rating]]&gt;=3.5,"Good","Average"))</f>
        <v>Good</v>
      </c>
      <c r="AH171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19" spans="1:34" x14ac:dyDescent="0.3">
      <c r="A1719" t="s">
        <v>38</v>
      </c>
      <c r="B1719" t="s">
        <v>102</v>
      </c>
      <c r="C1719">
        <v>2022</v>
      </c>
      <c r="D1719" t="s">
        <v>56</v>
      </c>
      <c r="E1719" s="3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27</v>
      </c>
      <c r="N1719">
        <v>7</v>
      </c>
      <c r="O1719" t="s">
        <v>35</v>
      </c>
      <c r="P1719">
        <v>67.400000000000006</v>
      </c>
      <c r="Q1719">
        <v>1866</v>
      </c>
      <c r="R1719">
        <v>5</v>
      </c>
      <c r="S1719">
        <v>0</v>
      </c>
      <c r="T1719" t="s">
        <v>41</v>
      </c>
      <c r="U1719" t="s">
        <v>66</v>
      </c>
      <c r="V1719" s="3">
        <v>26546</v>
      </c>
      <c r="W1719">
        <v>3.6</v>
      </c>
      <c r="X1719">
        <v>4</v>
      </c>
      <c r="Y1719" s="1">
        <f>EV_Data4[[#This Row],[range_miles]]/EV_Data4[[#This Row],[battery_capacity_kwh]]</f>
        <v>3.7966537966537963</v>
      </c>
      <c r="Z1719" s="4">
        <f>EV_Data4[[#This Row],[price_usd]]/EV_Data4[[#This Row],[range_miles]]</f>
        <v>111.28538983050848</v>
      </c>
      <c r="AA1719" s="2">
        <f>(EV_Data4[[#This Row],[customer_rating]]*EV_Data4[[#This Row],[safety_rating]]*1000)/EV_Data4[[#This Row],[price_usd]]</f>
        <v>0.54829254087597035</v>
      </c>
      <c r="AB1719">
        <f>EV_Data4[[#This Row],[horsepower]]+EV_Data4[[#This Row],[torque_nm]]/EV_Data4[[#This Row],[acceleration_0_60_mph]]</f>
        <v>274.8940027894003</v>
      </c>
      <c r="AC1719" t="str">
        <f>IF(EV_Data4[[#This Row],[price_usd]]&gt;=80000,"Luxury",IF(EV_Data4[[#This Row],[price_usd]]&gt;=40000,"Mid-Range","Budget"))</f>
        <v>Budget</v>
      </c>
      <c r="AD1719" t="str">
        <f>IF(EV_Data4[[#This Row],[range_miles]]&gt;=350,"Long-Range",IF(EV_Data4[[#This Row],[range_miles]]&gt;=250,"Medium-Range","Short-Range"))</f>
        <v>Medium-Range</v>
      </c>
      <c r="AE1719" t="str">
        <f>IF(EV_Data4[[#This Row],[charging_speed_kw]]&gt;=250,"Ultra-Fast",IF(EV_Data4[[#This Row],[charging_speed_kw]]&gt;=150,"Fast-Charging","Standard-Charging"))</f>
        <v>Standard-Charging</v>
      </c>
      <c r="AF1719" t="str">
        <f>IF(EV_Data4[[#This Row],[acceleration_0_60_mph]]&lt;=3,"SportsPerformance",IF(EV_Data4[[#This Row],[acceleration_0_60_mph]]&lt;=5,"HighPerformance","Standard"))</f>
        <v>Standard</v>
      </c>
      <c r="AG1719" t="str">
        <f>IF(EV_Data4[[#This Row],[customer_rating]]&gt;=4.5,"Excellent",IF(EV_Data4[[#This Row],[customer_rating]]&gt;=3.5,"Good","Average"))</f>
        <v>Good</v>
      </c>
      <c r="AH171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20" spans="1:34" x14ac:dyDescent="0.3">
      <c r="A1720" t="s">
        <v>134</v>
      </c>
      <c r="B1720">
        <v>4</v>
      </c>
      <c r="C1720">
        <v>2023</v>
      </c>
      <c r="D1720" t="s">
        <v>26</v>
      </c>
      <c r="E1720" s="3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27</v>
      </c>
      <c r="N1720">
        <v>7</v>
      </c>
      <c r="O1720" t="s">
        <v>51</v>
      </c>
      <c r="P1720">
        <v>28.5</v>
      </c>
      <c r="Q1720">
        <v>1500</v>
      </c>
      <c r="R1720">
        <v>5</v>
      </c>
      <c r="S1720">
        <v>2</v>
      </c>
      <c r="T1720" t="s">
        <v>123</v>
      </c>
      <c r="U1720" t="s">
        <v>33</v>
      </c>
      <c r="V1720" s="3">
        <v>18672</v>
      </c>
      <c r="W1720">
        <v>3.64</v>
      </c>
      <c r="X1720">
        <v>3</v>
      </c>
      <c r="Y1720" s="1">
        <f>EV_Data4[[#This Row],[range_miles]]/EV_Data4[[#This Row],[battery_capacity_kwh]]</f>
        <v>3.5473684210526315</v>
      </c>
      <c r="Z1720" s="4">
        <f>EV_Data4[[#This Row],[price_usd]]/EV_Data4[[#This Row],[range_miles]]</f>
        <v>269.74433234421366</v>
      </c>
      <c r="AA1720" s="2">
        <f>(EV_Data4[[#This Row],[customer_rating]]*EV_Data4[[#This Row],[safety_rating]]*1000)/EV_Data4[[#This Row],[price_usd]]</f>
        <v>0.20021156421994935</v>
      </c>
      <c r="AB1720">
        <f>EV_Data4[[#This Row],[horsepower]]+EV_Data4[[#This Row],[torque_nm]]/EV_Data4[[#This Row],[acceleration_0_60_mph]]</f>
        <v>768.40932642487041</v>
      </c>
      <c r="AC1720" t="str">
        <f>IF(EV_Data4[[#This Row],[price_usd]]&gt;=80000,"Luxury",IF(EV_Data4[[#This Row],[price_usd]]&gt;=40000,"Mid-Range","Budget"))</f>
        <v>Luxury</v>
      </c>
      <c r="AD1720" t="str">
        <f>IF(EV_Data4[[#This Row],[range_miles]]&gt;=350,"Long-Range",IF(EV_Data4[[#This Row],[range_miles]]&gt;=250,"Medium-Range","Short-Range"))</f>
        <v>Medium-Range</v>
      </c>
      <c r="AE1720" t="str">
        <f>IF(EV_Data4[[#This Row],[charging_speed_kw]]&gt;=250,"Ultra-Fast",IF(EV_Data4[[#This Row],[charging_speed_kw]]&gt;=150,"Fast-Charging","Standard-Charging"))</f>
        <v>Fast-Charging</v>
      </c>
      <c r="AF1720" t="str">
        <f>IF(EV_Data4[[#This Row],[acceleration_0_60_mph]]&lt;=3,"SportsPerformance",IF(EV_Data4[[#This Row],[acceleration_0_60_mph]]&lt;=5,"HighPerformance","Standard"))</f>
        <v>HighPerformance</v>
      </c>
      <c r="AG1720" t="str">
        <f>IF(EV_Data4[[#This Row],[customer_rating]]&gt;=4.5,"Excellent",IF(EV_Data4[[#This Row],[customer_rating]]&gt;=3.5,"Good","Average"))</f>
        <v>Good</v>
      </c>
      <c r="AH172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21" spans="1:34" x14ac:dyDescent="0.3">
      <c r="A1721" t="s">
        <v>63</v>
      </c>
      <c r="B1721" t="s">
        <v>88</v>
      </c>
      <c r="C1721">
        <v>2023</v>
      </c>
      <c r="D1721" t="s">
        <v>44</v>
      </c>
      <c r="E1721" s="3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48</v>
      </c>
      <c r="N1721">
        <v>5</v>
      </c>
      <c r="O1721" t="s">
        <v>40</v>
      </c>
      <c r="P1721">
        <v>64.7</v>
      </c>
      <c r="Q1721">
        <v>1594</v>
      </c>
      <c r="R1721">
        <v>4</v>
      </c>
      <c r="S1721">
        <v>2</v>
      </c>
      <c r="T1721" t="s">
        <v>65</v>
      </c>
      <c r="U1721" t="s">
        <v>33</v>
      </c>
      <c r="V1721" s="3">
        <v>230275</v>
      </c>
      <c r="W1721">
        <v>3.52</v>
      </c>
      <c r="X1721">
        <v>5</v>
      </c>
      <c r="Y1721" s="1">
        <f>EV_Data4[[#This Row],[range_miles]]/EV_Data4[[#This Row],[battery_capacity_kwh]]</f>
        <v>3.2594235033259422</v>
      </c>
      <c r="Z1721" s="4">
        <f>EV_Data4[[#This Row],[price_usd]]/EV_Data4[[#This Row],[range_miles]]</f>
        <v>336.60333333333335</v>
      </c>
      <c r="AA1721" s="2">
        <f>(EV_Data4[[#This Row],[customer_rating]]*EV_Data4[[#This Row],[safety_rating]]*1000)/EV_Data4[[#This Row],[price_usd]]</f>
        <v>0.1422777249064231</v>
      </c>
      <c r="AB1721">
        <f>EV_Data4[[#This Row],[horsepower]]+EV_Data4[[#This Row],[torque_nm]]/EV_Data4[[#This Row],[acceleration_0_60_mph]]</f>
        <v>1163.1578947368421</v>
      </c>
      <c r="AC1721" t="str">
        <f>IF(EV_Data4[[#This Row],[price_usd]]&gt;=80000,"Luxury",IF(EV_Data4[[#This Row],[price_usd]]&gt;=40000,"Mid-Range","Budget"))</f>
        <v>Luxury</v>
      </c>
      <c r="AD1721" t="str">
        <f>IF(EV_Data4[[#This Row],[range_miles]]&gt;=350,"Long-Range",IF(EV_Data4[[#This Row],[range_miles]]&gt;=250,"Medium-Range","Short-Range"))</f>
        <v>Medium-Range</v>
      </c>
      <c r="AE1721" t="str">
        <f>IF(EV_Data4[[#This Row],[charging_speed_kw]]&gt;=250,"Ultra-Fast",IF(EV_Data4[[#This Row],[charging_speed_kw]]&gt;=150,"Fast-Charging","Standard-Charging"))</f>
        <v>Standard-Charging</v>
      </c>
      <c r="AF1721" t="str">
        <f>IF(EV_Data4[[#This Row],[acceleration_0_60_mph]]&lt;=3,"SportsPerformance",IF(EV_Data4[[#This Row],[acceleration_0_60_mph]]&lt;=5,"HighPerformance","Standard"))</f>
        <v>Standard</v>
      </c>
      <c r="AG1721" t="str">
        <f>IF(EV_Data4[[#This Row],[customer_rating]]&gt;=4.5,"Excellent",IF(EV_Data4[[#This Row],[customer_rating]]&gt;=3.5,"Good","Average"))</f>
        <v>Good</v>
      </c>
      <c r="AH172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22" spans="1:34" x14ac:dyDescent="0.3">
      <c r="A1722" t="s">
        <v>46</v>
      </c>
      <c r="B1722" t="s">
        <v>78</v>
      </c>
      <c r="C1722">
        <v>2025</v>
      </c>
      <c r="D1722" t="s">
        <v>61</v>
      </c>
      <c r="E1722" s="3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34</v>
      </c>
      <c r="N1722">
        <v>7</v>
      </c>
      <c r="O1722" t="s">
        <v>50</v>
      </c>
      <c r="P1722">
        <v>33.5</v>
      </c>
      <c r="Q1722">
        <v>1665</v>
      </c>
      <c r="R1722">
        <v>5</v>
      </c>
      <c r="S1722">
        <v>2</v>
      </c>
      <c r="T1722" t="s">
        <v>41</v>
      </c>
      <c r="U1722" t="s">
        <v>30</v>
      </c>
      <c r="V1722" s="3">
        <v>104109</v>
      </c>
      <c r="W1722">
        <v>3.74</v>
      </c>
      <c r="X1722">
        <v>6</v>
      </c>
      <c r="Y1722" s="1">
        <f>EV_Data4[[#This Row],[range_miles]]/EV_Data4[[#This Row],[battery_capacity_kwh]]</f>
        <v>3.3466666666666667</v>
      </c>
      <c r="Z1722" s="4">
        <f>EV_Data4[[#This Row],[price_usd]]/EV_Data4[[#This Row],[range_miles]]</f>
        <v>433.96334661354581</v>
      </c>
      <c r="AA1722" s="2">
        <f>(EV_Data4[[#This Row],[customer_rating]]*EV_Data4[[#This Row],[safety_rating]]*1000)/EV_Data4[[#This Row],[price_usd]]</f>
        <v>0.17167807514909372</v>
      </c>
      <c r="AB1722">
        <f>EV_Data4[[#This Row],[horsepower]]+EV_Data4[[#This Row],[torque_nm]]/EV_Data4[[#This Row],[acceleration_0_60_mph]]</f>
        <v>913.76091081593927</v>
      </c>
      <c r="AC1722" t="str">
        <f>IF(EV_Data4[[#This Row],[price_usd]]&gt;=80000,"Luxury",IF(EV_Data4[[#This Row],[price_usd]]&gt;=40000,"Mid-Range","Budget"))</f>
        <v>Luxury</v>
      </c>
      <c r="AD1722" t="str">
        <f>IF(EV_Data4[[#This Row],[range_miles]]&gt;=350,"Long-Range",IF(EV_Data4[[#This Row],[range_miles]]&gt;=250,"Medium-Range","Short-Range"))</f>
        <v>Medium-Range</v>
      </c>
      <c r="AE1722" t="str">
        <f>IF(EV_Data4[[#This Row],[charging_speed_kw]]&gt;=250,"Ultra-Fast",IF(EV_Data4[[#This Row],[charging_speed_kw]]&gt;=150,"Fast-Charging","Standard-Charging"))</f>
        <v>Ultra-Fast</v>
      </c>
      <c r="AF1722" t="str">
        <f>IF(EV_Data4[[#This Row],[acceleration_0_60_mph]]&lt;=3,"SportsPerformance",IF(EV_Data4[[#This Row],[acceleration_0_60_mph]]&lt;=5,"HighPerformance","Standard"))</f>
        <v>Standard</v>
      </c>
      <c r="AG1722" t="str">
        <f>IF(EV_Data4[[#This Row],[customer_rating]]&gt;=4.5,"Excellent",IF(EV_Data4[[#This Row],[customer_rating]]&gt;=3.5,"Good","Average"))</f>
        <v>Good</v>
      </c>
      <c r="AH172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23" spans="1:34" x14ac:dyDescent="0.3">
      <c r="A1723" t="s">
        <v>46</v>
      </c>
      <c r="B1723" t="s">
        <v>57</v>
      </c>
      <c r="C1723">
        <v>2021</v>
      </c>
      <c r="D1723" t="s">
        <v>26</v>
      </c>
      <c r="E1723" s="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48</v>
      </c>
      <c r="N1723">
        <v>7</v>
      </c>
      <c r="O1723" t="s">
        <v>51</v>
      </c>
      <c r="P1723">
        <v>20</v>
      </c>
      <c r="Q1723">
        <v>1660</v>
      </c>
      <c r="R1723">
        <v>5</v>
      </c>
      <c r="S1723">
        <v>3</v>
      </c>
      <c r="T1723" t="s">
        <v>41</v>
      </c>
      <c r="U1723" t="s">
        <v>33</v>
      </c>
      <c r="V1723" s="3">
        <v>229674</v>
      </c>
      <c r="W1723">
        <v>4</v>
      </c>
      <c r="X1723">
        <v>5</v>
      </c>
      <c r="Y1723" s="1">
        <f>EV_Data4[[#This Row],[range_miles]]/EV_Data4[[#This Row],[battery_capacity_kwh]]</f>
        <v>3.5787671232876712</v>
      </c>
      <c r="Z1723" s="4">
        <f>EV_Data4[[#This Row],[price_usd]]/EV_Data4[[#This Row],[range_miles]]</f>
        <v>183.84617224880381</v>
      </c>
      <c r="AA1723" s="2">
        <f>(EV_Data4[[#This Row],[customer_rating]]*EV_Data4[[#This Row],[safety_rating]]*1000)/EV_Data4[[#This Row],[price_usd]]</f>
        <v>0.2602550238979176</v>
      </c>
      <c r="AB1723">
        <f>EV_Data4[[#This Row],[horsepower]]+EV_Data4[[#This Row],[torque_nm]]/EV_Data4[[#This Row],[acceleration_0_60_mph]]</f>
        <v>576.0512820512821</v>
      </c>
      <c r="AC1723" t="str">
        <f>IF(EV_Data4[[#This Row],[price_usd]]&gt;=80000,"Luxury",IF(EV_Data4[[#This Row],[price_usd]]&gt;=40000,"Mid-Range","Budget"))</f>
        <v>Mid-Range</v>
      </c>
      <c r="AD1723" t="str">
        <f>IF(EV_Data4[[#This Row],[range_miles]]&gt;=350,"Long-Range",IF(EV_Data4[[#This Row],[range_miles]]&gt;=250,"Medium-Range","Short-Range"))</f>
        <v>Long-Range</v>
      </c>
      <c r="AE1723" t="str">
        <f>IF(EV_Data4[[#This Row],[charging_speed_kw]]&gt;=250,"Ultra-Fast",IF(EV_Data4[[#This Row],[charging_speed_kw]]&gt;=150,"Fast-Charging","Standard-Charging"))</f>
        <v>Fast-Charging</v>
      </c>
      <c r="AF1723" t="str">
        <f>IF(EV_Data4[[#This Row],[acceleration_0_60_mph]]&lt;=3,"SportsPerformance",IF(EV_Data4[[#This Row],[acceleration_0_60_mph]]&lt;=5,"HighPerformance","Standard"))</f>
        <v>HighPerformance</v>
      </c>
      <c r="AG1723" t="str">
        <f>IF(EV_Data4[[#This Row],[customer_rating]]&gt;=4.5,"Excellent",IF(EV_Data4[[#This Row],[customer_rating]]&gt;=3.5,"Good","Average"))</f>
        <v>Good</v>
      </c>
      <c r="AH1723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724" spans="1:34" x14ac:dyDescent="0.3">
      <c r="A1724" t="s">
        <v>63</v>
      </c>
      <c r="B1724" t="s">
        <v>107</v>
      </c>
      <c r="C1724">
        <v>2023</v>
      </c>
      <c r="D1724" t="s">
        <v>44</v>
      </c>
      <c r="E1724" s="3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34</v>
      </c>
      <c r="N1724">
        <v>5</v>
      </c>
      <c r="O1724" t="s">
        <v>58</v>
      </c>
      <c r="P1724">
        <v>31.3</v>
      </c>
      <c r="Q1724">
        <v>1582</v>
      </c>
      <c r="R1724">
        <v>5</v>
      </c>
      <c r="S1724">
        <v>1</v>
      </c>
      <c r="T1724" t="s">
        <v>65</v>
      </c>
      <c r="U1724" t="s">
        <v>37</v>
      </c>
      <c r="V1724" s="3">
        <v>146928</v>
      </c>
      <c r="W1724">
        <v>3.27</v>
      </c>
      <c r="X1724">
        <v>4</v>
      </c>
      <c r="Y1724" s="1">
        <f>EV_Data4[[#This Row],[range_miles]]/EV_Data4[[#This Row],[battery_capacity_kwh]]</f>
        <v>3.283582089552239</v>
      </c>
      <c r="Z1724" s="4">
        <f>EV_Data4[[#This Row],[price_usd]]/EV_Data4[[#This Row],[range_miles]]</f>
        <v>183.06206293706293</v>
      </c>
      <c r="AA1724" s="2">
        <f>(EV_Data4[[#This Row],[customer_rating]]*EV_Data4[[#This Row],[safety_rating]]*1000)/EV_Data4[[#This Row],[price_usd]]</f>
        <v>0.31228661608323827</v>
      </c>
      <c r="AB1724">
        <f>EV_Data4[[#This Row],[horsepower]]+EV_Data4[[#This Row],[torque_nm]]/EV_Data4[[#This Row],[acceleration_0_60_mph]]</f>
        <v>611.39860139860139</v>
      </c>
      <c r="AC1724" t="str">
        <f>IF(EV_Data4[[#This Row],[price_usd]]&gt;=80000,"Luxury",IF(EV_Data4[[#This Row],[price_usd]]&gt;=40000,"Mid-Range","Budget"))</f>
        <v>Mid-Range</v>
      </c>
      <c r="AD1724" t="str">
        <f>IF(EV_Data4[[#This Row],[range_miles]]&gt;=350,"Long-Range",IF(EV_Data4[[#This Row],[range_miles]]&gt;=250,"Medium-Range","Short-Range"))</f>
        <v>Medium-Range</v>
      </c>
      <c r="AE1724" t="str">
        <f>IF(EV_Data4[[#This Row],[charging_speed_kw]]&gt;=250,"Ultra-Fast",IF(EV_Data4[[#This Row],[charging_speed_kw]]&gt;=150,"Fast-Charging","Standard-Charging"))</f>
        <v>Standard-Charging</v>
      </c>
      <c r="AF1724" t="str">
        <f>IF(EV_Data4[[#This Row],[acceleration_0_60_mph]]&lt;=3,"SportsPerformance",IF(EV_Data4[[#This Row],[acceleration_0_60_mph]]&lt;=5,"HighPerformance","Standard"))</f>
        <v>HighPerformance</v>
      </c>
      <c r="AG1724" t="str">
        <f>IF(EV_Data4[[#This Row],[customer_rating]]&gt;=4.5,"Excellent",IF(EV_Data4[[#This Row],[customer_rating]]&gt;=3.5,"Good","Average"))</f>
        <v>Average</v>
      </c>
      <c r="AH172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25" spans="1:34" x14ac:dyDescent="0.3">
      <c r="A1725" t="s">
        <v>46</v>
      </c>
      <c r="B1725" t="s">
        <v>47</v>
      </c>
      <c r="C1725">
        <v>2025</v>
      </c>
      <c r="D1725" t="s">
        <v>56</v>
      </c>
      <c r="E1725" s="3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48</v>
      </c>
      <c r="N1725">
        <v>7</v>
      </c>
      <c r="O1725" t="s">
        <v>35</v>
      </c>
      <c r="P1725">
        <v>63.7</v>
      </c>
      <c r="Q1725">
        <v>1936</v>
      </c>
      <c r="R1725">
        <v>5</v>
      </c>
      <c r="S1725">
        <v>3</v>
      </c>
      <c r="T1725" t="s">
        <v>41</v>
      </c>
      <c r="U1725" t="s">
        <v>33</v>
      </c>
      <c r="V1725" s="3">
        <v>229357</v>
      </c>
      <c r="W1725">
        <v>3.56</v>
      </c>
      <c r="X1725">
        <v>5</v>
      </c>
      <c r="Y1725" s="1">
        <f>EV_Data4[[#This Row],[range_miles]]/EV_Data4[[#This Row],[battery_capacity_kwh]]</f>
        <v>3.6731391585760518</v>
      </c>
      <c r="Z1725" s="4">
        <f>EV_Data4[[#This Row],[price_usd]]/EV_Data4[[#This Row],[range_miles]]</f>
        <v>400.94735682819385</v>
      </c>
      <c r="AA1725" s="2">
        <f>(EV_Data4[[#This Row],[customer_rating]]*EV_Data4[[#This Row],[safety_rating]]*1000)/EV_Data4[[#This Row],[price_usd]]</f>
        <v>0.19557205099596164</v>
      </c>
      <c r="AB1725">
        <f>EV_Data4[[#This Row],[horsepower]]+EV_Data4[[#This Row],[torque_nm]]/EV_Data4[[#This Row],[acceleration_0_60_mph]]</f>
        <v>687.25171939477309</v>
      </c>
      <c r="AC1725" t="str">
        <f>IF(EV_Data4[[#This Row],[price_usd]]&gt;=80000,"Luxury",IF(EV_Data4[[#This Row],[price_usd]]&gt;=40000,"Mid-Range","Budget"))</f>
        <v>Luxury</v>
      </c>
      <c r="AD1725" t="str">
        <f>IF(EV_Data4[[#This Row],[range_miles]]&gt;=350,"Long-Range",IF(EV_Data4[[#This Row],[range_miles]]&gt;=250,"Medium-Range","Short-Range"))</f>
        <v>Short-Range</v>
      </c>
      <c r="AE1725" t="str">
        <f>IF(EV_Data4[[#This Row],[charging_speed_kw]]&gt;=250,"Ultra-Fast",IF(EV_Data4[[#This Row],[charging_speed_kw]]&gt;=150,"Fast-Charging","Standard-Charging"))</f>
        <v>Ultra-Fast</v>
      </c>
      <c r="AF1725" t="str">
        <f>IF(EV_Data4[[#This Row],[acceleration_0_60_mph]]&lt;=3,"SportsPerformance",IF(EV_Data4[[#This Row],[acceleration_0_60_mph]]&lt;=5,"HighPerformance","Standard"))</f>
        <v>Standard</v>
      </c>
      <c r="AG1725" t="str">
        <f>IF(EV_Data4[[#This Row],[customer_rating]]&gt;=4.5,"Excellent",IF(EV_Data4[[#This Row],[customer_rating]]&gt;=3.5,"Good","Average"))</f>
        <v>Good</v>
      </c>
      <c r="AH1725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726" spans="1:34" x14ac:dyDescent="0.3">
      <c r="A1726" t="s">
        <v>38</v>
      </c>
      <c r="B1726" t="s">
        <v>101</v>
      </c>
      <c r="C1726">
        <v>2025</v>
      </c>
      <c r="D1726" t="s">
        <v>26</v>
      </c>
      <c r="E1726" s="3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27</v>
      </c>
      <c r="N1726">
        <v>5</v>
      </c>
      <c r="O1726" t="s">
        <v>50</v>
      </c>
      <c r="P1726">
        <v>37.799999999999997</v>
      </c>
      <c r="Q1726">
        <v>1677</v>
      </c>
      <c r="R1726">
        <v>5</v>
      </c>
      <c r="S1726">
        <v>2</v>
      </c>
      <c r="T1726" t="s">
        <v>41</v>
      </c>
      <c r="U1726" t="s">
        <v>37</v>
      </c>
      <c r="V1726" s="3">
        <v>7434</v>
      </c>
      <c r="W1726">
        <v>3.72</v>
      </c>
      <c r="X1726">
        <v>4</v>
      </c>
      <c r="Y1726" s="1">
        <f>EV_Data4[[#This Row],[range_miles]]/EV_Data4[[#This Row],[battery_capacity_kwh]]</f>
        <v>3.444206008583691</v>
      </c>
      <c r="Z1726" s="4">
        <f>EV_Data4[[#This Row],[price_usd]]/EV_Data4[[#This Row],[range_miles]]</f>
        <v>139.51507788161993</v>
      </c>
      <c r="AA1726" s="2">
        <f>(EV_Data4[[#This Row],[customer_rating]]*EV_Data4[[#This Row],[safety_rating]]*1000)/EV_Data4[[#This Row],[price_usd]]</f>
        <v>0.41532374932844834</v>
      </c>
      <c r="AB1726">
        <f>EV_Data4[[#This Row],[horsepower]]+EV_Data4[[#This Row],[torque_nm]]/EV_Data4[[#This Row],[acceleration_0_60_mph]]</f>
        <v>518.24719101123594</v>
      </c>
      <c r="AC1726" t="str">
        <f>IF(EV_Data4[[#This Row],[price_usd]]&gt;=80000,"Luxury",IF(EV_Data4[[#This Row],[price_usd]]&gt;=40000,"Mid-Range","Budget"))</f>
        <v>Mid-Range</v>
      </c>
      <c r="AD1726" t="str">
        <f>IF(EV_Data4[[#This Row],[range_miles]]&gt;=350,"Long-Range",IF(EV_Data4[[#This Row],[range_miles]]&gt;=250,"Medium-Range","Short-Range"))</f>
        <v>Medium-Range</v>
      </c>
      <c r="AE1726" t="str">
        <f>IF(EV_Data4[[#This Row],[charging_speed_kw]]&gt;=250,"Ultra-Fast",IF(EV_Data4[[#This Row],[charging_speed_kw]]&gt;=150,"Fast-Charging","Standard-Charging"))</f>
        <v>Fast-Charging</v>
      </c>
      <c r="AF1726" t="str">
        <f>IF(EV_Data4[[#This Row],[acceleration_0_60_mph]]&lt;=3,"SportsPerformance",IF(EV_Data4[[#This Row],[acceleration_0_60_mph]]&lt;=5,"HighPerformance","Standard"))</f>
        <v>HighPerformance</v>
      </c>
      <c r="AG1726" t="str">
        <f>IF(EV_Data4[[#This Row],[customer_rating]]&gt;=4.5,"Excellent",IF(EV_Data4[[#This Row],[customer_rating]]&gt;=3.5,"Good","Average"))</f>
        <v>Good</v>
      </c>
      <c r="AH172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27" spans="1:34" x14ac:dyDescent="0.3">
      <c r="A1727" t="s">
        <v>46</v>
      </c>
      <c r="B1727" t="s">
        <v>47</v>
      </c>
      <c r="C1727">
        <v>2025</v>
      </c>
      <c r="D1727" t="s">
        <v>44</v>
      </c>
      <c r="E1727" s="3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48</v>
      </c>
      <c r="N1727">
        <v>5</v>
      </c>
      <c r="O1727" t="s">
        <v>58</v>
      </c>
      <c r="P1727">
        <v>15.4</v>
      </c>
      <c r="Q1727">
        <v>1655</v>
      </c>
      <c r="R1727">
        <v>4</v>
      </c>
      <c r="S1727">
        <v>2</v>
      </c>
      <c r="T1727" t="s">
        <v>41</v>
      </c>
      <c r="U1727" t="s">
        <v>33</v>
      </c>
      <c r="V1727" s="3">
        <v>246722</v>
      </c>
      <c r="W1727">
        <v>3.99</v>
      </c>
      <c r="X1727">
        <v>5</v>
      </c>
      <c r="Y1727" s="1">
        <f>EV_Data4[[#This Row],[range_miles]]/EV_Data4[[#This Row],[battery_capacity_kwh]]</f>
        <v>3.2608695652173916</v>
      </c>
      <c r="Z1727" s="4">
        <f>EV_Data4[[#This Row],[price_usd]]/EV_Data4[[#This Row],[range_miles]]</f>
        <v>269.82377777777782</v>
      </c>
      <c r="AA1727" s="2">
        <f>(EV_Data4[[#This Row],[customer_rating]]*EV_Data4[[#This Row],[safety_rating]]*1000)/EV_Data4[[#This Row],[price_usd]]</f>
        <v>0.18777687824234252</v>
      </c>
      <c r="AB1727">
        <f>EV_Data4[[#This Row],[horsepower]]+EV_Data4[[#This Row],[torque_nm]]/EV_Data4[[#This Row],[acceleration_0_60_mph]]</f>
        <v>716.46524064171126</v>
      </c>
      <c r="AC1727" t="str">
        <f>IF(EV_Data4[[#This Row],[price_usd]]&gt;=80000,"Luxury",IF(EV_Data4[[#This Row],[price_usd]]&gt;=40000,"Mid-Range","Budget"))</f>
        <v>Luxury</v>
      </c>
      <c r="AD1727" t="str">
        <f>IF(EV_Data4[[#This Row],[range_miles]]&gt;=350,"Long-Range",IF(EV_Data4[[#This Row],[range_miles]]&gt;=250,"Medium-Range","Short-Range"))</f>
        <v>Medium-Range</v>
      </c>
      <c r="AE1727" t="str">
        <f>IF(EV_Data4[[#This Row],[charging_speed_kw]]&gt;=250,"Ultra-Fast",IF(EV_Data4[[#This Row],[charging_speed_kw]]&gt;=150,"Fast-Charging","Standard-Charging"))</f>
        <v>Ultra-Fast</v>
      </c>
      <c r="AF1727" t="str">
        <f>IF(EV_Data4[[#This Row],[acceleration_0_60_mph]]&lt;=3,"SportsPerformance",IF(EV_Data4[[#This Row],[acceleration_0_60_mph]]&lt;=5,"HighPerformance","Standard"))</f>
        <v>Standard</v>
      </c>
      <c r="AG1727" t="str">
        <f>IF(EV_Data4[[#This Row],[customer_rating]]&gt;=4.5,"Excellent",IF(EV_Data4[[#This Row],[customer_rating]]&gt;=3.5,"Good","Average"))</f>
        <v>Good</v>
      </c>
      <c r="AH172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28" spans="1:34" x14ac:dyDescent="0.3">
      <c r="A1728" t="s">
        <v>68</v>
      </c>
      <c r="B1728" t="s">
        <v>109</v>
      </c>
      <c r="C1728">
        <v>2026</v>
      </c>
      <c r="D1728" t="s">
        <v>33</v>
      </c>
      <c r="E1728" s="3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34</v>
      </c>
      <c r="N1728">
        <v>5</v>
      </c>
      <c r="O1728" t="s">
        <v>50</v>
      </c>
      <c r="P1728">
        <v>18.3</v>
      </c>
      <c r="Q1728">
        <v>1791</v>
      </c>
      <c r="R1728">
        <v>3</v>
      </c>
      <c r="S1728">
        <v>2</v>
      </c>
      <c r="T1728" t="s">
        <v>45</v>
      </c>
      <c r="U1728" t="s">
        <v>33</v>
      </c>
      <c r="V1728" s="3">
        <v>111030</v>
      </c>
      <c r="W1728">
        <v>3.22</v>
      </c>
      <c r="X1728">
        <v>3</v>
      </c>
      <c r="Y1728" s="1">
        <f>EV_Data4[[#This Row],[range_miles]]/EV_Data4[[#This Row],[battery_capacity_kwh]]</f>
        <v>3.4825174825174825</v>
      </c>
      <c r="Z1728" s="4">
        <f>EV_Data4[[#This Row],[price_usd]]/EV_Data4[[#This Row],[range_miles]]</f>
        <v>381.55562248995989</v>
      </c>
      <c r="AA1728" s="2">
        <f>(EV_Data4[[#This Row],[customer_rating]]*EV_Data4[[#This Row],[safety_rating]]*1000)/EV_Data4[[#This Row],[price_usd]]</f>
        <v>0.10167634398812302</v>
      </c>
      <c r="AB1728">
        <f>EV_Data4[[#This Row],[horsepower]]+EV_Data4[[#This Row],[torque_nm]]/EV_Data4[[#This Row],[acceleration_0_60_mph]]</f>
        <v>1133.0849478390462</v>
      </c>
      <c r="AC1728" t="str">
        <f>IF(EV_Data4[[#This Row],[price_usd]]&gt;=80000,"Luxury",IF(EV_Data4[[#This Row],[price_usd]]&gt;=40000,"Mid-Range","Budget"))</f>
        <v>Luxury</v>
      </c>
      <c r="AD1728" t="str">
        <f>IF(EV_Data4[[#This Row],[range_miles]]&gt;=350,"Long-Range",IF(EV_Data4[[#This Row],[range_miles]]&gt;=250,"Medium-Range","Short-Range"))</f>
        <v>Short-Range</v>
      </c>
      <c r="AE1728" t="str">
        <f>IF(EV_Data4[[#This Row],[charging_speed_kw]]&gt;=250,"Ultra-Fast",IF(EV_Data4[[#This Row],[charging_speed_kw]]&gt;=150,"Fast-Charging","Standard-Charging"))</f>
        <v>Standard-Charging</v>
      </c>
      <c r="AF1728" t="str">
        <f>IF(EV_Data4[[#This Row],[acceleration_0_60_mph]]&lt;=3,"SportsPerformance",IF(EV_Data4[[#This Row],[acceleration_0_60_mph]]&lt;=5,"HighPerformance","Standard"))</f>
        <v>Standard</v>
      </c>
      <c r="AG1728" t="str">
        <f>IF(EV_Data4[[#This Row],[customer_rating]]&gt;=4.5,"Excellent",IF(EV_Data4[[#This Row],[customer_rating]]&gt;=3.5,"Good","Average"))</f>
        <v>Average</v>
      </c>
      <c r="AH172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29" spans="1:34" x14ac:dyDescent="0.3">
      <c r="A1729" t="s">
        <v>131</v>
      </c>
      <c r="B1729" t="s">
        <v>132</v>
      </c>
      <c r="C1729">
        <v>2024</v>
      </c>
      <c r="D1729" t="s">
        <v>33</v>
      </c>
      <c r="E1729" s="3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27</v>
      </c>
      <c r="N1729">
        <v>5</v>
      </c>
      <c r="O1729" t="s">
        <v>35</v>
      </c>
      <c r="P1729">
        <v>56.5</v>
      </c>
      <c r="Q1729">
        <v>1829</v>
      </c>
      <c r="R1729">
        <v>4</v>
      </c>
      <c r="S1729">
        <v>0</v>
      </c>
      <c r="T1729" t="s">
        <v>65</v>
      </c>
      <c r="U1729" t="s">
        <v>33</v>
      </c>
      <c r="V1729" s="3">
        <v>29176</v>
      </c>
      <c r="W1729">
        <v>3.31</v>
      </c>
      <c r="X1729">
        <v>3</v>
      </c>
      <c r="Y1729" s="1">
        <f>EV_Data4[[#This Row],[range_miles]]/EV_Data4[[#This Row],[battery_capacity_kwh]]</f>
        <v>3.2398753894080996</v>
      </c>
      <c r="Z1729" s="4">
        <f>EV_Data4[[#This Row],[price_usd]]/EV_Data4[[#This Row],[range_miles]]</f>
        <v>429.37807692307695</v>
      </c>
      <c r="AA1729" s="2">
        <f>(EV_Data4[[#This Row],[customer_rating]]*EV_Data4[[#This Row],[safety_rating]]*1000)/EV_Data4[[#This Row],[price_usd]]</f>
        <v>0.14824661428918212</v>
      </c>
      <c r="AB1729">
        <f>EV_Data4[[#This Row],[horsepower]]+EV_Data4[[#This Row],[torque_nm]]/EV_Data4[[#This Row],[acceleration_0_60_mph]]</f>
        <v>1162.210338680927</v>
      </c>
      <c r="AC1729" t="str">
        <f>IF(EV_Data4[[#This Row],[price_usd]]&gt;=80000,"Luxury",IF(EV_Data4[[#This Row],[price_usd]]&gt;=40000,"Mid-Range","Budget"))</f>
        <v>Luxury</v>
      </c>
      <c r="AD1729" t="str">
        <f>IF(EV_Data4[[#This Row],[range_miles]]&gt;=350,"Long-Range",IF(EV_Data4[[#This Row],[range_miles]]&gt;=250,"Medium-Range","Short-Range"))</f>
        <v>Short-Range</v>
      </c>
      <c r="AE1729" t="str">
        <f>IF(EV_Data4[[#This Row],[charging_speed_kw]]&gt;=250,"Ultra-Fast",IF(EV_Data4[[#This Row],[charging_speed_kw]]&gt;=150,"Fast-Charging","Standard-Charging"))</f>
        <v>Standard-Charging</v>
      </c>
      <c r="AF1729" t="str">
        <f>IF(EV_Data4[[#This Row],[acceleration_0_60_mph]]&lt;=3,"SportsPerformance",IF(EV_Data4[[#This Row],[acceleration_0_60_mph]]&lt;=5,"HighPerformance","Standard"))</f>
        <v>Standard</v>
      </c>
      <c r="AG1729" t="str">
        <f>IF(EV_Data4[[#This Row],[customer_rating]]&gt;=4.5,"Excellent",IF(EV_Data4[[#This Row],[customer_rating]]&gt;=3.5,"Good","Average"))</f>
        <v>Average</v>
      </c>
      <c r="AH172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30" spans="1:34" x14ac:dyDescent="0.3">
      <c r="A1730" t="s">
        <v>76</v>
      </c>
      <c r="B1730" t="s">
        <v>77</v>
      </c>
      <c r="C1730">
        <v>2024</v>
      </c>
      <c r="D1730" t="s">
        <v>61</v>
      </c>
      <c r="E1730" s="3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48</v>
      </c>
      <c r="N1730">
        <v>5</v>
      </c>
      <c r="O1730" t="s">
        <v>50</v>
      </c>
      <c r="P1730">
        <v>28.6</v>
      </c>
      <c r="Q1730">
        <v>1516</v>
      </c>
      <c r="R1730">
        <v>5</v>
      </c>
      <c r="S1730">
        <v>1</v>
      </c>
      <c r="T1730" t="s">
        <v>41</v>
      </c>
      <c r="U1730" t="s">
        <v>33</v>
      </c>
      <c r="V1730" s="3">
        <v>58727</v>
      </c>
      <c r="W1730">
        <v>3.6</v>
      </c>
      <c r="X1730">
        <v>3</v>
      </c>
      <c r="Y1730" s="1">
        <f>EV_Data4[[#This Row],[range_miles]]/EV_Data4[[#This Row],[battery_capacity_kwh]]</f>
        <v>3.5221674876847291</v>
      </c>
      <c r="Z1730" s="4">
        <f>EV_Data4[[#This Row],[price_usd]]/EV_Data4[[#This Row],[range_miles]]</f>
        <v>234.64174825174823</v>
      </c>
      <c r="AA1730" s="2">
        <f>(EV_Data4[[#This Row],[customer_rating]]*EV_Data4[[#This Row],[safety_rating]]*1000)/EV_Data4[[#This Row],[price_usd]]</f>
        <v>0.26822619336068648</v>
      </c>
      <c r="AB1730">
        <f>EV_Data4[[#This Row],[horsepower]]+EV_Data4[[#This Row],[torque_nm]]/EV_Data4[[#This Row],[acceleration_0_60_mph]]</f>
        <v>869.4545454545455</v>
      </c>
      <c r="AC1730" t="str">
        <f>IF(EV_Data4[[#This Row],[price_usd]]&gt;=80000,"Luxury",IF(EV_Data4[[#This Row],[price_usd]]&gt;=40000,"Mid-Range","Budget"))</f>
        <v>Mid-Range</v>
      </c>
      <c r="AD1730" t="str">
        <f>IF(EV_Data4[[#This Row],[range_miles]]&gt;=350,"Long-Range",IF(EV_Data4[[#This Row],[range_miles]]&gt;=250,"Medium-Range","Short-Range"))</f>
        <v>Medium-Range</v>
      </c>
      <c r="AE1730" t="str">
        <f>IF(EV_Data4[[#This Row],[charging_speed_kw]]&gt;=250,"Ultra-Fast",IF(EV_Data4[[#This Row],[charging_speed_kw]]&gt;=150,"Fast-Charging","Standard-Charging"))</f>
        <v>Standard-Charging</v>
      </c>
      <c r="AF1730" t="str">
        <f>IF(EV_Data4[[#This Row],[acceleration_0_60_mph]]&lt;=3,"SportsPerformance",IF(EV_Data4[[#This Row],[acceleration_0_60_mph]]&lt;=5,"HighPerformance","Standard"))</f>
        <v>Standard</v>
      </c>
      <c r="AG1730" t="str">
        <f>IF(EV_Data4[[#This Row],[customer_rating]]&gt;=4.5,"Excellent",IF(EV_Data4[[#This Row],[customer_rating]]&gt;=3.5,"Good","Average"))</f>
        <v>Good</v>
      </c>
      <c r="AH173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31" spans="1:34" x14ac:dyDescent="0.3">
      <c r="A1731" t="s">
        <v>42</v>
      </c>
      <c r="B1731" t="s">
        <v>54</v>
      </c>
      <c r="C1731">
        <v>2024</v>
      </c>
      <c r="D1731" t="s">
        <v>56</v>
      </c>
      <c r="E1731" s="3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34</v>
      </c>
      <c r="N1731">
        <v>5</v>
      </c>
      <c r="O1731" t="s">
        <v>50</v>
      </c>
      <c r="P1731">
        <v>15.3</v>
      </c>
      <c r="Q1731">
        <v>1503</v>
      </c>
      <c r="R1731">
        <v>5</v>
      </c>
      <c r="S1731">
        <v>0</v>
      </c>
      <c r="T1731" t="s">
        <v>45</v>
      </c>
      <c r="U1731" t="s">
        <v>37</v>
      </c>
      <c r="V1731" s="3">
        <v>107160</v>
      </c>
      <c r="W1731">
        <v>3.3</v>
      </c>
      <c r="X1731">
        <v>3</v>
      </c>
      <c r="Y1731" s="1">
        <f>EV_Data4[[#This Row],[range_miles]]/EV_Data4[[#This Row],[battery_capacity_kwh]]</f>
        <v>3.4222222222222221</v>
      </c>
      <c r="Z1731" s="4">
        <f>EV_Data4[[#This Row],[price_usd]]/EV_Data4[[#This Row],[range_miles]]</f>
        <v>365.95363636363635</v>
      </c>
      <c r="AA1731" s="2">
        <f>(EV_Data4[[#This Row],[customer_rating]]*EV_Data4[[#This Row],[safety_rating]]*1000)/EV_Data4[[#This Row],[price_usd]]</f>
        <v>0.29277713485101903</v>
      </c>
      <c r="AB1731">
        <f>EV_Data4[[#This Row],[horsepower]]+EV_Data4[[#This Row],[torque_nm]]/EV_Data4[[#This Row],[acceleration_0_60_mph]]</f>
        <v>699.30612244897964</v>
      </c>
      <c r="AC1731" t="str">
        <f>IF(EV_Data4[[#This Row],[price_usd]]&gt;=80000,"Luxury",IF(EV_Data4[[#This Row],[price_usd]]&gt;=40000,"Mid-Range","Budget"))</f>
        <v>Mid-Range</v>
      </c>
      <c r="AD1731" t="str">
        <f>IF(EV_Data4[[#This Row],[range_miles]]&gt;=350,"Long-Range",IF(EV_Data4[[#This Row],[range_miles]]&gt;=250,"Medium-Range","Short-Range"))</f>
        <v>Short-Range</v>
      </c>
      <c r="AE1731" t="str">
        <f>IF(EV_Data4[[#This Row],[charging_speed_kw]]&gt;=250,"Ultra-Fast",IF(EV_Data4[[#This Row],[charging_speed_kw]]&gt;=150,"Fast-Charging","Standard-Charging"))</f>
        <v>Standard-Charging</v>
      </c>
      <c r="AF1731" t="str">
        <f>IF(EV_Data4[[#This Row],[acceleration_0_60_mph]]&lt;=3,"SportsPerformance",IF(EV_Data4[[#This Row],[acceleration_0_60_mph]]&lt;=5,"HighPerformance","Standard"))</f>
        <v>Standard</v>
      </c>
      <c r="AG1731" t="str">
        <f>IF(EV_Data4[[#This Row],[customer_rating]]&gt;=4.5,"Excellent",IF(EV_Data4[[#This Row],[customer_rating]]&gt;=3.5,"Good","Average"))</f>
        <v>Average</v>
      </c>
      <c r="AH173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32" spans="1:34" x14ac:dyDescent="0.3">
      <c r="A1732" t="s">
        <v>63</v>
      </c>
      <c r="B1732" t="s">
        <v>82</v>
      </c>
      <c r="C1732">
        <v>2024</v>
      </c>
      <c r="D1732" t="s">
        <v>61</v>
      </c>
      <c r="E1732" s="3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48</v>
      </c>
      <c r="N1732">
        <v>7</v>
      </c>
      <c r="O1732" t="s">
        <v>58</v>
      </c>
      <c r="P1732">
        <v>17.7</v>
      </c>
      <c r="Q1732">
        <v>1613</v>
      </c>
      <c r="R1732">
        <v>5</v>
      </c>
      <c r="S1732">
        <v>1</v>
      </c>
      <c r="T1732" t="s">
        <v>65</v>
      </c>
      <c r="U1732" t="s">
        <v>66</v>
      </c>
      <c r="V1732" s="3">
        <v>116507</v>
      </c>
      <c r="W1732">
        <v>3.18</v>
      </c>
      <c r="X1732">
        <v>4</v>
      </c>
      <c r="Y1732" s="1">
        <f>EV_Data4[[#This Row],[range_miles]]/EV_Data4[[#This Row],[battery_capacity_kwh]]</f>
        <v>3.3477011494252875</v>
      </c>
      <c r="Z1732" s="4">
        <f>EV_Data4[[#This Row],[price_usd]]/EV_Data4[[#This Row],[range_miles]]</f>
        <v>91.357854077253222</v>
      </c>
      <c r="AA1732" s="2">
        <f>(EV_Data4[[#This Row],[customer_rating]]*EV_Data4[[#This Row],[safety_rating]]*1000)/EV_Data4[[#This Row],[price_usd]]</f>
        <v>0.74695650458180296</v>
      </c>
      <c r="AB1732">
        <f>EV_Data4[[#This Row],[horsepower]]+EV_Data4[[#This Row],[torque_nm]]/EV_Data4[[#This Row],[acceleration_0_60_mph]]</f>
        <v>223.56307129798904</v>
      </c>
      <c r="AC1732" t="str">
        <f>IF(EV_Data4[[#This Row],[price_usd]]&gt;=80000,"Luxury",IF(EV_Data4[[#This Row],[price_usd]]&gt;=40000,"Mid-Range","Budget"))</f>
        <v>Budget</v>
      </c>
      <c r="AD1732" t="str">
        <f>IF(EV_Data4[[#This Row],[range_miles]]&gt;=350,"Long-Range",IF(EV_Data4[[#This Row],[range_miles]]&gt;=250,"Medium-Range","Short-Range"))</f>
        <v>Short-Range</v>
      </c>
      <c r="AE1732" t="str">
        <f>IF(EV_Data4[[#This Row],[charging_speed_kw]]&gt;=250,"Ultra-Fast",IF(EV_Data4[[#This Row],[charging_speed_kw]]&gt;=150,"Fast-Charging","Standard-Charging"))</f>
        <v>Standard-Charging</v>
      </c>
      <c r="AF1732" t="str">
        <f>IF(EV_Data4[[#This Row],[acceleration_0_60_mph]]&lt;=3,"SportsPerformance",IF(EV_Data4[[#This Row],[acceleration_0_60_mph]]&lt;=5,"HighPerformance","Standard"))</f>
        <v>Standard</v>
      </c>
      <c r="AG1732" t="str">
        <f>IF(EV_Data4[[#This Row],[customer_rating]]&gt;=4.5,"Excellent",IF(EV_Data4[[#This Row],[customer_rating]]&gt;=3.5,"Good","Average"))</f>
        <v>Average</v>
      </c>
      <c r="AH173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33" spans="1:34" x14ac:dyDescent="0.3">
      <c r="A1733" t="s">
        <v>83</v>
      </c>
      <c r="B1733" t="s">
        <v>116</v>
      </c>
      <c r="C1733">
        <v>2025</v>
      </c>
      <c r="D1733" t="s">
        <v>44</v>
      </c>
      <c r="E1733" s="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48</v>
      </c>
      <c r="N1733">
        <v>5</v>
      </c>
      <c r="O1733" t="s">
        <v>50</v>
      </c>
      <c r="P1733">
        <v>15.7</v>
      </c>
      <c r="Q1733">
        <v>1664</v>
      </c>
      <c r="R1733">
        <v>4</v>
      </c>
      <c r="S1733">
        <v>2</v>
      </c>
      <c r="T1733" t="s">
        <v>29</v>
      </c>
      <c r="U1733" t="s">
        <v>33</v>
      </c>
      <c r="V1733" s="3">
        <v>31503</v>
      </c>
      <c r="W1733">
        <v>3.49</v>
      </c>
      <c r="X1733">
        <v>6</v>
      </c>
      <c r="Y1733" s="1">
        <f>EV_Data4[[#This Row],[range_miles]]/EV_Data4[[#This Row],[battery_capacity_kwh]]</f>
        <v>3.2251308900523559</v>
      </c>
      <c r="Z1733" s="4">
        <f>EV_Data4[[#This Row],[price_usd]]/EV_Data4[[#This Row],[range_miles]]</f>
        <v>286.71493506493505</v>
      </c>
      <c r="AA1733" s="2">
        <f>(EV_Data4[[#This Row],[customer_rating]]*EV_Data4[[#This Row],[safety_rating]]*1000)/EV_Data4[[#This Row],[price_usd]]</f>
        <v>0.1580827148554721</v>
      </c>
      <c r="AB1733">
        <f>EV_Data4[[#This Row],[horsepower]]+EV_Data4[[#This Row],[torque_nm]]/EV_Data4[[#This Row],[acceleration_0_60_mph]]</f>
        <v>826.54223968565816</v>
      </c>
      <c r="AC1733" t="str">
        <f>IF(EV_Data4[[#This Row],[price_usd]]&gt;=80000,"Luxury",IF(EV_Data4[[#This Row],[price_usd]]&gt;=40000,"Mid-Range","Budget"))</f>
        <v>Luxury</v>
      </c>
      <c r="AD1733" t="str">
        <f>IF(EV_Data4[[#This Row],[range_miles]]&gt;=350,"Long-Range",IF(EV_Data4[[#This Row],[range_miles]]&gt;=250,"Medium-Range","Short-Range"))</f>
        <v>Medium-Range</v>
      </c>
      <c r="AE1733" t="str">
        <f>IF(EV_Data4[[#This Row],[charging_speed_kw]]&gt;=250,"Ultra-Fast",IF(EV_Data4[[#This Row],[charging_speed_kw]]&gt;=150,"Fast-Charging","Standard-Charging"))</f>
        <v>Standard-Charging</v>
      </c>
      <c r="AF1733" t="str">
        <f>IF(EV_Data4[[#This Row],[acceleration_0_60_mph]]&lt;=3,"SportsPerformance",IF(EV_Data4[[#This Row],[acceleration_0_60_mph]]&lt;=5,"HighPerformance","Standard"))</f>
        <v>Standard</v>
      </c>
      <c r="AG1733" t="str">
        <f>IF(EV_Data4[[#This Row],[customer_rating]]&gt;=4.5,"Excellent",IF(EV_Data4[[#This Row],[customer_rating]]&gt;=3.5,"Good","Average"))</f>
        <v>Average</v>
      </c>
      <c r="AH173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34" spans="1:34" x14ac:dyDescent="0.3">
      <c r="A1734" t="s">
        <v>68</v>
      </c>
      <c r="B1734" t="s">
        <v>90</v>
      </c>
      <c r="C1734">
        <v>2024</v>
      </c>
      <c r="D1734" t="s">
        <v>26</v>
      </c>
      <c r="E1734" s="3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27</v>
      </c>
      <c r="N1734">
        <v>7</v>
      </c>
      <c r="O1734" t="s">
        <v>58</v>
      </c>
      <c r="P1734">
        <v>34.5</v>
      </c>
      <c r="Q1734">
        <v>1595</v>
      </c>
      <c r="R1734">
        <v>5</v>
      </c>
      <c r="S1734">
        <v>1</v>
      </c>
      <c r="T1734" t="s">
        <v>45</v>
      </c>
      <c r="U1734" t="s">
        <v>30</v>
      </c>
      <c r="V1734" s="3">
        <v>106892</v>
      </c>
      <c r="W1734">
        <v>4.01</v>
      </c>
      <c r="X1734">
        <v>5</v>
      </c>
      <c r="Y1734" s="1">
        <f>EV_Data4[[#This Row],[range_miles]]/EV_Data4[[#This Row],[battery_capacity_kwh]]</f>
        <v>3.579801623083859</v>
      </c>
      <c r="Z1734" s="4">
        <f>EV_Data4[[#This Row],[price_usd]]/EV_Data4[[#This Row],[range_miles]]</f>
        <v>261.93050377833754</v>
      </c>
      <c r="AA1734" s="2">
        <f>(EV_Data4[[#This Row],[customer_rating]]*EV_Data4[[#This Row],[safety_rating]]*1000)/EV_Data4[[#This Row],[price_usd]]</f>
        <v>0.19281365709230655</v>
      </c>
      <c r="AB1734">
        <f>EV_Data4[[#This Row],[horsepower]]+EV_Data4[[#This Row],[torque_nm]]/EV_Data4[[#This Row],[acceleration_0_60_mph]]</f>
        <v>1204.9886621315193</v>
      </c>
      <c r="AC1734" t="str">
        <f>IF(EV_Data4[[#This Row],[price_usd]]&gt;=80000,"Luxury",IF(EV_Data4[[#This Row],[price_usd]]&gt;=40000,"Mid-Range","Budget"))</f>
        <v>Luxury</v>
      </c>
      <c r="AD1734" t="str">
        <f>IF(EV_Data4[[#This Row],[range_miles]]&gt;=350,"Long-Range",IF(EV_Data4[[#This Row],[range_miles]]&gt;=250,"Medium-Range","Short-Range"))</f>
        <v>Long-Range</v>
      </c>
      <c r="AE1734" t="str">
        <f>IF(EV_Data4[[#This Row],[charging_speed_kw]]&gt;=250,"Ultra-Fast",IF(EV_Data4[[#This Row],[charging_speed_kw]]&gt;=150,"Fast-Charging","Standard-Charging"))</f>
        <v>Fast-Charging</v>
      </c>
      <c r="AF1734" t="str">
        <f>IF(EV_Data4[[#This Row],[acceleration_0_60_mph]]&lt;=3,"SportsPerformance",IF(EV_Data4[[#This Row],[acceleration_0_60_mph]]&lt;=5,"HighPerformance","Standard"))</f>
        <v>HighPerformance</v>
      </c>
      <c r="AG1734" t="str">
        <f>IF(EV_Data4[[#This Row],[customer_rating]]&gt;=4.5,"Excellent",IF(EV_Data4[[#This Row],[customer_rating]]&gt;=3.5,"Good","Average"))</f>
        <v>Good</v>
      </c>
      <c r="AH173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35" spans="1:34" x14ac:dyDescent="0.3">
      <c r="A1735" t="s">
        <v>24</v>
      </c>
      <c r="B1735" t="s">
        <v>70</v>
      </c>
      <c r="C1735">
        <v>2020</v>
      </c>
      <c r="D1735" t="s">
        <v>56</v>
      </c>
      <c r="E1735" s="3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34</v>
      </c>
      <c r="N1735">
        <v>5</v>
      </c>
      <c r="O1735" t="s">
        <v>50</v>
      </c>
      <c r="P1735">
        <v>39.4</v>
      </c>
      <c r="Q1735">
        <v>1500</v>
      </c>
      <c r="R1735">
        <v>4</v>
      </c>
      <c r="S1735">
        <v>2</v>
      </c>
      <c r="T1735" t="s">
        <v>29</v>
      </c>
      <c r="U1735" t="s">
        <v>66</v>
      </c>
      <c r="V1735" s="3">
        <v>271891</v>
      </c>
      <c r="W1735">
        <v>3.57</v>
      </c>
      <c r="X1735">
        <v>4</v>
      </c>
      <c r="Y1735" s="1">
        <f>EV_Data4[[#This Row],[range_miles]]/EV_Data4[[#This Row],[battery_capacity_kwh]]</f>
        <v>3.3079847908745244</v>
      </c>
      <c r="Z1735" s="4">
        <f>EV_Data4[[#This Row],[price_usd]]/EV_Data4[[#This Row],[range_miles]]</f>
        <v>103.98172413793104</v>
      </c>
      <c r="AA1735" s="2">
        <f>(EV_Data4[[#This Row],[customer_rating]]*EV_Data4[[#This Row],[safety_rating]]*1000)/EV_Data4[[#This Row],[price_usd]]</f>
        <v>0.52617557683103022</v>
      </c>
      <c r="AB1735">
        <f>EV_Data4[[#This Row],[horsepower]]+EV_Data4[[#This Row],[torque_nm]]/EV_Data4[[#This Row],[acceleration_0_60_mph]]</f>
        <v>176.49006622516555</v>
      </c>
      <c r="AC1735" t="str">
        <f>IF(EV_Data4[[#This Row],[price_usd]]&gt;=80000,"Luxury",IF(EV_Data4[[#This Row],[price_usd]]&gt;=40000,"Mid-Range","Budget"))</f>
        <v>Budget</v>
      </c>
      <c r="AD1735" t="str">
        <f>IF(EV_Data4[[#This Row],[range_miles]]&gt;=350,"Long-Range",IF(EV_Data4[[#This Row],[range_miles]]&gt;=250,"Medium-Range","Short-Range"))</f>
        <v>Medium-Range</v>
      </c>
      <c r="AE1735" t="str">
        <f>IF(EV_Data4[[#This Row],[charging_speed_kw]]&gt;=250,"Ultra-Fast",IF(EV_Data4[[#This Row],[charging_speed_kw]]&gt;=150,"Fast-Charging","Standard-Charging"))</f>
        <v>Standard-Charging</v>
      </c>
      <c r="AF1735" t="str">
        <f>IF(EV_Data4[[#This Row],[acceleration_0_60_mph]]&lt;=3,"SportsPerformance",IF(EV_Data4[[#This Row],[acceleration_0_60_mph]]&lt;=5,"HighPerformance","Standard"))</f>
        <v>Standard</v>
      </c>
      <c r="AG1735" t="str">
        <f>IF(EV_Data4[[#This Row],[customer_rating]]&gt;=4.5,"Excellent",IF(EV_Data4[[#This Row],[customer_rating]]&gt;=3.5,"Good","Average"))</f>
        <v>Good</v>
      </c>
      <c r="AH173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36" spans="1:34" x14ac:dyDescent="0.3">
      <c r="A1736" t="s">
        <v>46</v>
      </c>
      <c r="B1736" t="s">
        <v>49</v>
      </c>
      <c r="C1736">
        <v>2026</v>
      </c>
      <c r="D1736" t="s">
        <v>61</v>
      </c>
      <c r="E1736" s="3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48</v>
      </c>
      <c r="N1736">
        <v>7</v>
      </c>
      <c r="O1736" t="s">
        <v>50</v>
      </c>
      <c r="P1736">
        <v>33</v>
      </c>
      <c r="Q1736">
        <v>1818</v>
      </c>
      <c r="R1736">
        <v>4</v>
      </c>
      <c r="S1736">
        <v>2</v>
      </c>
      <c r="T1736" t="s">
        <v>41</v>
      </c>
      <c r="U1736" t="s">
        <v>37</v>
      </c>
      <c r="V1736" s="3">
        <v>467122</v>
      </c>
      <c r="W1736">
        <v>3.87</v>
      </c>
      <c r="X1736">
        <v>4</v>
      </c>
      <c r="Y1736" s="1">
        <f>EV_Data4[[#This Row],[range_miles]]/EV_Data4[[#This Row],[battery_capacity_kwh]]</f>
        <v>3.2254047322540473</v>
      </c>
      <c r="Z1736" s="4">
        <f>EV_Data4[[#This Row],[price_usd]]/EV_Data4[[#This Row],[range_miles]]</f>
        <v>206.31393822393821</v>
      </c>
      <c r="AA1736" s="2">
        <f>(EV_Data4[[#This Row],[customer_rating]]*EV_Data4[[#This Row],[safety_rating]]*1000)/EV_Data4[[#This Row],[price_usd]]</f>
        <v>0.28969608298333072</v>
      </c>
      <c r="AB1736">
        <f>EV_Data4[[#This Row],[horsepower]]+EV_Data4[[#This Row],[torque_nm]]/EV_Data4[[#This Row],[acceleration_0_60_mph]]</f>
        <v>459.58855098389984</v>
      </c>
      <c r="AC1736" t="str">
        <f>IF(EV_Data4[[#This Row],[price_usd]]&gt;=80000,"Luxury",IF(EV_Data4[[#This Row],[price_usd]]&gt;=40000,"Mid-Range","Budget"))</f>
        <v>Mid-Range</v>
      </c>
      <c r="AD1736" t="str">
        <f>IF(EV_Data4[[#This Row],[range_miles]]&gt;=350,"Long-Range",IF(EV_Data4[[#This Row],[range_miles]]&gt;=250,"Medium-Range","Short-Range"))</f>
        <v>Medium-Range</v>
      </c>
      <c r="AE1736" t="str">
        <f>IF(EV_Data4[[#This Row],[charging_speed_kw]]&gt;=250,"Ultra-Fast",IF(EV_Data4[[#This Row],[charging_speed_kw]]&gt;=150,"Fast-Charging","Standard-Charging"))</f>
        <v>Ultra-Fast</v>
      </c>
      <c r="AF1736" t="str">
        <f>IF(EV_Data4[[#This Row],[acceleration_0_60_mph]]&lt;=3,"SportsPerformance",IF(EV_Data4[[#This Row],[acceleration_0_60_mph]]&lt;=5,"HighPerformance","Standard"))</f>
        <v>Standard</v>
      </c>
      <c r="AG1736" t="str">
        <f>IF(EV_Data4[[#This Row],[customer_rating]]&gt;=4.5,"Excellent",IF(EV_Data4[[#This Row],[customer_rating]]&gt;=3.5,"Good","Average"))</f>
        <v>Good</v>
      </c>
      <c r="AH173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37" spans="1:34" x14ac:dyDescent="0.3">
      <c r="A1737" t="s">
        <v>86</v>
      </c>
      <c r="B1737" t="s">
        <v>87</v>
      </c>
      <c r="C1737">
        <v>2023</v>
      </c>
      <c r="D1737" t="s">
        <v>33</v>
      </c>
      <c r="E1737" s="3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27</v>
      </c>
      <c r="N1737">
        <v>5</v>
      </c>
      <c r="O1737" t="s">
        <v>51</v>
      </c>
      <c r="P1737">
        <v>32.1</v>
      </c>
      <c r="Q1737">
        <v>1737</v>
      </c>
      <c r="R1737">
        <v>4</v>
      </c>
      <c r="S1737">
        <v>1</v>
      </c>
      <c r="T1737" t="s">
        <v>29</v>
      </c>
      <c r="U1737" t="s">
        <v>33</v>
      </c>
      <c r="V1737" s="3">
        <v>66857</v>
      </c>
      <c r="W1737">
        <v>3.24</v>
      </c>
      <c r="X1737">
        <v>5</v>
      </c>
      <c r="Y1737" s="1">
        <f>EV_Data4[[#This Row],[range_miles]]/EV_Data4[[#This Row],[battery_capacity_kwh]]</f>
        <v>3.6533957845433251</v>
      </c>
      <c r="Z1737" s="4">
        <f>EV_Data4[[#This Row],[price_usd]]/EV_Data4[[#This Row],[range_miles]]</f>
        <v>565.90243589743591</v>
      </c>
      <c r="AA1737" s="2">
        <f>(EV_Data4[[#This Row],[customer_rating]]*EV_Data4[[#This Row],[safety_rating]]*1000)/EV_Data4[[#This Row],[price_usd]]</f>
        <v>0.14680432139362612</v>
      </c>
      <c r="AB1737">
        <f>EV_Data4[[#This Row],[horsepower]]+EV_Data4[[#This Row],[torque_nm]]/EV_Data4[[#This Row],[acceleration_0_60_mph]]</f>
        <v>668.11881188118809</v>
      </c>
      <c r="AC1737" t="str">
        <f>IF(EV_Data4[[#This Row],[price_usd]]&gt;=80000,"Luxury",IF(EV_Data4[[#This Row],[price_usd]]&gt;=40000,"Mid-Range","Budget"))</f>
        <v>Luxury</v>
      </c>
      <c r="AD1737" t="str">
        <f>IF(EV_Data4[[#This Row],[range_miles]]&gt;=350,"Long-Range",IF(EV_Data4[[#This Row],[range_miles]]&gt;=250,"Medium-Range","Short-Range"))</f>
        <v>Short-Range</v>
      </c>
      <c r="AE1737" t="str">
        <f>IF(EV_Data4[[#This Row],[charging_speed_kw]]&gt;=250,"Ultra-Fast",IF(EV_Data4[[#This Row],[charging_speed_kw]]&gt;=150,"Fast-Charging","Standard-Charging"))</f>
        <v>Standard-Charging</v>
      </c>
      <c r="AF1737" t="str">
        <f>IF(EV_Data4[[#This Row],[acceleration_0_60_mph]]&lt;=3,"SportsPerformance",IF(EV_Data4[[#This Row],[acceleration_0_60_mph]]&lt;=5,"HighPerformance","Standard"))</f>
        <v>Standard</v>
      </c>
      <c r="AG1737" t="str">
        <f>IF(EV_Data4[[#This Row],[customer_rating]]&gt;=4.5,"Excellent",IF(EV_Data4[[#This Row],[customer_rating]]&gt;=3.5,"Good","Average"))</f>
        <v>Average</v>
      </c>
      <c r="AH173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38" spans="1:34" x14ac:dyDescent="0.3">
      <c r="A1738" t="s">
        <v>24</v>
      </c>
      <c r="B1738" t="s">
        <v>74</v>
      </c>
      <c r="C1738">
        <v>2025</v>
      </c>
      <c r="D1738" t="s">
        <v>56</v>
      </c>
      <c r="E1738" s="3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48</v>
      </c>
      <c r="N1738">
        <v>5</v>
      </c>
      <c r="O1738" t="s">
        <v>40</v>
      </c>
      <c r="P1738">
        <v>78</v>
      </c>
      <c r="Q1738">
        <v>1585</v>
      </c>
      <c r="R1738">
        <v>4</v>
      </c>
      <c r="S1738">
        <v>2</v>
      </c>
      <c r="T1738" t="s">
        <v>29</v>
      </c>
      <c r="U1738" t="s">
        <v>33</v>
      </c>
      <c r="V1738" s="3">
        <v>248734</v>
      </c>
      <c r="W1738">
        <v>3.73</v>
      </c>
      <c r="X1738">
        <v>4</v>
      </c>
      <c r="Y1738" s="1">
        <f>EV_Data4[[#This Row],[range_miles]]/EV_Data4[[#This Row],[battery_capacity_kwh]]</f>
        <v>4.0794223826714804</v>
      </c>
      <c r="Z1738" s="4">
        <f>EV_Data4[[#This Row],[price_usd]]/EV_Data4[[#This Row],[range_miles]]</f>
        <v>225.44755162241887</v>
      </c>
      <c r="AA1738" s="2">
        <f>(EV_Data4[[#This Row],[customer_rating]]*EV_Data4[[#This Row],[safety_rating]]*1000)/EV_Data4[[#This Row],[price_usd]]</f>
        <v>0.19521968233099626</v>
      </c>
      <c r="AB1738">
        <f>EV_Data4[[#This Row],[horsepower]]+EV_Data4[[#This Row],[torque_nm]]/EV_Data4[[#This Row],[acceleration_0_60_mph]]</f>
        <v>958.54160125588692</v>
      </c>
      <c r="AC1738" t="str">
        <f>IF(EV_Data4[[#This Row],[price_usd]]&gt;=80000,"Luxury",IF(EV_Data4[[#This Row],[price_usd]]&gt;=40000,"Mid-Range","Budget"))</f>
        <v>Mid-Range</v>
      </c>
      <c r="AD1738" t="str">
        <f>IF(EV_Data4[[#This Row],[range_miles]]&gt;=350,"Long-Range",IF(EV_Data4[[#This Row],[range_miles]]&gt;=250,"Medium-Range","Short-Range"))</f>
        <v>Medium-Range</v>
      </c>
      <c r="AE1738" t="str">
        <f>IF(EV_Data4[[#This Row],[charging_speed_kw]]&gt;=250,"Ultra-Fast",IF(EV_Data4[[#This Row],[charging_speed_kw]]&gt;=150,"Fast-Charging","Standard-Charging"))</f>
        <v>Standard-Charging</v>
      </c>
      <c r="AF1738" t="str">
        <f>IF(EV_Data4[[#This Row],[acceleration_0_60_mph]]&lt;=3,"SportsPerformance",IF(EV_Data4[[#This Row],[acceleration_0_60_mph]]&lt;=5,"HighPerformance","Standard"))</f>
        <v>Standard</v>
      </c>
      <c r="AG1738" t="str">
        <f>IF(EV_Data4[[#This Row],[customer_rating]]&gt;=4.5,"Excellent",IF(EV_Data4[[#This Row],[customer_rating]]&gt;=3.5,"Good","Average"))</f>
        <v>Good</v>
      </c>
      <c r="AH173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39" spans="1:34" x14ac:dyDescent="0.3">
      <c r="A1739" t="s">
        <v>46</v>
      </c>
      <c r="B1739" t="s">
        <v>57</v>
      </c>
      <c r="C1739">
        <v>2023</v>
      </c>
      <c r="D1739" t="s">
        <v>56</v>
      </c>
      <c r="E1739" s="3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34</v>
      </c>
      <c r="N1739">
        <v>5</v>
      </c>
      <c r="O1739" t="s">
        <v>58</v>
      </c>
      <c r="P1739">
        <v>20.6</v>
      </c>
      <c r="Q1739">
        <v>1619</v>
      </c>
      <c r="R1739">
        <v>3</v>
      </c>
      <c r="S1739">
        <v>3</v>
      </c>
      <c r="T1739" t="s">
        <v>41</v>
      </c>
      <c r="U1739" t="s">
        <v>37</v>
      </c>
      <c r="V1739" s="3">
        <v>116884</v>
      </c>
      <c r="W1739">
        <v>3.58</v>
      </c>
      <c r="X1739">
        <v>5</v>
      </c>
      <c r="Y1739" s="1">
        <f>EV_Data4[[#This Row],[range_miles]]/EV_Data4[[#This Row],[battery_capacity_kwh]]</f>
        <v>3.7306843267108172</v>
      </c>
      <c r="Z1739" s="4">
        <f>EV_Data4[[#This Row],[price_usd]]/EV_Data4[[#This Row],[range_miles]]</f>
        <v>266.96189349112427</v>
      </c>
      <c r="AA1739" s="2">
        <f>(EV_Data4[[#This Row],[customer_rating]]*EV_Data4[[#This Row],[safety_rating]]*1000)/EV_Data4[[#This Row],[price_usd]]</f>
        <v>0.23805006410063179</v>
      </c>
      <c r="AB1739">
        <f>EV_Data4[[#This Row],[horsepower]]+EV_Data4[[#This Row],[torque_nm]]/EV_Data4[[#This Row],[acceleration_0_60_mph]]</f>
        <v>322.06557377049182</v>
      </c>
      <c r="AC1739" t="str">
        <f>IF(EV_Data4[[#This Row],[price_usd]]&gt;=80000,"Luxury",IF(EV_Data4[[#This Row],[price_usd]]&gt;=40000,"Mid-Range","Budget"))</f>
        <v>Mid-Range</v>
      </c>
      <c r="AD1739" t="str">
        <f>IF(EV_Data4[[#This Row],[range_miles]]&gt;=350,"Long-Range",IF(EV_Data4[[#This Row],[range_miles]]&gt;=250,"Medium-Range","Short-Range"))</f>
        <v>Short-Range</v>
      </c>
      <c r="AE1739" t="str">
        <f>IF(EV_Data4[[#This Row],[charging_speed_kw]]&gt;=250,"Ultra-Fast",IF(EV_Data4[[#This Row],[charging_speed_kw]]&gt;=150,"Fast-Charging","Standard-Charging"))</f>
        <v>Fast-Charging</v>
      </c>
      <c r="AF1739" t="str">
        <f>IF(EV_Data4[[#This Row],[acceleration_0_60_mph]]&lt;=3,"SportsPerformance",IF(EV_Data4[[#This Row],[acceleration_0_60_mph]]&lt;=5,"HighPerformance","Standard"))</f>
        <v>Standard</v>
      </c>
      <c r="AG1739" t="str">
        <f>IF(EV_Data4[[#This Row],[customer_rating]]&gt;=4.5,"Excellent",IF(EV_Data4[[#This Row],[customer_rating]]&gt;=3.5,"Good","Average"))</f>
        <v>Good</v>
      </c>
      <c r="AH1739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740" spans="1:34" x14ac:dyDescent="0.3">
      <c r="A1740" t="s">
        <v>24</v>
      </c>
      <c r="B1740" t="s">
        <v>74</v>
      </c>
      <c r="C1740">
        <v>2024</v>
      </c>
      <c r="D1740" t="s">
        <v>26</v>
      </c>
      <c r="E1740" s="3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48</v>
      </c>
      <c r="N1740">
        <v>7</v>
      </c>
      <c r="O1740" t="s">
        <v>50</v>
      </c>
      <c r="P1740">
        <v>19.899999999999999</v>
      </c>
      <c r="Q1740">
        <v>1694</v>
      </c>
      <c r="R1740">
        <v>4</v>
      </c>
      <c r="S1740">
        <v>2</v>
      </c>
      <c r="T1740" t="s">
        <v>29</v>
      </c>
      <c r="U1740" t="s">
        <v>33</v>
      </c>
      <c r="V1740" s="3">
        <v>238867</v>
      </c>
      <c r="W1740">
        <v>3.7</v>
      </c>
      <c r="X1740">
        <v>5</v>
      </c>
      <c r="Y1740" s="1">
        <f>EV_Data4[[#This Row],[range_miles]]/EV_Data4[[#This Row],[battery_capacity_kwh]]</f>
        <v>3.4361702127659575</v>
      </c>
      <c r="Z1740" s="4">
        <f>EV_Data4[[#This Row],[price_usd]]/EV_Data4[[#This Row],[range_miles]]</f>
        <v>211.60585139318886</v>
      </c>
      <c r="AA1740" s="2">
        <f>(EV_Data4[[#This Row],[customer_rating]]*EV_Data4[[#This Row],[safety_rating]]*1000)/EV_Data4[[#This Row],[price_usd]]</f>
        <v>0.21653670319065368</v>
      </c>
      <c r="AB1740">
        <f>EV_Data4[[#This Row],[horsepower]]+EV_Data4[[#This Row],[torque_nm]]/EV_Data4[[#This Row],[acceleration_0_60_mph]]</f>
        <v>980.89922480620157</v>
      </c>
      <c r="AC1740" t="str">
        <f>IF(EV_Data4[[#This Row],[price_usd]]&gt;=80000,"Luxury",IF(EV_Data4[[#This Row],[price_usd]]&gt;=40000,"Mid-Range","Budget"))</f>
        <v>Mid-Range</v>
      </c>
      <c r="AD1740" t="str">
        <f>IF(EV_Data4[[#This Row],[range_miles]]&gt;=350,"Long-Range",IF(EV_Data4[[#This Row],[range_miles]]&gt;=250,"Medium-Range","Short-Range"))</f>
        <v>Medium-Range</v>
      </c>
      <c r="AE1740" t="str">
        <f>IF(EV_Data4[[#This Row],[charging_speed_kw]]&gt;=250,"Ultra-Fast",IF(EV_Data4[[#This Row],[charging_speed_kw]]&gt;=150,"Fast-Charging","Standard-Charging"))</f>
        <v>Fast-Charging</v>
      </c>
      <c r="AF1740" t="str">
        <f>IF(EV_Data4[[#This Row],[acceleration_0_60_mph]]&lt;=3,"SportsPerformance",IF(EV_Data4[[#This Row],[acceleration_0_60_mph]]&lt;=5,"HighPerformance","Standard"))</f>
        <v>SportsPerformance</v>
      </c>
      <c r="AG1740" t="str">
        <f>IF(EV_Data4[[#This Row],[customer_rating]]&gt;=4.5,"Excellent",IF(EV_Data4[[#This Row],[customer_rating]]&gt;=3.5,"Good","Average"))</f>
        <v>Good</v>
      </c>
      <c r="AH174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41" spans="1:34" x14ac:dyDescent="0.3">
      <c r="A1741" t="s">
        <v>24</v>
      </c>
      <c r="B1741" t="s">
        <v>70</v>
      </c>
      <c r="C1741">
        <v>2023</v>
      </c>
      <c r="D1741" t="s">
        <v>44</v>
      </c>
      <c r="E1741" s="3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48</v>
      </c>
      <c r="N1741">
        <v>7</v>
      </c>
      <c r="O1741" t="s">
        <v>51</v>
      </c>
      <c r="P1741">
        <v>31.7</v>
      </c>
      <c r="Q1741">
        <v>1650</v>
      </c>
      <c r="R1741">
        <v>5</v>
      </c>
      <c r="S1741">
        <v>1</v>
      </c>
      <c r="T1741" t="s">
        <v>29</v>
      </c>
      <c r="U1741" t="s">
        <v>37</v>
      </c>
      <c r="V1741" s="3">
        <v>250021</v>
      </c>
      <c r="W1741">
        <v>3.64</v>
      </c>
      <c r="X1741">
        <v>3</v>
      </c>
      <c r="Y1741" s="1">
        <f>EV_Data4[[#This Row],[range_miles]]/EV_Data4[[#This Row],[battery_capacity_kwh]]</f>
        <v>3.3534378769601929</v>
      </c>
      <c r="Z1741" s="4">
        <f>EV_Data4[[#This Row],[price_usd]]/EV_Data4[[#This Row],[range_miles]]</f>
        <v>178.19392086330936</v>
      </c>
      <c r="AA1741" s="2">
        <f>(EV_Data4[[#This Row],[customer_rating]]*EV_Data4[[#This Row],[safety_rating]]*1000)/EV_Data4[[#This Row],[price_usd]]</f>
        <v>0.36739539475928634</v>
      </c>
      <c r="AB1741">
        <f>EV_Data4[[#This Row],[horsepower]]+EV_Data4[[#This Row],[torque_nm]]/EV_Data4[[#This Row],[acceleration_0_60_mph]]</f>
        <v>521.61802575107299</v>
      </c>
      <c r="AC1741" t="str">
        <f>IF(EV_Data4[[#This Row],[price_usd]]&gt;=80000,"Luxury",IF(EV_Data4[[#This Row],[price_usd]]&gt;=40000,"Mid-Range","Budget"))</f>
        <v>Mid-Range</v>
      </c>
      <c r="AD1741" t="str">
        <f>IF(EV_Data4[[#This Row],[range_miles]]&gt;=350,"Long-Range",IF(EV_Data4[[#This Row],[range_miles]]&gt;=250,"Medium-Range","Short-Range"))</f>
        <v>Medium-Range</v>
      </c>
      <c r="AE1741" t="str">
        <f>IF(EV_Data4[[#This Row],[charging_speed_kw]]&gt;=250,"Ultra-Fast",IF(EV_Data4[[#This Row],[charging_speed_kw]]&gt;=150,"Fast-Charging","Standard-Charging"))</f>
        <v>Standard-Charging</v>
      </c>
      <c r="AF1741" t="str">
        <f>IF(EV_Data4[[#This Row],[acceleration_0_60_mph]]&lt;=3,"SportsPerformance",IF(EV_Data4[[#This Row],[acceleration_0_60_mph]]&lt;=5,"HighPerformance","Standard"))</f>
        <v>HighPerformance</v>
      </c>
      <c r="AG1741" t="str">
        <f>IF(EV_Data4[[#This Row],[customer_rating]]&gt;=4.5,"Excellent",IF(EV_Data4[[#This Row],[customer_rating]]&gt;=3.5,"Good","Average"))</f>
        <v>Good</v>
      </c>
      <c r="AH174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42" spans="1:34" x14ac:dyDescent="0.3">
      <c r="A1742" t="s">
        <v>52</v>
      </c>
      <c r="B1742" t="s">
        <v>62</v>
      </c>
      <c r="C1742">
        <v>2025</v>
      </c>
      <c r="D1742" t="s">
        <v>44</v>
      </c>
      <c r="E1742" s="3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27</v>
      </c>
      <c r="N1742">
        <v>5</v>
      </c>
      <c r="O1742" t="s">
        <v>35</v>
      </c>
      <c r="P1742">
        <v>47.3</v>
      </c>
      <c r="Q1742">
        <v>1944</v>
      </c>
      <c r="R1742">
        <v>4</v>
      </c>
      <c r="S1742">
        <v>1</v>
      </c>
      <c r="T1742" t="s">
        <v>29</v>
      </c>
      <c r="U1742" t="s">
        <v>30</v>
      </c>
      <c r="V1742" s="3">
        <v>76984</v>
      </c>
      <c r="W1742">
        <v>3.74</v>
      </c>
      <c r="X1742">
        <v>6</v>
      </c>
      <c r="Y1742" s="1">
        <f>EV_Data4[[#This Row],[range_miles]]/EV_Data4[[#This Row],[battery_capacity_kwh]]</f>
        <v>3.2349468713105076</v>
      </c>
      <c r="Z1742" s="4">
        <f>EV_Data4[[#This Row],[price_usd]]/EV_Data4[[#This Row],[range_miles]]</f>
        <v>407.40332116788318</v>
      </c>
      <c r="AA1742" s="2">
        <f>(EV_Data4[[#This Row],[customer_rating]]*EV_Data4[[#This Row],[safety_rating]]*1000)/EV_Data4[[#This Row],[price_usd]]</f>
        <v>0.13401594270137621</v>
      </c>
      <c r="AB1742">
        <f>EV_Data4[[#This Row],[horsepower]]+EV_Data4[[#This Row],[torque_nm]]/EV_Data4[[#This Row],[acceleration_0_60_mph]]</f>
        <v>697.23655913978496</v>
      </c>
      <c r="AC1742" t="str">
        <f>IF(EV_Data4[[#This Row],[price_usd]]&gt;=80000,"Luxury",IF(EV_Data4[[#This Row],[price_usd]]&gt;=40000,"Mid-Range","Budget"))</f>
        <v>Luxury</v>
      </c>
      <c r="AD1742" t="str">
        <f>IF(EV_Data4[[#This Row],[range_miles]]&gt;=350,"Long-Range",IF(EV_Data4[[#This Row],[range_miles]]&gt;=250,"Medium-Range","Short-Range"))</f>
        <v>Medium-Range</v>
      </c>
      <c r="AE1742" t="str">
        <f>IF(EV_Data4[[#This Row],[charging_speed_kw]]&gt;=250,"Ultra-Fast",IF(EV_Data4[[#This Row],[charging_speed_kw]]&gt;=150,"Fast-Charging","Standard-Charging"))</f>
        <v>Standard-Charging</v>
      </c>
      <c r="AF1742" t="str">
        <f>IF(EV_Data4[[#This Row],[acceleration_0_60_mph]]&lt;=3,"SportsPerformance",IF(EV_Data4[[#This Row],[acceleration_0_60_mph]]&lt;=5,"HighPerformance","Standard"))</f>
        <v>Standard</v>
      </c>
      <c r="AG1742" t="str">
        <f>IF(EV_Data4[[#This Row],[customer_rating]]&gt;=4.5,"Excellent",IF(EV_Data4[[#This Row],[customer_rating]]&gt;=3.5,"Good","Average"))</f>
        <v>Good</v>
      </c>
      <c r="AH174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43" spans="1:34" x14ac:dyDescent="0.3">
      <c r="A1743" t="s">
        <v>38</v>
      </c>
      <c r="B1743" t="s">
        <v>101</v>
      </c>
      <c r="C1743">
        <v>2026</v>
      </c>
      <c r="D1743" t="s">
        <v>44</v>
      </c>
      <c r="E1743" s="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27</v>
      </c>
      <c r="N1743">
        <v>5</v>
      </c>
      <c r="O1743" t="s">
        <v>50</v>
      </c>
      <c r="P1743">
        <v>16.7</v>
      </c>
      <c r="Q1743">
        <v>1600</v>
      </c>
      <c r="R1743">
        <v>5</v>
      </c>
      <c r="S1743">
        <v>0</v>
      </c>
      <c r="T1743" t="s">
        <v>41</v>
      </c>
      <c r="U1743" t="s">
        <v>37</v>
      </c>
      <c r="V1743" s="3">
        <v>17331</v>
      </c>
      <c r="W1743">
        <v>3.77</v>
      </c>
      <c r="X1743">
        <v>5</v>
      </c>
      <c r="Y1743" s="1">
        <f>EV_Data4[[#This Row],[range_miles]]/EV_Data4[[#This Row],[battery_capacity_kwh]]</f>
        <v>3.5095715587967184</v>
      </c>
      <c r="Z1743" s="4">
        <f>EV_Data4[[#This Row],[price_usd]]/EV_Data4[[#This Row],[range_miles]]</f>
        <v>142.43127272727273</v>
      </c>
      <c r="AA1743" s="2">
        <f>(EV_Data4[[#This Row],[customer_rating]]*EV_Data4[[#This Row],[safety_rating]]*1000)/EV_Data4[[#This Row],[price_usd]]</f>
        <v>0.34375202877523614</v>
      </c>
      <c r="AB1743">
        <f>EV_Data4[[#This Row],[horsepower]]+EV_Data4[[#This Row],[torque_nm]]/EV_Data4[[#This Row],[acceleration_0_60_mph]]</f>
        <v>786</v>
      </c>
      <c r="AC1743" t="str">
        <f>IF(EV_Data4[[#This Row],[price_usd]]&gt;=80000,"Luxury",IF(EV_Data4[[#This Row],[price_usd]]&gt;=40000,"Mid-Range","Budget"))</f>
        <v>Mid-Range</v>
      </c>
      <c r="AD1743" t="str">
        <f>IF(EV_Data4[[#This Row],[range_miles]]&gt;=350,"Long-Range",IF(EV_Data4[[#This Row],[range_miles]]&gt;=250,"Medium-Range","Short-Range"))</f>
        <v>Long-Range</v>
      </c>
      <c r="AE1743" t="str">
        <f>IF(EV_Data4[[#This Row],[charging_speed_kw]]&gt;=250,"Ultra-Fast",IF(EV_Data4[[#This Row],[charging_speed_kw]]&gt;=150,"Fast-Charging","Standard-Charging"))</f>
        <v>Standard-Charging</v>
      </c>
      <c r="AF1743" t="str">
        <f>IF(EV_Data4[[#This Row],[acceleration_0_60_mph]]&lt;=3,"SportsPerformance",IF(EV_Data4[[#This Row],[acceleration_0_60_mph]]&lt;=5,"HighPerformance","Standard"))</f>
        <v>HighPerformance</v>
      </c>
      <c r="AG1743" t="str">
        <f>IF(EV_Data4[[#This Row],[customer_rating]]&gt;=4.5,"Excellent",IF(EV_Data4[[#This Row],[customer_rating]]&gt;=3.5,"Good","Average"))</f>
        <v>Good</v>
      </c>
      <c r="AH174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44" spans="1:34" x14ac:dyDescent="0.3">
      <c r="A1744" t="s">
        <v>76</v>
      </c>
      <c r="B1744" t="s">
        <v>91</v>
      </c>
      <c r="C1744">
        <v>2025</v>
      </c>
      <c r="D1744" t="s">
        <v>56</v>
      </c>
      <c r="E1744" s="3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27</v>
      </c>
      <c r="N1744">
        <v>4</v>
      </c>
      <c r="O1744" t="s">
        <v>28</v>
      </c>
      <c r="P1744">
        <v>73.900000000000006</v>
      </c>
      <c r="Q1744">
        <v>2056</v>
      </c>
      <c r="R1744">
        <v>4</v>
      </c>
      <c r="S1744">
        <v>1</v>
      </c>
      <c r="T1744" t="s">
        <v>41</v>
      </c>
      <c r="U1744" t="s">
        <v>66</v>
      </c>
      <c r="V1744" s="3">
        <v>51835</v>
      </c>
      <c r="W1744">
        <v>3.13</v>
      </c>
      <c r="X1744">
        <v>4</v>
      </c>
      <c r="Y1744" s="1">
        <f>EV_Data4[[#This Row],[range_miles]]/EV_Data4[[#This Row],[battery_capacity_kwh]]</f>
        <v>3.1512605042016806</v>
      </c>
      <c r="Z1744" s="4">
        <f>EV_Data4[[#This Row],[price_usd]]/EV_Data4[[#This Row],[range_miles]]</f>
        <v>232.01373333333331</v>
      </c>
      <c r="AA1744" s="2">
        <f>(EV_Data4[[#This Row],[customer_rating]]*EV_Data4[[#This Row],[safety_rating]]*1000)/EV_Data4[[#This Row],[price_usd]]</f>
        <v>0.35974881946643389</v>
      </c>
      <c r="AB1744">
        <f>EV_Data4[[#This Row],[horsepower]]+EV_Data4[[#This Row],[torque_nm]]/EV_Data4[[#This Row],[acceleration_0_60_mph]]</f>
        <v>296.90184049079755</v>
      </c>
      <c r="AC1744" t="str">
        <f>IF(EV_Data4[[#This Row],[price_usd]]&gt;=80000,"Luxury",IF(EV_Data4[[#This Row],[price_usd]]&gt;=40000,"Mid-Range","Budget"))</f>
        <v>Budget</v>
      </c>
      <c r="AD1744" t="str">
        <f>IF(EV_Data4[[#This Row],[range_miles]]&gt;=350,"Long-Range",IF(EV_Data4[[#This Row],[range_miles]]&gt;=250,"Medium-Range","Short-Range"))</f>
        <v>Short-Range</v>
      </c>
      <c r="AE1744" t="str">
        <f>IF(EV_Data4[[#This Row],[charging_speed_kw]]&gt;=250,"Ultra-Fast",IF(EV_Data4[[#This Row],[charging_speed_kw]]&gt;=150,"Fast-Charging","Standard-Charging"))</f>
        <v>Standard-Charging</v>
      </c>
      <c r="AF1744" t="str">
        <f>IF(EV_Data4[[#This Row],[acceleration_0_60_mph]]&lt;=3,"SportsPerformance",IF(EV_Data4[[#This Row],[acceleration_0_60_mph]]&lt;=5,"HighPerformance","Standard"))</f>
        <v>Standard</v>
      </c>
      <c r="AG1744" t="str">
        <f>IF(EV_Data4[[#This Row],[customer_rating]]&gt;=4.5,"Excellent",IF(EV_Data4[[#This Row],[customer_rating]]&gt;=3.5,"Good","Average"))</f>
        <v>Average</v>
      </c>
      <c r="AH174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45" spans="1:34" x14ac:dyDescent="0.3">
      <c r="A1745" t="s">
        <v>46</v>
      </c>
      <c r="B1745" t="s">
        <v>49</v>
      </c>
      <c r="C1745">
        <v>2022</v>
      </c>
      <c r="D1745" t="s">
        <v>61</v>
      </c>
      <c r="E1745" s="3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48</v>
      </c>
      <c r="N1745">
        <v>5</v>
      </c>
      <c r="O1745" t="s">
        <v>40</v>
      </c>
      <c r="P1745">
        <v>72</v>
      </c>
      <c r="Q1745">
        <v>1646</v>
      </c>
      <c r="R1745">
        <v>5</v>
      </c>
      <c r="S1745">
        <v>3</v>
      </c>
      <c r="T1745" t="s">
        <v>41</v>
      </c>
      <c r="U1745" t="s">
        <v>33</v>
      </c>
      <c r="V1745" s="3">
        <v>464918</v>
      </c>
      <c r="W1745">
        <v>3.52</v>
      </c>
      <c r="X1745">
        <v>6</v>
      </c>
      <c r="Y1745" s="1">
        <f>EV_Data4[[#This Row],[range_miles]]/EV_Data4[[#This Row],[battery_capacity_kwh]]</f>
        <v>3.4219269102990033</v>
      </c>
      <c r="Z1745" s="4">
        <f>EV_Data4[[#This Row],[price_usd]]/EV_Data4[[#This Row],[range_miles]]</f>
        <v>453.91475728155342</v>
      </c>
      <c r="AA1745" s="2">
        <f>(EV_Data4[[#This Row],[customer_rating]]*EV_Data4[[#This Row],[safety_rating]]*1000)/EV_Data4[[#This Row],[price_usd]]</f>
        <v>0.18822232992722213</v>
      </c>
      <c r="AB1745">
        <f>EV_Data4[[#This Row],[horsepower]]+EV_Data4[[#This Row],[torque_nm]]/EV_Data4[[#This Row],[acceleration_0_60_mph]]</f>
        <v>776.79384203480595</v>
      </c>
      <c r="AC1745" t="str">
        <f>IF(EV_Data4[[#This Row],[price_usd]]&gt;=80000,"Luxury",IF(EV_Data4[[#This Row],[price_usd]]&gt;=40000,"Mid-Range","Budget"))</f>
        <v>Luxury</v>
      </c>
      <c r="AD1745" t="str">
        <f>IF(EV_Data4[[#This Row],[range_miles]]&gt;=350,"Long-Range",IF(EV_Data4[[#This Row],[range_miles]]&gt;=250,"Medium-Range","Short-Range"))</f>
        <v>Short-Range</v>
      </c>
      <c r="AE1745" t="str">
        <f>IF(EV_Data4[[#This Row],[charging_speed_kw]]&gt;=250,"Ultra-Fast",IF(EV_Data4[[#This Row],[charging_speed_kw]]&gt;=150,"Fast-Charging","Standard-Charging"))</f>
        <v>Ultra-Fast</v>
      </c>
      <c r="AF1745" t="str">
        <f>IF(EV_Data4[[#This Row],[acceleration_0_60_mph]]&lt;=3,"SportsPerformance",IF(EV_Data4[[#This Row],[acceleration_0_60_mph]]&lt;=5,"HighPerformance","Standard"))</f>
        <v>Standard</v>
      </c>
      <c r="AG1745" t="str">
        <f>IF(EV_Data4[[#This Row],[customer_rating]]&gt;=4.5,"Excellent",IF(EV_Data4[[#This Row],[customer_rating]]&gt;=3.5,"Good","Average"))</f>
        <v>Good</v>
      </c>
      <c r="AH1745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746" spans="1:34" x14ac:dyDescent="0.3">
      <c r="A1746" t="s">
        <v>24</v>
      </c>
      <c r="B1746" t="s">
        <v>70</v>
      </c>
      <c r="C1746">
        <v>2024</v>
      </c>
      <c r="D1746" t="s">
        <v>61</v>
      </c>
      <c r="E1746" s="3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34</v>
      </c>
      <c r="N1746">
        <v>5</v>
      </c>
      <c r="O1746" t="s">
        <v>35</v>
      </c>
      <c r="P1746">
        <v>41.2</v>
      </c>
      <c r="Q1746">
        <v>2091</v>
      </c>
      <c r="R1746">
        <v>5</v>
      </c>
      <c r="S1746">
        <v>2</v>
      </c>
      <c r="T1746" t="s">
        <v>29</v>
      </c>
      <c r="U1746" t="s">
        <v>33</v>
      </c>
      <c r="V1746" s="3">
        <v>219453</v>
      </c>
      <c r="W1746">
        <v>3.46</v>
      </c>
      <c r="X1746">
        <v>4</v>
      </c>
      <c r="Y1746" s="1">
        <f>EV_Data4[[#This Row],[range_miles]]/EV_Data4[[#This Row],[battery_capacity_kwh]]</f>
        <v>3.388429752066116</v>
      </c>
      <c r="Z1746" s="4">
        <f>EV_Data4[[#This Row],[price_usd]]/EV_Data4[[#This Row],[range_miles]]</f>
        <v>483.07585365853657</v>
      </c>
      <c r="AA1746" s="2">
        <f>(EV_Data4[[#This Row],[customer_rating]]*EV_Data4[[#This Row],[safety_rating]]*1000)/EV_Data4[[#This Row],[price_usd]]</f>
        <v>0.21836695847897442</v>
      </c>
      <c r="AB1746">
        <f>EV_Data4[[#This Row],[horsepower]]+EV_Data4[[#This Row],[torque_nm]]/EV_Data4[[#This Row],[acceleration_0_60_mph]]</f>
        <v>1004.3720930232558</v>
      </c>
      <c r="AC1746" t="str">
        <f>IF(EV_Data4[[#This Row],[price_usd]]&gt;=80000,"Luxury",IF(EV_Data4[[#This Row],[price_usd]]&gt;=40000,"Mid-Range","Budget"))</f>
        <v>Mid-Range</v>
      </c>
      <c r="AD1746" t="str">
        <f>IF(EV_Data4[[#This Row],[range_miles]]&gt;=350,"Long-Range",IF(EV_Data4[[#This Row],[range_miles]]&gt;=250,"Medium-Range","Short-Range"))</f>
        <v>Short-Range</v>
      </c>
      <c r="AE1746" t="str">
        <f>IF(EV_Data4[[#This Row],[charging_speed_kw]]&gt;=250,"Ultra-Fast",IF(EV_Data4[[#This Row],[charging_speed_kw]]&gt;=150,"Fast-Charging","Standard-Charging"))</f>
        <v>Standard-Charging</v>
      </c>
      <c r="AF1746" t="str">
        <f>IF(EV_Data4[[#This Row],[acceleration_0_60_mph]]&lt;=3,"SportsPerformance",IF(EV_Data4[[#This Row],[acceleration_0_60_mph]]&lt;=5,"HighPerformance","Standard"))</f>
        <v>Standard</v>
      </c>
      <c r="AG1746" t="str">
        <f>IF(EV_Data4[[#This Row],[customer_rating]]&gt;=4.5,"Excellent",IF(EV_Data4[[#This Row],[customer_rating]]&gt;=3.5,"Good","Average"))</f>
        <v>Average</v>
      </c>
      <c r="AH174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47" spans="1:34" x14ac:dyDescent="0.3">
      <c r="A1747" t="s">
        <v>68</v>
      </c>
      <c r="B1747" t="s">
        <v>69</v>
      </c>
      <c r="C1747">
        <v>2025</v>
      </c>
      <c r="D1747" t="s">
        <v>44</v>
      </c>
      <c r="E1747" s="3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34</v>
      </c>
      <c r="N1747">
        <v>5</v>
      </c>
      <c r="O1747" t="s">
        <v>28</v>
      </c>
      <c r="P1747">
        <v>78.7</v>
      </c>
      <c r="Q1747">
        <v>2699</v>
      </c>
      <c r="R1747">
        <v>5</v>
      </c>
      <c r="S1747">
        <v>2</v>
      </c>
      <c r="T1747" t="s">
        <v>45</v>
      </c>
      <c r="U1747" t="s">
        <v>37</v>
      </c>
      <c r="V1747" s="3">
        <v>114002</v>
      </c>
      <c r="W1747">
        <v>3.56</v>
      </c>
      <c r="X1747">
        <v>3</v>
      </c>
      <c r="Y1747" s="1">
        <f>EV_Data4[[#This Row],[range_miles]]/EV_Data4[[#This Row],[battery_capacity_kwh]]</f>
        <v>3.6081242532855433</v>
      </c>
      <c r="Z1747" s="4">
        <f>EV_Data4[[#This Row],[price_usd]]/EV_Data4[[#This Row],[range_miles]]</f>
        <v>143.90625827814571</v>
      </c>
      <c r="AA1747" s="2">
        <f>(EV_Data4[[#This Row],[customer_rating]]*EV_Data4[[#This Row],[safety_rating]]*1000)/EV_Data4[[#This Row],[price_usd]]</f>
        <v>0.40957494174486747</v>
      </c>
      <c r="AB1747">
        <f>EV_Data4[[#This Row],[horsepower]]+EV_Data4[[#This Row],[torque_nm]]/EV_Data4[[#This Row],[acceleration_0_60_mph]]</f>
        <v>535.5</v>
      </c>
      <c r="AC1747" t="str">
        <f>IF(EV_Data4[[#This Row],[price_usd]]&gt;=80000,"Luxury",IF(EV_Data4[[#This Row],[price_usd]]&gt;=40000,"Mid-Range","Budget"))</f>
        <v>Mid-Range</v>
      </c>
      <c r="AD1747" t="str">
        <f>IF(EV_Data4[[#This Row],[range_miles]]&gt;=350,"Long-Range",IF(EV_Data4[[#This Row],[range_miles]]&gt;=250,"Medium-Range","Short-Range"))</f>
        <v>Medium-Range</v>
      </c>
      <c r="AE1747" t="str">
        <f>IF(EV_Data4[[#This Row],[charging_speed_kw]]&gt;=250,"Ultra-Fast",IF(EV_Data4[[#This Row],[charging_speed_kw]]&gt;=150,"Fast-Charging","Standard-Charging"))</f>
        <v>Standard-Charging</v>
      </c>
      <c r="AF1747" t="str">
        <f>IF(EV_Data4[[#This Row],[acceleration_0_60_mph]]&lt;=3,"SportsPerformance",IF(EV_Data4[[#This Row],[acceleration_0_60_mph]]&lt;=5,"HighPerformance","Standard"))</f>
        <v>HighPerformance</v>
      </c>
      <c r="AG1747" t="str">
        <f>IF(EV_Data4[[#This Row],[customer_rating]]&gt;=4.5,"Excellent",IF(EV_Data4[[#This Row],[customer_rating]]&gt;=3.5,"Good","Average"))</f>
        <v>Good</v>
      </c>
      <c r="AH174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48" spans="1:34" x14ac:dyDescent="0.3">
      <c r="A1748" t="s">
        <v>46</v>
      </c>
      <c r="B1748" t="s">
        <v>78</v>
      </c>
      <c r="C1748">
        <v>2021</v>
      </c>
      <c r="D1748" t="s">
        <v>33</v>
      </c>
      <c r="E1748" s="3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48</v>
      </c>
      <c r="N1748">
        <v>7</v>
      </c>
      <c r="O1748" t="s">
        <v>35</v>
      </c>
      <c r="P1748">
        <v>62.5</v>
      </c>
      <c r="Q1748">
        <v>1686</v>
      </c>
      <c r="R1748">
        <v>5</v>
      </c>
      <c r="S1748">
        <v>2</v>
      </c>
      <c r="T1748" t="s">
        <v>41</v>
      </c>
      <c r="U1748" t="s">
        <v>30</v>
      </c>
      <c r="V1748" s="3">
        <v>201220</v>
      </c>
      <c r="W1748">
        <v>3.9</v>
      </c>
      <c r="X1748">
        <v>5</v>
      </c>
      <c r="Y1748" s="1">
        <f>EV_Data4[[#This Row],[range_miles]]/EV_Data4[[#This Row],[battery_capacity_kwh]]</f>
        <v>3.5849056603773586</v>
      </c>
      <c r="Z1748" s="4">
        <f>EV_Data4[[#This Row],[price_usd]]/EV_Data4[[#This Row],[range_miles]]</f>
        <v>331.89016447368419</v>
      </c>
      <c r="AA1748" s="2">
        <f>(EV_Data4[[#This Row],[customer_rating]]*EV_Data4[[#This Row],[safety_rating]]*1000)/EV_Data4[[#This Row],[price_usd]]</f>
        <v>0.19327097849924788</v>
      </c>
      <c r="AB1748">
        <f>EV_Data4[[#This Row],[horsepower]]+EV_Data4[[#This Row],[torque_nm]]/EV_Data4[[#This Row],[acceleration_0_60_mph]]</f>
        <v>835.44370860927154</v>
      </c>
      <c r="AC1748" t="str">
        <f>IF(EV_Data4[[#This Row],[price_usd]]&gt;=80000,"Luxury",IF(EV_Data4[[#This Row],[price_usd]]&gt;=40000,"Mid-Range","Budget"))</f>
        <v>Luxury</v>
      </c>
      <c r="AD1748" t="str">
        <f>IF(EV_Data4[[#This Row],[range_miles]]&gt;=350,"Long-Range",IF(EV_Data4[[#This Row],[range_miles]]&gt;=250,"Medium-Range","Short-Range"))</f>
        <v>Medium-Range</v>
      </c>
      <c r="AE1748" t="str">
        <f>IF(EV_Data4[[#This Row],[charging_speed_kw]]&gt;=250,"Ultra-Fast",IF(EV_Data4[[#This Row],[charging_speed_kw]]&gt;=150,"Fast-Charging","Standard-Charging"))</f>
        <v>Ultra-Fast</v>
      </c>
      <c r="AF1748" t="str">
        <f>IF(EV_Data4[[#This Row],[acceleration_0_60_mph]]&lt;=3,"SportsPerformance",IF(EV_Data4[[#This Row],[acceleration_0_60_mph]]&lt;=5,"HighPerformance","Standard"))</f>
        <v>Standard</v>
      </c>
      <c r="AG1748" t="str">
        <f>IF(EV_Data4[[#This Row],[customer_rating]]&gt;=4.5,"Excellent",IF(EV_Data4[[#This Row],[customer_rating]]&gt;=3.5,"Good","Average"))</f>
        <v>Good</v>
      </c>
      <c r="AH174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49" spans="1:34" x14ac:dyDescent="0.3">
      <c r="A1749" t="s">
        <v>63</v>
      </c>
      <c r="B1749" t="s">
        <v>96</v>
      </c>
      <c r="C1749">
        <v>2026</v>
      </c>
      <c r="D1749" t="s">
        <v>26</v>
      </c>
      <c r="E1749" s="3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27</v>
      </c>
      <c r="N1749">
        <v>5</v>
      </c>
      <c r="O1749" t="s">
        <v>50</v>
      </c>
      <c r="P1749">
        <v>37.5</v>
      </c>
      <c r="Q1749">
        <v>1500</v>
      </c>
      <c r="R1749">
        <v>5</v>
      </c>
      <c r="S1749">
        <v>1</v>
      </c>
      <c r="T1749" t="s">
        <v>65</v>
      </c>
      <c r="U1749" t="s">
        <v>66</v>
      </c>
      <c r="V1749" s="3">
        <v>240918</v>
      </c>
      <c r="W1749">
        <v>3.58</v>
      </c>
      <c r="X1749">
        <v>3</v>
      </c>
      <c r="Y1749" s="1">
        <f>EV_Data4[[#This Row],[range_miles]]/EV_Data4[[#This Row],[battery_capacity_kwh]]</f>
        <v>3.499005964214712</v>
      </c>
      <c r="Z1749" s="4">
        <f>EV_Data4[[#This Row],[price_usd]]/EV_Data4[[#This Row],[range_miles]]</f>
        <v>89.199204545454549</v>
      </c>
      <c r="AA1749" s="2">
        <f>(EV_Data4[[#This Row],[customer_rating]]*EV_Data4[[#This Row],[safety_rating]]*1000)/EV_Data4[[#This Row],[price_usd]]</f>
        <v>0.57009782751323967</v>
      </c>
      <c r="AB1749">
        <f>EV_Data4[[#This Row],[horsepower]]+EV_Data4[[#This Row],[torque_nm]]/EV_Data4[[#This Row],[acceleration_0_60_mph]]</f>
        <v>375.61432506887053</v>
      </c>
      <c r="AC1749" t="str">
        <f>IF(EV_Data4[[#This Row],[price_usd]]&gt;=80000,"Luxury",IF(EV_Data4[[#This Row],[price_usd]]&gt;=40000,"Mid-Range","Budget"))</f>
        <v>Budget</v>
      </c>
      <c r="AD1749" t="str">
        <f>IF(EV_Data4[[#This Row],[range_miles]]&gt;=350,"Long-Range",IF(EV_Data4[[#This Row],[range_miles]]&gt;=250,"Medium-Range","Short-Range"))</f>
        <v>Long-Range</v>
      </c>
      <c r="AE1749" t="str">
        <f>IF(EV_Data4[[#This Row],[charging_speed_kw]]&gt;=250,"Ultra-Fast",IF(EV_Data4[[#This Row],[charging_speed_kw]]&gt;=150,"Fast-Charging","Standard-Charging"))</f>
        <v>Fast-Charging</v>
      </c>
      <c r="AF1749" t="str">
        <f>IF(EV_Data4[[#This Row],[acceleration_0_60_mph]]&lt;=3,"SportsPerformance",IF(EV_Data4[[#This Row],[acceleration_0_60_mph]]&lt;=5,"HighPerformance","Standard"))</f>
        <v>HighPerformance</v>
      </c>
      <c r="AG1749" t="str">
        <f>IF(EV_Data4[[#This Row],[customer_rating]]&gt;=4.5,"Excellent",IF(EV_Data4[[#This Row],[customer_rating]]&gt;=3.5,"Good","Average"))</f>
        <v>Good</v>
      </c>
      <c r="AH174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50" spans="1:34" x14ac:dyDescent="0.3">
      <c r="A1750" t="s">
        <v>38</v>
      </c>
      <c r="B1750" t="s">
        <v>55</v>
      </c>
      <c r="C1750">
        <v>2024</v>
      </c>
      <c r="D1750" t="s">
        <v>44</v>
      </c>
      <c r="E1750" s="3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27</v>
      </c>
      <c r="N1750">
        <v>5</v>
      </c>
      <c r="O1750" t="s">
        <v>40</v>
      </c>
      <c r="P1750">
        <v>78.7</v>
      </c>
      <c r="Q1750">
        <v>1666</v>
      </c>
      <c r="R1750">
        <v>4</v>
      </c>
      <c r="S1750">
        <v>0</v>
      </c>
      <c r="T1750" t="s">
        <v>41</v>
      </c>
      <c r="U1750" t="s">
        <v>33</v>
      </c>
      <c r="V1750" s="3">
        <v>22091</v>
      </c>
      <c r="W1750">
        <v>3.72</v>
      </c>
      <c r="X1750">
        <v>4</v>
      </c>
      <c r="Y1750" s="1">
        <f>EV_Data4[[#This Row],[range_miles]]/EV_Data4[[#This Row],[battery_capacity_kwh]]</f>
        <v>3.6603773584905661</v>
      </c>
      <c r="Z1750" s="4">
        <f>EV_Data4[[#This Row],[price_usd]]/EV_Data4[[#This Row],[range_miles]]</f>
        <v>221.06804123711339</v>
      </c>
      <c r="AA1750" s="2">
        <f>(EV_Data4[[#This Row],[customer_rating]]*EV_Data4[[#This Row],[safety_rating]]*1000)/EV_Data4[[#This Row],[price_usd]]</f>
        <v>0.17347833386185157</v>
      </c>
      <c r="AB1750">
        <f>EV_Data4[[#This Row],[horsepower]]+EV_Data4[[#This Row],[torque_nm]]/EV_Data4[[#This Row],[acceleration_0_60_mph]]</f>
        <v>1200.4434589800444</v>
      </c>
      <c r="AC1750" t="str">
        <f>IF(EV_Data4[[#This Row],[price_usd]]&gt;=80000,"Luxury",IF(EV_Data4[[#This Row],[price_usd]]&gt;=40000,"Mid-Range","Budget"))</f>
        <v>Luxury</v>
      </c>
      <c r="AD1750" t="str">
        <f>IF(EV_Data4[[#This Row],[range_miles]]&gt;=350,"Long-Range",IF(EV_Data4[[#This Row],[range_miles]]&gt;=250,"Medium-Range","Short-Range"))</f>
        <v>Long-Range</v>
      </c>
      <c r="AE1750" t="str">
        <f>IF(EV_Data4[[#This Row],[charging_speed_kw]]&gt;=250,"Ultra-Fast",IF(EV_Data4[[#This Row],[charging_speed_kw]]&gt;=150,"Fast-Charging","Standard-Charging"))</f>
        <v>Standard-Charging</v>
      </c>
      <c r="AF1750" t="str">
        <f>IF(EV_Data4[[#This Row],[acceleration_0_60_mph]]&lt;=3,"SportsPerformance",IF(EV_Data4[[#This Row],[acceleration_0_60_mph]]&lt;=5,"HighPerformance","Standard"))</f>
        <v>HighPerformance</v>
      </c>
      <c r="AG1750" t="str">
        <f>IF(EV_Data4[[#This Row],[customer_rating]]&gt;=4.5,"Excellent",IF(EV_Data4[[#This Row],[customer_rating]]&gt;=3.5,"Good","Average"))</f>
        <v>Good</v>
      </c>
      <c r="AH175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51" spans="1:34" x14ac:dyDescent="0.3">
      <c r="A1751" t="s">
        <v>46</v>
      </c>
      <c r="B1751" t="s">
        <v>47</v>
      </c>
      <c r="C1751">
        <v>2023</v>
      </c>
      <c r="D1751" t="s">
        <v>26</v>
      </c>
      <c r="E1751" s="3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48</v>
      </c>
      <c r="N1751">
        <v>7</v>
      </c>
      <c r="O1751" t="s">
        <v>40</v>
      </c>
      <c r="P1751">
        <v>62.1</v>
      </c>
      <c r="Q1751">
        <v>1503</v>
      </c>
      <c r="R1751">
        <v>4</v>
      </c>
      <c r="S1751">
        <v>2</v>
      </c>
      <c r="T1751" t="s">
        <v>41</v>
      </c>
      <c r="U1751" t="s">
        <v>37</v>
      </c>
      <c r="V1751" s="3">
        <v>123687</v>
      </c>
      <c r="W1751">
        <v>4.34</v>
      </c>
      <c r="X1751">
        <v>5</v>
      </c>
      <c r="Y1751" s="1">
        <f>EV_Data4[[#This Row],[range_miles]]/EV_Data4[[#This Row],[battery_capacity_kwh]]</f>
        <v>3.5500878734622145</v>
      </c>
      <c r="Z1751" s="4">
        <f>EV_Data4[[#This Row],[price_usd]]/EV_Data4[[#This Row],[range_miles]]</f>
        <v>131.42596534653464</v>
      </c>
      <c r="AA1751" s="2">
        <f>(EV_Data4[[#This Row],[customer_rating]]*EV_Data4[[#This Row],[safety_rating]]*1000)/EV_Data4[[#This Row],[price_usd]]</f>
        <v>0.32695439532364817</v>
      </c>
      <c r="AB1751">
        <f>EV_Data4[[#This Row],[horsepower]]+EV_Data4[[#This Row],[torque_nm]]/EV_Data4[[#This Row],[acceleration_0_60_mph]]</f>
        <v>361.94736842105266</v>
      </c>
      <c r="AC1751" t="str">
        <f>IF(EV_Data4[[#This Row],[price_usd]]&gt;=80000,"Luxury",IF(EV_Data4[[#This Row],[price_usd]]&gt;=40000,"Mid-Range","Budget"))</f>
        <v>Mid-Range</v>
      </c>
      <c r="AD1751" t="str">
        <f>IF(EV_Data4[[#This Row],[range_miles]]&gt;=350,"Long-Range",IF(EV_Data4[[#This Row],[range_miles]]&gt;=250,"Medium-Range","Short-Range"))</f>
        <v>Long-Range</v>
      </c>
      <c r="AE1751" t="str">
        <f>IF(EV_Data4[[#This Row],[charging_speed_kw]]&gt;=250,"Ultra-Fast",IF(EV_Data4[[#This Row],[charging_speed_kw]]&gt;=150,"Fast-Charging","Standard-Charging"))</f>
        <v>Ultra-Fast</v>
      </c>
      <c r="AF1751" t="str">
        <f>IF(EV_Data4[[#This Row],[acceleration_0_60_mph]]&lt;=3,"SportsPerformance",IF(EV_Data4[[#This Row],[acceleration_0_60_mph]]&lt;=5,"HighPerformance","Standard"))</f>
        <v>HighPerformance</v>
      </c>
      <c r="AG1751" t="str">
        <f>IF(EV_Data4[[#This Row],[customer_rating]]&gt;=4.5,"Excellent",IF(EV_Data4[[#This Row],[customer_rating]]&gt;=3.5,"Good","Average"))</f>
        <v>Good</v>
      </c>
      <c r="AH175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52" spans="1:34" x14ac:dyDescent="0.3">
      <c r="A1752" t="s">
        <v>68</v>
      </c>
      <c r="B1752" t="s">
        <v>106</v>
      </c>
      <c r="C1752">
        <v>2023</v>
      </c>
      <c r="D1752" t="s">
        <v>56</v>
      </c>
      <c r="E1752" s="3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34</v>
      </c>
      <c r="N1752">
        <v>5</v>
      </c>
      <c r="O1752" t="s">
        <v>40</v>
      </c>
      <c r="P1752">
        <v>60.2</v>
      </c>
      <c r="Q1752">
        <v>1526</v>
      </c>
      <c r="R1752">
        <v>5</v>
      </c>
      <c r="S1752">
        <v>0</v>
      </c>
      <c r="T1752" t="s">
        <v>45</v>
      </c>
      <c r="U1752" t="s">
        <v>37</v>
      </c>
      <c r="V1752" s="3">
        <v>95016</v>
      </c>
      <c r="W1752">
        <v>3.55</v>
      </c>
      <c r="X1752">
        <v>4</v>
      </c>
      <c r="Y1752" s="1">
        <f>EV_Data4[[#This Row],[range_miles]]/EV_Data4[[#This Row],[battery_capacity_kwh]]</f>
        <v>3.5903614457831323</v>
      </c>
      <c r="Z1752" s="4">
        <f>EV_Data4[[#This Row],[price_usd]]/EV_Data4[[#This Row],[range_miles]]</f>
        <v>134.44134228187917</v>
      </c>
      <c r="AA1752" s="2">
        <f>(EV_Data4[[#This Row],[customer_rating]]*EV_Data4[[#This Row],[safety_rating]]*1000)/EV_Data4[[#This Row],[price_usd]]</f>
        <v>0.44304644224970752</v>
      </c>
      <c r="AB1752">
        <f>EV_Data4[[#This Row],[horsepower]]+EV_Data4[[#This Row],[torque_nm]]/EV_Data4[[#This Row],[acceleration_0_60_mph]]</f>
        <v>423.38961038961037</v>
      </c>
      <c r="AC1752" t="str">
        <f>IF(EV_Data4[[#This Row],[price_usd]]&gt;=80000,"Luxury",IF(EV_Data4[[#This Row],[price_usd]]&gt;=40000,"Mid-Range","Budget"))</f>
        <v>Mid-Range</v>
      </c>
      <c r="AD1752" t="str">
        <f>IF(EV_Data4[[#This Row],[range_miles]]&gt;=350,"Long-Range",IF(EV_Data4[[#This Row],[range_miles]]&gt;=250,"Medium-Range","Short-Range"))</f>
        <v>Medium-Range</v>
      </c>
      <c r="AE1752" t="str">
        <f>IF(EV_Data4[[#This Row],[charging_speed_kw]]&gt;=250,"Ultra-Fast",IF(EV_Data4[[#This Row],[charging_speed_kw]]&gt;=150,"Fast-Charging","Standard-Charging"))</f>
        <v>Standard-Charging</v>
      </c>
      <c r="AF1752" t="str">
        <f>IF(EV_Data4[[#This Row],[acceleration_0_60_mph]]&lt;=3,"SportsPerformance",IF(EV_Data4[[#This Row],[acceleration_0_60_mph]]&lt;=5,"HighPerformance","Standard"))</f>
        <v>Standard</v>
      </c>
      <c r="AG1752" t="str">
        <f>IF(EV_Data4[[#This Row],[customer_rating]]&gt;=4.5,"Excellent",IF(EV_Data4[[#This Row],[customer_rating]]&gt;=3.5,"Good","Average"))</f>
        <v>Good</v>
      </c>
      <c r="AH175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53" spans="1:34" x14ac:dyDescent="0.3">
      <c r="A1753" t="s">
        <v>63</v>
      </c>
      <c r="B1753" t="s">
        <v>64</v>
      </c>
      <c r="C1753">
        <v>2023</v>
      </c>
      <c r="D1753" t="s">
        <v>56</v>
      </c>
      <c r="E1753" s="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48</v>
      </c>
      <c r="N1753">
        <v>7</v>
      </c>
      <c r="O1753" t="s">
        <v>50</v>
      </c>
      <c r="P1753">
        <v>22.8</v>
      </c>
      <c r="Q1753">
        <v>1591</v>
      </c>
      <c r="R1753">
        <v>5</v>
      </c>
      <c r="S1753">
        <v>1</v>
      </c>
      <c r="T1753" t="s">
        <v>65</v>
      </c>
      <c r="U1753" t="s">
        <v>33</v>
      </c>
      <c r="V1753" s="3">
        <v>193019</v>
      </c>
      <c r="W1753">
        <v>3.17</v>
      </c>
      <c r="X1753">
        <v>4</v>
      </c>
      <c r="Y1753" s="1">
        <f>EV_Data4[[#This Row],[range_miles]]/EV_Data4[[#This Row],[battery_capacity_kwh]]</f>
        <v>3.493150684931507</v>
      </c>
      <c r="Z1753" s="4">
        <f>EV_Data4[[#This Row],[price_usd]]/EV_Data4[[#This Row],[range_miles]]</f>
        <v>474.28575163398693</v>
      </c>
      <c r="AA1753" s="2">
        <f>(EV_Data4[[#This Row],[customer_rating]]*EV_Data4[[#This Row],[safety_rating]]*1000)/EV_Data4[[#This Row],[price_usd]]</f>
        <v>0.21842269324965011</v>
      </c>
      <c r="AB1753">
        <f>EV_Data4[[#This Row],[horsepower]]+EV_Data4[[#This Row],[torque_nm]]/EV_Data4[[#This Row],[acceleration_0_60_mph]]</f>
        <v>936.24770642201838</v>
      </c>
      <c r="AC1753" t="str">
        <f>IF(EV_Data4[[#This Row],[price_usd]]&gt;=80000,"Luxury",IF(EV_Data4[[#This Row],[price_usd]]&gt;=40000,"Mid-Range","Budget"))</f>
        <v>Mid-Range</v>
      </c>
      <c r="AD1753" t="str">
        <f>IF(EV_Data4[[#This Row],[range_miles]]&gt;=350,"Long-Range",IF(EV_Data4[[#This Row],[range_miles]]&gt;=250,"Medium-Range","Short-Range"))</f>
        <v>Short-Range</v>
      </c>
      <c r="AE1753" t="str">
        <f>IF(EV_Data4[[#This Row],[charging_speed_kw]]&gt;=250,"Ultra-Fast",IF(EV_Data4[[#This Row],[charging_speed_kw]]&gt;=150,"Fast-Charging","Standard-Charging"))</f>
        <v>Standard-Charging</v>
      </c>
      <c r="AF1753" t="str">
        <f>IF(EV_Data4[[#This Row],[acceleration_0_60_mph]]&lt;=3,"SportsPerformance",IF(EV_Data4[[#This Row],[acceleration_0_60_mph]]&lt;=5,"HighPerformance","Standard"))</f>
        <v>Standard</v>
      </c>
      <c r="AG1753" t="str">
        <f>IF(EV_Data4[[#This Row],[customer_rating]]&gt;=4.5,"Excellent",IF(EV_Data4[[#This Row],[customer_rating]]&gt;=3.5,"Good","Average"))</f>
        <v>Average</v>
      </c>
      <c r="AH175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54" spans="1:34" x14ac:dyDescent="0.3">
      <c r="A1754" t="s">
        <v>46</v>
      </c>
      <c r="B1754" t="s">
        <v>57</v>
      </c>
      <c r="C1754">
        <v>2023</v>
      </c>
      <c r="D1754" t="s">
        <v>33</v>
      </c>
      <c r="E1754" s="3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27</v>
      </c>
      <c r="N1754">
        <v>5</v>
      </c>
      <c r="O1754" t="s">
        <v>40</v>
      </c>
      <c r="P1754">
        <v>64.7</v>
      </c>
      <c r="Q1754">
        <v>1535</v>
      </c>
      <c r="R1754">
        <v>4</v>
      </c>
      <c r="S1754">
        <v>2</v>
      </c>
      <c r="T1754" t="s">
        <v>41</v>
      </c>
      <c r="U1754" t="s">
        <v>33</v>
      </c>
      <c r="V1754" s="3">
        <v>231411</v>
      </c>
      <c r="W1754">
        <v>3.84</v>
      </c>
      <c r="X1754">
        <v>4</v>
      </c>
      <c r="Y1754" s="1">
        <f>EV_Data4[[#This Row],[range_miles]]/EV_Data4[[#This Row],[battery_capacity_kwh]]</f>
        <v>3.3982035928143715</v>
      </c>
      <c r="Z1754" s="4">
        <f>EV_Data4[[#This Row],[price_usd]]/EV_Data4[[#This Row],[range_miles]]</f>
        <v>398.63079295154188</v>
      </c>
      <c r="AA1754" s="2">
        <f>(EV_Data4[[#This Row],[customer_rating]]*EV_Data4[[#This Row],[safety_rating]]*1000)/EV_Data4[[#This Row],[price_usd]]</f>
        <v>0.16974403240873301</v>
      </c>
      <c r="AB1754">
        <f>EV_Data4[[#This Row],[horsepower]]+EV_Data4[[#This Row],[torque_nm]]/EV_Data4[[#This Row],[acceleration_0_60_mph]]</f>
        <v>727.10344827586209</v>
      </c>
      <c r="AC1754" t="str">
        <f>IF(EV_Data4[[#This Row],[price_usd]]&gt;=80000,"Luxury",IF(EV_Data4[[#This Row],[price_usd]]&gt;=40000,"Mid-Range","Budget"))</f>
        <v>Luxury</v>
      </c>
      <c r="AD1754" t="str">
        <f>IF(EV_Data4[[#This Row],[range_miles]]&gt;=350,"Long-Range",IF(EV_Data4[[#This Row],[range_miles]]&gt;=250,"Medium-Range","Short-Range"))</f>
        <v>Short-Range</v>
      </c>
      <c r="AE1754" t="str">
        <f>IF(EV_Data4[[#This Row],[charging_speed_kw]]&gt;=250,"Ultra-Fast",IF(EV_Data4[[#This Row],[charging_speed_kw]]&gt;=150,"Fast-Charging","Standard-Charging"))</f>
        <v>Ultra-Fast</v>
      </c>
      <c r="AF1754" t="str">
        <f>IF(EV_Data4[[#This Row],[acceleration_0_60_mph]]&lt;=3,"SportsPerformance",IF(EV_Data4[[#This Row],[acceleration_0_60_mph]]&lt;=5,"HighPerformance","Standard"))</f>
        <v>Standard</v>
      </c>
      <c r="AG1754" t="str">
        <f>IF(EV_Data4[[#This Row],[customer_rating]]&gt;=4.5,"Excellent",IF(EV_Data4[[#This Row],[customer_rating]]&gt;=3.5,"Good","Average"))</f>
        <v>Good</v>
      </c>
      <c r="AH175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55" spans="1:34" x14ac:dyDescent="0.3">
      <c r="A1755" t="s">
        <v>63</v>
      </c>
      <c r="B1755" t="s">
        <v>73</v>
      </c>
      <c r="C1755">
        <v>2026</v>
      </c>
      <c r="D1755" t="s">
        <v>33</v>
      </c>
      <c r="E1755" s="3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48</v>
      </c>
      <c r="N1755">
        <v>5</v>
      </c>
      <c r="O1755" t="s">
        <v>58</v>
      </c>
      <c r="P1755">
        <v>27.7</v>
      </c>
      <c r="Q1755">
        <v>1654</v>
      </c>
      <c r="R1755">
        <v>5</v>
      </c>
      <c r="S1755">
        <v>0</v>
      </c>
      <c r="T1755" t="s">
        <v>65</v>
      </c>
      <c r="U1755" t="s">
        <v>37</v>
      </c>
      <c r="V1755" s="3">
        <v>193352</v>
      </c>
      <c r="W1755">
        <v>3.21</v>
      </c>
      <c r="X1755">
        <v>4</v>
      </c>
      <c r="Y1755" s="1">
        <f>EV_Data4[[#This Row],[range_miles]]/EV_Data4[[#This Row],[battery_capacity_kwh]]</f>
        <v>3.8425925925925926</v>
      </c>
      <c r="Z1755" s="4">
        <f>EV_Data4[[#This Row],[price_usd]]/EV_Data4[[#This Row],[range_miles]]</f>
        <v>353.86198795180718</v>
      </c>
      <c r="AA1755" s="2">
        <f>(EV_Data4[[#This Row],[customer_rating]]*EV_Data4[[#This Row],[safety_rating]]*1000)/EV_Data4[[#This Row],[price_usd]]</f>
        <v>0.27323292775125557</v>
      </c>
      <c r="AB1755">
        <f>EV_Data4[[#This Row],[horsepower]]+EV_Data4[[#This Row],[torque_nm]]/EV_Data4[[#This Row],[acceleration_0_60_mph]]</f>
        <v>717.0078125</v>
      </c>
      <c r="AC1755" t="str">
        <f>IF(EV_Data4[[#This Row],[price_usd]]&gt;=80000,"Luxury",IF(EV_Data4[[#This Row],[price_usd]]&gt;=40000,"Mid-Range","Budget"))</f>
        <v>Mid-Range</v>
      </c>
      <c r="AD1755" t="str">
        <f>IF(EV_Data4[[#This Row],[range_miles]]&gt;=350,"Long-Range",IF(EV_Data4[[#This Row],[range_miles]]&gt;=250,"Medium-Range","Short-Range"))</f>
        <v>Short-Range</v>
      </c>
      <c r="AE1755" t="str">
        <f>IF(EV_Data4[[#This Row],[charging_speed_kw]]&gt;=250,"Ultra-Fast",IF(EV_Data4[[#This Row],[charging_speed_kw]]&gt;=150,"Fast-Charging","Standard-Charging"))</f>
        <v>Standard-Charging</v>
      </c>
      <c r="AF1755" t="str">
        <f>IF(EV_Data4[[#This Row],[acceleration_0_60_mph]]&lt;=3,"SportsPerformance",IF(EV_Data4[[#This Row],[acceleration_0_60_mph]]&lt;=5,"HighPerformance","Standard"))</f>
        <v>Standard</v>
      </c>
      <c r="AG1755" t="str">
        <f>IF(EV_Data4[[#This Row],[customer_rating]]&gt;=4.5,"Excellent",IF(EV_Data4[[#This Row],[customer_rating]]&gt;=3.5,"Good","Average"))</f>
        <v>Average</v>
      </c>
      <c r="AH175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56" spans="1:34" x14ac:dyDescent="0.3">
      <c r="A1756" t="s">
        <v>124</v>
      </c>
      <c r="B1756" t="s">
        <v>139</v>
      </c>
      <c r="C1756">
        <v>2025</v>
      </c>
      <c r="D1756" t="s">
        <v>26</v>
      </c>
      <c r="E1756" s="3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27</v>
      </c>
      <c r="N1756">
        <v>5</v>
      </c>
      <c r="O1756" t="s">
        <v>40</v>
      </c>
      <c r="P1756">
        <v>64.8</v>
      </c>
      <c r="Q1756">
        <v>1555</v>
      </c>
      <c r="R1756">
        <v>5</v>
      </c>
      <c r="S1756">
        <v>0</v>
      </c>
      <c r="T1756" t="s">
        <v>41</v>
      </c>
      <c r="U1756" t="s">
        <v>30</v>
      </c>
      <c r="V1756" s="3">
        <v>27265</v>
      </c>
      <c r="W1756">
        <v>3.3</v>
      </c>
      <c r="X1756">
        <v>5</v>
      </c>
      <c r="Y1756" s="1">
        <f>EV_Data4[[#This Row],[range_miles]]/EV_Data4[[#This Row],[battery_capacity_kwh]]</f>
        <v>3.7022397891963106</v>
      </c>
      <c r="Z1756" s="4">
        <f>EV_Data4[[#This Row],[price_usd]]/EV_Data4[[#This Row],[range_miles]]</f>
        <v>592.13138790035589</v>
      </c>
      <c r="AA1756" s="2">
        <f>(EV_Data4[[#This Row],[customer_rating]]*EV_Data4[[#This Row],[safety_rating]]*1000)/EV_Data4[[#This Row],[price_usd]]</f>
        <v>9.9165256917347608E-2</v>
      </c>
      <c r="AB1756">
        <f>EV_Data4[[#This Row],[horsepower]]+EV_Data4[[#This Row],[torque_nm]]/EV_Data4[[#This Row],[acceleration_0_60_mph]]</f>
        <v>940</v>
      </c>
      <c r="AC1756" t="str">
        <f>IF(EV_Data4[[#This Row],[price_usd]]&gt;=80000,"Luxury",IF(EV_Data4[[#This Row],[price_usd]]&gt;=40000,"Mid-Range","Budget"))</f>
        <v>Luxury</v>
      </c>
      <c r="AD1756" t="str">
        <f>IF(EV_Data4[[#This Row],[range_miles]]&gt;=350,"Long-Range",IF(EV_Data4[[#This Row],[range_miles]]&gt;=250,"Medium-Range","Short-Range"))</f>
        <v>Medium-Range</v>
      </c>
      <c r="AE1756" t="str">
        <f>IF(EV_Data4[[#This Row],[charging_speed_kw]]&gt;=250,"Ultra-Fast",IF(EV_Data4[[#This Row],[charging_speed_kw]]&gt;=150,"Fast-Charging","Standard-Charging"))</f>
        <v>Fast-Charging</v>
      </c>
      <c r="AF1756" t="str">
        <f>IF(EV_Data4[[#This Row],[acceleration_0_60_mph]]&lt;=3,"SportsPerformance",IF(EV_Data4[[#This Row],[acceleration_0_60_mph]]&lt;=5,"HighPerformance","Standard"))</f>
        <v>HighPerformance</v>
      </c>
      <c r="AG1756" t="str">
        <f>IF(EV_Data4[[#This Row],[customer_rating]]&gt;=4.5,"Excellent",IF(EV_Data4[[#This Row],[customer_rating]]&gt;=3.5,"Good","Average"))</f>
        <v>Average</v>
      </c>
      <c r="AH175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57" spans="1:34" x14ac:dyDescent="0.3">
      <c r="A1757" t="s">
        <v>76</v>
      </c>
      <c r="B1757" t="s">
        <v>81</v>
      </c>
      <c r="C1757">
        <v>2022</v>
      </c>
      <c r="D1757" t="s">
        <v>26</v>
      </c>
      <c r="E1757" s="3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27</v>
      </c>
      <c r="N1757">
        <v>7</v>
      </c>
      <c r="O1757" t="s">
        <v>51</v>
      </c>
      <c r="P1757">
        <v>21.3</v>
      </c>
      <c r="Q1757">
        <v>1539</v>
      </c>
      <c r="R1757">
        <v>4</v>
      </c>
      <c r="S1757">
        <v>1</v>
      </c>
      <c r="T1757" t="s">
        <v>41</v>
      </c>
      <c r="U1757" t="s">
        <v>33</v>
      </c>
      <c r="V1757" s="3">
        <v>25267</v>
      </c>
      <c r="W1757">
        <v>3.64</v>
      </c>
      <c r="X1757">
        <v>4</v>
      </c>
      <c r="Y1757" s="1">
        <f>EV_Data4[[#This Row],[range_miles]]/EV_Data4[[#This Row],[battery_capacity_kwh]]</f>
        <v>3.4328358208955221</v>
      </c>
      <c r="Z1757" s="4">
        <f>EV_Data4[[#This Row],[price_usd]]/EV_Data4[[#This Row],[range_miles]]</f>
        <v>287.28845849802372</v>
      </c>
      <c r="AA1757" s="2">
        <f>(EV_Data4[[#This Row],[customer_rating]]*EV_Data4[[#This Row],[safety_rating]]*1000)/EV_Data4[[#This Row],[price_usd]]</f>
        <v>0.20031924503859036</v>
      </c>
      <c r="AB1757">
        <f>EV_Data4[[#This Row],[horsepower]]+EV_Data4[[#This Row],[torque_nm]]/EV_Data4[[#This Row],[acceleration_0_60_mph]]</f>
        <v>1163.3357664233577</v>
      </c>
      <c r="AC1757" t="str">
        <f>IF(EV_Data4[[#This Row],[price_usd]]&gt;=80000,"Luxury",IF(EV_Data4[[#This Row],[price_usd]]&gt;=40000,"Mid-Range","Budget"))</f>
        <v>Mid-Range</v>
      </c>
      <c r="AD1757" t="str">
        <f>IF(EV_Data4[[#This Row],[range_miles]]&gt;=350,"Long-Range",IF(EV_Data4[[#This Row],[range_miles]]&gt;=250,"Medium-Range","Short-Range"))</f>
        <v>Medium-Range</v>
      </c>
      <c r="AE1757" t="str">
        <f>IF(EV_Data4[[#This Row],[charging_speed_kw]]&gt;=250,"Ultra-Fast",IF(EV_Data4[[#This Row],[charging_speed_kw]]&gt;=150,"Fast-Charging","Standard-Charging"))</f>
        <v>Fast-Charging</v>
      </c>
      <c r="AF1757" t="str">
        <f>IF(EV_Data4[[#This Row],[acceleration_0_60_mph]]&lt;=3,"SportsPerformance",IF(EV_Data4[[#This Row],[acceleration_0_60_mph]]&lt;=5,"HighPerformance","Standard"))</f>
        <v>SportsPerformance</v>
      </c>
      <c r="AG1757" t="str">
        <f>IF(EV_Data4[[#This Row],[customer_rating]]&gt;=4.5,"Excellent",IF(EV_Data4[[#This Row],[customer_rating]]&gt;=3.5,"Good","Average"))</f>
        <v>Good</v>
      </c>
      <c r="AH175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58" spans="1:34" x14ac:dyDescent="0.3">
      <c r="A1758" t="s">
        <v>31</v>
      </c>
      <c r="B1758" t="s">
        <v>112</v>
      </c>
      <c r="C1758">
        <v>2021</v>
      </c>
      <c r="D1758" t="s">
        <v>26</v>
      </c>
      <c r="E1758" s="3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27</v>
      </c>
      <c r="N1758">
        <v>7</v>
      </c>
      <c r="O1758" t="s">
        <v>51</v>
      </c>
      <c r="P1758">
        <v>31</v>
      </c>
      <c r="Q1758">
        <v>1520</v>
      </c>
      <c r="R1758">
        <v>5</v>
      </c>
      <c r="S1758">
        <v>0</v>
      </c>
      <c r="T1758" t="s">
        <v>36</v>
      </c>
      <c r="U1758" t="s">
        <v>33</v>
      </c>
      <c r="V1758" s="3">
        <v>29112</v>
      </c>
      <c r="W1758">
        <v>3.93</v>
      </c>
      <c r="X1758">
        <v>3</v>
      </c>
      <c r="Y1758" s="1">
        <f>EV_Data4[[#This Row],[range_miles]]/EV_Data4[[#This Row],[battery_capacity_kwh]]</f>
        <v>3.2023911187019642</v>
      </c>
      <c r="Z1758" s="4">
        <f>EV_Data4[[#This Row],[price_usd]]/EV_Data4[[#This Row],[range_miles]]</f>
        <v>250.39730666666668</v>
      </c>
      <c r="AA1758" s="2">
        <f>(EV_Data4[[#This Row],[customer_rating]]*EV_Data4[[#This Row],[safety_rating]]*1000)/EV_Data4[[#This Row],[price_usd]]</f>
        <v>0.20926742662514264</v>
      </c>
      <c r="AB1758">
        <f>EV_Data4[[#This Row],[horsepower]]+EV_Data4[[#This Row],[torque_nm]]/EV_Data4[[#This Row],[acceleration_0_60_mph]]</f>
        <v>1232.9113924050632</v>
      </c>
      <c r="AC1758" t="str">
        <f>IF(EV_Data4[[#This Row],[price_usd]]&gt;=80000,"Luxury",IF(EV_Data4[[#This Row],[price_usd]]&gt;=40000,"Mid-Range","Budget"))</f>
        <v>Luxury</v>
      </c>
      <c r="AD1758" t="str">
        <f>IF(EV_Data4[[#This Row],[range_miles]]&gt;=350,"Long-Range",IF(EV_Data4[[#This Row],[range_miles]]&gt;=250,"Medium-Range","Short-Range"))</f>
        <v>Long-Range</v>
      </c>
      <c r="AE1758" t="str">
        <f>IF(EV_Data4[[#This Row],[charging_speed_kw]]&gt;=250,"Ultra-Fast",IF(EV_Data4[[#This Row],[charging_speed_kw]]&gt;=150,"Fast-Charging","Standard-Charging"))</f>
        <v>Fast-Charging</v>
      </c>
      <c r="AF1758" t="str">
        <f>IF(EV_Data4[[#This Row],[acceleration_0_60_mph]]&lt;=3,"SportsPerformance",IF(EV_Data4[[#This Row],[acceleration_0_60_mph]]&lt;=5,"HighPerformance","Standard"))</f>
        <v>HighPerformance</v>
      </c>
      <c r="AG1758" t="str">
        <f>IF(EV_Data4[[#This Row],[customer_rating]]&gt;=4.5,"Excellent",IF(EV_Data4[[#This Row],[customer_rating]]&gt;=3.5,"Good","Average"))</f>
        <v>Good</v>
      </c>
      <c r="AH175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59" spans="1:34" x14ac:dyDescent="0.3">
      <c r="A1759" t="s">
        <v>68</v>
      </c>
      <c r="B1759" t="s">
        <v>79</v>
      </c>
      <c r="C1759">
        <v>2023</v>
      </c>
      <c r="D1759" t="s">
        <v>44</v>
      </c>
      <c r="E1759" s="3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34</v>
      </c>
      <c r="N1759">
        <v>7</v>
      </c>
      <c r="O1759" t="s">
        <v>40</v>
      </c>
      <c r="P1759">
        <v>75.8</v>
      </c>
      <c r="Q1759">
        <v>1500</v>
      </c>
      <c r="R1759">
        <v>5</v>
      </c>
      <c r="S1759">
        <v>2</v>
      </c>
      <c r="T1759" t="s">
        <v>45</v>
      </c>
      <c r="U1759" t="s">
        <v>33</v>
      </c>
      <c r="V1759" s="3">
        <v>120050</v>
      </c>
      <c r="W1759">
        <v>3.41</v>
      </c>
      <c r="X1759">
        <v>3</v>
      </c>
      <c r="Y1759" s="1">
        <f>EV_Data4[[#This Row],[range_miles]]/EV_Data4[[#This Row],[battery_capacity_kwh]]</f>
        <v>3.1565656565656566</v>
      </c>
      <c r="Z1759" s="4">
        <f>EV_Data4[[#This Row],[price_usd]]/EV_Data4[[#This Row],[range_miles]]</f>
        <v>317.68428</v>
      </c>
      <c r="AA1759" s="2">
        <f>(EV_Data4[[#This Row],[customer_rating]]*EV_Data4[[#This Row],[safety_rating]]*1000)/EV_Data4[[#This Row],[price_usd]]</f>
        <v>0.21467854814849507</v>
      </c>
      <c r="AB1759">
        <f>EV_Data4[[#This Row],[horsepower]]+EV_Data4[[#This Row],[torque_nm]]/EV_Data4[[#This Row],[acceleration_0_60_mph]]</f>
        <v>1145.9280575539569</v>
      </c>
      <c r="AC1759" t="str">
        <f>IF(EV_Data4[[#This Row],[price_usd]]&gt;=80000,"Luxury",IF(EV_Data4[[#This Row],[price_usd]]&gt;=40000,"Mid-Range","Budget"))</f>
        <v>Mid-Range</v>
      </c>
      <c r="AD1759" t="str">
        <f>IF(EV_Data4[[#This Row],[range_miles]]&gt;=350,"Long-Range",IF(EV_Data4[[#This Row],[range_miles]]&gt;=250,"Medium-Range","Short-Range"))</f>
        <v>Medium-Range</v>
      </c>
      <c r="AE1759" t="str">
        <f>IF(EV_Data4[[#This Row],[charging_speed_kw]]&gt;=250,"Ultra-Fast",IF(EV_Data4[[#This Row],[charging_speed_kw]]&gt;=150,"Fast-Charging","Standard-Charging"))</f>
        <v>Standard-Charging</v>
      </c>
      <c r="AF1759" t="str">
        <f>IF(EV_Data4[[#This Row],[acceleration_0_60_mph]]&lt;=3,"SportsPerformance",IF(EV_Data4[[#This Row],[acceleration_0_60_mph]]&lt;=5,"HighPerformance","Standard"))</f>
        <v>Standard</v>
      </c>
      <c r="AG1759" t="str">
        <f>IF(EV_Data4[[#This Row],[customer_rating]]&gt;=4.5,"Excellent",IF(EV_Data4[[#This Row],[customer_rating]]&gt;=3.5,"Good","Average"))</f>
        <v>Average</v>
      </c>
      <c r="AH175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60" spans="1:34" x14ac:dyDescent="0.3">
      <c r="A1760" t="s">
        <v>46</v>
      </c>
      <c r="B1760" t="s">
        <v>47</v>
      </c>
      <c r="C1760">
        <v>2022</v>
      </c>
      <c r="D1760" t="s">
        <v>33</v>
      </c>
      <c r="E1760" s="3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27</v>
      </c>
      <c r="N1760">
        <v>7</v>
      </c>
      <c r="O1760" t="s">
        <v>51</v>
      </c>
      <c r="P1760">
        <v>26.6</v>
      </c>
      <c r="Q1760">
        <v>1704</v>
      </c>
      <c r="R1760">
        <v>3</v>
      </c>
      <c r="S1760">
        <v>3</v>
      </c>
      <c r="T1760" t="s">
        <v>41</v>
      </c>
      <c r="U1760" t="s">
        <v>33</v>
      </c>
      <c r="V1760" s="3">
        <v>156841</v>
      </c>
      <c r="W1760">
        <v>3.58</v>
      </c>
      <c r="X1760">
        <v>4</v>
      </c>
      <c r="Y1760" s="1">
        <f>EV_Data4[[#This Row],[range_miles]]/EV_Data4[[#This Row],[battery_capacity_kwh]]</f>
        <v>3.6622073578595318</v>
      </c>
      <c r="Z1760" s="4">
        <f>EV_Data4[[#This Row],[price_usd]]/EV_Data4[[#This Row],[range_miles]]</f>
        <v>356.33876712328771</v>
      </c>
      <c r="AA1760" s="2">
        <f>(EV_Data4[[#This Row],[customer_rating]]*EV_Data4[[#This Row],[safety_rating]]*1000)/EV_Data4[[#This Row],[price_usd]]</f>
        <v>0.13762492441200905</v>
      </c>
      <c r="AB1760">
        <f>EV_Data4[[#This Row],[horsepower]]+EV_Data4[[#This Row],[torque_nm]]/EV_Data4[[#This Row],[acceleration_0_60_mph]]</f>
        <v>622.54838709677415</v>
      </c>
      <c r="AC1760" t="str">
        <f>IF(EV_Data4[[#This Row],[price_usd]]&gt;=80000,"Luxury",IF(EV_Data4[[#This Row],[price_usd]]&gt;=40000,"Mid-Range","Budget"))</f>
        <v>Mid-Range</v>
      </c>
      <c r="AD1760" t="str">
        <f>IF(EV_Data4[[#This Row],[range_miles]]&gt;=350,"Long-Range",IF(EV_Data4[[#This Row],[range_miles]]&gt;=250,"Medium-Range","Short-Range"))</f>
        <v>Short-Range</v>
      </c>
      <c r="AE1760" t="str">
        <f>IF(EV_Data4[[#This Row],[charging_speed_kw]]&gt;=250,"Ultra-Fast",IF(EV_Data4[[#This Row],[charging_speed_kw]]&gt;=150,"Fast-Charging","Standard-Charging"))</f>
        <v>Ultra-Fast</v>
      </c>
      <c r="AF1760" t="str">
        <f>IF(EV_Data4[[#This Row],[acceleration_0_60_mph]]&lt;=3,"SportsPerformance",IF(EV_Data4[[#This Row],[acceleration_0_60_mph]]&lt;=5,"HighPerformance","Standard"))</f>
        <v>Standard</v>
      </c>
      <c r="AG1760" t="str">
        <f>IF(EV_Data4[[#This Row],[customer_rating]]&gt;=4.5,"Excellent",IF(EV_Data4[[#This Row],[customer_rating]]&gt;=3.5,"Good","Average"))</f>
        <v>Good</v>
      </c>
      <c r="AH1760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761" spans="1:34" x14ac:dyDescent="0.3">
      <c r="A1761" t="s">
        <v>42</v>
      </c>
      <c r="B1761" t="s">
        <v>54</v>
      </c>
      <c r="C1761">
        <v>2026</v>
      </c>
      <c r="D1761" t="s">
        <v>26</v>
      </c>
      <c r="E1761" s="3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48</v>
      </c>
      <c r="N1761">
        <v>7</v>
      </c>
      <c r="O1761" t="s">
        <v>40</v>
      </c>
      <c r="P1761">
        <v>67.599999999999994</v>
      </c>
      <c r="Q1761">
        <v>1577</v>
      </c>
      <c r="R1761">
        <v>4</v>
      </c>
      <c r="S1761">
        <v>0</v>
      </c>
      <c r="T1761" t="s">
        <v>45</v>
      </c>
      <c r="U1761" t="s">
        <v>33</v>
      </c>
      <c r="V1761" s="3">
        <v>55244</v>
      </c>
      <c r="W1761">
        <v>3.99</v>
      </c>
      <c r="X1761">
        <v>4</v>
      </c>
      <c r="Y1761" s="1">
        <f>EV_Data4[[#This Row],[range_miles]]/EV_Data4[[#This Row],[battery_capacity_kwh]]</f>
        <v>3.6772983114446531</v>
      </c>
      <c r="Z1761" s="4">
        <f>EV_Data4[[#This Row],[price_usd]]/EV_Data4[[#This Row],[range_miles]]</f>
        <v>228.20625000000001</v>
      </c>
      <c r="AA1761" s="2">
        <f>(EV_Data4[[#This Row],[customer_rating]]*EV_Data4[[#This Row],[safety_rating]]*1000)/EV_Data4[[#This Row],[price_usd]]</f>
        <v>0.17841003791213306</v>
      </c>
      <c r="AB1761">
        <f>EV_Data4[[#This Row],[horsepower]]+EV_Data4[[#This Row],[torque_nm]]/EV_Data4[[#This Row],[acceleration_0_60_mph]]</f>
        <v>1238.858695652174</v>
      </c>
      <c r="AC1761" t="str">
        <f>IF(EV_Data4[[#This Row],[price_usd]]&gt;=80000,"Luxury",IF(EV_Data4[[#This Row],[price_usd]]&gt;=40000,"Mid-Range","Budget"))</f>
        <v>Luxury</v>
      </c>
      <c r="AD1761" t="str">
        <f>IF(EV_Data4[[#This Row],[range_miles]]&gt;=350,"Long-Range",IF(EV_Data4[[#This Row],[range_miles]]&gt;=250,"Medium-Range","Short-Range"))</f>
        <v>Long-Range</v>
      </c>
      <c r="AE1761" t="str">
        <f>IF(EV_Data4[[#This Row],[charging_speed_kw]]&gt;=250,"Ultra-Fast",IF(EV_Data4[[#This Row],[charging_speed_kw]]&gt;=150,"Fast-Charging","Standard-Charging"))</f>
        <v>Fast-Charging</v>
      </c>
      <c r="AF1761" t="str">
        <f>IF(EV_Data4[[#This Row],[acceleration_0_60_mph]]&lt;=3,"SportsPerformance",IF(EV_Data4[[#This Row],[acceleration_0_60_mph]]&lt;=5,"HighPerformance","Standard"))</f>
        <v>HighPerformance</v>
      </c>
      <c r="AG1761" t="str">
        <f>IF(EV_Data4[[#This Row],[customer_rating]]&gt;=4.5,"Excellent",IF(EV_Data4[[#This Row],[customer_rating]]&gt;=3.5,"Good","Average"))</f>
        <v>Good</v>
      </c>
      <c r="AH176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62" spans="1:34" x14ac:dyDescent="0.3">
      <c r="A1762" t="s">
        <v>24</v>
      </c>
      <c r="B1762" t="s">
        <v>85</v>
      </c>
      <c r="C1762">
        <v>2020</v>
      </c>
      <c r="D1762" t="s">
        <v>44</v>
      </c>
      <c r="E1762" s="3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48</v>
      </c>
      <c r="N1762">
        <v>7</v>
      </c>
      <c r="O1762" t="s">
        <v>28</v>
      </c>
      <c r="P1762">
        <v>71.7</v>
      </c>
      <c r="Q1762">
        <v>2388</v>
      </c>
      <c r="R1762">
        <v>4</v>
      </c>
      <c r="S1762">
        <v>2</v>
      </c>
      <c r="T1762" t="s">
        <v>29</v>
      </c>
      <c r="U1762" t="s">
        <v>33</v>
      </c>
      <c r="V1762" s="3">
        <v>205086</v>
      </c>
      <c r="W1762">
        <v>3.62</v>
      </c>
      <c r="X1762">
        <v>3</v>
      </c>
      <c r="Y1762" s="1">
        <f>EV_Data4[[#This Row],[range_miles]]/EV_Data4[[#This Row],[battery_capacity_kwh]]</f>
        <v>3.8254172015404362</v>
      </c>
      <c r="Z1762" s="4">
        <f>EV_Data4[[#This Row],[price_usd]]/EV_Data4[[#This Row],[range_miles]]</f>
        <v>272.87684563758393</v>
      </c>
      <c r="AA1762" s="2">
        <f>(EV_Data4[[#This Row],[customer_rating]]*EV_Data4[[#This Row],[safety_rating]]*1000)/EV_Data4[[#This Row],[price_usd]]</f>
        <v>0.17806788961266545</v>
      </c>
      <c r="AB1762">
        <f>EV_Data4[[#This Row],[horsepower]]+EV_Data4[[#This Row],[torque_nm]]/EV_Data4[[#This Row],[acceleration_0_60_mph]]</f>
        <v>1072.2909930715934</v>
      </c>
      <c r="AC1762" t="str">
        <f>IF(EV_Data4[[#This Row],[price_usd]]&gt;=80000,"Luxury",IF(EV_Data4[[#This Row],[price_usd]]&gt;=40000,"Mid-Range","Budget"))</f>
        <v>Luxury</v>
      </c>
      <c r="AD1762" t="str">
        <f>IF(EV_Data4[[#This Row],[range_miles]]&gt;=350,"Long-Range",IF(EV_Data4[[#This Row],[range_miles]]&gt;=250,"Medium-Range","Short-Range"))</f>
        <v>Medium-Range</v>
      </c>
      <c r="AE1762" t="str">
        <f>IF(EV_Data4[[#This Row],[charging_speed_kw]]&gt;=250,"Ultra-Fast",IF(EV_Data4[[#This Row],[charging_speed_kw]]&gt;=150,"Fast-Charging","Standard-Charging"))</f>
        <v>Standard-Charging</v>
      </c>
      <c r="AF1762" t="str">
        <f>IF(EV_Data4[[#This Row],[acceleration_0_60_mph]]&lt;=3,"SportsPerformance",IF(EV_Data4[[#This Row],[acceleration_0_60_mph]]&lt;=5,"HighPerformance","Standard"))</f>
        <v>HighPerformance</v>
      </c>
      <c r="AG1762" t="str">
        <f>IF(EV_Data4[[#This Row],[customer_rating]]&gt;=4.5,"Excellent",IF(EV_Data4[[#This Row],[customer_rating]]&gt;=3.5,"Good","Average"))</f>
        <v>Good</v>
      </c>
      <c r="AH176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63" spans="1:34" x14ac:dyDescent="0.3">
      <c r="A1763" t="s">
        <v>52</v>
      </c>
      <c r="B1763" t="s">
        <v>103</v>
      </c>
      <c r="C1763">
        <v>2021</v>
      </c>
      <c r="D1763" t="s">
        <v>44</v>
      </c>
      <c r="E1763" s="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27</v>
      </c>
      <c r="N1763">
        <v>5</v>
      </c>
      <c r="O1763" t="s">
        <v>40</v>
      </c>
      <c r="P1763">
        <v>61.9</v>
      </c>
      <c r="Q1763">
        <v>1500</v>
      </c>
      <c r="R1763">
        <v>4</v>
      </c>
      <c r="S1763">
        <v>2</v>
      </c>
      <c r="T1763" t="s">
        <v>29</v>
      </c>
      <c r="U1763" t="s">
        <v>30</v>
      </c>
      <c r="V1763" s="3">
        <v>61011</v>
      </c>
      <c r="W1763">
        <v>4</v>
      </c>
      <c r="X1763">
        <v>7</v>
      </c>
      <c r="Y1763" s="1">
        <f>EV_Data4[[#This Row],[range_miles]]/EV_Data4[[#This Row],[battery_capacity_kwh]]</f>
        <v>3.4930875576036868</v>
      </c>
      <c r="Z1763" s="4">
        <f>EV_Data4[[#This Row],[price_usd]]/EV_Data4[[#This Row],[range_miles]]</f>
        <v>353.26213720316622</v>
      </c>
      <c r="AA1763" s="2">
        <f>(EV_Data4[[#This Row],[customer_rating]]*EV_Data4[[#This Row],[safety_rating]]*1000)/EV_Data4[[#This Row],[price_usd]]</f>
        <v>0.11950434080845433</v>
      </c>
      <c r="AB1763">
        <f>EV_Data4[[#This Row],[horsepower]]+EV_Data4[[#This Row],[torque_nm]]/EV_Data4[[#This Row],[acceleration_0_60_mph]]</f>
        <v>941.61634103019537</v>
      </c>
      <c r="AC1763" t="str">
        <f>IF(EV_Data4[[#This Row],[price_usd]]&gt;=80000,"Luxury",IF(EV_Data4[[#This Row],[price_usd]]&gt;=40000,"Mid-Range","Budget"))</f>
        <v>Luxury</v>
      </c>
      <c r="AD1763" t="str">
        <f>IF(EV_Data4[[#This Row],[range_miles]]&gt;=350,"Long-Range",IF(EV_Data4[[#This Row],[range_miles]]&gt;=250,"Medium-Range","Short-Range"))</f>
        <v>Long-Range</v>
      </c>
      <c r="AE1763" t="str">
        <f>IF(EV_Data4[[#This Row],[charging_speed_kw]]&gt;=250,"Ultra-Fast",IF(EV_Data4[[#This Row],[charging_speed_kw]]&gt;=150,"Fast-Charging","Standard-Charging"))</f>
        <v>Standard-Charging</v>
      </c>
      <c r="AF1763" t="str">
        <f>IF(EV_Data4[[#This Row],[acceleration_0_60_mph]]&lt;=3,"SportsPerformance",IF(EV_Data4[[#This Row],[acceleration_0_60_mph]]&lt;=5,"HighPerformance","Standard"))</f>
        <v>Standard</v>
      </c>
      <c r="AG1763" t="str">
        <f>IF(EV_Data4[[#This Row],[customer_rating]]&gt;=4.5,"Excellent",IF(EV_Data4[[#This Row],[customer_rating]]&gt;=3.5,"Good","Average"))</f>
        <v>Good</v>
      </c>
      <c r="AH176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64" spans="1:34" x14ac:dyDescent="0.3">
      <c r="A1764" t="s">
        <v>46</v>
      </c>
      <c r="B1764" t="s">
        <v>47</v>
      </c>
      <c r="C1764">
        <v>2026</v>
      </c>
      <c r="D1764" t="s">
        <v>33</v>
      </c>
      <c r="E1764" s="3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27</v>
      </c>
      <c r="N1764">
        <v>5</v>
      </c>
      <c r="O1764" t="s">
        <v>51</v>
      </c>
      <c r="P1764">
        <v>37.200000000000003</v>
      </c>
      <c r="Q1764">
        <v>1684</v>
      </c>
      <c r="R1764">
        <v>4</v>
      </c>
      <c r="S1764">
        <v>3</v>
      </c>
      <c r="T1764" t="s">
        <v>41</v>
      </c>
      <c r="U1764" t="s">
        <v>30</v>
      </c>
      <c r="V1764" s="3">
        <v>179193</v>
      </c>
      <c r="W1764">
        <v>3.78</v>
      </c>
      <c r="X1764">
        <v>5</v>
      </c>
      <c r="Y1764" s="1">
        <f>EV_Data4[[#This Row],[range_miles]]/EV_Data4[[#This Row],[battery_capacity_kwh]]</f>
        <v>3.0687022900763359</v>
      </c>
      <c r="Z1764" s="4">
        <f>EV_Data4[[#This Row],[price_usd]]/EV_Data4[[#This Row],[range_miles]]</f>
        <v>613.91109452736316</v>
      </c>
      <c r="AA1764" s="2">
        <f>(EV_Data4[[#This Row],[customer_rating]]*EV_Data4[[#This Row],[safety_rating]]*1000)/EV_Data4[[#This Row],[price_usd]]</f>
        <v>0.12253220583173881</v>
      </c>
      <c r="AB1764">
        <f>EV_Data4[[#This Row],[horsepower]]+EV_Data4[[#This Row],[torque_nm]]/EV_Data4[[#This Row],[acceleration_0_60_mph]]</f>
        <v>1008.4328552803129</v>
      </c>
      <c r="AC1764" t="str">
        <f>IF(EV_Data4[[#This Row],[price_usd]]&gt;=80000,"Luxury",IF(EV_Data4[[#This Row],[price_usd]]&gt;=40000,"Mid-Range","Budget"))</f>
        <v>Luxury</v>
      </c>
      <c r="AD1764" t="str">
        <f>IF(EV_Data4[[#This Row],[range_miles]]&gt;=350,"Long-Range",IF(EV_Data4[[#This Row],[range_miles]]&gt;=250,"Medium-Range","Short-Range"))</f>
        <v>Short-Range</v>
      </c>
      <c r="AE1764" t="str">
        <f>IF(EV_Data4[[#This Row],[charging_speed_kw]]&gt;=250,"Ultra-Fast",IF(EV_Data4[[#This Row],[charging_speed_kw]]&gt;=150,"Fast-Charging","Standard-Charging"))</f>
        <v>Fast-Charging</v>
      </c>
      <c r="AF1764" t="str">
        <f>IF(EV_Data4[[#This Row],[acceleration_0_60_mph]]&lt;=3,"SportsPerformance",IF(EV_Data4[[#This Row],[acceleration_0_60_mph]]&lt;=5,"HighPerformance","Standard"))</f>
        <v>Standard</v>
      </c>
      <c r="AG1764" t="str">
        <f>IF(EV_Data4[[#This Row],[customer_rating]]&gt;=4.5,"Excellent",IF(EV_Data4[[#This Row],[customer_rating]]&gt;=3.5,"Good","Average"))</f>
        <v>Good</v>
      </c>
      <c r="AH1764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765" spans="1:34" x14ac:dyDescent="0.3">
      <c r="A1765" t="s">
        <v>68</v>
      </c>
      <c r="B1765" t="s">
        <v>69</v>
      </c>
      <c r="C1765">
        <v>2023</v>
      </c>
      <c r="D1765" t="s">
        <v>44</v>
      </c>
      <c r="E1765" s="3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48</v>
      </c>
      <c r="N1765">
        <v>7</v>
      </c>
      <c r="O1765" t="s">
        <v>35</v>
      </c>
      <c r="P1765">
        <v>69.599999999999994</v>
      </c>
      <c r="Q1765">
        <v>1987</v>
      </c>
      <c r="R1765">
        <v>5</v>
      </c>
      <c r="S1765">
        <v>1</v>
      </c>
      <c r="T1765" t="s">
        <v>45</v>
      </c>
      <c r="U1765" t="s">
        <v>33</v>
      </c>
      <c r="V1765" s="3">
        <v>122583</v>
      </c>
      <c r="W1765">
        <v>3.74</v>
      </c>
      <c r="X1765">
        <v>3</v>
      </c>
      <c r="Y1765" s="1">
        <f>EV_Data4[[#This Row],[range_miles]]/EV_Data4[[#This Row],[battery_capacity_kwh]]</f>
        <v>3.4591194968553456</v>
      </c>
      <c r="Z1765" s="4">
        <f>EV_Data4[[#This Row],[price_usd]]/EV_Data4[[#This Row],[range_miles]]</f>
        <v>271.33672727272727</v>
      </c>
      <c r="AA1765" s="2">
        <f>(EV_Data4[[#This Row],[customer_rating]]*EV_Data4[[#This Row],[safety_rating]]*1000)/EV_Data4[[#This Row],[price_usd]]</f>
        <v>0.20884259656345602</v>
      </c>
      <c r="AB1765">
        <f>EV_Data4[[#This Row],[horsepower]]+EV_Data4[[#This Row],[torque_nm]]/EV_Data4[[#This Row],[acceleration_0_60_mph]]</f>
        <v>1182.1946169772257</v>
      </c>
      <c r="AC1765" t="str">
        <f>IF(EV_Data4[[#This Row],[price_usd]]&gt;=80000,"Luxury",IF(EV_Data4[[#This Row],[price_usd]]&gt;=40000,"Mid-Range","Budget"))</f>
        <v>Luxury</v>
      </c>
      <c r="AD1765" t="str">
        <f>IF(EV_Data4[[#This Row],[range_miles]]&gt;=350,"Long-Range",IF(EV_Data4[[#This Row],[range_miles]]&gt;=250,"Medium-Range","Short-Range"))</f>
        <v>Medium-Range</v>
      </c>
      <c r="AE1765" t="str">
        <f>IF(EV_Data4[[#This Row],[charging_speed_kw]]&gt;=250,"Ultra-Fast",IF(EV_Data4[[#This Row],[charging_speed_kw]]&gt;=150,"Fast-Charging","Standard-Charging"))</f>
        <v>Standard-Charging</v>
      </c>
      <c r="AF1765" t="str">
        <f>IF(EV_Data4[[#This Row],[acceleration_0_60_mph]]&lt;=3,"SportsPerformance",IF(EV_Data4[[#This Row],[acceleration_0_60_mph]]&lt;=5,"HighPerformance","Standard"))</f>
        <v>HighPerformance</v>
      </c>
      <c r="AG1765" t="str">
        <f>IF(EV_Data4[[#This Row],[customer_rating]]&gt;=4.5,"Excellent",IF(EV_Data4[[#This Row],[customer_rating]]&gt;=3.5,"Good","Average"))</f>
        <v>Good</v>
      </c>
      <c r="AH176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66" spans="1:34" x14ac:dyDescent="0.3">
      <c r="A1766" t="s">
        <v>46</v>
      </c>
      <c r="B1766" t="s">
        <v>57</v>
      </c>
      <c r="C1766">
        <v>2025</v>
      </c>
      <c r="D1766" t="s">
        <v>56</v>
      </c>
      <c r="E1766" s="3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34</v>
      </c>
      <c r="N1766">
        <v>5</v>
      </c>
      <c r="O1766" t="s">
        <v>50</v>
      </c>
      <c r="P1766">
        <v>17.8</v>
      </c>
      <c r="Q1766">
        <v>1500</v>
      </c>
      <c r="R1766">
        <v>5</v>
      </c>
      <c r="S1766">
        <v>3</v>
      </c>
      <c r="T1766" t="s">
        <v>41</v>
      </c>
      <c r="U1766" t="s">
        <v>66</v>
      </c>
      <c r="V1766" s="3">
        <v>225676</v>
      </c>
      <c r="W1766">
        <v>3.51</v>
      </c>
      <c r="X1766">
        <v>6</v>
      </c>
      <c r="Y1766" s="1">
        <f>EV_Data4[[#This Row],[range_miles]]/EV_Data4[[#This Row],[battery_capacity_kwh]]</f>
        <v>3.918629550321199</v>
      </c>
      <c r="Z1766" s="4">
        <f>EV_Data4[[#This Row],[price_usd]]/EV_Data4[[#This Row],[range_miles]]</f>
        <v>166.05005464480874</v>
      </c>
      <c r="AA1766" s="2">
        <f>(EV_Data4[[#This Row],[customer_rating]]*EV_Data4[[#This Row],[safety_rating]]*1000)/EV_Data4[[#This Row],[price_usd]]</f>
        <v>0.5775465690113849</v>
      </c>
      <c r="AB1766">
        <f>EV_Data4[[#This Row],[horsepower]]+EV_Data4[[#This Row],[torque_nm]]/EV_Data4[[#This Row],[acceleration_0_60_mph]]</f>
        <v>224.38071065989848</v>
      </c>
      <c r="AC1766" t="str">
        <f>IF(EV_Data4[[#This Row],[price_usd]]&gt;=80000,"Luxury",IF(EV_Data4[[#This Row],[price_usd]]&gt;=40000,"Mid-Range","Budget"))</f>
        <v>Budget</v>
      </c>
      <c r="AD1766" t="str">
        <f>IF(EV_Data4[[#This Row],[range_miles]]&gt;=350,"Long-Range",IF(EV_Data4[[#This Row],[range_miles]]&gt;=250,"Medium-Range","Short-Range"))</f>
        <v>Short-Range</v>
      </c>
      <c r="AE1766" t="str">
        <f>IF(EV_Data4[[#This Row],[charging_speed_kw]]&gt;=250,"Ultra-Fast",IF(EV_Data4[[#This Row],[charging_speed_kw]]&gt;=150,"Fast-Charging","Standard-Charging"))</f>
        <v>Ultra-Fast</v>
      </c>
      <c r="AF1766" t="str">
        <f>IF(EV_Data4[[#This Row],[acceleration_0_60_mph]]&lt;=3,"SportsPerformance",IF(EV_Data4[[#This Row],[acceleration_0_60_mph]]&lt;=5,"HighPerformance","Standard"))</f>
        <v>Standard</v>
      </c>
      <c r="AG1766" t="str">
        <f>IF(EV_Data4[[#This Row],[customer_rating]]&gt;=4.5,"Excellent",IF(EV_Data4[[#This Row],[customer_rating]]&gt;=3.5,"Good","Average"))</f>
        <v>Good</v>
      </c>
      <c r="AH1766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767" spans="1:34" x14ac:dyDescent="0.3">
      <c r="A1767" t="s">
        <v>63</v>
      </c>
      <c r="B1767" t="s">
        <v>67</v>
      </c>
      <c r="C1767">
        <v>2024</v>
      </c>
      <c r="D1767" t="s">
        <v>61</v>
      </c>
      <c r="E1767" s="3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27</v>
      </c>
      <c r="N1767">
        <v>5</v>
      </c>
      <c r="O1767" t="s">
        <v>50</v>
      </c>
      <c r="P1767">
        <v>34.700000000000003</v>
      </c>
      <c r="Q1767">
        <v>1776</v>
      </c>
      <c r="R1767">
        <v>4</v>
      </c>
      <c r="S1767">
        <v>0</v>
      </c>
      <c r="T1767" t="s">
        <v>65</v>
      </c>
      <c r="U1767" t="s">
        <v>66</v>
      </c>
      <c r="V1767" s="3">
        <v>240735</v>
      </c>
      <c r="W1767">
        <v>3.31</v>
      </c>
      <c r="X1767">
        <v>4</v>
      </c>
      <c r="Y1767" s="1">
        <f>EV_Data4[[#This Row],[range_miles]]/EV_Data4[[#This Row],[battery_capacity_kwh]]</f>
        <v>3.098591549295775</v>
      </c>
      <c r="Z1767" s="4">
        <f>EV_Data4[[#This Row],[price_usd]]/EV_Data4[[#This Row],[range_miles]]</f>
        <v>123.34045454545453</v>
      </c>
      <c r="AA1767" s="2">
        <f>(EV_Data4[[#This Row],[customer_rating]]*EV_Data4[[#This Row],[safety_rating]]*1000)/EV_Data4[[#This Row],[price_usd]]</f>
        <v>0.60991564369133477</v>
      </c>
      <c r="AB1767">
        <f>EV_Data4[[#This Row],[horsepower]]+EV_Data4[[#This Row],[torque_nm]]/EV_Data4[[#This Row],[acceleration_0_60_mph]]</f>
        <v>226.41312741312743</v>
      </c>
      <c r="AC1767" t="str">
        <f>IF(EV_Data4[[#This Row],[price_usd]]&gt;=80000,"Luxury",IF(EV_Data4[[#This Row],[price_usd]]&gt;=40000,"Mid-Range","Budget"))</f>
        <v>Budget</v>
      </c>
      <c r="AD1767" t="str">
        <f>IF(EV_Data4[[#This Row],[range_miles]]&gt;=350,"Long-Range",IF(EV_Data4[[#This Row],[range_miles]]&gt;=250,"Medium-Range","Short-Range"))</f>
        <v>Short-Range</v>
      </c>
      <c r="AE1767" t="str">
        <f>IF(EV_Data4[[#This Row],[charging_speed_kw]]&gt;=250,"Ultra-Fast",IF(EV_Data4[[#This Row],[charging_speed_kw]]&gt;=150,"Fast-Charging","Standard-Charging"))</f>
        <v>Standard-Charging</v>
      </c>
      <c r="AF1767" t="str">
        <f>IF(EV_Data4[[#This Row],[acceleration_0_60_mph]]&lt;=3,"SportsPerformance",IF(EV_Data4[[#This Row],[acceleration_0_60_mph]]&lt;=5,"HighPerformance","Standard"))</f>
        <v>Standard</v>
      </c>
      <c r="AG1767" t="str">
        <f>IF(EV_Data4[[#This Row],[customer_rating]]&gt;=4.5,"Excellent",IF(EV_Data4[[#This Row],[customer_rating]]&gt;=3.5,"Good","Average"))</f>
        <v>Average</v>
      </c>
      <c r="AH176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68" spans="1:34" x14ac:dyDescent="0.3">
      <c r="A1768" t="s">
        <v>38</v>
      </c>
      <c r="B1768" t="s">
        <v>39</v>
      </c>
      <c r="C1768">
        <v>2024</v>
      </c>
      <c r="D1768" t="s">
        <v>33</v>
      </c>
      <c r="E1768" s="3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48</v>
      </c>
      <c r="N1768">
        <v>5</v>
      </c>
      <c r="O1768" t="s">
        <v>40</v>
      </c>
      <c r="P1768">
        <v>76.8</v>
      </c>
      <c r="Q1768">
        <v>1529</v>
      </c>
      <c r="R1768">
        <v>4</v>
      </c>
      <c r="S1768">
        <v>0</v>
      </c>
      <c r="T1768" t="s">
        <v>41</v>
      </c>
      <c r="U1768" t="s">
        <v>37</v>
      </c>
      <c r="V1768" s="3">
        <v>17461</v>
      </c>
      <c r="W1768">
        <v>3.32</v>
      </c>
      <c r="X1768">
        <v>3</v>
      </c>
      <c r="Y1768" s="1">
        <f>EV_Data4[[#This Row],[range_miles]]/EV_Data4[[#This Row],[battery_capacity_kwh]]</f>
        <v>3.5714285714285716</v>
      </c>
      <c r="Z1768" s="4">
        <f>EV_Data4[[#This Row],[price_usd]]/EV_Data4[[#This Row],[range_miles]]</f>
        <v>348.21826666666664</v>
      </c>
      <c r="AA1768" s="2">
        <f>(EV_Data4[[#This Row],[customer_rating]]*EV_Data4[[#This Row],[safety_rating]]*1000)/EV_Data4[[#This Row],[price_usd]]</f>
        <v>0.25424666597999646</v>
      </c>
      <c r="AB1768">
        <f>EV_Data4[[#This Row],[horsepower]]+EV_Data4[[#This Row],[torque_nm]]/EV_Data4[[#This Row],[acceleration_0_60_mph]]</f>
        <v>736.49809885931563</v>
      </c>
      <c r="AC1768" t="str">
        <f>IF(EV_Data4[[#This Row],[price_usd]]&gt;=80000,"Luxury",IF(EV_Data4[[#This Row],[price_usd]]&gt;=40000,"Mid-Range","Budget"))</f>
        <v>Mid-Range</v>
      </c>
      <c r="AD1768" t="str">
        <f>IF(EV_Data4[[#This Row],[range_miles]]&gt;=350,"Long-Range",IF(EV_Data4[[#This Row],[range_miles]]&gt;=250,"Medium-Range","Short-Range"))</f>
        <v>Short-Range</v>
      </c>
      <c r="AE1768" t="str">
        <f>IF(EV_Data4[[#This Row],[charging_speed_kw]]&gt;=250,"Ultra-Fast",IF(EV_Data4[[#This Row],[charging_speed_kw]]&gt;=150,"Fast-Charging","Standard-Charging"))</f>
        <v>Standard-Charging</v>
      </c>
      <c r="AF1768" t="str">
        <f>IF(EV_Data4[[#This Row],[acceleration_0_60_mph]]&lt;=3,"SportsPerformance",IF(EV_Data4[[#This Row],[acceleration_0_60_mph]]&lt;=5,"HighPerformance","Standard"))</f>
        <v>Standard</v>
      </c>
      <c r="AG1768" t="str">
        <f>IF(EV_Data4[[#This Row],[customer_rating]]&gt;=4.5,"Excellent",IF(EV_Data4[[#This Row],[customer_rating]]&gt;=3.5,"Good","Average"))</f>
        <v>Average</v>
      </c>
      <c r="AH176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69" spans="1:34" x14ac:dyDescent="0.3">
      <c r="A1769" t="s">
        <v>68</v>
      </c>
      <c r="B1769" t="s">
        <v>90</v>
      </c>
      <c r="C1769">
        <v>2025</v>
      </c>
      <c r="D1769" t="s">
        <v>33</v>
      </c>
      <c r="E1769" s="3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27</v>
      </c>
      <c r="N1769">
        <v>5</v>
      </c>
      <c r="O1769" t="s">
        <v>35</v>
      </c>
      <c r="P1769">
        <v>66.099999999999994</v>
      </c>
      <c r="Q1769">
        <v>2435</v>
      </c>
      <c r="R1769">
        <v>5</v>
      </c>
      <c r="S1769">
        <v>1</v>
      </c>
      <c r="T1769" t="s">
        <v>45</v>
      </c>
      <c r="U1769" t="s">
        <v>33</v>
      </c>
      <c r="V1769" s="3">
        <v>93827</v>
      </c>
      <c r="W1769">
        <v>3.71</v>
      </c>
      <c r="X1769">
        <v>4</v>
      </c>
      <c r="Y1769" s="1">
        <f>EV_Data4[[#This Row],[range_miles]]/EV_Data4[[#This Row],[battery_capacity_kwh]]</f>
        <v>3.6523929471032743</v>
      </c>
      <c r="Z1769" s="4">
        <f>EV_Data4[[#This Row],[price_usd]]/EV_Data4[[#This Row],[range_miles]]</f>
        <v>269.58255172413794</v>
      </c>
      <c r="AA1769" s="2">
        <f>(EV_Data4[[#This Row],[customer_rating]]*EV_Data4[[#This Row],[safety_rating]]*1000)/EV_Data4[[#This Row],[price_usd]]</f>
        <v>0.23727617693460668</v>
      </c>
      <c r="AB1769">
        <f>EV_Data4[[#This Row],[horsepower]]+EV_Data4[[#This Row],[torque_nm]]/EV_Data4[[#This Row],[acceleration_0_60_mph]]</f>
        <v>1159.5505617977528</v>
      </c>
      <c r="AC1769" t="str">
        <f>IF(EV_Data4[[#This Row],[price_usd]]&gt;=80000,"Luxury",IF(EV_Data4[[#This Row],[price_usd]]&gt;=40000,"Mid-Range","Budget"))</f>
        <v>Mid-Range</v>
      </c>
      <c r="AD1769" t="str">
        <f>IF(EV_Data4[[#This Row],[range_miles]]&gt;=350,"Long-Range",IF(EV_Data4[[#This Row],[range_miles]]&gt;=250,"Medium-Range","Short-Range"))</f>
        <v>Medium-Range</v>
      </c>
      <c r="AE1769" t="str">
        <f>IF(EV_Data4[[#This Row],[charging_speed_kw]]&gt;=250,"Ultra-Fast",IF(EV_Data4[[#This Row],[charging_speed_kw]]&gt;=150,"Fast-Charging","Standard-Charging"))</f>
        <v>Standard-Charging</v>
      </c>
      <c r="AF1769" t="str">
        <f>IF(EV_Data4[[#This Row],[acceleration_0_60_mph]]&lt;=3,"SportsPerformance",IF(EV_Data4[[#This Row],[acceleration_0_60_mph]]&lt;=5,"HighPerformance","Standard"))</f>
        <v>Standard</v>
      </c>
      <c r="AG1769" t="str">
        <f>IF(EV_Data4[[#This Row],[customer_rating]]&gt;=4.5,"Excellent",IF(EV_Data4[[#This Row],[customer_rating]]&gt;=3.5,"Good","Average"))</f>
        <v>Good</v>
      </c>
      <c r="AH176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70" spans="1:34" x14ac:dyDescent="0.3">
      <c r="A1770" t="s">
        <v>24</v>
      </c>
      <c r="B1770" t="s">
        <v>74</v>
      </c>
      <c r="C1770">
        <v>2025</v>
      </c>
      <c r="D1770" t="s">
        <v>56</v>
      </c>
      <c r="E1770" s="3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34</v>
      </c>
      <c r="N1770">
        <v>5</v>
      </c>
      <c r="O1770" t="s">
        <v>28</v>
      </c>
      <c r="P1770">
        <v>68.400000000000006</v>
      </c>
      <c r="Q1770">
        <v>2358</v>
      </c>
      <c r="R1770">
        <v>3</v>
      </c>
      <c r="S1770">
        <v>1</v>
      </c>
      <c r="T1770" t="s">
        <v>29</v>
      </c>
      <c r="U1770" t="s">
        <v>66</v>
      </c>
      <c r="V1770" s="3">
        <v>223686</v>
      </c>
      <c r="W1770">
        <v>3.31</v>
      </c>
      <c r="X1770">
        <v>3</v>
      </c>
      <c r="Y1770" s="1">
        <f>EV_Data4[[#This Row],[range_miles]]/EV_Data4[[#This Row],[battery_capacity_kwh]]</f>
        <v>3.2962962962962963</v>
      </c>
      <c r="Z1770" s="4">
        <f>EV_Data4[[#This Row],[price_usd]]/EV_Data4[[#This Row],[range_miles]]</f>
        <v>183.1958988764045</v>
      </c>
      <c r="AA1770" s="2">
        <f>(EV_Data4[[#This Row],[customer_rating]]*EV_Data4[[#This Row],[safety_rating]]*1000)/EV_Data4[[#This Row],[price_usd]]</f>
        <v>0.30451837184177188</v>
      </c>
      <c r="AB1770">
        <f>EV_Data4[[#This Row],[horsepower]]+EV_Data4[[#This Row],[torque_nm]]/EV_Data4[[#This Row],[acceleration_0_60_mph]]</f>
        <v>260.93286219081273</v>
      </c>
      <c r="AC1770" t="str">
        <f>IF(EV_Data4[[#This Row],[price_usd]]&gt;=80000,"Luxury",IF(EV_Data4[[#This Row],[price_usd]]&gt;=40000,"Mid-Range","Budget"))</f>
        <v>Budget</v>
      </c>
      <c r="AD1770" t="str">
        <f>IF(EV_Data4[[#This Row],[range_miles]]&gt;=350,"Long-Range",IF(EV_Data4[[#This Row],[range_miles]]&gt;=250,"Medium-Range","Short-Range"))</f>
        <v>Short-Range</v>
      </c>
      <c r="AE1770" t="str">
        <f>IF(EV_Data4[[#This Row],[charging_speed_kw]]&gt;=250,"Ultra-Fast",IF(EV_Data4[[#This Row],[charging_speed_kw]]&gt;=150,"Fast-Charging","Standard-Charging"))</f>
        <v>Standard-Charging</v>
      </c>
      <c r="AF1770" t="str">
        <f>IF(EV_Data4[[#This Row],[acceleration_0_60_mph]]&lt;=3,"SportsPerformance",IF(EV_Data4[[#This Row],[acceleration_0_60_mph]]&lt;=5,"HighPerformance","Standard"))</f>
        <v>Standard</v>
      </c>
      <c r="AG1770" t="str">
        <f>IF(EV_Data4[[#This Row],[customer_rating]]&gt;=4.5,"Excellent",IF(EV_Data4[[#This Row],[customer_rating]]&gt;=3.5,"Good","Average"))</f>
        <v>Average</v>
      </c>
      <c r="AH177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71" spans="1:34" x14ac:dyDescent="0.3">
      <c r="A1771" t="s">
        <v>24</v>
      </c>
      <c r="B1771" t="s">
        <v>75</v>
      </c>
      <c r="C1771">
        <v>2024</v>
      </c>
      <c r="D1771" t="s">
        <v>61</v>
      </c>
      <c r="E1771" s="3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34</v>
      </c>
      <c r="N1771">
        <v>5</v>
      </c>
      <c r="O1771" t="s">
        <v>50</v>
      </c>
      <c r="P1771">
        <v>17.5</v>
      </c>
      <c r="Q1771">
        <v>1566</v>
      </c>
      <c r="R1771">
        <v>4</v>
      </c>
      <c r="S1771">
        <v>0</v>
      </c>
      <c r="T1771" t="s">
        <v>29</v>
      </c>
      <c r="U1771" t="s">
        <v>37</v>
      </c>
      <c r="V1771" s="3">
        <v>229331</v>
      </c>
      <c r="W1771">
        <v>3.6</v>
      </c>
      <c r="X1771">
        <v>4</v>
      </c>
      <c r="Y1771" s="1">
        <f>EV_Data4[[#This Row],[range_miles]]/EV_Data4[[#This Row],[battery_capacity_kwh]]</f>
        <v>3.0975954738330973</v>
      </c>
      <c r="Z1771" s="4">
        <f>EV_Data4[[#This Row],[price_usd]]/EV_Data4[[#This Row],[range_miles]]</f>
        <v>295.18958904109587</v>
      </c>
      <c r="AA1771" s="2">
        <f>(EV_Data4[[#This Row],[customer_rating]]*EV_Data4[[#This Row],[safety_rating]]*1000)/EV_Data4[[#This Row],[price_usd]]</f>
        <v>0.22274980927047583</v>
      </c>
      <c r="AB1771">
        <f>EV_Data4[[#This Row],[horsepower]]+EV_Data4[[#This Row],[torque_nm]]/EV_Data4[[#This Row],[acceleration_0_60_mph]]</f>
        <v>724.52331606217615</v>
      </c>
      <c r="AC1771" t="str">
        <f>IF(EV_Data4[[#This Row],[price_usd]]&gt;=80000,"Luxury",IF(EV_Data4[[#This Row],[price_usd]]&gt;=40000,"Mid-Range","Budget"))</f>
        <v>Mid-Range</v>
      </c>
      <c r="AD1771" t="str">
        <f>IF(EV_Data4[[#This Row],[range_miles]]&gt;=350,"Long-Range",IF(EV_Data4[[#This Row],[range_miles]]&gt;=250,"Medium-Range","Short-Range"))</f>
        <v>Short-Range</v>
      </c>
      <c r="AE1771" t="str">
        <f>IF(EV_Data4[[#This Row],[charging_speed_kw]]&gt;=250,"Ultra-Fast",IF(EV_Data4[[#This Row],[charging_speed_kw]]&gt;=150,"Fast-Charging","Standard-Charging"))</f>
        <v>Standard-Charging</v>
      </c>
      <c r="AF1771" t="str">
        <f>IF(EV_Data4[[#This Row],[acceleration_0_60_mph]]&lt;=3,"SportsPerformance",IF(EV_Data4[[#This Row],[acceleration_0_60_mph]]&lt;=5,"HighPerformance","Standard"))</f>
        <v>Standard</v>
      </c>
      <c r="AG1771" t="str">
        <f>IF(EV_Data4[[#This Row],[customer_rating]]&gt;=4.5,"Excellent",IF(EV_Data4[[#This Row],[customer_rating]]&gt;=3.5,"Good","Average"))</f>
        <v>Good</v>
      </c>
      <c r="AH177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72" spans="1:34" x14ac:dyDescent="0.3">
      <c r="A1772" t="s">
        <v>68</v>
      </c>
      <c r="B1772" t="s">
        <v>69</v>
      </c>
      <c r="C1772">
        <v>2026</v>
      </c>
      <c r="D1772" t="s">
        <v>61</v>
      </c>
      <c r="E1772" s="3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48</v>
      </c>
      <c r="N1772">
        <v>7</v>
      </c>
      <c r="O1772" t="s">
        <v>28</v>
      </c>
      <c r="P1772">
        <v>78.3</v>
      </c>
      <c r="Q1772">
        <v>2639</v>
      </c>
      <c r="R1772">
        <v>4</v>
      </c>
      <c r="S1772">
        <v>0</v>
      </c>
      <c r="T1772" t="s">
        <v>45</v>
      </c>
      <c r="U1772" t="s">
        <v>37</v>
      </c>
      <c r="V1772" s="3">
        <v>60452</v>
      </c>
      <c r="W1772">
        <v>3.61</v>
      </c>
      <c r="X1772">
        <v>4</v>
      </c>
      <c r="Y1772" s="1">
        <f>EV_Data4[[#This Row],[range_miles]]/EV_Data4[[#This Row],[battery_capacity_kwh]]</f>
        <v>3.3726415094339623</v>
      </c>
      <c r="Z1772" s="4">
        <f>EV_Data4[[#This Row],[price_usd]]/EV_Data4[[#This Row],[range_miles]]</f>
        <v>142.99444055944056</v>
      </c>
      <c r="AA1772" s="2">
        <f>(EV_Data4[[#This Row],[customer_rating]]*EV_Data4[[#This Row],[safety_rating]]*1000)/EV_Data4[[#This Row],[price_usd]]</f>
        <v>0.35308722697175615</v>
      </c>
      <c r="AB1772">
        <f>EV_Data4[[#This Row],[horsepower]]+EV_Data4[[#This Row],[torque_nm]]/EV_Data4[[#This Row],[acceleration_0_60_mph]]</f>
        <v>379.05641748942173</v>
      </c>
      <c r="AC1772" t="str">
        <f>IF(EV_Data4[[#This Row],[price_usd]]&gt;=80000,"Luxury",IF(EV_Data4[[#This Row],[price_usd]]&gt;=40000,"Mid-Range","Budget"))</f>
        <v>Mid-Range</v>
      </c>
      <c r="AD1772" t="str">
        <f>IF(EV_Data4[[#This Row],[range_miles]]&gt;=350,"Long-Range",IF(EV_Data4[[#This Row],[range_miles]]&gt;=250,"Medium-Range","Short-Range"))</f>
        <v>Medium-Range</v>
      </c>
      <c r="AE1772" t="str">
        <f>IF(EV_Data4[[#This Row],[charging_speed_kw]]&gt;=250,"Ultra-Fast",IF(EV_Data4[[#This Row],[charging_speed_kw]]&gt;=150,"Fast-Charging","Standard-Charging"))</f>
        <v>Standard-Charging</v>
      </c>
      <c r="AF1772" t="str">
        <f>IF(EV_Data4[[#This Row],[acceleration_0_60_mph]]&lt;=3,"SportsPerformance",IF(EV_Data4[[#This Row],[acceleration_0_60_mph]]&lt;=5,"HighPerformance","Standard"))</f>
        <v>Standard</v>
      </c>
      <c r="AG1772" t="str">
        <f>IF(EV_Data4[[#This Row],[customer_rating]]&gt;=4.5,"Excellent",IF(EV_Data4[[#This Row],[customer_rating]]&gt;=3.5,"Good","Average"))</f>
        <v>Good</v>
      </c>
      <c r="AH177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73" spans="1:34" x14ac:dyDescent="0.3">
      <c r="A1773" t="s">
        <v>76</v>
      </c>
      <c r="B1773" t="s">
        <v>81</v>
      </c>
      <c r="C1773">
        <v>2024</v>
      </c>
      <c r="D1773" t="s">
        <v>26</v>
      </c>
      <c r="E1773" s="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27</v>
      </c>
      <c r="N1773">
        <v>5</v>
      </c>
      <c r="O1773" t="s">
        <v>35</v>
      </c>
      <c r="P1773">
        <v>58</v>
      </c>
      <c r="Q1773">
        <v>2017</v>
      </c>
      <c r="R1773">
        <v>5</v>
      </c>
      <c r="S1773">
        <v>1</v>
      </c>
      <c r="T1773" t="s">
        <v>41</v>
      </c>
      <c r="U1773" t="s">
        <v>33</v>
      </c>
      <c r="V1773" s="3">
        <v>55818</v>
      </c>
      <c r="W1773">
        <v>3.69</v>
      </c>
      <c r="X1773">
        <v>4</v>
      </c>
      <c r="Y1773" s="1">
        <f>EV_Data4[[#This Row],[range_miles]]/EV_Data4[[#This Row],[battery_capacity_kwh]]</f>
        <v>3.5379812695109263</v>
      </c>
      <c r="Z1773" s="4">
        <f>EV_Data4[[#This Row],[price_usd]]/EV_Data4[[#This Row],[range_miles]]</f>
        <v>291.68285294117646</v>
      </c>
      <c r="AA1773" s="2">
        <f>(EV_Data4[[#This Row],[customer_rating]]*EV_Data4[[#This Row],[safety_rating]]*1000)/EV_Data4[[#This Row],[price_usd]]</f>
        <v>0.18604009572443561</v>
      </c>
      <c r="AB1773">
        <f>EV_Data4[[#This Row],[horsepower]]+EV_Data4[[#This Row],[torque_nm]]/EV_Data4[[#This Row],[acceleration_0_60_mph]]</f>
        <v>1262.5714285714284</v>
      </c>
      <c r="AC1773" t="str">
        <f>IF(EV_Data4[[#This Row],[price_usd]]&gt;=80000,"Luxury",IF(EV_Data4[[#This Row],[price_usd]]&gt;=40000,"Mid-Range","Budget"))</f>
        <v>Luxury</v>
      </c>
      <c r="AD1773" t="str">
        <f>IF(EV_Data4[[#This Row],[range_miles]]&gt;=350,"Long-Range",IF(EV_Data4[[#This Row],[range_miles]]&gt;=250,"Medium-Range","Short-Range"))</f>
        <v>Medium-Range</v>
      </c>
      <c r="AE1773" t="str">
        <f>IF(EV_Data4[[#This Row],[charging_speed_kw]]&gt;=250,"Ultra-Fast",IF(EV_Data4[[#This Row],[charging_speed_kw]]&gt;=150,"Fast-Charging","Standard-Charging"))</f>
        <v>Fast-Charging</v>
      </c>
      <c r="AF1773" t="str">
        <f>IF(EV_Data4[[#This Row],[acceleration_0_60_mph]]&lt;=3,"SportsPerformance",IF(EV_Data4[[#This Row],[acceleration_0_60_mph]]&lt;=5,"HighPerformance","Standard"))</f>
        <v>HighPerformance</v>
      </c>
      <c r="AG1773" t="str">
        <f>IF(EV_Data4[[#This Row],[customer_rating]]&gt;=4.5,"Excellent",IF(EV_Data4[[#This Row],[customer_rating]]&gt;=3.5,"Good","Average"))</f>
        <v>Good</v>
      </c>
      <c r="AH177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74" spans="1:34" x14ac:dyDescent="0.3">
      <c r="A1774" t="s">
        <v>86</v>
      </c>
      <c r="B1774" t="s">
        <v>105</v>
      </c>
      <c r="C1774">
        <v>2025</v>
      </c>
      <c r="D1774" t="s">
        <v>61</v>
      </c>
      <c r="E1774" s="3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27</v>
      </c>
      <c r="N1774">
        <v>7</v>
      </c>
      <c r="O1774" t="s">
        <v>50</v>
      </c>
      <c r="P1774">
        <v>33.6</v>
      </c>
      <c r="Q1774">
        <v>1677</v>
      </c>
      <c r="R1774">
        <v>5</v>
      </c>
      <c r="S1774">
        <v>2</v>
      </c>
      <c r="T1774" t="s">
        <v>29</v>
      </c>
      <c r="U1774" t="s">
        <v>33</v>
      </c>
      <c r="V1774" s="3">
        <v>69050</v>
      </c>
      <c r="W1774">
        <v>3.19</v>
      </c>
      <c r="X1774">
        <v>6</v>
      </c>
      <c r="Y1774" s="1">
        <f>EV_Data4[[#This Row],[range_miles]]/EV_Data4[[#This Row],[battery_capacity_kwh]]</f>
        <v>3.7310606060606064</v>
      </c>
      <c r="Z1774" s="4">
        <f>EV_Data4[[#This Row],[price_usd]]/EV_Data4[[#This Row],[range_miles]]</f>
        <v>492.77994923857864</v>
      </c>
      <c r="AA1774" s="2">
        <f>(EV_Data4[[#This Row],[customer_rating]]*EV_Data4[[#This Row],[safety_rating]]*1000)/EV_Data4[[#This Row],[price_usd]]</f>
        <v>0.16430146382818292</v>
      </c>
      <c r="AB1774">
        <f>EV_Data4[[#This Row],[horsepower]]+EV_Data4[[#This Row],[torque_nm]]/EV_Data4[[#This Row],[acceleration_0_60_mph]]</f>
        <v>793.71014492753625</v>
      </c>
      <c r="AC1774" t="str">
        <f>IF(EV_Data4[[#This Row],[price_usd]]&gt;=80000,"Luxury",IF(EV_Data4[[#This Row],[price_usd]]&gt;=40000,"Mid-Range","Budget"))</f>
        <v>Luxury</v>
      </c>
      <c r="AD1774" t="str">
        <f>IF(EV_Data4[[#This Row],[range_miles]]&gt;=350,"Long-Range",IF(EV_Data4[[#This Row],[range_miles]]&gt;=250,"Medium-Range","Short-Range"))</f>
        <v>Short-Range</v>
      </c>
      <c r="AE1774" t="str">
        <f>IF(EV_Data4[[#This Row],[charging_speed_kw]]&gt;=250,"Ultra-Fast",IF(EV_Data4[[#This Row],[charging_speed_kw]]&gt;=150,"Fast-Charging","Standard-Charging"))</f>
        <v>Standard-Charging</v>
      </c>
      <c r="AF1774" t="str">
        <f>IF(EV_Data4[[#This Row],[acceleration_0_60_mph]]&lt;=3,"SportsPerformance",IF(EV_Data4[[#This Row],[acceleration_0_60_mph]]&lt;=5,"HighPerformance","Standard"))</f>
        <v>Standard</v>
      </c>
      <c r="AG1774" t="str">
        <f>IF(EV_Data4[[#This Row],[customer_rating]]&gt;=4.5,"Excellent",IF(EV_Data4[[#This Row],[customer_rating]]&gt;=3.5,"Good","Average"))</f>
        <v>Average</v>
      </c>
      <c r="AH177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75" spans="1:34" x14ac:dyDescent="0.3">
      <c r="A1775" t="s">
        <v>31</v>
      </c>
      <c r="B1775" t="s">
        <v>112</v>
      </c>
      <c r="C1775">
        <v>2025</v>
      </c>
      <c r="D1775" t="s">
        <v>44</v>
      </c>
      <c r="E1775" s="3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48</v>
      </c>
      <c r="N1775">
        <v>5</v>
      </c>
      <c r="O1775" t="s">
        <v>50</v>
      </c>
      <c r="P1775">
        <v>26</v>
      </c>
      <c r="Q1775">
        <v>1541</v>
      </c>
      <c r="R1775">
        <v>5</v>
      </c>
      <c r="S1775">
        <v>0</v>
      </c>
      <c r="T1775" t="s">
        <v>36</v>
      </c>
      <c r="U1775" t="s">
        <v>33</v>
      </c>
      <c r="V1775" s="3">
        <v>12682</v>
      </c>
      <c r="W1775">
        <v>3.5</v>
      </c>
      <c r="X1775">
        <v>3</v>
      </c>
      <c r="Y1775" s="1">
        <f>EV_Data4[[#This Row],[range_miles]]/EV_Data4[[#This Row],[battery_capacity_kwh]]</f>
        <v>3.7442396313364057</v>
      </c>
      <c r="Z1775" s="4">
        <f>EV_Data4[[#This Row],[price_usd]]/EV_Data4[[#This Row],[range_miles]]</f>
        <v>231.81369230769229</v>
      </c>
      <c r="AA1775" s="2">
        <f>(EV_Data4[[#This Row],[customer_rating]]*EV_Data4[[#This Row],[safety_rating]]*1000)/EV_Data4[[#This Row],[price_usd]]</f>
        <v>0.23228202488868716</v>
      </c>
      <c r="AB1775">
        <f>EV_Data4[[#This Row],[horsepower]]+EV_Data4[[#This Row],[torque_nm]]/EV_Data4[[#This Row],[acceleration_0_60_mph]]</f>
        <v>1144.7906458797327</v>
      </c>
      <c r="AC1775" t="str">
        <f>IF(EV_Data4[[#This Row],[price_usd]]&gt;=80000,"Luxury",IF(EV_Data4[[#This Row],[price_usd]]&gt;=40000,"Mid-Range","Budget"))</f>
        <v>Mid-Range</v>
      </c>
      <c r="AD1775" t="str">
        <f>IF(EV_Data4[[#This Row],[range_miles]]&gt;=350,"Long-Range",IF(EV_Data4[[#This Row],[range_miles]]&gt;=250,"Medium-Range","Short-Range"))</f>
        <v>Medium-Range</v>
      </c>
      <c r="AE1775" t="str">
        <f>IF(EV_Data4[[#This Row],[charging_speed_kw]]&gt;=250,"Ultra-Fast",IF(EV_Data4[[#This Row],[charging_speed_kw]]&gt;=150,"Fast-Charging","Standard-Charging"))</f>
        <v>Standard-Charging</v>
      </c>
      <c r="AF1775" t="str">
        <f>IF(EV_Data4[[#This Row],[acceleration_0_60_mph]]&lt;=3,"SportsPerformance",IF(EV_Data4[[#This Row],[acceleration_0_60_mph]]&lt;=5,"HighPerformance","Standard"))</f>
        <v>HighPerformance</v>
      </c>
      <c r="AG1775" t="str">
        <f>IF(EV_Data4[[#This Row],[customer_rating]]&gt;=4.5,"Excellent",IF(EV_Data4[[#This Row],[customer_rating]]&gt;=3.5,"Good","Average"))</f>
        <v>Good</v>
      </c>
      <c r="AH177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76" spans="1:34" x14ac:dyDescent="0.3">
      <c r="A1776" t="s">
        <v>76</v>
      </c>
      <c r="B1776" t="s">
        <v>77</v>
      </c>
      <c r="C1776">
        <v>2025</v>
      </c>
      <c r="D1776" t="s">
        <v>26</v>
      </c>
      <c r="E1776" s="3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48</v>
      </c>
      <c r="N1776">
        <v>5</v>
      </c>
      <c r="O1776" t="s">
        <v>40</v>
      </c>
      <c r="P1776">
        <v>66.5</v>
      </c>
      <c r="Q1776">
        <v>1939</v>
      </c>
      <c r="R1776">
        <v>3</v>
      </c>
      <c r="S1776">
        <v>2</v>
      </c>
      <c r="T1776" t="s">
        <v>41</v>
      </c>
      <c r="U1776" t="s">
        <v>33</v>
      </c>
      <c r="V1776" s="3">
        <v>45964</v>
      </c>
      <c r="W1776">
        <v>3.7</v>
      </c>
      <c r="X1776">
        <v>4</v>
      </c>
      <c r="Y1776" s="1">
        <f>EV_Data4[[#This Row],[range_miles]]/EV_Data4[[#This Row],[battery_capacity_kwh]]</f>
        <v>3.6680761099365751</v>
      </c>
      <c r="Z1776" s="4">
        <f>EV_Data4[[#This Row],[price_usd]]/EV_Data4[[#This Row],[range_miles]]</f>
        <v>209.86904899135445</v>
      </c>
      <c r="AA1776" s="2">
        <f>(EV_Data4[[#This Row],[customer_rating]]*EV_Data4[[#This Row],[safety_rating]]*1000)/EV_Data4[[#This Row],[price_usd]]</f>
        <v>0.15242110628612107</v>
      </c>
      <c r="AB1776">
        <f>EV_Data4[[#This Row],[horsepower]]+EV_Data4[[#This Row],[torque_nm]]/EV_Data4[[#This Row],[acceleration_0_60_mph]]</f>
        <v>1103.4976525821596</v>
      </c>
      <c r="AC1776" t="str">
        <f>IF(EV_Data4[[#This Row],[price_usd]]&gt;=80000,"Luxury",IF(EV_Data4[[#This Row],[price_usd]]&gt;=40000,"Mid-Range","Budget"))</f>
        <v>Mid-Range</v>
      </c>
      <c r="AD1776" t="str">
        <f>IF(EV_Data4[[#This Row],[range_miles]]&gt;=350,"Long-Range",IF(EV_Data4[[#This Row],[range_miles]]&gt;=250,"Medium-Range","Short-Range"))</f>
        <v>Medium-Range</v>
      </c>
      <c r="AE1776" t="str">
        <f>IF(EV_Data4[[#This Row],[charging_speed_kw]]&gt;=250,"Ultra-Fast",IF(EV_Data4[[#This Row],[charging_speed_kw]]&gt;=150,"Fast-Charging","Standard-Charging"))</f>
        <v>Fast-Charging</v>
      </c>
      <c r="AF1776" t="str">
        <f>IF(EV_Data4[[#This Row],[acceleration_0_60_mph]]&lt;=3,"SportsPerformance",IF(EV_Data4[[#This Row],[acceleration_0_60_mph]]&lt;=5,"HighPerformance","Standard"))</f>
        <v>HighPerformance</v>
      </c>
      <c r="AG1776" t="str">
        <f>IF(EV_Data4[[#This Row],[customer_rating]]&gt;=4.5,"Excellent",IF(EV_Data4[[#This Row],[customer_rating]]&gt;=3.5,"Good","Average"))</f>
        <v>Good</v>
      </c>
      <c r="AH177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77" spans="1:34" x14ac:dyDescent="0.3">
      <c r="A1777" t="s">
        <v>63</v>
      </c>
      <c r="B1777" t="s">
        <v>67</v>
      </c>
      <c r="C1777">
        <v>2025</v>
      </c>
      <c r="D1777" t="s">
        <v>44</v>
      </c>
      <c r="E1777" s="3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27</v>
      </c>
      <c r="N1777">
        <v>5</v>
      </c>
      <c r="O1777" t="s">
        <v>28</v>
      </c>
      <c r="P1777">
        <v>71.7</v>
      </c>
      <c r="Q1777">
        <v>2861</v>
      </c>
      <c r="R1777">
        <v>5</v>
      </c>
      <c r="S1777">
        <v>2</v>
      </c>
      <c r="T1777" t="s">
        <v>65</v>
      </c>
      <c r="U1777" t="s">
        <v>66</v>
      </c>
      <c r="V1777" s="3">
        <v>233286</v>
      </c>
      <c r="W1777">
        <v>3.51</v>
      </c>
      <c r="X1777">
        <v>5</v>
      </c>
      <c r="Y1777" s="1">
        <f>EV_Data4[[#This Row],[range_miles]]/EV_Data4[[#This Row],[battery_capacity_kwh]]</f>
        <v>3.7070707070707072</v>
      </c>
      <c r="Z1777" s="4">
        <f>EV_Data4[[#This Row],[price_usd]]/EV_Data4[[#This Row],[range_miles]]</f>
        <v>71.110490463215257</v>
      </c>
      <c r="AA1777" s="2">
        <f>(EV_Data4[[#This Row],[customer_rating]]*EV_Data4[[#This Row],[safety_rating]]*1000)/EV_Data4[[#This Row],[price_usd]]</f>
        <v>0.6724769183314141</v>
      </c>
      <c r="AB1777">
        <f>EV_Data4[[#This Row],[horsepower]]+EV_Data4[[#This Row],[torque_nm]]/EV_Data4[[#This Row],[acceleration_0_60_mph]]</f>
        <v>315.49266247379455</v>
      </c>
      <c r="AC1777" t="str">
        <f>IF(EV_Data4[[#This Row],[price_usd]]&gt;=80000,"Luxury",IF(EV_Data4[[#This Row],[price_usd]]&gt;=40000,"Mid-Range","Budget"))</f>
        <v>Budget</v>
      </c>
      <c r="AD1777" t="str">
        <f>IF(EV_Data4[[#This Row],[range_miles]]&gt;=350,"Long-Range",IF(EV_Data4[[#This Row],[range_miles]]&gt;=250,"Medium-Range","Short-Range"))</f>
        <v>Long-Range</v>
      </c>
      <c r="AE1777" t="str">
        <f>IF(EV_Data4[[#This Row],[charging_speed_kw]]&gt;=250,"Ultra-Fast",IF(EV_Data4[[#This Row],[charging_speed_kw]]&gt;=150,"Fast-Charging","Standard-Charging"))</f>
        <v>Standard-Charging</v>
      </c>
      <c r="AF1777" t="str">
        <f>IF(EV_Data4[[#This Row],[acceleration_0_60_mph]]&lt;=3,"SportsPerformance",IF(EV_Data4[[#This Row],[acceleration_0_60_mph]]&lt;=5,"HighPerformance","Standard"))</f>
        <v>HighPerformance</v>
      </c>
      <c r="AG1777" t="str">
        <f>IF(EV_Data4[[#This Row],[customer_rating]]&gt;=4.5,"Excellent",IF(EV_Data4[[#This Row],[customer_rating]]&gt;=3.5,"Good","Average"))</f>
        <v>Good</v>
      </c>
      <c r="AH177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78" spans="1:34" x14ac:dyDescent="0.3">
      <c r="A1778" t="s">
        <v>83</v>
      </c>
      <c r="B1778" t="s">
        <v>89</v>
      </c>
      <c r="C1778">
        <v>2023</v>
      </c>
      <c r="D1778" t="s">
        <v>56</v>
      </c>
      <c r="E1778" s="3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48</v>
      </c>
      <c r="N1778">
        <v>7</v>
      </c>
      <c r="O1778" t="s">
        <v>28</v>
      </c>
      <c r="P1778">
        <v>57.6</v>
      </c>
      <c r="Q1778">
        <v>2730</v>
      </c>
      <c r="R1778">
        <v>4</v>
      </c>
      <c r="S1778">
        <v>2</v>
      </c>
      <c r="T1778" t="s">
        <v>29</v>
      </c>
      <c r="U1778" t="s">
        <v>33</v>
      </c>
      <c r="V1778" s="3">
        <v>63501</v>
      </c>
      <c r="W1778">
        <v>3.78</v>
      </c>
      <c r="X1778">
        <v>5</v>
      </c>
      <c r="Y1778" s="1">
        <f>EV_Data4[[#This Row],[range_miles]]/EV_Data4[[#This Row],[battery_capacity_kwh]]</f>
        <v>3.5094339622641511</v>
      </c>
      <c r="Z1778" s="4">
        <f>EV_Data4[[#This Row],[price_usd]]/EV_Data4[[#This Row],[range_miles]]</f>
        <v>319.30774193548388</v>
      </c>
      <c r="AA1778" s="2">
        <f>(EV_Data4[[#This Row],[customer_rating]]*EV_Data4[[#This Row],[safety_rating]]*1000)/EV_Data4[[#This Row],[price_usd]]</f>
        <v>0.16972199940597299</v>
      </c>
      <c r="AB1778">
        <f>EV_Data4[[#This Row],[horsepower]]+EV_Data4[[#This Row],[torque_nm]]/EV_Data4[[#This Row],[acceleration_0_60_mph]]</f>
        <v>773.21868787276344</v>
      </c>
      <c r="AC1778" t="str">
        <f>IF(EV_Data4[[#This Row],[price_usd]]&gt;=80000,"Luxury",IF(EV_Data4[[#This Row],[price_usd]]&gt;=40000,"Mid-Range","Budget"))</f>
        <v>Luxury</v>
      </c>
      <c r="AD1778" t="str">
        <f>IF(EV_Data4[[#This Row],[range_miles]]&gt;=350,"Long-Range",IF(EV_Data4[[#This Row],[range_miles]]&gt;=250,"Medium-Range","Short-Range"))</f>
        <v>Medium-Range</v>
      </c>
      <c r="AE1778" t="str">
        <f>IF(EV_Data4[[#This Row],[charging_speed_kw]]&gt;=250,"Ultra-Fast",IF(EV_Data4[[#This Row],[charging_speed_kw]]&gt;=150,"Fast-Charging","Standard-Charging"))</f>
        <v>Standard-Charging</v>
      </c>
      <c r="AF1778" t="str">
        <f>IF(EV_Data4[[#This Row],[acceleration_0_60_mph]]&lt;=3,"SportsPerformance",IF(EV_Data4[[#This Row],[acceleration_0_60_mph]]&lt;=5,"HighPerformance","Standard"))</f>
        <v>Standard</v>
      </c>
      <c r="AG1778" t="str">
        <f>IF(EV_Data4[[#This Row],[customer_rating]]&gt;=4.5,"Excellent",IF(EV_Data4[[#This Row],[customer_rating]]&gt;=3.5,"Good","Average"))</f>
        <v>Good</v>
      </c>
      <c r="AH177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79" spans="1:34" x14ac:dyDescent="0.3">
      <c r="A1779" t="s">
        <v>24</v>
      </c>
      <c r="B1779" t="s">
        <v>74</v>
      </c>
      <c r="C1779">
        <v>2026</v>
      </c>
      <c r="D1779" t="s">
        <v>26</v>
      </c>
      <c r="E1779" s="3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27</v>
      </c>
      <c r="N1779">
        <v>5</v>
      </c>
      <c r="O1779" t="s">
        <v>58</v>
      </c>
      <c r="P1779">
        <v>16.2</v>
      </c>
      <c r="Q1779">
        <v>1564</v>
      </c>
      <c r="R1779">
        <v>4</v>
      </c>
      <c r="S1779">
        <v>0</v>
      </c>
      <c r="T1779" t="s">
        <v>29</v>
      </c>
      <c r="U1779" t="s">
        <v>33</v>
      </c>
      <c r="V1779" s="3">
        <v>241869</v>
      </c>
      <c r="W1779">
        <v>4.05</v>
      </c>
      <c r="X1779">
        <v>4</v>
      </c>
      <c r="Y1779" s="1">
        <f>EV_Data4[[#This Row],[range_miles]]/EV_Data4[[#This Row],[battery_capacity_kwh]]</f>
        <v>3.3652173913043479</v>
      </c>
      <c r="Z1779" s="4">
        <f>EV_Data4[[#This Row],[price_usd]]/EV_Data4[[#This Row],[range_miles]]</f>
        <v>186.64434108527132</v>
      </c>
      <c r="AA1779" s="2">
        <f>(EV_Data4[[#This Row],[customer_rating]]*EV_Data4[[#This Row],[safety_rating]]*1000)/EV_Data4[[#This Row],[price_usd]]</f>
        <v>0.22427931579856727</v>
      </c>
      <c r="AB1779">
        <f>EV_Data4[[#This Row],[horsepower]]+EV_Data4[[#This Row],[torque_nm]]/EV_Data4[[#This Row],[acceleration_0_60_mph]]</f>
        <v>966.6349206349206</v>
      </c>
      <c r="AC1779" t="str">
        <f>IF(EV_Data4[[#This Row],[price_usd]]&gt;=80000,"Luxury",IF(EV_Data4[[#This Row],[price_usd]]&gt;=40000,"Mid-Range","Budget"))</f>
        <v>Mid-Range</v>
      </c>
      <c r="AD1779" t="str">
        <f>IF(EV_Data4[[#This Row],[range_miles]]&gt;=350,"Long-Range",IF(EV_Data4[[#This Row],[range_miles]]&gt;=250,"Medium-Range","Short-Range"))</f>
        <v>Long-Range</v>
      </c>
      <c r="AE1779" t="str">
        <f>IF(EV_Data4[[#This Row],[charging_speed_kw]]&gt;=250,"Ultra-Fast",IF(EV_Data4[[#This Row],[charging_speed_kw]]&gt;=150,"Fast-Charging","Standard-Charging"))</f>
        <v>Fast-Charging</v>
      </c>
      <c r="AF1779" t="str">
        <f>IF(EV_Data4[[#This Row],[acceleration_0_60_mph]]&lt;=3,"SportsPerformance",IF(EV_Data4[[#This Row],[acceleration_0_60_mph]]&lt;=5,"HighPerformance","Standard"))</f>
        <v>HighPerformance</v>
      </c>
      <c r="AG1779" t="str">
        <f>IF(EV_Data4[[#This Row],[customer_rating]]&gt;=4.5,"Excellent",IF(EV_Data4[[#This Row],[customer_rating]]&gt;=3.5,"Good","Average"))</f>
        <v>Good</v>
      </c>
      <c r="AH177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80" spans="1:34" x14ac:dyDescent="0.3">
      <c r="A1780" t="s">
        <v>63</v>
      </c>
      <c r="B1780" t="s">
        <v>82</v>
      </c>
      <c r="C1780">
        <v>2022</v>
      </c>
      <c r="D1780" t="s">
        <v>44</v>
      </c>
      <c r="E1780" s="3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27</v>
      </c>
      <c r="N1780">
        <v>5</v>
      </c>
      <c r="O1780" t="s">
        <v>28</v>
      </c>
      <c r="P1780">
        <v>76.8</v>
      </c>
      <c r="Q1780">
        <v>2565</v>
      </c>
      <c r="R1780">
        <v>5</v>
      </c>
      <c r="S1780">
        <v>1</v>
      </c>
      <c r="T1780" t="s">
        <v>65</v>
      </c>
      <c r="U1780" t="s">
        <v>33</v>
      </c>
      <c r="V1780" s="3">
        <v>170493</v>
      </c>
      <c r="W1780">
        <v>3.64</v>
      </c>
      <c r="X1780">
        <v>3</v>
      </c>
      <c r="Y1780" s="1">
        <f>EV_Data4[[#This Row],[range_miles]]/EV_Data4[[#This Row],[battery_capacity_kwh]]</f>
        <v>3.7990762124711317</v>
      </c>
      <c r="Z1780" s="4">
        <f>EV_Data4[[#This Row],[price_usd]]/EV_Data4[[#This Row],[range_miles]]</f>
        <v>243.70875379939207</v>
      </c>
      <c r="AA1780" s="2">
        <f>(EV_Data4[[#This Row],[customer_rating]]*EV_Data4[[#This Row],[safety_rating]]*1000)/EV_Data4[[#This Row],[price_usd]]</f>
        <v>0.22698876455503095</v>
      </c>
      <c r="AB1780">
        <f>EV_Data4[[#This Row],[horsepower]]+EV_Data4[[#This Row],[torque_nm]]/EV_Data4[[#This Row],[acceleration_0_60_mph]]</f>
        <v>1012.9498956158664</v>
      </c>
      <c r="AC1780" t="str">
        <f>IF(EV_Data4[[#This Row],[price_usd]]&gt;=80000,"Luxury",IF(EV_Data4[[#This Row],[price_usd]]&gt;=40000,"Mid-Range","Budget"))</f>
        <v>Luxury</v>
      </c>
      <c r="AD1780" t="str">
        <f>IF(EV_Data4[[#This Row],[range_miles]]&gt;=350,"Long-Range",IF(EV_Data4[[#This Row],[range_miles]]&gt;=250,"Medium-Range","Short-Range"))</f>
        <v>Medium-Range</v>
      </c>
      <c r="AE1780" t="str">
        <f>IF(EV_Data4[[#This Row],[charging_speed_kw]]&gt;=250,"Ultra-Fast",IF(EV_Data4[[#This Row],[charging_speed_kw]]&gt;=150,"Fast-Charging","Standard-Charging"))</f>
        <v>Standard-Charging</v>
      </c>
      <c r="AF1780" t="str">
        <f>IF(EV_Data4[[#This Row],[acceleration_0_60_mph]]&lt;=3,"SportsPerformance",IF(EV_Data4[[#This Row],[acceleration_0_60_mph]]&lt;=5,"HighPerformance","Standard"))</f>
        <v>HighPerformance</v>
      </c>
      <c r="AG1780" t="str">
        <f>IF(EV_Data4[[#This Row],[customer_rating]]&gt;=4.5,"Excellent",IF(EV_Data4[[#This Row],[customer_rating]]&gt;=3.5,"Good","Average"))</f>
        <v>Good</v>
      </c>
      <c r="AH178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81" spans="1:34" x14ac:dyDescent="0.3">
      <c r="A1781" t="s">
        <v>52</v>
      </c>
      <c r="B1781" t="s">
        <v>53</v>
      </c>
      <c r="C1781">
        <v>2023</v>
      </c>
      <c r="D1781" t="s">
        <v>33</v>
      </c>
      <c r="E1781" s="3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27</v>
      </c>
      <c r="N1781">
        <v>5</v>
      </c>
      <c r="O1781" t="s">
        <v>50</v>
      </c>
      <c r="P1781">
        <v>25.7</v>
      </c>
      <c r="Q1781">
        <v>1500</v>
      </c>
      <c r="R1781">
        <v>4</v>
      </c>
      <c r="S1781">
        <v>1</v>
      </c>
      <c r="T1781" t="s">
        <v>29</v>
      </c>
      <c r="U1781" t="s">
        <v>30</v>
      </c>
      <c r="V1781" s="3">
        <v>72096</v>
      </c>
      <c r="W1781">
        <v>3.64</v>
      </c>
      <c r="X1781">
        <v>6</v>
      </c>
      <c r="Y1781" s="1">
        <f>EV_Data4[[#This Row],[range_miles]]/EV_Data4[[#This Row],[battery_capacity_kwh]]</f>
        <v>3.4298440979955456</v>
      </c>
      <c r="Z1781" s="4">
        <f>EV_Data4[[#This Row],[price_usd]]/EV_Data4[[#This Row],[range_miles]]</f>
        <v>725.28188311688314</v>
      </c>
      <c r="AA1781" s="2">
        <f>(EV_Data4[[#This Row],[customer_rating]]*EV_Data4[[#This Row],[safety_rating]]*1000)/EV_Data4[[#This Row],[price_usd]]</f>
        <v>0.13035684021107422</v>
      </c>
      <c r="AB1781">
        <f>EV_Data4[[#This Row],[horsepower]]+EV_Data4[[#This Row],[torque_nm]]/EV_Data4[[#This Row],[acceleration_0_60_mph]]</f>
        <v>722.20178041543022</v>
      </c>
      <c r="AC1781" t="str">
        <f>IF(EV_Data4[[#This Row],[price_usd]]&gt;=80000,"Luxury",IF(EV_Data4[[#This Row],[price_usd]]&gt;=40000,"Mid-Range","Budget"))</f>
        <v>Luxury</v>
      </c>
      <c r="AD1781" t="str">
        <f>IF(EV_Data4[[#This Row],[range_miles]]&gt;=350,"Long-Range",IF(EV_Data4[[#This Row],[range_miles]]&gt;=250,"Medium-Range","Short-Range"))</f>
        <v>Short-Range</v>
      </c>
      <c r="AE1781" t="str">
        <f>IF(EV_Data4[[#This Row],[charging_speed_kw]]&gt;=250,"Ultra-Fast",IF(EV_Data4[[#This Row],[charging_speed_kw]]&gt;=150,"Fast-Charging","Standard-Charging"))</f>
        <v>Standard-Charging</v>
      </c>
      <c r="AF1781" t="str">
        <f>IF(EV_Data4[[#This Row],[acceleration_0_60_mph]]&lt;=3,"SportsPerformance",IF(EV_Data4[[#This Row],[acceleration_0_60_mph]]&lt;=5,"HighPerformance","Standard"))</f>
        <v>Standard</v>
      </c>
      <c r="AG1781" t="str">
        <f>IF(EV_Data4[[#This Row],[customer_rating]]&gt;=4.5,"Excellent",IF(EV_Data4[[#This Row],[customer_rating]]&gt;=3.5,"Good","Average"))</f>
        <v>Good</v>
      </c>
      <c r="AH178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82" spans="1:34" x14ac:dyDescent="0.3">
      <c r="A1782" t="s">
        <v>46</v>
      </c>
      <c r="B1782" t="s">
        <v>57</v>
      </c>
      <c r="C1782">
        <v>2026</v>
      </c>
      <c r="D1782" t="s">
        <v>56</v>
      </c>
      <c r="E1782" s="3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34</v>
      </c>
      <c r="N1782">
        <v>5</v>
      </c>
      <c r="O1782" t="s">
        <v>40</v>
      </c>
      <c r="P1782">
        <v>64.2</v>
      </c>
      <c r="Q1782">
        <v>1667</v>
      </c>
      <c r="R1782">
        <v>4</v>
      </c>
      <c r="S1782">
        <v>2</v>
      </c>
      <c r="T1782" t="s">
        <v>41</v>
      </c>
      <c r="U1782" t="s">
        <v>30</v>
      </c>
      <c r="V1782" s="3">
        <v>186324</v>
      </c>
      <c r="W1782">
        <v>3.52</v>
      </c>
      <c r="X1782">
        <v>5</v>
      </c>
      <c r="Y1782" s="1">
        <f>EV_Data4[[#This Row],[range_miles]]/EV_Data4[[#This Row],[battery_capacity_kwh]]</f>
        <v>3.6319612590799033</v>
      </c>
      <c r="Z1782" s="4">
        <f>EV_Data4[[#This Row],[price_usd]]/EV_Data4[[#This Row],[range_miles]]</f>
        <v>797.46986666666669</v>
      </c>
      <c r="AA1782" s="2">
        <f>(EV_Data4[[#This Row],[customer_rating]]*EV_Data4[[#This Row],[safety_rating]]*1000)/EV_Data4[[#This Row],[price_usd]]</f>
        <v>0.11770559690113265</v>
      </c>
      <c r="AB1782">
        <f>EV_Data4[[#This Row],[horsepower]]+EV_Data4[[#This Row],[torque_nm]]/EV_Data4[[#This Row],[acceleration_0_60_mph]]</f>
        <v>982.29166666666674</v>
      </c>
      <c r="AC1782" t="str">
        <f>IF(EV_Data4[[#This Row],[price_usd]]&gt;=80000,"Luxury",IF(EV_Data4[[#This Row],[price_usd]]&gt;=40000,"Mid-Range","Budget"))</f>
        <v>Luxury</v>
      </c>
      <c r="AD1782" t="str">
        <f>IF(EV_Data4[[#This Row],[range_miles]]&gt;=350,"Long-Range",IF(EV_Data4[[#This Row],[range_miles]]&gt;=250,"Medium-Range","Short-Range"))</f>
        <v>Short-Range</v>
      </c>
      <c r="AE1782" t="str">
        <f>IF(EV_Data4[[#This Row],[charging_speed_kw]]&gt;=250,"Ultra-Fast",IF(EV_Data4[[#This Row],[charging_speed_kw]]&gt;=150,"Fast-Charging","Standard-Charging"))</f>
        <v>Fast-Charging</v>
      </c>
      <c r="AF1782" t="str">
        <f>IF(EV_Data4[[#This Row],[acceleration_0_60_mph]]&lt;=3,"SportsPerformance",IF(EV_Data4[[#This Row],[acceleration_0_60_mph]]&lt;=5,"HighPerformance","Standard"))</f>
        <v>Standard</v>
      </c>
      <c r="AG1782" t="str">
        <f>IF(EV_Data4[[#This Row],[customer_rating]]&gt;=4.5,"Excellent",IF(EV_Data4[[#This Row],[customer_rating]]&gt;=3.5,"Good","Average"))</f>
        <v>Good</v>
      </c>
      <c r="AH178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83" spans="1:34" x14ac:dyDescent="0.3">
      <c r="A1783" t="s">
        <v>86</v>
      </c>
      <c r="B1783" t="s">
        <v>117</v>
      </c>
      <c r="C1783">
        <v>2025</v>
      </c>
      <c r="D1783" t="s">
        <v>61</v>
      </c>
      <c r="E1783" s="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48</v>
      </c>
      <c r="N1783">
        <v>5</v>
      </c>
      <c r="O1783" t="s">
        <v>40</v>
      </c>
      <c r="P1783">
        <v>68.2</v>
      </c>
      <c r="Q1783">
        <v>1501</v>
      </c>
      <c r="R1783">
        <v>4</v>
      </c>
      <c r="S1783">
        <v>2</v>
      </c>
      <c r="T1783" t="s">
        <v>29</v>
      </c>
      <c r="U1783" t="s">
        <v>37</v>
      </c>
      <c r="V1783" s="3">
        <v>79880</v>
      </c>
      <c r="W1783">
        <v>3.21</v>
      </c>
      <c r="X1783">
        <v>7</v>
      </c>
      <c r="Y1783" s="1">
        <f>EV_Data4[[#This Row],[range_miles]]/EV_Data4[[#This Row],[battery_capacity_kwh]]</f>
        <v>3.4090909090909092</v>
      </c>
      <c r="Z1783" s="4">
        <f>EV_Data4[[#This Row],[price_usd]]/EV_Data4[[#This Row],[range_miles]]</f>
        <v>420.75386666666668</v>
      </c>
      <c r="AA1783" s="2">
        <f>(EV_Data4[[#This Row],[customer_rating]]*EV_Data4[[#This Row],[safety_rating]]*1000)/EV_Data4[[#This Row],[price_usd]]</f>
        <v>0.20344435733448596</v>
      </c>
      <c r="AB1783">
        <f>EV_Data4[[#This Row],[horsepower]]+EV_Data4[[#This Row],[torque_nm]]/EV_Data4[[#This Row],[acceleration_0_60_mph]]</f>
        <v>355.33333333333331</v>
      </c>
      <c r="AC1783" t="str">
        <f>IF(EV_Data4[[#This Row],[price_usd]]&gt;=80000,"Luxury",IF(EV_Data4[[#This Row],[price_usd]]&gt;=40000,"Mid-Range","Budget"))</f>
        <v>Mid-Range</v>
      </c>
      <c r="AD1783" t="str">
        <f>IF(EV_Data4[[#This Row],[range_miles]]&gt;=350,"Long-Range",IF(EV_Data4[[#This Row],[range_miles]]&gt;=250,"Medium-Range","Short-Range"))</f>
        <v>Short-Range</v>
      </c>
      <c r="AE1783" t="str">
        <f>IF(EV_Data4[[#This Row],[charging_speed_kw]]&gt;=250,"Ultra-Fast",IF(EV_Data4[[#This Row],[charging_speed_kw]]&gt;=150,"Fast-Charging","Standard-Charging"))</f>
        <v>Standard-Charging</v>
      </c>
      <c r="AF1783" t="str">
        <f>IF(EV_Data4[[#This Row],[acceleration_0_60_mph]]&lt;=3,"SportsPerformance",IF(EV_Data4[[#This Row],[acceleration_0_60_mph]]&lt;=5,"HighPerformance","Standard"))</f>
        <v>Standard</v>
      </c>
      <c r="AG1783" t="str">
        <f>IF(EV_Data4[[#This Row],[customer_rating]]&gt;=4.5,"Excellent",IF(EV_Data4[[#This Row],[customer_rating]]&gt;=3.5,"Good","Average"))</f>
        <v>Average</v>
      </c>
      <c r="AH178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84" spans="1:34" x14ac:dyDescent="0.3">
      <c r="A1784" t="s">
        <v>68</v>
      </c>
      <c r="B1784" t="s">
        <v>109</v>
      </c>
      <c r="C1784">
        <v>2026</v>
      </c>
      <c r="D1784" t="s">
        <v>33</v>
      </c>
      <c r="E1784" s="3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27</v>
      </c>
      <c r="N1784">
        <v>5</v>
      </c>
      <c r="O1784" t="s">
        <v>58</v>
      </c>
      <c r="P1784">
        <v>33.1</v>
      </c>
      <c r="Q1784">
        <v>1500</v>
      </c>
      <c r="R1784">
        <v>3</v>
      </c>
      <c r="S1784">
        <v>0</v>
      </c>
      <c r="T1784" t="s">
        <v>45</v>
      </c>
      <c r="U1784" t="s">
        <v>33</v>
      </c>
      <c r="V1784" s="3">
        <v>92496</v>
      </c>
      <c r="W1784">
        <v>3.22</v>
      </c>
      <c r="X1784">
        <v>3</v>
      </c>
      <c r="Y1784" s="1">
        <f>EV_Data4[[#This Row],[range_miles]]/EV_Data4[[#This Row],[battery_capacity_kwh]]</f>
        <v>3.245967741935484</v>
      </c>
      <c r="Z1784" s="4">
        <f>EV_Data4[[#This Row],[price_usd]]/EV_Data4[[#This Row],[range_miles]]</f>
        <v>516.7691304347826</v>
      </c>
      <c r="AA1784" s="2">
        <f>(EV_Data4[[#This Row],[customer_rating]]*EV_Data4[[#This Row],[safety_rating]]*1000)/EV_Data4[[#This Row],[price_usd]]</f>
        <v>0.11610600646659974</v>
      </c>
      <c r="AB1784">
        <f>EV_Data4[[#This Row],[horsepower]]+EV_Data4[[#This Row],[torque_nm]]/EV_Data4[[#This Row],[acceleration_0_60_mph]]</f>
        <v>1120.3125</v>
      </c>
      <c r="AC1784" t="str">
        <f>IF(EV_Data4[[#This Row],[price_usd]]&gt;=80000,"Luxury",IF(EV_Data4[[#This Row],[price_usd]]&gt;=40000,"Mid-Range","Budget"))</f>
        <v>Luxury</v>
      </c>
      <c r="AD1784" t="str">
        <f>IF(EV_Data4[[#This Row],[range_miles]]&gt;=350,"Long-Range",IF(EV_Data4[[#This Row],[range_miles]]&gt;=250,"Medium-Range","Short-Range"))</f>
        <v>Short-Range</v>
      </c>
      <c r="AE1784" t="str">
        <f>IF(EV_Data4[[#This Row],[charging_speed_kw]]&gt;=250,"Ultra-Fast",IF(EV_Data4[[#This Row],[charging_speed_kw]]&gt;=150,"Fast-Charging","Standard-Charging"))</f>
        <v>Standard-Charging</v>
      </c>
      <c r="AF1784" t="str">
        <f>IF(EV_Data4[[#This Row],[acceleration_0_60_mph]]&lt;=3,"SportsPerformance",IF(EV_Data4[[#This Row],[acceleration_0_60_mph]]&lt;=5,"HighPerformance","Standard"))</f>
        <v>Standard</v>
      </c>
      <c r="AG1784" t="str">
        <f>IF(EV_Data4[[#This Row],[customer_rating]]&gt;=4.5,"Excellent",IF(EV_Data4[[#This Row],[customer_rating]]&gt;=3.5,"Good","Average"))</f>
        <v>Average</v>
      </c>
      <c r="AH178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85" spans="1:34" x14ac:dyDescent="0.3">
      <c r="A1785" t="s">
        <v>83</v>
      </c>
      <c r="B1785" t="s">
        <v>104</v>
      </c>
      <c r="C1785">
        <v>2023</v>
      </c>
      <c r="D1785" t="s">
        <v>44</v>
      </c>
      <c r="E1785" s="3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27</v>
      </c>
      <c r="N1785">
        <v>5</v>
      </c>
      <c r="O1785" t="s">
        <v>58</v>
      </c>
      <c r="P1785">
        <v>25</v>
      </c>
      <c r="Q1785">
        <v>1679</v>
      </c>
      <c r="R1785">
        <v>5</v>
      </c>
      <c r="S1785">
        <v>2</v>
      </c>
      <c r="T1785" t="s">
        <v>29</v>
      </c>
      <c r="U1785" t="s">
        <v>30</v>
      </c>
      <c r="V1785" s="3">
        <v>62481</v>
      </c>
      <c r="W1785">
        <v>3.82</v>
      </c>
      <c r="X1785">
        <v>6</v>
      </c>
      <c r="Y1785" s="1">
        <f>EV_Data4[[#This Row],[range_miles]]/EV_Data4[[#This Row],[battery_capacity_kwh]]</f>
        <v>3.5238095238095237</v>
      </c>
      <c r="Z1785" s="4">
        <f>EV_Data4[[#This Row],[price_usd]]/EV_Data4[[#This Row],[range_miles]]</f>
        <v>352.22837837837835</v>
      </c>
      <c r="AA1785" s="2">
        <f>(EV_Data4[[#This Row],[customer_rating]]*EV_Data4[[#This Row],[safety_rating]]*1000)/EV_Data4[[#This Row],[price_usd]]</f>
        <v>0.14655724748608279</v>
      </c>
      <c r="AB1785">
        <f>EV_Data4[[#This Row],[horsepower]]+EV_Data4[[#This Row],[torque_nm]]/EV_Data4[[#This Row],[acceleration_0_60_mph]]</f>
        <v>1205.8139534883721</v>
      </c>
      <c r="AC1785" t="str">
        <f>IF(EV_Data4[[#This Row],[price_usd]]&gt;=80000,"Luxury",IF(EV_Data4[[#This Row],[price_usd]]&gt;=40000,"Mid-Range","Budget"))</f>
        <v>Luxury</v>
      </c>
      <c r="AD1785" t="str">
        <f>IF(EV_Data4[[#This Row],[range_miles]]&gt;=350,"Long-Range",IF(EV_Data4[[#This Row],[range_miles]]&gt;=250,"Medium-Range","Short-Range"))</f>
        <v>Long-Range</v>
      </c>
      <c r="AE1785" t="str">
        <f>IF(EV_Data4[[#This Row],[charging_speed_kw]]&gt;=250,"Ultra-Fast",IF(EV_Data4[[#This Row],[charging_speed_kw]]&gt;=150,"Fast-Charging","Standard-Charging"))</f>
        <v>Standard-Charging</v>
      </c>
      <c r="AF1785" t="str">
        <f>IF(EV_Data4[[#This Row],[acceleration_0_60_mph]]&lt;=3,"SportsPerformance",IF(EV_Data4[[#This Row],[acceleration_0_60_mph]]&lt;=5,"HighPerformance","Standard"))</f>
        <v>HighPerformance</v>
      </c>
      <c r="AG1785" t="str">
        <f>IF(EV_Data4[[#This Row],[customer_rating]]&gt;=4.5,"Excellent",IF(EV_Data4[[#This Row],[customer_rating]]&gt;=3.5,"Good","Average"))</f>
        <v>Good</v>
      </c>
      <c r="AH178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86" spans="1:34" x14ac:dyDescent="0.3">
      <c r="A1786" t="s">
        <v>83</v>
      </c>
      <c r="B1786" t="s">
        <v>114</v>
      </c>
      <c r="C1786">
        <v>2024</v>
      </c>
      <c r="D1786" t="s">
        <v>33</v>
      </c>
      <c r="E1786" s="3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27</v>
      </c>
      <c r="N1786">
        <v>7</v>
      </c>
      <c r="O1786" t="s">
        <v>28</v>
      </c>
      <c r="P1786">
        <v>61.5</v>
      </c>
      <c r="Q1786">
        <v>2455</v>
      </c>
      <c r="R1786">
        <v>5</v>
      </c>
      <c r="S1786">
        <v>1</v>
      </c>
      <c r="T1786" t="s">
        <v>29</v>
      </c>
      <c r="U1786" t="s">
        <v>33</v>
      </c>
      <c r="V1786" s="3">
        <v>64158</v>
      </c>
      <c r="W1786">
        <v>3.31</v>
      </c>
      <c r="X1786">
        <v>7</v>
      </c>
      <c r="Y1786" s="1">
        <f>EV_Data4[[#This Row],[range_miles]]/EV_Data4[[#This Row],[battery_capacity_kwh]]</f>
        <v>2.9527559055118111</v>
      </c>
      <c r="Z1786" s="4">
        <f>EV_Data4[[#This Row],[price_usd]]/EV_Data4[[#This Row],[range_miles]]</f>
        <v>615.86113333333333</v>
      </c>
      <c r="AA1786" s="2">
        <f>(EV_Data4[[#This Row],[customer_rating]]*EV_Data4[[#This Row],[safety_rating]]*1000)/EV_Data4[[#This Row],[price_usd]]</f>
        <v>0.1791529410796828</v>
      </c>
      <c r="AB1786">
        <f>EV_Data4[[#This Row],[horsepower]]+EV_Data4[[#This Row],[torque_nm]]/EV_Data4[[#This Row],[acceleration_0_60_mph]]</f>
        <v>873</v>
      </c>
      <c r="AC1786" t="str">
        <f>IF(EV_Data4[[#This Row],[price_usd]]&gt;=80000,"Luxury",IF(EV_Data4[[#This Row],[price_usd]]&gt;=40000,"Mid-Range","Budget"))</f>
        <v>Luxury</v>
      </c>
      <c r="AD1786" t="str">
        <f>IF(EV_Data4[[#This Row],[range_miles]]&gt;=350,"Long-Range",IF(EV_Data4[[#This Row],[range_miles]]&gt;=250,"Medium-Range","Short-Range"))</f>
        <v>Short-Range</v>
      </c>
      <c r="AE1786" t="str">
        <f>IF(EV_Data4[[#This Row],[charging_speed_kw]]&gt;=250,"Ultra-Fast",IF(EV_Data4[[#This Row],[charging_speed_kw]]&gt;=150,"Fast-Charging","Standard-Charging"))</f>
        <v>Standard-Charging</v>
      </c>
      <c r="AF1786" t="str">
        <f>IF(EV_Data4[[#This Row],[acceleration_0_60_mph]]&lt;=3,"SportsPerformance",IF(EV_Data4[[#This Row],[acceleration_0_60_mph]]&lt;=5,"HighPerformance","Standard"))</f>
        <v>Standard</v>
      </c>
      <c r="AG1786" t="str">
        <f>IF(EV_Data4[[#This Row],[customer_rating]]&gt;=4.5,"Excellent",IF(EV_Data4[[#This Row],[customer_rating]]&gt;=3.5,"Good","Average"))</f>
        <v>Average</v>
      </c>
      <c r="AH178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87" spans="1:34" x14ac:dyDescent="0.3">
      <c r="A1787" t="s">
        <v>86</v>
      </c>
      <c r="B1787" t="s">
        <v>117</v>
      </c>
      <c r="C1787">
        <v>2025</v>
      </c>
      <c r="D1787" t="s">
        <v>33</v>
      </c>
      <c r="E1787" s="3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27</v>
      </c>
      <c r="N1787">
        <v>5</v>
      </c>
      <c r="O1787" t="s">
        <v>58</v>
      </c>
      <c r="P1787">
        <v>22.6</v>
      </c>
      <c r="Q1787">
        <v>1646</v>
      </c>
      <c r="R1787">
        <v>5</v>
      </c>
      <c r="S1787">
        <v>2</v>
      </c>
      <c r="T1787" t="s">
        <v>29</v>
      </c>
      <c r="U1787" t="s">
        <v>30</v>
      </c>
      <c r="V1787" s="3">
        <v>20728</v>
      </c>
      <c r="W1787">
        <v>3.43</v>
      </c>
      <c r="X1787">
        <v>5</v>
      </c>
      <c r="Y1787" s="1">
        <f>EV_Data4[[#This Row],[range_miles]]/EV_Data4[[#This Row],[battery_capacity_kwh]]</f>
        <v>3.5294117647058822</v>
      </c>
      <c r="Z1787" s="4">
        <f>EV_Data4[[#This Row],[price_usd]]/EV_Data4[[#This Row],[range_miles]]</f>
        <v>627.94772357723582</v>
      </c>
      <c r="AA1787" s="2">
        <f>(EV_Data4[[#This Row],[customer_rating]]*EV_Data4[[#This Row],[safety_rating]]*1000)/EV_Data4[[#This Row],[price_usd]]</f>
        <v>0.11102110022363471</v>
      </c>
      <c r="AB1787">
        <f>EV_Data4[[#This Row],[horsepower]]+EV_Data4[[#This Row],[torque_nm]]/EV_Data4[[#This Row],[acceleration_0_60_mph]]</f>
        <v>1141.0914927768861</v>
      </c>
      <c r="AC1787" t="str">
        <f>IF(EV_Data4[[#This Row],[price_usd]]&gt;=80000,"Luxury",IF(EV_Data4[[#This Row],[price_usd]]&gt;=40000,"Mid-Range","Budget"))</f>
        <v>Luxury</v>
      </c>
      <c r="AD1787" t="str">
        <f>IF(EV_Data4[[#This Row],[range_miles]]&gt;=350,"Long-Range",IF(EV_Data4[[#This Row],[range_miles]]&gt;=250,"Medium-Range","Short-Range"))</f>
        <v>Short-Range</v>
      </c>
      <c r="AE1787" t="str">
        <f>IF(EV_Data4[[#This Row],[charging_speed_kw]]&gt;=250,"Ultra-Fast",IF(EV_Data4[[#This Row],[charging_speed_kw]]&gt;=150,"Fast-Charging","Standard-Charging"))</f>
        <v>Standard-Charging</v>
      </c>
      <c r="AF1787" t="str">
        <f>IF(EV_Data4[[#This Row],[acceleration_0_60_mph]]&lt;=3,"SportsPerformance",IF(EV_Data4[[#This Row],[acceleration_0_60_mph]]&lt;=5,"HighPerformance","Standard"))</f>
        <v>Standard</v>
      </c>
      <c r="AG1787" t="str">
        <f>IF(EV_Data4[[#This Row],[customer_rating]]&gt;=4.5,"Excellent",IF(EV_Data4[[#This Row],[customer_rating]]&gt;=3.5,"Good","Average"))</f>
        <v>Average</v>
      </c>
      <c r="AH178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88" spans="1:34" x14ac:dyDescent="0.3">
      <c r="A1788" t="s">
        <v>83</v>
      </c>
      <c r="B1788" t="s">
        <v>114</v>
      </c>
      <c r="C1788">
        <v>2024</v>
      </c>
      <c r="D1788" t="s">
        <v>61</v>
      </c>
      <c r="E1788" s="3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48</v>
      </c>
      <c r="N1788">
        <v>5</v>
      </c>
      <c r="O1788" t="s">
        <v>50</v>
      </c>
      <c r="P1788">
        <v>22.8</v>
      </c>
      <c r="Q1788">
        <v>1501</v>
      </c>
      <c r="R1788">
        <v>5</v>
      </c>
      <c r="S1788">
        <v>1</v>
      </c>
      <c r="T1788" t="s">
        <v>29</v>
      </c>
      <c r="U1788" t="s">
        <v>33</v>
      </c>
      <c r="V1788" s="3">
        <v>28903</v>
      </c>
      <c r="W1788">
        <v>3.53</v>
      </c>
      <c r="X1788">
        <v>6</v>
      </c>
      <c r="Y1788" s="1">
        <f>EV_Data4[[#This Row],[range_miles]]/EV_Data4[[#This Row],[battery_capacity_kwh]]</f>
        <v>3.6363636363636367</v>
      </c>
      <c r="Z1788" s="4">
        <f>EV_Data4[[#This Row],[price_usd]]/EV_Data4[[#This Row],[range_miles]]</f>
        <v>269.44017123287671</v>
      </c>
      <c r="AA1788" s="2">
        <f>(EV_Data4[[#This Row],[customer_rating]]*EV_Data4[[#This Row],[safety_rating]]*1000)/EV_Data4[[#This Row],[price_usd]]</f>
        <v>0.22433627919279103</v>
      </c>
      <c r="AB1788">
        <f>EV_Data4[[#This Row],[horsepower]]+EV_Data4[[#This Row],[torque_nm]]/EV_Data4[[#This Row],[acceleration_0_60_mph]]</f>
        <v>560.00313479623821</v>
      </c>
      <c r="AC1788" t="str">
        <f>IF(EV_Data4[[#This Row],[price_usd]]&gt;=80000,"Luxury",IF(EV_Data4[[#This Row],[price_usd]]&gt;=40000,"Mid-Range","Budget"))</f>
        <v>Mid-Range</v>
      </c>
      <c r="AD1788" t="str">
        <f>IF(EV_Data4[[#This Row],[range_miles]]&gt;=350,"Long-Range",IF(EV_Data4[[#This Row],[range_miles]]&gt;=250,"Medium-Range","Short-Range"))</f>
        <v>Medium-Range</v>
      </c>
      <c r="AE1788" t="str">
        <f>IF(EV_Data4[[#This Row],[charging_speed_kw]]&gt;=250,"Ultra-Fast",IF(EV_Data4[[#This Row],[charging_speed_kw]]&gt;=150,"Fast-Charging","Standard-Charging"))</f>
        <v>Standard-Charging</v>
      </c>
      <c r="AF1788" t="str">
        <f>IF(EV_Data4[[#This Row],[acceleration_0_60_mph]]&lt;=3,"SportsPerformance",IF(EV_Data4[[#This Row],[acceleration_0_60_mph]]&lt;=5,"HighPerformance","Standard"))</f>
        <v>Standard</v>
      </c>
      <c r="AG1788" t="str">
        <f>IF(EV_Data4[[#This Row],[customer_rating]]&gt;=4.5,"Excellent",IF(EV_Data4[[#This Row],[customer_rating]]&gt;=3.5,"Good","Average"))</f>
        <v>Good</v>
      </c>
      <c r="AH178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89" spans="1:34" x14ac:dyDescent="0.3">
      <c r="A1789" t="s">
        <v>42</v>
      </c>
      <c r="B1789" t="s">
        <v>80</v>
      </c>
      <c r="C1789">
        <v>2021</v>
      </c>
      <c r="D1789" t="s">
        <v>44</v>
      </c>
      <c r="E1789" s="3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34</v>
      </c>
      <c r="N1789">
        <v>5</v>
      </c>
      <c r="O1789" t="s">
        <v>35</v>
      </c>
      <c r="P1789">
        <v>46.4</v>
      </c>
      <c r="Q1789">
        <v>1920</v>
      </c>
      <c r="R1789">
        <v>5</v>
      </c>
      <c r="S1789">
        <v>1</v>
      </c>
      <c r="T1789" t="s">
        <v>45</v>
      </c>
      <c r="U1789" t="s">
        <v>37</v>
      </c>
      <c r="V1789" s="3">
        <v>85632</v>
      </c>
      <c r="W1789">
        <v>3.6</v>
      </c>
      <c r="X1789">
        <v>3</v>
      </c>
      <c r="Y1789" s="1">
        <f>EV_Data4[[#This Row],[range_miles]]/EV_Data4[[#This Row],[battery_capacity_kwh]]</f>
        <v>3.7886597938144333</v>
      </c>
      <c r="Z1789" s="4">
        <f>EV_Data4[[#This Row],[price_usd]]/EV_Data4[[#This Row],[range_miles]]</f>
        <v>191.78149659863945</v>
      </c>
      <c r="AA1789" s="2">
        <f>(EV_Data4[[#This Row],[customer_rating]]*EV_Data4[[#This Row],[safety_rating]]*1000)/EV_Data4[[#This Row],[price_usd]]</f>
        <v>0.31924085942477054</v>
      </c>
      <c r="AB1789">
        <f>EV_Data4[[#This Row],[horsepower]]+EV_Data4[[#This Row],[torque_nm]]/EV_Data4[[#This Row],[acceleration_0_60_mph]]</f>
        <v>797.73949579831935</v>
      </c>
      <c r="AC1789" t="str">
        <f>IF(EV_Data4[[#This Row],[price_usd]]&gt;=80000,"Luxury",IF(EV_Data4[[#This Row],[price_usd]]&gt;=40000,"Mid-Range","Budget"))</f>
        <v>Mid-Range</v>
      </c>
      <c r="AD1789" t="str">
        <f>IF(EV_Data4[[#This Row],[range_miles]]&gt;=350,"Long-Range",IF(EV_Data4[[#This Row],[range_miles]]&gt;=250,"Medium-Range","Short-Range"))</f>
        <v>Medium-Range</v>
      </c>
      <c r="AE1789" t="str">
        <f>IF(EV_Data4[[#This Row],[charging_speed_kw]]&gt;=250,"Ultra-Fast",IF(EV_Data4[[#This Row],[charging_speed_kw]]&gt;=150,"Fast-Charging","Standard-Charging"))</f>
        <v>Standard-Charging</v>
      </c>
      <c r="AF1789" t="str">
        <f>IF(EV_Data4[[#This Row],[acceleration_0_60_mph]]&lt;=3,"SportsPerformance",IF(EV_Data4[[#This Row],[acceleration_0_60_mph]]&lt;=5,"HighPerformance","Standard"))</f>
        <v>Standard</v>
      </c>
      <c r="AG1789" t="str">
        <f>IF(EV_Data4[[#This Row],[customer_rating]]&gt;=4.5,"Excellent",IF(EV_Data4[[#This Row],[customer_rating]]&gt;=3.5,"Good","Average"))</f>
        <v>Good</v>
      </c>
      <c r="AH178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90" spans="1:34" x14ac:dyDescent="0.3">
      <c r="A1790" t="s">
        <v>46</v>
      </c>
      <c r="B1790" t="s">
        <v>49</v>
      </c>
      <c r="C1790">
        <v>2025</v>
      </c>
      <c r="D1790" t="s">
        <v>26</v>
      </c>
      <c r="E1790" s="3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48</v>
      </c>
      <c r="N1790">
        <v>7</v>
      </c>
      <c r="O1790" t="s">
        <v>35</v>
      </c>
      <c r="P1790">
        <v>62.1</v>
      </c>
      <c r="Q1790">
        <v>2000</v>
      </c>
      <c r="R1790">
        <v>5</v>
      </c>
      <c r="S1790">
        <v>2</v>
      </c>
      <c r="T1790" t="s">
        <v>41</v>
      </c>
      <c r="U1790" t="s">
        <v>37</v>
      </c>
      <c r="V1790" s="3">
        <v>484952</v>
      </c>
      <c r="W1790">
        <v>4.03</v>
      </c>
      <c r="X1790">
        <v>6</v>
      </c>
      <c r="Y1790" s="1">
        <f>EV_Data4[[#This Row],[range_miles]]/EV_Data4[[#This Row],[battery_capacity_kwh]]</f>
        <v>3.4993614303959131</v>
      </c>
      <c r="Z1790" s="4">
        <f>EV_Data4[[#This Row],[price_usd]]/EV_Data4[[#This Row],[range_miles]]</f>
        <v>186.54919708029198</v>
      </c>
      <c r="AA1790" s="2">
        <f>(EV_Data4[[#This Row],[customer_rating]]*EV_Data4[[#This Row],[safety_rating]]*1000)/EV_Data4[[#This Row],[price_usd]]</f>
        <v>0.39421314664650803</v>
      </c>
      <c r="AB1790">
        <f>EV_Data4[[#This Row],[horsepower]]+EV_Data4[[#This Row],[torque_nm]]/EV_Data4[[#This Row],[acceleration_0_60_mph]]</f>
        <v>367.66096866096865</v>
      </c>
      <c r="AC1790" t="str">
        <f>IF(EV_Data4[[#This Row],[price_usd]]&gt;=80000,"Luxury",IF(EV_Data4[[#This Row],[price_usd]]&gt;=40000,"Mid-Range","Budget"))</f>
        <v>Mid-Range</v>
      </c>
      <c r="AD1790" t="str">
        <f>IF(EV_Data4[[#This Row],[range_miles]]&gt;=350,"Long-Range",IF(EV_Data4[[#This Row],[range_miles]]&gt;=250,"Medium-Range","Short-Range"))</f>
        <v>Medium-Range</v>
      </c>
      <c r="AE1790" t="str">
        <f>IF(EV_Data4[[#This Row],[charging_speed_kw]]&gt;=250,"Ultra-Fast",IF(EV_Data4[[#This Row],[charging_speed_kw]]&gt;=150,"Fast-Charging","Standard-Charging"))</f>
        <v>Fast-Charging</v>
      </c>
      <c r="AF1790" t="str">
        <f>IF(EV_Data4[[#This Row],[acceleration_0_60_mph]]&lt;=3,"SportsPerformance",IF(EV_Data4[[#This Row],[acceleration_0_60_mph]]&lt;=5,"HighPerformance","Standard"))</f>
        <v>HighPerformance</v>
      </c>
      <c r="AG1790" t="str">
        <f>IF(EV_Data4[[#This Row],[customer_rating]]&gt;=4.5,"Excellent",IF(EV_Data4[[#This Row],[customer_rating]]&gt;=3.5,"Good","Average"))</f>
        <v>Good</v>
      </c>
      <c r="AH179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91" spans="1:34" x14ac:dyDescent="0.3">
      <c r="A1791" t="s">
        <v>68</v>
      </c>
      <c r="B1791" t="s">
        <v>79</v>
      </c>
      <c r="C1791">
        <v>2024</v>
      </c>
      <c r="D1791" t="s">
        <v>26</v>
      </c>
      <c r="E1791" s="3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48</v>
      </c>
      <c r="N1791">
        <v>5</v>
      </c>
      <c r="O1791" t="s">
        <v>50</v>
      </c>
      <c r="P1791">
        <v>25.5</v>
      </c>
      <c r="Q1791">
        <v>1685</v>
      </c>
      <c r="R1791">
        <v>3</v>
      </c>
      <c r="S1791">
        <v>0</v>
      </c>
      <c r="T1791" t="s">
        <v>45</v>
      </c>
      <c r="U1791" t="s">
        <v>37</v>
      </c>
      <c r="V1791" s="3">
        <v>119102</v>
      </c>
      <c r="W1791">
        <v>3.6</v>
      </c>
      <c r="X1791">
        <v>4</v>
      </c>
      <c r="Y1791" s="1">
        <f>EV_Data4[[#This Row],[range_miles]]/EV_Data4[[#This Row],[battery_capacity_kwh]]</f>
        <v>3.3128834355828221</v>
      </c>
      <c r="Z1791" s="4">
        <f>EV_Data4[[#This Row],[price_usd]]/EV_Data4[[#This Row],[range_miles]]</f>
        <v>163.28959259259261</v>
      </c>
      <c r="AA1791" s="2">
        <f>(EV_Data4[[#This Row],[customer_rating]]*EV_Data4[[#This Row],[safety_rating]]*1000)/EV_Data4[[#This Row],[price_usd]]</f>
        <v>0.24496356053627966</v>
      </c>
      <c r="AB1791">
        <f>EV_Data4[[#This Row],[horsepower]]+EV_Data4[[#This Row],[torque_nm]]/EV_Data4[[#This Row],[acceleration_0_60_mph]]</f>
        <v>499.5062344139651</v>
      </c>
      <c r="AC1791" t="str">
        <f>IF(EV_Data4[[#This Row],[price_usd]]&gt;=80000,"Luxury",IF(EV_Data4[[#This Row],[price_usd]]&gt;=40000,"Mid-Range","Budget"))</f>
        <v>Mid-Range</v>
      </c>
      <c r="AD1791" t="str">
        <f>IF(EV_Data4[[#This Row],[range_miles]]&gt;=350,"Long-Range",IF(EV_Data4[[#This Row],[range_miles]]&gt;=250,"Medium-Range","Short-Range"))</f>
        <v>Medium-Range</v>
      </c>
      <c r="AE1791" t="str">
        <f>IF(EV_Data4[[#This Row],[charging_speed_kw]]&gt;=250,"Ultra-Fast",IF(EV_Data4[[#This Row],[charging_speed_kw]]&gt;=150,"Fast-Charging","Standard-Charging"))</f>
        <v>Fast-Charging</v>
      </c>
      <c r="AF1791" t="str">
        <f>IF(EV_Data4[[#This Row],[acceleration_0_60_mph]]&lt;=3,"SportsPerformance",IF(EV_Data4[[#This Row],[acceleration_0_60_mph]]&lt;=5,"HighPerformance","Standard"))</f>
        <v>HighPerformance</v>
      </c>
      <c r="AG1791" t="str">
        <f>IF(EV_Data4[[#This Row],[customer_rating]]&gt;=4.5,"Excellent",IF(EV_Data4[[#This Row],[customer_rating]]&gt;=3.5,"Good","Average"))</f>
        <v>Good</v>
      </c>
      <c r="AH179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92" spans="1:34" x14ac:dyDescent="0.3">
      <c r="A1792" t="s">
        <v>46</v>
      </c>
      <c r="B1792" t="s">
        <v>47</v>
      </c>
      <c r="C1792">
        <v>2023</v>
      </c>
      <c r="D1792" t="s">
        <v>33</v>
      </c>
      <c r="E1792" s="3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48</v>
      </c>
      <c r="N1792">
        <v>7</v>
      </c>
      <c r="O1792" t="s">
        <v>58</v>
      </c>
      <c r="P1792">
        <v>33.9</v>
      </c>
      <c r="Q1792">
        <v>1500</v>
      </c>
      <c r="R1792">
        <v>4</v>
      </c>
      <c r="S1792">
        <v>2</v>
      </c>
      <c r="T1792" t="s">
        <v>41</v>
      </c>
      <c r="U1792" t="s">
        <v>33</v>
      </c>
      <c r="V1792" s="3">
        <v>151125</v>
      </c>
      <c r="W1792">
        <v>4.05</v>
      </c>
      <c r="X1792">
        <v>4</v>
      </c>
      <c r="Y1792" s="1">
        <f>EV_Data4[[#This Row],[range_miles]]/EV_Data4[[#This Row],[battery_capacity_kwh]]</f>
        <v>3.5108958837772399</v>
      </c>
      <c r="Z1792" s="4">
        <f>EV_Data4[[#This Row],[price_usd]]/EV_Data4[[#This Row],[range_miles]]</f>
        <v>338.72165517241376</v>
      </c>
      <c r="AA1792" s="2">
        <f>(EV_Data4[[#This Row],[customer_rating]]*EV_Data4[[#This Row],[safety_rating]]*1000)/EV_Data4[[#This Row],[price_usd]]</f>
        <v>0.16492027631679679</v>
      </c>
      <c r="AB1792">
        <f>EV_Data4[[#This Row],[horsepower]]+EV_Data4[[#This Row],[torque_nm]]/EV_Data4[[#This Row],[acceleration_0_60_mph]]</f>
        <v>820.02695417789755</v>
      </c>
      <c r="AC1792" t="str">
        <f>IF(EV_Data4[[#This Row],[price_usd]]&gt;=80000,"Luxury",IF(EV_Data4[[#This Row],[price_usd]]&gt;=40000,"Mid-Range","Budget"))</f>
        <v>Luxury</v>
      </c>
      <c r="AD1792" t="str">
        <f>IF(EV_Data4[[#This Row],[range_miles]]&gt;=350,"Long-Range",IF(EV_Data4[[#This Row],[range_miles]]&gt;=250,"Medium-Range","Short-Range"))</f>
        <v>Medium-Range</v>
      </c>
      <c r="AE1792" t="str">
        <f>IF(EV_Data4[[#This Row],[charging_speed_kw]]&gt;=250,"Ultra-Fast",IF(EV_Data4[[#This Row],[charging_speed_kw]]&gt;=150,"Fast-Charging","Standard-Charging"))</f>
        <v>Ultra-Fast</v>
      </c>
      <c r="AF1792" t="str">
        <f>IF(EV_Data4[[#This Row],[acceleration_0_60_mph]]&lt;=3,"SportsPerformance",IF(EV_Data4[[#This Row],[acceleration_0_60_mph]]&lt;=5,"HighPerformance","Standard"))</f>
        <v>Standard</v>
      </c>
      <c r="AG1792" t="str">
        <f>IF(EV_Data4[[#This Row],[customer_rating]]&gt;=4.5,"Excellent",IF(EV_Data4[[#This Row],[customer_rating]]&gt;=3.5,"Good","Average"))</f>
        <v>Good</v>
      </c>
      <c r="AH179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93" spans="1:34" x14ac:dyDescent="0.3">
      <c r="A1793" t="s">
        <v>38</v>
      </c>
      <c r="B1793" t="s">
        <v>102</v>
      </c>
      <c r="C1793">
        <v>2026</v>
      </c>
      <c r="D1793" t="s">
        <v>26</v>
      </c>
      <c r="E1793" s="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27</v>
      </c>
      <c r="N1793">
        <v>7</v>
      </c>
      <c r="O1793" t="s">
        <v>35</v>
      </c>
      <c r="P1793">
        <v>50</v>
      </c>
      <c r="Q1793">
        <v>1829</v>
      </c>
      <c r="R1793">
        <v>4</v>
      </c>
      <c r="S1793">
        <v>1</v>
      </c>
      <c r="T1793" t="s">
        <v>41</v>
      </c>
      <c r="U1793" t="s">
        <v>33</v>
      </c>
      <c r="V1793" s="3">
        <v>4745</v>
      </c>
      <c r="W1793">
        <v>3.45</v>
      </c>
      <c r="X1793">
        <v>4</v>
      </c>
      <c r="Y1793" s="1">
        <f>EV_Data4[[#This Row],[range_miles]]/EV_Data4[[#This Row],[battery_capacity_kwh]]</f>
        <v>3.6018957345971563</v>
      </c>
      <c r="Z1793" s="4">
        <f>EV_Data4[[#This Row],[price_usd]]/EV_Data4[[#This Row],[range_miles]]</f>
        <v>236.18756578947369</v>
      </c>
      <c r="AA1793" s="2">
        <f>(EV_Data4[[#This Row],[customer_rating]]*EV_Data4[[#This Row],[safety_rating]]*1000)/EV_Data4[[#This Row],[price_usd]]</f>
        <v>0.19219782671611071</v>
      </c>
      <c r="AB1793">
        <f>EV_Data4[[#This Row],[horsepower]]+EV_Data4[[#This Row],[torque_nm]]/EV_Data4[[#This Row],[acceleration_0_60_mph]]</f>
        <v>1248.5714285714287</v>
      </c>
      <c r="AC1793" t="str">
        <f>IF(EV_Data4[[#This Row],[price_usd]]&gt;=80000,"Luxury",IF(EV_Data4[[#This Row],[price_usd]]&gt;=40000,"Mid-Range","Budget"))</f>
        <v>Mid-Range</v>
      </c>
      <c r="AD1793" t="str">
        <f>IF(EV_Data4[[#This Row],[range_miles]]&gt;=350,"Long-Range",IF(EV_Data4[[#This Row],[range_miles]]&gt;=250,"Medium-Range","Short-Range"))</f>
        <v>Medium-Range</v>
      </c>
      <c r="AE1793" t="str">
        <f>IF(EV_Data4[[#This Row],[charging_speed_kw]]&gt;=250,"Ultra-Fast",IF(EV_Data4[[#This Row],[charging_speed_kw]]&gt;=150,"Fast-Charging","Standard-Charging"))</f>
        <v>Fast-Charging</v>
      </c>
      <c r="AF1793" t="str">
        <f>IF(EV_Data4[[#This Row],[acceleration_0_60_mph]]&lt;=3,"SportsPerformance",IF(EV_Data4[[#This Row],[acceleration_0_60_mph]]&lt;=5,"HighPerformance","Standard"))</f>
        <v>SportsPerformance</v>
      </c>
      <c r="AG1793" t="str">
        <f>IF(EV_Data4[[#This Row],[customer_rating]]&gt;=4.5,"Excellent",IF(EV_Data4[[#This Row],[customer_rating]]&gt;=3.5,"Good","Average"))</f>
        <v>Average</v>
      </c>
      <c r="AH179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94" spans="1:34" x14ac:dyDescent="0.3">
      <c r="A1794" t="s">
        <v>68</v>
      </c>
      <c r="B1794" t="s">
        <v>79</v>
      </c>
      <c r="C1794">
        <v>2024</v>
      </c>
      <c r="D1794" t="s">
        <v>61</v>
      </c>
      <c r="E1794" s="3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48</v>
      </c>
      <c r="N1794">
        <v>7</v>
      </c>
      <c r="O1794" t="s">
        <v>58</v>
      </c>
      <c r="P1794">
        <v>29.9</v>
      </c>
      <c r="Q1794">
        <v>1532</v>
      </c>
      <c r="R1794">
        <v>5</v>
      </c>
      <c r="S1794">
        <v>0</v>
      </c>
      <c r="T1794" t="s">
        <v>45</v>
      </c>
      <c r="U1794" t="s">
        <v>37</v>
      </c>
      <c r="V1794" s="3">
        <v>79234</v>
      </c>
      <c r="W1794">
        <v>3.49</v>
      </c>
      <c r="X1794">
        <v>3</v>
      </c>
      <c r="Y1794" s="1">
        <f>EV_Data4[[#This Row],[range_miles]]/EV_Data4[[#This Row],[battery_capacity_kwh]]</f>
        <v>3.5041551246537397</v>
      </c>
      <c r="Z1794" s="4">
        <f>EV_Data4[[#This Row],[price_usd]]/EV_Data4[[#This Row],[range_miles]]</f>
        <v>250.61083003952569</v>
      </c>
      <c r="AA1794" s="2">
        <f>(EV_Data4[[#This Row],[customer_rating]]*EV_Data4[[#This Row],[safety_rating]]*1000)/EV_Data4[[#This Row],[price_usd]]</f>
        <v>0.27521688510002601</v>
      </c>
      <c r="AB1794">
        <f>EV_Data4[[#This Row],[horsepower]]+EV_Data4[[#This Row],[torque_nm]]/EV_Data4[[#This Row],[acceleration_0_60_mph]]</f>
        <v>897.36363636363637</v>
      </c>
      <c r="AC1794" t="str">
        <f>IF(EV_Data4[[#This Row],[price_usd]]&gt;=80000,"Luxury",IF(EV_Data4[[#This Row],[price_usd]]&gt;=40000,"Mid-Range","Budget"))</f>
        <v>Mid-Range</v>
      </c>
      <c r="AD1794" t="str">
        <f>IF(EV_Data4[[#This Row],[range_miles]]&gt;=350,"Long-Range",IF(EV_Data4[[#This Row],[range_miles]]&gt;=250,"Medium-Range","Short-Range"))</f>
        <v>Medium-Range</v>
      </c>
      <c r="AE1794" t="str">
        <f>IF(EV_Data4[[#This Row],[charging_speed_kw]]&gt;=250,"Ultra-Fast",IF(EV_Data4[[#This Row],[charging_speed_kw]]&gt;=150,"Fast-Charging","Standard-Charging"))</f>
        <v>Standard-Charging</v>
      </c>
      <c r="AF1794" t="str">
        <f>IF(EV_Data4[[#This Row],[acceleration_0_60_mph]]&lt;=3,"SportsPerformance",IF(EV_Data4[[#This Row],[acceleration_0_60_mph]]&lt;=5,"HighPerformance","Standard"))</f>
        <v>Standard</v>
      </c>
      <c r="AG1794" t="str">
        <f>IF(EV_Data4[[#This Row],[customer_rating]]&gt;=4.5,"Excellent",IF(EV_Data4[[#This Row],[customer_rating]]&gt;=3.5,"Good","Average"))</f>
        <v>Average</v>
      </c>
      <c r="AH179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95" spans="1:34" x14ac:dyDescent="0.3">
      <c r="A1795" t="s">
        <v>83</v>
      </c>
      <c r="B1795" t="s">
        <v>89</v>
      </c>
      <c r="C1795">
        <v>2023</v>
      </c>
      <c r="D1795" t="s">
        <v>33</v>
      </c>
      <c r="E1795" s="3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48</v>
      </c>
      <c r="N1795">
        <v>5</v>
      </c>
      <c r="O1795" t="s">
        <v>28</v>
      </c>
      <c r="P1795">
        <v>56.1</v>
      </c>
      <c r="Q1795">
        <v>2766</v>
      </c>
      <c r="R1795">
        <v>4</v>
      </c>
      <c r="S1795">
        <v>1</v>
      </c>
      <c r="T1795" t="s">
        <v>29</v>
      </c>
      <c r="U1795" t="s">
        <v>30</v>
      </c>
      <c r="V1795" s="3">
        <v>27018</v>
      </c>
      <c r="W1795">
        <v>3.73</v>
      </c>
      <c r="X1795">
        <v>8</v>
      </c>
      <c r="Y1795" s="1">
        <f>EV_Data4[[#This Row],[range_miles]]/EV_Data4[[#This Row],[battery_capacity_kwh]]</f>
        <v>3.429394812680115</v>
      </c>
      <c r="Z1795" s="4">
        <f>EV_Data4[[#This Row],[price_usd]]/EV_Data4[[#This Row],[range_miles]]</f>
        <v>530.65563025210076</v>
      </c>
      <c r="AA1795" s="2">
        <f>(EV_Data4[[#This Row],[customer_rating]]*EV_Data4[[#This Row],[safety_rating]]*1000)/EV_Data4[[#This Row],[price_usd]]</f>
        <v>0.11813513709535153</v>
      </c>
      <c r="AB1795">
        <f>EV_Data4[[#This Row],[horsepower]]+EV_Data4[[#This Row],[torque_nm]]/EV_Data4[[#This Row],[acceleration_0_60_mph]]</f>
        <v>1150.7614213197969</v>
      </c>
      <c r="AC1795" t="str">
        <f>IF(EV_Data4[[#This Row],[price_usd]]&gt;=80000,"Luxury",IF(EV_Data4[[#This Row],[price_usd]]&gt;=40000,"Mid-Range","Budget"))</f>
        <v>Luxury</v>
      </c>
      <c r="AD1795" t="str">
        <f>IF(EV_Data4[[#This Row],[range_miles]]&gt;=350,"Long-Range",IF(EV_Data4[[#This Row],[range_miles]]&gt;=250,"Medium-Range","Short-Range"))</f>
        <v>Short-Range</v>
      </c>
      <c r="AE1795" t="str">
        <f>IF(EV_Data4[[#This Row],[charging_speed_kw]]&gt;=250,"Ultra-Fast",IF(EV_Data4[[#This Row],[charging_speed_kw]]&gt;=150,"Fast-Charging","Standard-Charging"))</f>
        <v>Standard-Charging</v>
      </c>
      <c r="AF1795" t="str">
        <f>IF(EV_Data4[[#This Row],[acceleration_0_60_mph]]&lt;=3,"SportsPerformance",IF(EV_Data4[[#This Row],[acceleration_0_60_mph]]&lt;=5,"HighPerformance","Standard"))</f>
        <v>Standard</v>
      </c>
      <c r="AG1795" t="str">
        <f>IF(EV_Data4[[#This Row],[customer_rating]]&gt;=4.5,"Excellent",IF(EV_Data4[[#This Row],[customer_rating]]&gt;=3.5,"Good","Average"))</f>
        <v>Good</v>
      </c>
      <c r="AH179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796" spans="1:34" x14ac:dyDescent="0.3">
      <c r="A1796" t="s">
        <v>46</v>
      </c>
      <c r="B1796" t="s">
        <v>57</v>
      </c>
      <c r="C1796">
        <v>2024</v>
      </c>
      <c r="D1796" t="s">
        <v>44</v>
      </c>
      <c r="E1796" s="3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48</v>
      </c>
      <c r="N1796">
        <v>7</v>
      </c>
      <c r="O1796" t="s">
        <v>50</v>
      </c>
      <c r="P1796">
        <v>16.2</v>
      </c>
      <c r="Q1796">
        <v>1500</v>
      </c>
      <c r="R1796">
        <v>4</v>
      </c>
      <c r="S1796">
        <v>2</v>
      </c>
      <c r="T1796" t="s">
        <v>41</v>
      </c>
      <c r="U1796" t="s">
        <v>33</v>
      </c>
      <c r="V1796" s="3">
        <v>174122</v>
      </c>
      <c r="W1796">
        <v>4</v>
      </c>
      <c r="X1796">
        <v>5</v>
      </c>
      <c r="Y1796" s="1">
        <f>EV_Data4[[#This Row],[range_miles]]/EV_Data4[[#This Row],[battery_capacity_kwh]]</f>
        <v>3.6039603960396041</v>
      </c>
      <c r="Z1796" s="4">
        <f>EV_Data4[[#This Row],[price_usd]]/EV_Data4[[#This Row],[range_miles]]</f>
        <v>250.3223076923077</v>
      </c>
      <c r="AA1796" s="2">
        <f>(EV_Data4[[#This Row],[customer_rating]]*EV_Data4[[#This Row],[safety_rating]]*1000)/EV_Data4[[#This Row],[price_usd]]</f>
        <v>0.1755977897506204</v>
      </c>
      <c r="AB1796">
        <f>EV_Data4[[#This Row],[horsepower]]+EV_Data4[[#This Row],[torque_nm]]/EV_Data4[[#This Row],[acceleration_0_60_mph]]</f>
        <v>770.68724279835396</v>
      </c>
      <c r="AC1796" t="str">
        <f>IF(EV_Data4[[#This Row],[price_usd]]&gt;=80000,"Luxury",IF(EV_Data4[[#This Row],[price_usd]]&gt;=40000,"Mid-Range","Budget"))</f>
        <v>Luxury</v>
      </c>
      <c r="AD1796" t="str">
        <f>IF(EV_Data4[[#This Row],[range_miles]]&gt;=350,"Long-Range",IF(EV_Data4[[#This Row],[range_miles]]&gt;=250,"Medium-Range","Short-Range"))</f>
        <v>Long-Range</v>
      </c>
      <c r="AE1796" t="str">
        <f>IF(EV_Data4[[#This Row],[charging_speed_kw]]&gt;=250,"Ultra-Fast",IF(EV_Data4[[#This Row],[charging_speed_kw]]&gt;=150,"Fast-Charging","Standard-Charging"))</f>
        <v>Ultra-Fast</v>
      </c>
      <c r="AF1796" t="str">
        <f>IF(EV_Data4[[#This Row],[acceleration_0_60_mph]]&lt;=3,"SportsPerformance",IF(EV_Data4[[#This Row],[acceleration_0_60_mph]]&lt;=5,"HighPerformance","Standard"))</f>
        <v>HighPerformance</v>
      </c>
      <c r="AG1796" t="str">
        <f>IF(EV_Data4[[#This Row],[customer_rating]]&gt;=4.5,"Excellent",IF(EV_Data4[[#This Row],[customer_rating]]&gt;=3.5,"Good","Average"))</f>
        <v>Good</v>
      </c>
      <c r="AH179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97" spans="1:34" x14ac:dyDescent="0.3">
      <c r="A1797" t="s">
        <v>46</v>
      </c>
      <c r="B1797" t="s">
        <v>72</v>
      </c>
      <c r="C1797">
        <v>2026</v>
      </c>
      <c r="D1797" t="s">
        <v>61</v>
      </c>
      <c r="E1797" s="3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27</v>
      </c>
      <c r="N1797">
        <v>5</v>
      </c>
      <c r="O1797" t="s">
        <v>28</v>
      </c>
      <c r="P1797">
        <v>50.5</v>
      </c>
      <c r="Q1797">
        <v>2479</v>
      </c>
      <c r="R1797">
        <v>4</v>
      </c>
      <c r="S1797">
        <v>2</v>
      </c>
      <c r="T1797" t="s">
        <v>41</v>
      </c>
      <c r="U1797" t="s">
        <v>37</v>
      </c>
      <c r="V1797" s="3">
        <v>224642</v>
      </c>
      <c r="W1797">
        <v>3.64</v>
      </c>
      <c r="X1797">
        <v>5</v>
      </c>
      <c r="Y1797" s="1">
        <f>EV_Data4[[#This Row],[range_miles]]/EV_Data4[[#This Row],[battery_capacity_kwh]]</f>
        <v>3.3333333333333335</v>
      </c>
      <c r="Z1797" s="4">
        <f>EV_Data4[[#This Row],[price_usd]]/EV_Data4[[#This Row],[range_miles]]</f>
        <v>144.00151624548735</v>
      </c>
      <c r="AA1797" s="2">
        <f>(EV_Data4[[#This Row],[customer_rating]]*EV_Data4[[#This Row],[safety_rating]]*1000)/EV_Data4[[#This Row],[price_usd]]</f>
        <v>0.36501821832000364</v>
      </c>
      <c r="AB1797">
        <f>EV_Data4[[#This Row],[horsepower]]+EV_Data4[[#This Row],[torque_nm]]/EV_Data4[[#This Row],[acceleration_0_60_mph]]</f>
        <v>295.43091655266755</v>
      </c>
      <c r="AC1797" t="str">
        <f>IF(EV_Data4[[#This Row],[price_usd]]&gt;=80000,"Luxury",IF(EV_Data4[[#This Row],[price_usd]]&gt;=40000,"Mid-Range","Budget"))</f>
        <v>Budget</v>
      </c>
      <c r="AD1797" t="str">
        <f>IF(EV_Data4[[#This Row],[range_miles]]&gt;=350,"Long-Range",IF(EV_Data4[[#This Row],[range_miles]]&gt;=250,"Medium-Range","Short-Range"))</f>
        <v>Medium-Range</v>
      </c>
      <c r="AE1797" t="str">
        <f>IF(EV_Data4[[#This Row],[charging_speed_kw]]&gt;=250,"Ultra-Fast",IF(EV_Data4[[#This Row],[charging_speed_kw]]&gt;=150,"Fast-Charging","Standard-Charging"))</f>
        <v>Ultra-Fast</v>
      </c>
      <c r="AF1797" t="str">
        <f>IF(EV_Data4[[#This Row],[acceleration_0_60_mph]]&lt;=3,"SportsPerformance",IF(EV_Data4[[#This Row],[acceleration_0_60_mph]]&lt;=5,"HighPerformance","Standard"))</f>
        <v>Standard</v>
      </c>
      <c r="AG1797" t="str">
        <f>IF(EV_Data4[[#This Row],[customer_rating]]&gt;=4.5,"Excellent",IF(EV_Data4[[#This Row],[customer_rating]]&gt;=3.5,"Good","Average"))</f>
        <v>Good</v>
      </c>
      <c r="AH179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798" spans="1:34" x14ac:dyDescent="0.3">
      <c r="A1798" t="s">
        <v>38</v>
      </c>
      <c r="B1798" t="s">
        <v>101</v>
      </c>
      <c r="C1798">
        <v>2024</v>
      </c>
      <c r="D1798" t="s">
        <v>33</v>
      </c>
      <c r="E1798" s="3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27</v>
      </c>
      <c r="N1798">
        <v>5</v>
      </c>
      <c r="O1798" t="s">
        <v>35</v>
      </c>
      <c r="P1798">
        <v>54.4</v>
      </c>
      <c r="Q1798">
        <v>2063</v>
      </c>
      <c r="R1798">
        <v>4</v>
      </c>
      <c r="S1798">
        <v>0</v>
      </c>
      <c r="T1798" t="s">
        <v>41</v>
      </c>
      <c r="U1798" t="s">
        <v>33</v>
      </c>
      <c r="V1798" s="3">
        <v>10961</v>
      </c>
      <c r="W1798">
        <v>3.51</v>
      </c>
      <c r="X1798">
        <v>5</v>
      </c>
      <c r="Y1798" s="1">
        <f>EV_Data4[[#This Row],[range_miles]]/EV_Data4[[#This Row],[battery_capacity_kwh]]</f>
        <v>3.5301668806161741</v>
      </c>
      <c r="Z1798" s="4">
        <f>EV_Data4[[#This Row],[price_usd]]/EV_Data4[[#This Row],[range_miles]]</f>
        <v>274.4043272727273</v>
      </c>
      <c r="AA1798" s="2">
        <f>(EV_Data4[[#This Row],[customer_rating]]*EV_Data4[[#This Row],[safety_rating]]*1000)/EV_Data4[[#This Row],[price_usd]]</f>
        <v>0.1860559050287969</v>
      </c>
      <c r="AB1798">
        <f>EV_Data4[[#This Row],[horsepower]]+EV_Data4[[#This Row],[torque_nm]]/EV_Data4[[#This Row],[acceleration_0_60_mph]]</f>
        <v>1177.9005524861877</v>
      </c>
      <c r="AC1798" t="str">
        <f>IF(EV_Data4[[#This Row],[price_usd]]&gt;=80000,"Luxury",IF(EV_Data4[[#This Row],[price_usd]]&gt;=40000,"Mid-Range","Budget"))</f>
        <v>Mid-Range</v>
      </c>
      <c r="AD1798" t="str">
        <f>IF(EV_Data4[[#This Row],[range_miles]]&gt;=350,"Long-Range",IF(EV_Data4[[#This Row],[range_miles]]&gt;=250,"Medium-Range","Short-Range"))</f>
        <v>Medium-Range</v>
      </c>
      <c r="AE1798" t="str">
        <f>IF(EV_Data4[[#This Row],[charging_speed_kw]]&gt;=250,"Ultra-Fast",IF(EV_Data4[[#This Row],[charging_speed_kw]]&gt;=150,"Fast-Charging","Standard-Charging"))</f>
        <v>Standard-Charging</v>
      </c>
      <c r="AF1798" t="str">
        <f>IF(EV_Data4[[#This Row],[acceleration_0_60_mph]]&lt;=3,"SportsPerformance",IF(EV_Data4[[#This Row],[acceleration_0_60_mph]]&lt;=5,"HighPerformance","Standard"))</f>
        <v>Standard</v>
      </c>
      <c r="AG1798" t="str">
        <f>IF(EV_Data4[[#This Row],[customer_rating]]&gt;=4.5,"Excellent",IF(EV_Data4[[#This Row],[customer_rating]]&gt;=3.5,"Good","Average"))</f>
        <v>Good</v>
      </c>
      <c r="AH179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799" spans="1:34" x14ac:dyDescent="0.3">
      <c r="A1799" t="s">
        <v>46</v>
      </c>
      <c r="B1799" t="s">
        <v>72</v>
      </c>
      <c r="C1799">
        <v>2023</v>
      </c>
      <c r="D1799" t="s">
        <v>26</v>
      </c>
      <c r="E1799" s="3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27</v>
      </c>
      <c r="N1799">
        <v>5</v>
      </c>
      <c r="O1799" t="s">
        <v>28</v>
      </c>
      <c r="P1799">
        <v>71.099999999999994</v>
      </c>
      <c r="Q1799">
        <v>2927</v>
      </c>
      <c r="R1799">
        <v>5</v>
      </c>
      <c r="S1799">
        <v>3</v>
      </c>
      <c r="T1799" t="s">
        <v>41</v>
      </c>
      <c r="U1799" t="s">
        <v>30</v>
      </c>
      <c r="V1799" s="3">
        <v>202403</v>
      </c>
      <c r="W1799">
        <v>3.98</v>
      </c>
      <c r="X1799">
        <v>5</v>
      </c>
      <c r="Y1799" s="1">
        <f>EV_Data4[[#This Row],[range_miles]]/EV_Data4[[#This Row],[battery_capacity_kwh]]</f>
        <v>3.562271062271062</v>
      </c>
      <c r="Z1799" s="4">
        <f>EV_Data4[[#This Row],[price_usd]]/EV_Data4[[#This Row],[range_miles]]</f>
        <v>469.05802056555274</v>
      </c>
      <c r="AA1799" s="2">
        <f>(EV_Data4[[#This Row],[customer_rating]]*EV_Data4[[#This Row],[safety_rating]]*1000)/EV_Data4[[#This Row],[price_usd]]</f>
        <v>0.10906286663140483</v>
      </c>
      <c r="AB1799">
        <f>EV_Data4[[#This Row],[horsepower]]+EV_Data4[[#This Row],[torque_nm]]/EV_Data4[[#This Row],[acceleration_0_60_mph]]</f>
        <v>1292.9292929292928</v>
      </c>
      <c r="AC1799" t="str">
        <f>IF(EV_Data4[[#This Row],[price_usd]]&gt;=80000,"Luxury",IF(EV_Data4[[#This Row],[price_usd]]&gt;=40000,"Mid-Range","Budget"))</f>
        <v>Luxury</v>
      </c>
      <c r="AD1799" t="str">
        <f>IF(EV_Data4[[#This Row],[range_miles]]&gt;=350,"Long-Range",IF(EV_Data4[[#This Row],[range_miles]]&gt;=250,"Medium-Range","Short-Range"))</f>
        <v>Long-Range</v>
      </c>
      <c r="AE1799" t="str">
        <f>IF(EV_Data4[[#This Row],[charging_speed_kw]]&gt;=250,"Ultra-Fast",IF(EV_Data4[[#This Row],[charging_speed_kw]]&gt;=150,"Fast-Charging","Standard-Charging"))</f>
        <v>Ultra-Fast</v>
      </c>
      <c r="AF1799" t="str">
        <f>IF(EV_Data4[[#This Row],[acceleration_0_60_mph]]&lt;=3,"SportsPerformance",IF(EV_Data4[[#This Row],[acceleration_0_60_mph]]&lt;=5,"HighPerformance","Standard"))</f>
        <v>SportsPerformance</v>
      </c>
      <c r="AG1799" t="str">
        <f>IF(EV_Data4[[#This Row],[customer_rating]]&gt;=4.5,"Excellent",IF(EV_Data4[[#This Row],[customer_rating]]&gt;=3.5,"Good","Average"))</f>
        <v>Good</v>
      </c>
      <c r="AH1799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800" spans="1:34" x14ac:dyDescent="0.3">
      <c r="A1800" t="s">
        <v>46</v>
      </c>
      <c r="B1800" t="s">
        <v>78</v>
      </c>
      <c r="C1800">
        <v>2023</v>
      </c>
      <c r="D1800" t="s">
        <v>33</v>
      </c>
      <c r="E1800" s="3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48</v>
      </c>
      <c r="N1800">
        <v>5</v>
      </c>
      <c r="O1800" t="s">
        <v>35</v>
      </c>
      <c r="P1800">
        <v>60.9</v>
      </c>
      <c r="Q1800">
        <v>1871</v>
      </c>
      <c r="R1800">
        <v>5</v>
      </c>
      <c r="S1800">
        <v>2</v>
      </c>
      <c r="T1800" t="s">
        <v>41</v>
      </c>
      <c r="U1800" t="s">
        <v>37</v>
      </c>
      <c r="V1800" s="3">
        <v>134257</v>
      </c>
      <c r="W1800">
        <v>3.73</v>
      </c>
      <c r="X1800">
        <v>6</v>
      </c>
      <c r="Y1800" s="1">
        <f>EV_Data4[[#This Row],[range_miles]]/EV_Data4[[#This Row],[battery_capacity_kwh]]</f>
        <v>3.3282208588957052</v>
      </c>
      <c r="Z1800" s="4">
        <f>EV_Data4[[#This Row],[price_usd]]/EV_Data4[[#This Row],[range_miles]]</f>
        <v>200.37341013824883</v>
      </c>
      <c r="AA1800" s="2">
        <f>(EV_Data4[[#This Row],[customer_rating]]*EV_Data4[[#This Row],[safety_rating]]*1000)/EV_Data4[[#This Row],[price_usd]]</f>
        <v>0.42892268191438887</v>
      </c>
      <c r="AB1800">
        <f>EV_Data4[[#This Row],[horsepower]]+EV_Data4[[#This Row],[torque_nm]]/EV_Data4[[#This Row],[acceleration_0_60_mph]]</f>
        <v>267.76638176638176</v>
      </c>
      <c r="AC1800" t="str">
        <f>IF(EV_Data4[[#This Row],[price_usd]]&gt;=80000,"Luxury",IF(EV_Data4[[#This Row],[price_usd]]&gt;=40000,"Mid-Range","Budget"))</f>
        <v>Mid-Range</v>
      </c>
      <c r="AD1800" t="str">
        <f>IF(EV_Data4[[#This Row],[range_miles]]&gt;=350,"Long-Range",IF(EV_Data4[[#This Row],[range_miles]]&gt;=250,"Medium-Range","Short-Range"))</f>
        <v>Short-Range</v>
      </c>
      <c r="AE1800" t="str">
        <f>IF(EV_Data4[[#This Row],[charging_speed_kw]]&gt;=250,"Ultra-Fast",IF(EV_Data4[[#This Row],[charging_speed_kw]]&gt;=150,"Fast-Charging","Standard-Charging"))</f>
        <v>Fast-Charging</v>
      </c>
      <c r="AF1800" t="str">
        <f>IF(EV_Data4[[#This Row],[acceleration_0_60_mph]]&lt;=3,"SportsPerformance",IF(EV_Data4[[#This Row],[acceleration_0_60_mph]]&lt;=5,"HighPerformance","Standard"))</f>
        <v>Standard</v>
      </c>
      <c r="AG1800" t="str">
        <f>IF(EV_Data4[[#This Row],[customer_rating]]&gt;=4.5,"Excellent",IF(EV_Data4[[#This Row],[customer_rating]]&gt;=3.5,"Good","Average"))</f>
        <v>Good</v>
      </c>
      <c r="AH180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01" spans="1:34" x14ac:dyDescent="0.3">
      <c r="A1801" t="s">
        <v>46</v>
      </c>
      <c r="B1801" t="s">
        <v>47</v>
      </c>
      <c r="C1801">
        <v>2025</v>
      </c>
      <c r="D1801" t="s">
        <v>56</v>
      </c>
      <c r="E1801" s="3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48</v>
      </c>
      <c r="N1801">
        <v>7</v>
      </c>
      <c r="O1801" t="s">
        <v>58</v>
      </c>
      <c r="P1801">
        <v>21.6</v>
      </c>
      <c r="Q1801">
        <v>1837</v>
      </c>
      <c r="R1801">
        <v>5</v>
      </c>
      <c r="S1801">
        <v>3</v>
      </c>
      <c r="T1801" t="s">
        <v>41</v>
      </c>
      <c r="U1801" t="s">
        <v>33</v>
      </c>
      <c r="V1801" s="3">
        <v>164008</v>
      </c>
      <c r="W1801">
        <v>3.74</v>
      </c>
      <c r="X1801">
        <v>6</v>
      </c>
      <c r="Y1801" s="1">
        <f>EV_Data4[[#This Row],[range_miles]]/EV_Data4[[#This Row],[battery_capacity_kwh]]</f>
        <v>3.576864535768645</v>
      </c>
      <c r="Z1801" s="4">
        <f>EV_Data4[[#This Row],[price_usd]]/EV_Data4[[#This Row],[range_miles]]</f>
        <v>298.03706382978726</v>
      </c>
      <c r="AA1801" s="2">
        <f>(EV_Data4[[#This Row],[customer_rating]]*EV_Data4[[#This Row],[safety_rating]]*1000)/EV_Data4[[#This Row],[price_usd]]</f>
        <v>0.26699520879239497</v>
      </c>
      <c r="AB1801">
        <f>EV_Data4[[#This Row],[horsepower]]+EV_Data4[[#This Row],[torque_nm]]/EV_Data4[[#This Row],[acceleration_0_60_mph]]</f>
        <v>577.36842105263156</v>
      </c>
      <c r="AC1801" t="str">
        <f>IF(EV_Data4[[#This Row],[price_usd]]&gt;=80000,"Luxury",IF(EV_Data4[[#This Row],[price_usd]]&gt;=40000,"Mid-Range","Budget"))</f>
        <v>Mid-Range</v>
      </c>
      <c r="AD1801" t="str">
        <f>IF(EV_Data4[[#This Row],[range_miles]]&gt;=350,"Long-Range",IF(EV_Data4[[#This Row],[range_miles]]&gt;=250,"Medium-Range","Short-Range"))</f>
        <v>Short-Range</v>
      </c>
      <c r="AE1801" t="str">
        <f>IF(EV_Data4[[#This Row],[charging_speed_kw]]&gt;=250,"Ultra-Fast",IF(EV_Data4[[#This Row],[charging_speed_kw]]&gt;=150,"Fast-Charging","Standard-Charging"))</f>
        <v>Ultra-Fast</v>
      </c>
      <c r="AF1801" t="str">
        <f>IF(EV_Data4[[#This Row],[acceleration_0_60_mph]]&lt;=3,"SportsPerformance",IF(EV_Data4[[#This Row],[acceleration_0_60_mph]]&lt;=5,"HighPerformance","Standard"))</f>
        <v>Standard</v>
      </c>
      <c r="AG1801" t="str">
        <f>IF(EV_Data4[[#This Row],[customer_rating]]&gt;=4.5,"Excellent",IF(EV_Data4[[#This Row],[customer_rating]]&gt;=3.5,"Good","Average"))</f>
        <v>Good</v>
      </c>
      <c r="AH1801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802" spans="1:34" x14ac:dyDescent="0.3">
      <c r="A1802" t="s">
        <v>31</v>
      </c>
      <c r="B1802" t="s">
        <v>112</v>
      </c>
      <c r="C1802">
        <v>2024</v>
      </c>
      <c r="D1802" t="s">
        <v>56</v>
      </c>
      <c r="E1802" s="3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48</v>
      </c>
      <c r="N1802">
        <v>7</v>
      </c>
      <c r="O1802" t="s">
        <v>51</v>
      </c>
      <c r="P1802">
        <v>22.2</v>
      </c>
      <c r="Q1802">
        <v>1500</v>
      </c>
      <c r="R1802">
        <v>4</v>
      </c>
      <c r="S1802">
        <v>2</v>
      </c>
      <c r="T1802" t="s">
        <v>36</v>
      </c>
      <c r="U1802" t="s">
        <v>37</v>
      </c>
      <c r="V1802" s="3">
        <v>23683</v>
      </c>
      <c r="W1802">
        <v>3.15</v>
      </c>
      <c r="X1802">
        <v>5</v>
      </c>
      <c r="Y1802" s="1">
        <f>EV_Data4[[#This Row],[range_miles]]/EV_Data4[[#This Row],[battery_capacity_kwh]]</f>
        <v>3.4375</v>
      </c>
      <c r="Z1802" s="4">
        <f>EV_Data4[[#This Row],[price_usd]]/EV_Data4[[#This Row],[range_miles]]</f>
        <v>365.5569696969697</v>
      </c>
      <c r="AA1802" s="2">
        <f>(EV_Data4[[#This Row],[customer_rating]]*EV_Data4[[#This Row],[safety_rating]]*1000)/EV_Data4[[#This Row],[price_usd]]</f>
        <v>0.20889667738229253</v>
      </c>
      <c r="AB1802">
        <f>EV_Data4[[#This Row],[horsepower]]+EV_Data4[[#This Row],[torque_nm]]/EV_Data4[[#This Row],[acceleration_0_60_mph]]</f>
        <v>741.33731739707832</v>
      </c>
      <c r="AC1802" t="str">
        <f>IF(EV_Data4[[#This Row],[price_usd]]&gt;=80000,"Luxury",IF(EV_Data4[[#This Row],[price_usd]]&gt;=40000,"Mid-Range","Budget"))</f>
        <v>Mid-Range</v>
      </c>
      <c r="AD1802" t="str">
        <f>IF(EV_Data4[[#This Row],[range_miles]]&gt;=350,"Long-Range",IF(EV_Data4[[#This Row],[range_miles]]&gt;=250,"Medium-Range","Short-Range"))</f>
        <v>Short-Range</v>
      </c>
      <c r="AE1802" t="str">
        <f>IF(EV_Data4[[#This Row],[charging_speed_kw]]&gt;=250,"Ultra-Fast",IF(EV_Data4[[#This Row],[charging_speed_kw]]&gt;=150,"Fast-Charging","Standard-Charging"))</f>
        <v>Standard-Charging</v>
      </c>
      <c r="AF1802" t="str">
        <f>IF(EV_Data4[[#This Row],[acceleration_0_60_mph]]&lt;=3,"SportsPerformance",IF(EV_Data4[[#This Row],[acceleration_0_60_mph]]&lt;=5,"HighPerformance","Standard"))</f>
        <v>Standard</v>
      </c>
      <c r="AG1802" t="str">
        <f>IF(EV_Data4[[#This Row],[customer_rating]]&gt;=4.5,"Excellent",IF(EV_Data4[[#This Row],[customer_rating]]&gt;=3.5,"Good","Average"))</f>
        <v>Average</v>
      </c>
      <c r="AH180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03" spans="1:34" x14ac:dyDescent="0.3">
      <c r="A1803" t="s">
        <v>38</v>
      </c>
      <c r="B1803" t="s">
        <v>39</v>
      </c>
      <c r="C1803">
        <v>2024</v>
      </c>
      <c r="D1803" t="s">
        <v>61</v>
      </c>
      <c r="E1803" s="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27</v>
      </c>
      <c r="N1803">
        <v>7</v>
      </c>
      <c r="O1803" t="s">
        <v>58</v>
      </c>
      <c r="P1803">
        <v>21.6</v>
      </c>
      <c r="Q1803">
        <v>1530</v>
      </c>
      <c r="R1803">
        <v>5</v>
      </c>
      <c r="S1803">
        <v>1</v>
      </c>
      <c r="T1803" t="s">
        <v>41</v>
      </c>
      <c r="U1803" t="s">
        <v>37</v>
      </c>
      <c r="V1803" s="3">
        <v>15168</v>
      </c>
      <c r="W1803">
        <v>3.46</v>
      </c>
      <c r="X1803">
        <v>4</v>
      </c>
      <c r="Y1803" s="1">
        <f>EV_Data4[[#This Row],[range_miles]]/EV_Data4[[#This Row],[battery_capacity_kwh]]</f>
        <v>3.2692307692307692</v>
      </c>
      <c r="Z1803" s="4">
        <f>EV_Data4[[#This Row],[price_usd]]/EV_Data4[[#This Row],[range_miles]]</f>
        <v>230.21852941176471</v>
      </c>
      <c r="AA1803" s="2">
        <f>(EV_Data4[[#This Row],[customer_rating]]*EV_Data4[[#This Row],[safety_rating]]*1000)/EV_Data4[[#This Row],[price_usd]]</f>
        <v>0.36836271079183502</v>
      </c>
      <c r="AB1803">
        <f>EV_Data4[[#This Row],[horsepower]]+EV_Data4[[#This Row],[torque_nm]]/EV_Data4[[#This Row],[acceleration_0_60_mph]]</f>
        <v>633.22151088348278</v>
      </c>
      <c r="AC1803" t="str">
        <f>IF(EV_Data4[[#This Row],[price_usd]]&gt;=80000,"Luxury",IF(EV_Data4[[#This Row],[price_usd]]&gt;=40000,"Mid-Range","Budget"))</f>
        <v>Mid-Range</v>
      </c>
      <c r="AD1803" t="str">
        <f>IF(EV_Data4[[#This Row],[range_miles]]&gt;=350,"Long-Range",IF(EV_Data4[[#This Row],[range_miles]]&gt;=250,"Medium-Range","Short-Range"))</f>
        <v>Short-Range</v>
      </c>
      <c r="AE1803" t="str">
        <f>IF(EV_Data4[[#This Row],[charging_speed_kw]]&gt;=250,"Ultra-Fast",IF(EV_Data4[[#This Row],[charging_speed_kw]]&gt;=150,"Fast-Charging","Standard-Charging"))</f>
        <v>Standard-Charging</v>
      </c>
      <c r="AF1803" t="str">
        <f>IF(EV_Data4[[#This Row],[acceleration_0_60_mph]]&lt;=3,"SportsPerformance",IF(EV_Data4[[#This Row],[acceleration_0_60_mph]]&lt;=5,"HighPerformance","Standard"))</f>
        <v>Standard</v>
      </c>
      <c r="AG1803" t="str">
        <f>IF(EV_Data4[[#This Row],[customer_rating]]&gt;=4.5,"Excellent",IF(EV_Data4[[#This Row],[customer_rating]]&gt;=3.5,"Good","Average"))</f>
        <v>Average</v>
      </c>
      <c r="AH180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04" spans="1:34" x14ac:dyDescent="0.3">
      <c r="A1804" t="s">
        <v>63</v>
      </c>
      <c r="B1804" t="s">
        <v>96</v>
      </c>
      <c r="C1804">
        <v>2021</v>
      </c>
      <c r="D1804" t="s">
        <v>33</v>
      </c>
      <c r="E1804" s="3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27</v>
      </c>
      <c r="N1804">
        <v>7</v>
      </c>
      <c r="O1804" t="s">
        <v>51</v>
      </c>
      <c r="P1804">
        <v>37.6</v>
      </c>
      <c r="Q1804">
        <v>2029</v>
      </c>
      <c r="R1804">
        <v>3</v>
      </c>
      <c r="S1804">
        <v>0</v>
      </c>
      <c r="T1804" t="s">
        <v>65</v>
      </c>
      <c r="U1804" t="s">
        <v>30</v>
      </c>
      <c r="V1804" s="3">
        <v>216609</v>
      </c>
      <c r="W1804">
        <v>3.76</v>
      </c>
      <c r="X1804">
        <v>4</v>
      </c>
      <c r="Y1804" s="1">
        <f>EV_Data4[[#This Row],[range_miles]]/EV_Data4[[#This Row],[battery_capacity_kwh]]</f>
        <v>3.6319612590799033</v>
      </c>
      <c r="Z1804" s="4">
        <f>EV_Data4[[#This Row],[price_usd]]/EV_Data4[[#This Row],[range_miles]]</f>
        <v>356.84453333333335</v>
      </c>
      <c r="AA1804" s="2">
        <f>(EV_Data4[[#This Row],[customer_rating]]*EV_Data4[[#This Row],[safety_rating]]*1000)/EV_Data4[[#This Row],[price_usd]]</f>
        <v>0.10536801460505303</v>
      </c>
      <c r="AB1804">
        <f>EV_Data4[[#This Row],[horsepower]]+EV_Data4[[#This Row],[torque_nm]]/EV_Data4[[#This Row],[acceleration_0_60_mph]]</f>
        <v>1160.2996254681648</v>
      </c>
      <c r="AC1804" t="str">
        <f>IF(EV_Data4[[#This Row],[price_usd]]&gt;=80000,"Luxury",IF(EV_Data4[[#This Row],[price_usd]]&gt;=40000,"Mid-Range","Budget"))</f>
        <v>Luxury</v>
      </c>
      <c r="AD1804" t="str">
        <f>IF(EV_Data4[[#This Row],[range_miles]]&gt;=350,"Long-Range",IF(EV_Data4[[#This Row],[range_miles]]&gt;=250,"Medium-Range","Short-Range"))</f>
        <v>Medium-Range</v>
      </c>
      <c r="AE1804" t="str">
        <f>IF(EV_Data4[[#This Row],[charging_speed_kw]]&gt;=250,"Ultra-Fast",IF(EV_Data4[[#This Row],[charging_speed_kw]]&gt;=150,"Fast-Charging","Standard-Charging"))</f>
        <v>Standard-Charging</v>
      </c>
      <c r="AF1804" t="str">
        <f>IF(EV_Data4[[#This Row],[acceleration_0_60_mph]]&lt;=3,"SportsPerformance",IF(EV_Data4[[#This Row],[acceleration_0_60_mph]]&lt;=5,"HighPerformance","Standard"))</f>
        <v>Standard</v>
      </c>
      <c r="AG1804" t="str">
        <f>IF(EV_Data4[[#This Row],[customer_rating]]&gt;=4.5,"Excellent",IF(EV_Data4[[#This Row],[customer_rating]]&gt;=3.5,"Good","Average"))</f>
        <v>Good</v>
      </c>
      <c r="AH180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05" spans="1:34" x14ac:dyDescent="0.3">
      <c r="A1805" t="s">
        <v>63</v>
      </c>
      <c r="B1805" t="s">
        <v>67</v>
      </c>
      <c r="C1805">
        <v>2023</v>
      </c>
      <c r="D1805" t="s">
        <v>56</v>
      </c>
      <c r="E1805" s="3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27</v>
      </c>
      <c r="N1805">
        <v>5</v>
      </c>
      <c r="O1805" t="s">
        <v>50</v>
      </c>
      <c r="P1805">
        <v>26.5</v>
      </c>
      <c r="Q1805">
        <v>1839</v>
      </c>
      <c r="R1805">
        <v>5</v>
      </c>
      <c r="S1805">
        <v>0</v>
      </c>
      <c r="T1805" t="s">
        <v>65</v>
      </c>
      <c r="U1805" t="s">
        <v>33</v>
      </c>
      <c r="V1805" s="3">
        <v>164917</v>
      </c>
      <c r="W1805">
        <v>3</v>
      </c>
      <c r="X1805">
        <v>4</v>
      </c>
      <c r="Y1805" s="1">
        <f>EV_Data4[[#This Row],[range_miles]]/EV_Data4[[#This Row],[battery_capacity_kwh]]</f>
        <v>3.3840304182509504</v>
      </c>
      <c r="Z1805" s="4">
        <f>EV_Data4[[#This Row],[price_usd]]/EV_Data4[[#This Row],[range_miles]]</f>
        <v>413.16050561797755</v>
      </c>
      <c r="AA1805" s="2">
        <f>(EV_Data4[[#This Row],[customer_rating]]*EV_Data4[[#This Row],[safety_rating]]*1000)/EV_Data4[[#This Row],[price_usd]]</f>
        <v>0.20396350032369007</v>
      </c>
      <c r="AB1805">
        <f>EV_Data4[[#This Row],[horsepower]]+EV_Data4[[#This Row],[torque_nm]]/EV_Data4[[#This Row],[acceleration_0_60_mph]]</f>
        <v>906.11111111111109</v>
      </c>
      <c r="AC1805" t="str">
        <f>IF(EV_Data4[[#This Row],[price_usd]]&gt;=80000,"Luxury",IF(EV_Data4[[#This Row],[price_usd]]&gt;=40000,"Mid-Range","Budget"))</f>
        <v>Mid-Range</v>
      </c>
      <c r="AD1805" t="str">
        <f>IF(EV_Data4[[#This Row],[range_miles]]&gt;=350,"Long-Range",IF(EV_Data4[[#This Row],[range_miles]]&gt;=250,"Medium-Range","Short-Range"))</f>
        <v>Short-Range</v>
      </c>
      <c r="AE1805" t="str">
        <f>IF(EV_Data4[[#This Row],[charging_speed_kw]]&gt;=250,"Ultra-Fast",IF(EV_Data4[[#This Row],[charging_speed_kw]]&gt;=150,"Fast-Charging","Standard-Charging"))</f>
        <v>Standard-Charging</v>
      </c>
      <c r="AF1805" t="str">
        <f>IF(EV_Data4[[#This Row],[acceleration_0_60_mph]]&lt;=3,"SportsPerformance",IF(EV_Data4[[#This Row],[acceleration_0_60_mph]]&lt;=5,"HighPerformance","Standard"))</f>
        <v>Standard</v>
      </c>
      <c r="AG1805" t="str">
        <f>IF(EV_Data4[[#This Row],[customer_rating]]&gt;=4.5,"Excellent",IF(EV_Data4[[#This Row],[customer_rating]]&gt;=3.5,"Good","Average"))</f>
        <v>Average</v>
      </c>
      <c r="AH180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06" spans="1:34" x14ac:dyDescent="0.3">
      <c r="A1806" t="s">
        <v>63</v>
      </c>
      <c r="B1806" t="s">
        <v>107</v>
      </c>
      <c r="C1806">
        <v>2025</v>
      </c>
      <c r="D1806" t="s">
        <v>61</v>
      </c>
      <c r="E1806" s="3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27</v>
      </c>
      <c r="N1806">
        <v>7</v>
      </c>
      <c r="O1806" t="s">
        <v>40</v>
      </c>
      <c r="P1806">
        <v>63.6</v>
      </c>
      <c r="Q1806">
        <v>1538</v>
      </c>
      <c r="R1806">
        <v>5</v>
      </c>
      <c r="S1806">
        <v>0</v>
      </c>
      <c r="T1806" t="s">
        <v>65</v>
      </c>
      <c r="U1806" t="s">
        <v>37</v>
      </c>
      <c r="V1806" s="3">
        <v>174435</v>
      </c>
      <c r="W1806">
        <v>3.19</v>
      </c>
      <c r="X1806">
        <v>3</v>
      </c>
      <c r="Y1806" s="1">
        <f>EV_Data4[[#This Row],[range_miles]]/EV_Data4[[#This Row],[battery_capacity_kwh]]</f>
        <v>3.7539432176656153</v>
      </c>
      <c r="Z1806" s="4">
        <f>EV_Data4[[#This Row],[price_usd]]/EV_Data4[[#This Row],[range_miles]]</f>
        <v>219.54340336134456</v>
      </c>
      <c r="AA1806" s="2">
        <f>(EV_Data4[[#This Row],[customer_rating]]*EV_Data4[[#This Row],[safety_rating]]*1000)/EV_Data4[[#This Row],[price_usd]]</f>
        <v>0.30525538775759392</v>
      </c>
      <c r="AB1806">
        <f>EV_Data4[[#This Row],[horsepower]]+EV_Data4[[#This Row],[torque_nm]]/EV_Data4[[#This Row],[acceleration_0_60_mph]]</f>
        <v>624.57166947723442</v>
      </c>
      <c r="AC1806" t="str">
        <f>IF(EV_Data4[[#This Row],[price_usd]]&gt;=80000,"Luxury",IF(EV_Data4[[#This Row],[price_usd]]&gt;=40000,"Mid-Range","Budget"))</f>
        <v>Mid-Range</v>
      </c>
      <c r="AD1806" t="str">
        <f>IF(EV_Data4[[#This Row],[range_miles]]&gt;=350,"Long-Range",IF(EV_Data4[[#This Row],[range_miles]]&gt;=250,"Medium-Range","Short-Range"))</f>
        <v>Short-Range</v>
      </c>
      <c r="AE1806" t="str">
        <f>IF(EV_Data4[[#This Row],[charging_speed_kw]]&gt;=250,"Ultra-Fast",IF(EV_Data4[[#This Row],[charging_speed_kw]]&gt;=150,"Fast-Charging","Standard-Charging"))</f>
        <v>Standard-Charging</v>
      </c>
      <c r="AF1806" t="str">
        <f>IF(EV_Data4[[#This Row],[acceleration_0_60_mph]]&lt;=3,"SportsPerformance",IF(EV_Data4[[#This Row],[acceleration_0_60_mph]]&lt;=5,"HighPerformance","Standard"))</f>
        <v>Standard</v>
      </c>
      <c r="AG1806" t="str">
        <f>IF(EV_Data4[[#This Row],[customer_rating]]&gt;=4.5,"Excellent",IF(EV_Data4[[#This Row],[customer_rating]]&gt;=3.5,"Good","Average"))</f>
        <v>Average</v>
      </c>
      <c r="AH180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07" spans="1:34" x14ac:dyDescent="0.3">
      <c r="A1807" t="s">
        <v>76</v>
      </c>
      <c r="B1807" t="s">
        <v>98</v>
      </c>
      <c r="C1807">
        <v>2025</v>
      </c>
      <c r="D1807" t="s">
        <v>56</v>
      </c>
      <c r="E1807" s="3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34</v>
      </c>
      <c r="N1807">
        <v>5</v>
      </c>
      <c r="O1807" t="s">
        <v>28</v>
      </c>
      <c r="P1807">
        <v>65.400000000000006</v>
      </c>
      <c r="Q1807">
        <v>2613</v>
      </c>
      <c r="R1807">
        <v>5</v>
      </c>
      <c r="S1807">
        <v>0</v>
      </c>
      <c r="T1807" t="s">
        <v>41</v>
      </c>
      <c r="U1807" t="s">
        <v>33</v>
      </c>
      <c r="V1807" s="3">
        <v>21665</v>
      </c>
      <c r="W1807">
        <v>3.61</v>
      </c>
      <c r="X1807">
        <v>5</v>
      </c>
      <c r="Y1807" s="1">
        <f>EV_Data4[[#This Row],[range_miles]]/EV_Data4[[#This Row],[battery_capacity_kwh]]</f>
        <v>4.0374787052810897</v>
      </c>
      <c r="Z1807" s="4">
        <f>EV_Data4[[#This Row],[price_usd]]/EV_Data4[[#This Row],[range_miles]]</f>
        <v>285.8771729957806</v>
      </c>
      <c r="AA1807" s="2">
        <f>(EV_Data4[[#This Row],[customer_rating]]*EV_Data4[[#This Row],[safety_rating]]*1000)/EV_Data4[[#This Row],[price_usd]]</f>
        <v>0.26640930003133445</v>
      </c>
      <c r="AB1807">
        <f>EV_Data4[[#This Row],[horsepower]]+EV_Data4[[#This Row],[torque_nm]]/EV_Data4[[#This Row],[acceleration_0_60_mph]]</f>
        <v>859.4113345521024</v>
      </c>
      <c r="AC1807" t="str">
        <f>IF(EV_Data4[[#This Row],[price_usd]]&gt;=80000,"Luxury",IF(EV_Data4[[#This Row],[price_usd]]&gt;=40000,"Mid-Range","Budget"))</f>
        <v>Mid-Range</v>
      </c>
      <c r="AD1807" t="str">
        <f>IF(EV_Data4[[#This Row],[range_miles]]&gt;=350,"Long-Range",IF(EV_Data4[[#This Row],[range_miles]]&gt;=250,"Medium-Range","Short-Range"))</f>
        <v>Short-Range</v>
      </c>
      <c r="AE1807" t="str">
        <f>IF(EV_Data4[[#This Row],[charging_speed_kw]]&gt;=250,"Ultra-Fast",IF(EV_Data4[[#This Row],[charging_speed_kw]]&gt;=150,"Fast-Charging","Standard-Charging"))</f>
        <v>Standard-Charging</v>
      </c>
      <c r="AF1807" t="str">
        <f>IF(EV_Data4[[#This Row],[acceleration_0_60_mph]]&lt;=3,"SportsPerformance",IF(EV_Data4[[#This Row],[acceleration_0_60_mph]]&lt;=5,"HighPerformance","Standard"))</f>
        <v>Standard</v>
      </c>
      <c r="AG1807" t="str">
        <f>IF(EV_Data4[[#This Row],[customer_rating]]&gt;=4.5,"Excellent",IF(EV_Data4[[#This Row],[customer_rating]]&gt;=3.5,"Good","Average"))</f>
        <v>Good</v>
      </c>
      <c r="AH180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08" spans="1:34" x14ac:dyDescent="0.3">
      <c r="A1808" t="s">
        <v>83</v>
      </c>
      <c r="B1808" t="s">
        <v>114</v>
      </c>
      <c r="C1808">
        <v>2025</v>
      </c>
      <c r="D1808" t="s">
        <v>56</v>
      </c>
      <c r="E1808" s="3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34</v>
      </c>
      <c r="N1808">
        <v>5</v>
      </c>
      <c r="O1808" t="s">
        <v>40</v>
      </c>
      <c r="P1808">
        <v>74.7</v>
      </c>
      <c r="Q1808">
        <v>1633</v>
      </c>
      <c r="R1808">
        <v>4</v>
      </c>
      <c r="S1808">
        <v>1</v>
      </c>
      <c r="T1808" t="s">
        <v>29</v>
      </c>
      <c r="U1808" t="s">
        <v>37</v>
      </c>
      <c r="V1808" s="3">
        <v>75073</v>
      </c>
      <c r="W1808">
        <v>3.18</v>
      </c>
      <c r="X1808">
        <v>6</v>
      </c>
      <c r="Y1808" s="1">
        <f>EV_Data4[[#This Row],[range_miles]]/EV_Data4[[#This Row],[battery_capacity_kwh]]</f>
        <v>3.5462555066079298</v>
      </c>
      <c r="Z1808" s="4">
        <f>EV_Data4[[#This Row],[price_usd]]/EV_Data4[[#This Row],[range_miles]]</f>
        <v>302.57267080745339</v>
      </c>
      <c r="AA1808" s="2">
        <f>(EV_Data4[[#This Row],[customer_rating]]*EV_Data4[[#This Row],[safety_rating]]*1000)/EV_Data4[[#This Row],[price_usd]]</f>
        <v>0.26111482894104798</v>
      </c>
      <c r="AB1808">
        <f>EV_Data4[[#This Row],[horsepower]]+EV_Data4[[#This Row],[torque_nm]]/EV_Data4[[#This Row],[acceleration_0_60_mph]]</f>
        <v>203.94033722438391</v>
      </c>
      <c r="AC1808" t="str">
        <f>IF(EV_Data4[[#This Row],[price_usd]]&gt;=80000,"Luxury",IF(EV_Data4[[#This Row],[price_usd]]&gt;=40000,"Mid-Range","Budget"))</f>
        <v>Mid-Range</v>
      </c>
      <c r="AD1808" t="str">
        <f>IF(EV_Data4[[#This Row],[range_miles]]&gt;=350,"Long-Range",IF(EV_Data4[[#This Row],[range_miles]]&gt;=250,"Medium-Range","Short-Range"))</f>
        <v>Short-Range</v>
      </c>
      <c r="AE1808" t="str">
        <f>IF(EV_Data4[[#This Row],[charging_speed_kw]]&gt;=250,"Ultra-Fast",IF(EV_Data4[[#This Row],[charging_speed_kw]]&gt;=150,"Fast-Charging","Standard-Charging"))</f>
        <v>Standard-Charging</v>
      </c>
      <c r="AF1808" t="str">
        <f>IF(EV_Data4[[#This Row],[acceleration_0_60_mph]]&lt;=3,"SportsPerformance",IF(EV_Data4[[#This Row],[acceleration_0_60_mph]]&lt;=5,"HighPerformance","Standard"))</f>
        <v>Standard</v>
      </c>
      <c r="AG1808" t="str">
        <f>IF(EV_Data4[[#This Row],[customer_rating]]&gt;=4.5,"Excellent",IF(EV_Data4[[#This Row],[customer_rating]]&gt;=3.5,"Good","Average"))</f>
        <v>Average</v>
      </c>
      <c r="AH180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09" spans="1:34" x14ac:dyDescent="0.3">
      <c r="A1809" t="s">
        <v>46</v>
      </c>
      <c r="B1809" t="s">
        <v>78</v>
      </c>
      <c r="C1809">
        <v>2026</v>
      </c>
      <c r="D1809" t="s">
        <v>56</v>
      </c>
      <c r="E1809" s="3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34</v>
      </c>
      <c r="N1809">
        <v>5</v>
      </c>
      <c r="O1809" t="s">
        <v>40</v>
      </c>
      <c r="P1809">
        <v>65.2</v>
      </c>
      <c r="Q1809">
        <v>1525</v>
      </c>
      <c r="R1809">
        <v>4</v>
      </c>
      <c r="S1809">
        <v>2</v>
      </c>
      <c r="T1809" t="s">
        <v>41</v>
      </c>
      <c r="U1809" t="s">
        <v>66</v>
      </c>
      <c r="V1809" s="3">
        <v>143060</v>
      </c>
      <c r="W1809">
        <v>3.87</v>
      </c>
      <c r="X1809">
        <v>4</v>
      </c>
      <c r="Y1809" s="1">
        <f>EV_Data4[[#This Row],[range_miles]]/EV_Data4[[#This Row],[battery_capacity_kwh]]</f>
        <v>3.3333333333333335</v>
      </c>
      <c r="Z1809" s="4">
        <f>EV_Data4[[#This Row],[price_usd]]/EV_Data4[[#This Row],[range_miles]]</f>
        <v>129.37983402489627</v>
      </c>
      <c r="AA1809" s="2">
        <f>(EV_Data4[[#This Row],[customer_rating]]*EV_Data4[[#This Row],[safety_rating]]*1000)/EV_Data4[[#This Row],[price_usd]]</f>
        <v>0.49646349934927358</v>
      </c>
      <c r="AB1809">
        <f>EV_Data4[[#This Row],[horsepower]]+EV_Data4[[#This Row],[torque_nm]]/EV_Data4[[#This Row],[acceleration_0_60_mph]]</f>
        <v>237.85074626865671</v>
      </c>
      <c r="AC1809" t="str">
        <f>IF(EV_Data4[[#This Row],[price_usd]]&gt;=80000,"Luxury",IF(EV_Data4[[#This Row],[price_usd]]&gt;=40000,"Mid-Range","Budget"))</f>
        <v>Budget</v>
      </c>
      <c r="AD1809" t="str">
        <f>IF(EV_Data4[[#This Row],[range_miles]]&gt;=350,"Long-Range",IF(EV_Data4[[#This Row],[range_miles]]&gt;=250,"Medium-Range","Short-Range"))</f>
        <v>Short-Range</v>
      </c>
      <c r="AE1809" t="str">
        <f>IF(EV_Data4[[#This Row],[charging_speed_kw]]&gt;=250,"Ultra-Fast",IF(EV_Data4[[#This Row],[charging_speed_kw]]&gt;=150,"Fast-Charging","Standard-Charging"))</f>
        <v>Ultra-Fast</v>
      </c>
      <c r="AF1809" t="str">
        <f>IF(EV_Data4[[#This Row],[acceleration_0_60_mph]]&lt;=3,"SportsPerformance",IF(EV_Data4[[#This Row],[acceleration_0_60_mph]]&lt;=5,"HighPerformance","Standard"))</f>
        <v>Standard</v>
      </c>
      <c r="AG1809" t="str">
        <f>IF(EV_Data4[[#This Row],[customer_rating]]&gt;=4.5,"Excellent",IF(EV_Data4[[#This Row],[customer_rating]]&gt;=3.5,"Good","Average"))</f>
        <v>Good</v>
      </c>
      <c r="AH180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10" spans="1:34" x14ac:dyDescent="0.3">
      <c r="A1810" t="s">
        <v>46</v>
      </c>
      <c r="B1810" t="s">
        <v>49</v>
      </c>
      <c r="C1810">
        <v>2025</v>
      </c>
      <c r="D1810" t="s">
        <v>44</v>
      </c>
      <c r="E1810" s="3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34</v>
      </c>
      <c r="N1810">
        <v>7</v>
      </c>
      <c r="O1810" t="s">
        <v>51</v>
      </c>
      <c r="P1810">
        <v>19.2</v>
      </c>
      <c r="Q1810">
        <v>1614</v>
      </c>
      <c r="R1810">
        <v>4</v>
      </c>
      <c r="S1810">
        <v>2</v>
      </c>
      <c r="T1810" t="s">
        <v>41</v>
      </c>
      <c r="U1810" t="s">
        <v>33</v>
      </c>
      <c r="V1810" s="3">
        <v>443244</v>
      </c>
      <c r="W1810">
        <v>3.91</v>
      </c>
      <c r="X1810">
        <v>4</v>
      </c>
      <c r="Y1810" s="1">
        <f>EV_Data4[[#This Row],[range_miles]]/EV_Data4[[#This Row],[battery_capacity_kwh]]</f>
        <v>3.7747524752475248</v>
      </c>
      <c r="Z1810" s="4">
        <f>EV_Data4[[#This Row],[price_usd]]/EV_Data4[[#This Row],[range_miles]]</f>
        <v>224.46449180327869</v>
      </c>
      <c r="AA1810" s="2">
        <f>(EV_Data4[[#This Row],[customer_rating]]*EV_Data4[[#This Row],[safety_rating]]*1000)/EV_Data4[[#This Row],[price_usd]]</f>
        <v>0.22844899927214748</v>
      </c>
      <c r="AB1810">
        <f>EV_Data4[[#This Row],[horsepower]]+EV_Data4[[#This Row],[torque_nm]]/EV_Data4[[#This Row],[acceleration_0_60_mph]]</f>
        <v>603.55555555555554</v>
      </c>
      <c r="AC1810" t="str">
        <f>IF(EV_Data4[[#This Row],[price_usd]]&gt;=80000,"Luxury",IF(EV_Data4[[#This Row],[price_usd]]&gt;=40000,"Mid-Range","Budget"))</f>
        <v>Mid-Range</v>
      </c>
      <c r="AD1810" t="str">
        <f>IF(EV_Data4[[#This Row],[range_miles]]&gt;=350,"Long-Range",IF(EV_Data4[[#This Row],[range_miles]]&gt;=250,"Medium-Range","Short-Range"))</f>
        <v>Medium-Range</v>
      </c>
      <c r="AE1810" t="str">
        <f>IF(EV_Data4[[#This Row],[charging_speed_kw]]&gt;=250,"Ultra-Fast",IF(EV_Data4[[#This Row],[charging_speed_kw]]&gt;=150,"Fast-Charging","Standard-Charging"))</f>
        <v>Ultra-Fast</v>
      </c>
      <c r="AF1810" t="str">
        <f>IF(EV_Data4[[#This Row],[acceleration_0_60_mph]]&lt;=3,"SportsPerformance",IF(EV_Data4[[#This Row],[acceleration_0_60_mph]]&lt;=5,"HighPerformance","Standard"))</f>
        <v>HighPerformance</v>
      </c>
      <c r="AG1810" t="str">
        <f>IF(EV_Data4[[#This Row],[customer_rating]]&gt;=4.5,"Excellent",IF(EV_Data4[[#This Row],[customer_rating]]&gt;=3.5,"Good","Average"))</f>
        <v>Good</v>
      </c>
      <c r="AH181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11" spans="1:34" x14ac:dyDescent="0.3">
      <c r="A1811" t="s">
        <v>46</v>
      </c>
      <c r="B1811" t="s">
        <v>57</v>
      </c>
      <c r="C1811">
        <v>2023</v>
      </c>
      <c r="D1811" t="s">
        <v>33</v>
      </c>
      <c r="E1811" s="3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27</v>
      </c>
      <c r="N1811">
        <v>5</v>
      </c>
      <c r="O1811" t="s">
        <v>28</v>
      </c>
      <c r="P1811">
        <v>65.8</v>
      </c>
      <c r="Q1811">
        <v>2333</v>
      </c>
      <c r="R1811">
        <v>5</v>
      </c>
      <c r="S1811">
        <v>2</v>
      </c>
      <c r="T1811" t="s">
        <v>41</v>
      </c>
      <c r="U1811" t="s">
        <v>37</v>
      </c>
      <c r="V1811" s="3">
        <v>247691</v>
      </c>
      <c r="W1811">
        <v>3.41</v>
      </c>
      <c r="X1811">
        <v>6</v>
      </c>
      <c r="Y1811" s="1">
        <f>EV_Data4[[#This Row],[range_miles]]/EV_Data4[[#This Row],[battery_capacity_kwh]]</f>
        <v>3.5971223021582732</v>
      </c>
      <c r="Z1811" s="4">
        <f>EV_Data4[[#This Row],[price_usd]]/EV_Data4[[#This Row],[range_miles]]</f>
        <v>344.29126666666667</v>
      </c>
      <c r="AA1811" s="2">
        <f>(EV_Data4[[#This Row],[customer_rating]]*EV_Data4[[#This Row],[safety_rating]]*1000)/EV_Data4[[#This Row],[price_usd]]</f>
        <v>0.33014681948559443</v>
      </c>
      <c r="AB1811">
        <f>EV_Data4[[#This Row],[horsepower]]+EV_Data4[[#This Row],[torque_nm]]/EV_Data4[[#This Row],[acceleration_0_60_mph]]</f>
        <v>411.64150943396226</v>
      </c>
      <c r="AC1811" t="str">
        <f>IF(EV_Data4[[#This Row],[price_usd]]&gt;=80000,"Luxury",IF(EV_Data4[[#This Row],[price_usd]]&gt;=40000,"Mid-Range","Budget"))</f>
        <v>Mid-Range</v>
      </c>
      <c r="AD1811" t="str">
        <f>IF(EV_Data4[[#This Row],[range_miles]]&gt;=350,"Long-Range",IF(EV_Data4[[#This Row],[range_miles]]&gt;=250,"Medium-Range","Short-Range"))</f>
        <v>Short-Range</v>
      </c>
      <c r="AE1811" t="str">
        <f>IF(EV_Data4[[#This Row],[charging_speed_kw]]&gt;=250,"Ultra-Fast",IF(EV_Data4[[#This Row],[charging_speed_kw]]&gt;=150,"Fast-Charging","Standard-Charging"))</f>
        <v>Ultra-Fast</v>
      </c>
      <c r="AF1811" t="str">
        <f>IF(EV_Data4[[#This Row],[acceleration_0_60_mph]]&lt;=3,"SportsPerformance",IF(EV_Data4[[#This Row],[acceleration_0_60_mph]]&lt;=5,"HighPerformance","Standard"))</f>
        <v>Standard</v>
      </c>
      <c r="AG1811" t="str">
        <f>IF(EV_Data4[[#This Row],[customer_rating]]&gt;=4.5,"Excellent",IF(EV_Data4[[#This Row],[customer_rating]]&gt;=3.5,"Good","Average"))</f>
        <v>Average</v>
      </c>
      <c r="AH181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12" spans="1:34" x14ac:dyDescent="0.3">
      <c r="A1812" t="s">
        <v>83</v>
      </c>
      <c r="B1812" t="s">
        <v>104</v>
      </c>
      <c r="C1812">
        <v>2025</v>
      </c>
      <c r="D1812" t="s">
        <v>61</v>
      </c>
      <c r="E1812" s="3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27</v>
      </c>
      <c r="N1812">
        <v>5</v>
      </c>
      <c r="O1812" t="s">
        <v>58</v>
      </c>
      <c r="P1812">
        <v>22.2</v>
      </c>
      <c r="Q1812">
        <v>1554</v>
      </c>
      <c r="R1812">
        <v>4</v>
      </c>
      <c r="S1812">
        <v>1</v>
      </c>
      <c r="T1812" t="s">
        <v>29</v>
      </c>
      <c r="U1812" t="s">
        <v>33</v>
      </c>
      <c r="V1812" s="3">
        <v>66889</v>
      </c>
      <c r="W1812">
        <v>3.62</v>
      </c>
      <c r="X1812">
        <v>6</v>
      </c>
      <c r="Y1812" s="1">
        <f>EV_Data4[[#This Row],[range_miles]]/EV_Data4[[#This Row],[battery_capacity_kwh]]</f>
        <v>3.7464387464387463</v>
      </c>
      <c r="Z1812" s="4">
        <f>EV_Data4[[#This Row],[price_usd]]/EV_Data4[[#This Row],[range_miles]]</f>
        <v>251.98722433460077</v>
      </c>
      <c r="AA1812" s="2">
        <f>(EV_Data4[[#This Row],[customer_rating]]*EV_Data4[[#This Row],[safety_rating]]*1000)/EV_Data4[[#This Row],[price_usd]]</f>
        <v>0.2184913714015316</v>
      </c>
      <c r="AB1812">
        <f>EV_Data4[[#This Row],[horsepower]]+EV_Data4[[#This Row],[torque_nm]]/EV_Data4[[#This Row],[acceleration_0_60_mph]]</f>
        <v>477.19540229885058</v>
      </c>
      <c r="AC1812" t="str">
        <f>IF(EV_Data4[[#This Row],[price_usd]]&gt;=80000,"Luxury",IF(EV_Data4[[#This Row],[price_usd]]&gt;=40000,"Mid-Range","Budget"))</f>
        <v>Mid-Range</v>
      </c>
      <c r="AD1812" t="str">
        <f>IF(EV_Data4[[#This Row],[range_miles]]&gt;=350,"Long-Range",IF(EV_Data4[[#This Row],[range_miles]]&gt;=250,"Medium-Range","Short-Range"))</f>
        <v>Medium-Range</v>
      </c>
      <c r="AE1812" t="str">
        <f>IF(EV_Data4[[#This Row],[charging_speed_kw]]&gt;=250,"Ultra-Fast",IF(EV_Data4[[#This Row],[charging_speed_kw]]&gt;=150,"Fast-Charging","Standard-Charging"))</f>
        <v>Standard-Charging</v>
      </c>
      <c r="AF1812" t="str">
        <f>IF(EV_Data4[[#This Row],[acceleration_0_60_mph]]&lt;=3,"SportsPerformance",IF(EV_Data4[[#This Row],[acceleration_0_60_mph]]&lt;=5,"HighPerformance","Standard"))</f>
        <v>Standard</v>
      </c>
      <c r="AG1812" t="str">
        <f>IF(EV_Data4[[#This Row],[customer_rating]]&gt;=4.5,"Excellent",IF(EV_Data4[[#This Row],[customer_rating]]&gt;=3.5,"Good","Average"))</f>
        <v>Good</v>
      </c>
      <c r="AH181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13" spans="1:34" x14ac:dyDescent="0.3">
      <c r="A1813" t="s">
        <v>76</v>
      </c>
      <c r="B1813" t="s">
        <v>91</v>
      </c>
      <c r="C1813">
        <v>2025</v>
      </c>
      <c r="D1813" t="s">
        <v>61</v>
      </c>
      <c r="E1813" s="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27</v>
      </c>
      <c r="N1813">
        <v>4</v>
      </c>
      <c r="O1813" t="s">
        <v>28</v>
      </c>
      <c r="P1813">
        <v>78.3</v>
      </c>
      <c r="Q1813">
        <v>2809</v>
      </c>
      <c r="R1813">
        <v>5</v>
      </c>
      <c r="S1813">
        <v>1</v>
      </c>
      <c r="T1813" t="s">
        <v>41</v>
      </c>
      <c r="U1813" t="s">
        <v>33</v>
      </c>
      <c r="V1813" s="3">
        <v>69276</v>
      </c>
      <c r="W1813">
        <v>3.36</v>
      </c>
      <c r="X1813">
        <v>5</v>
      </c>
      <c r="Y1813" s="1">
        <f>EV_Data4[[#This Row],[range_miles]]/EV_Data4[[#This Row],[battery_capacity_kwh]]</f>
        <v>3.7375178316690447</v>
      </c>
      <c r="Z1813" s="4">
        <f>EV_Data4[[#This Row],[price_usd]]/EV_Data4[[#This Row],[range_miles]]</f>
        <v>263.19687022900763</v>
      </c>
      <c r="AA1813" s="2">
        <f>(EV_Data4[[#This Row],[customer_rating]]*EV_Data4[[#This Row],[safety_rating]]*1000)/EV_Data4[[#This Row],[price_usd]]</f>
        <v>0.24362803915102588</v>
      </c>
      <c r="AB1813">
        <f>EV_Data4[[#This Row],[horsepower]]+EV_Data4[[#This Row],[torque_nm]]/EV_Data4[[#This Row],[acceleration_0_60_mph]]</f>
        <v>808.68668407310702</v>
      </c>
      <c r="AC1813" t="str">
        <f>IF(EV_Data4[[#This Row],[price_usd]]&gt;=80000,"Luxury",IF(EV_Data4[[#This Row],[price_usd]]&gt;=40000,"Mid-Range","Budget"))</f>
        <v>Mid-Range</v>
      </c>
      <c r="AD1813" t="str">
        <f>IF(EV_Data4[[#This Row],[range_miles]]&gt;=350,"Long-Range",IF(EV_Data4[[#This Row],[range_miles]]&gt;=250,"Medium-Range","Short-Range"))</f>
        <v>Medium-Range</v>
      </c>
      <c r="AE1813" t="str">
        <f>IF(EV_Data4[[#This Row],[charging_speed_kw]]&gt;=250,"Ultra-Fast",IF(EV_Data4[[#This Row],[charging_speed_kw]]&gt;=150,"Fast-Charging","Standard-Charging"))</f>
        <v>Standard-Charging</v>
      </c>
      <c r="AF1813" t="str">
        <f>IF(EV_Data4[[#This Row],[acceleration_0_60_mph]]&lt;=3,"SportsPerformance",IF(EV_Data4[[#This Row],[acceleration_0_60_mph]]&lt;=5,"HighPerformance","Standard"))</f>
        <v>Standard</v>
      </c>
      <c r="AG1813" t="str">
        <f>IF(EV_Data4[[#This Row],[customer_rating]]&gt;=4.5,"Excellent",IF(EV_Data4[[#This Row],[customer_rating]]&gt;=3.5,"Good","Average"))</f>
        <v>Average</v>
      </c>
      <c r="AH181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14" spans="1:34" x14ac:dyDescent="0.3">
      <c r="A1814" t="s">
        <v>63</v>
      </c>
      <c r="B1814" t="s">
        <v>96</v>
      </c>
      <c r="C1814">
        <v>2024</v>
      </c>
      <c r="D1814" t="s">
        <v>61</v>
      </c>
      <c r="E1814" s="3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34</v>
      </c>
      <c r="N1814">
        <v>5</v>
      </c>
      <c r="O1814" t="s">
        <v>50</v>
      </c>
      <c r="P1814">
        <v>24.2</v>
      </c>
      <c r="Q1814">
        <v>1637</v>
      </c>
      <c r="R1814">
        <v>5</v>
      </c>
      <c r="S1814">
        <v>1</v>
      </c>
      <c r="T1814" t="s">
        <v>65</v>
      </c>
      <c r="U1814" t="s">
        <v>37</v>
      </c>
      <c r="V1814" s="3">
        <v>242985</v>
      </c>
      <c r="W1814">
        <v>3.46</v>
      </c>
      <c r="X1814">
        <v>3</v>
      </c>
      <c r="Y1814" s="1">
        <f>EV_Data4[[#This Row],[range_miles]]/EV_Data4[[#This Row],[battery_capacity_kwh]]</f>
        <v>3.5852713178294571</v>
      </c>
      <c r="Z1814" s="4">
        <f>EV_Data4[[#This Row],[price_usd]]/EV_Data4[[#This Row],[range_miles]]</f>
        <v>276.96432432432431</v>
      </c>
      <c r="AA1814" s="2">
        <f>(EV_Data4[[#This Row],[customer_rating]]*EV_Data4[[#This Row],[safety_rating]]*1000)/EV_Data4[[#This Row],[price_usd]]</f>
        <v>0.33763739695228578</v>
      </c>
      <c r="AB1814">
        <f>EV_Data4[[#This Row],[horsepower]]+EV_Data4[[#This Row],[torque_nm]]/EV_Data4[[#This Row],[acceleration_0_60_mph]]</f>
        <v>671.0674846625767</v>
      </c>
      <c r="AC1814" t="str">
        <f>IF(EV_Data4[[#This Row],[price_usd]]&gt;=80000,"Luxury",IF(EV_Data4[[#This Row],[price_usd]]&gt;=40000,"Mid-Range","Budget"))</f>
        <v>Mid-Range</v>
      </c>
      <c r="AD1814" t="str">
        <f>IF(EV_Data4[[#This Row],[range_miles]]&gt;=350,"Long-Range",IF(EV_Data4[[#This Row],[range_miles]]&gt;=250,"Medium-Range","Short-Range"))</f>
        <v>Short-Range</v>
      </c>
      <c r="AE1814" t="str">
        <f>IF(EV_Data4[[#This Row],[charging_speed_kw]]&gt;=250,"Ultra-Fast",IF(EV_Data4[[#This Row],[charging_speed_kw]]&gt;=150,"Fast-Charging","Standard-Charging"))</f>
        <v>Standard-Charging</v>
      </c>
      <c r="AF1814" t="str">
        <f>IF(EV_Data4[[#This Row],[acceleration_0_60_mph]]&lt;=3,"SportsPerformance",IF(EV_Data4[[#This Row],[acceleration_0_60_mph]]&lt;=5,"HighPerformance","Standard"))</f>
        <v>Standard</v>
      </c>
      <c r="AG1814" t="str">
        <f>IF(EV_Data4[[#This Row],[customer_rating]]&gt;=4.5,"Excellent",IF(EV_Data4[[#This Row],[customer_rating]]&gt;=3.5,"Good","Average"))</f>
        <v>Average</v>
      </c>
      <c r="AH181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15" spans="1:34" x14ac:dyDescent="0.3">
      <c r="A1815" t="s">
        <v>46</v>
      </c>
      <c r="B1815" t="s">
        <v>49</v>
      </c>
      <c r="C1815">
        <v>2025</v>
      </c>
      <c r="D1815" t="s">
        <v>56</v>
      </c>
      <c r="E1815" s="3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34</v>
      </c>
      <c r="N1815">
        <v>5</v>
      </c>
      <c r="O1815" t="s">
        <v>51</v>
      </c>
      <c r="P1815">
        <v>34.6</v>
      </c>
      <c r="Q1815">
        <v>1534</v>
      </c>
      <c r="R1815">
        <v>3</v>
      </c>
      <c r="S1815">
        <v>2</v>
      </c>
      <c r="T1815" t="s">
        <v>41</v>
      </c>
      <c r="U1815" t="s">
        <v>30</v>
      </c>
      <c r="V1815" s="3">
        <v>458139</v>
      </c>
      <c r="W1815">
        <v>3.77</v>
      </c>
      <c r="X1815">
        <v>5</v>
      </c>
      <c r="Y1815" s="1">
        <f>EV_Data4[[#This Row],[range_miles]]/EV_Data4[[#This Row],[battery_capacity_kwh]]</f>
        <v>3.5958395245170878</v>
      </c>
      <c r="Z1815" s="4">
        <f>EV_Data4[[#This Row],[price_usd]]/EV_Data4[[#This Row],[range_miles]]</f>
        <v>473.50371900826445</v>
      </c>
      <c r="AA1815" s="2">
        <f>(EV_Data4[[#This Row],[customer_rating]]*EV_Data4[[#This Row],[safety_rating]]*1000)/EV_Data4[[#This Row],[price_usd]]</f>
        <v>9.8701520841205759E-2</v>
      </c>
      <c r="AB1815">
        <f>EV_Data4[[#This Row],[horsepower]]+EV_Data4[[#This Row],[torque_nm]]/EV_Data4[[#This Row],[acceleration_0_60_mph]]</f>
        <v>962.43902439024396</v>
      </c>
      <c r="AC1815" t="str">
        <f>IF(EV_Data4[[#This Row],[price_usd]]&gt;=80000,"Luxury",IF(EV_Data4[[#This Row],[price_usd]]&gt;=40000,"Mid-Range","Budget"))</f>
        <v>Luxury</v>
      </c>
      <c r="AD1815" t="str">
        <f>IF(EV_Data4[[#This Row],[range_miles]]&gt;=350,"Long-Range",IF(EV_Data4[[#This Row],[range_miles]]&gt;=250,"Medium-Range","Short-Range"))</f>
        <v>Short-Range</v>
      </c>
      <c r="AE1815" t="str">
        <f>IF(EV_Data4[[#This Row],[charging_speed_kw]]&gt;=250,"Ultra-Fast",IF(EV_Data4[[#This Row],[charging_speed_kw]]&gt;=150,"Fast-Charging","Standard-Charging"))</f>
        <v>Ultra-Fast</v>
      </c>
      <c r="AF1815" t="str">
        <f>IF(EV_Data4[[#This Row],[acceleration_0_60_mph]]&lt;=3,"SportsPerformance",IF(EV_Data4[[#This Row],[acceleration_0_60_mph]]&lt;=5,"HighPerformance","Standard"))</f>
        <v>Standard</v>
      </c>
      <c r="AG1815" t="str">
        <f>IF(EV_Data4[[#This Row],[customer_rating]]&gt;=4.5,"Excellent",IF(EV_Data4[[#This Row],[customer_rating]]&gt;=3.5,"Good","Average"))</f>
        <v>Good</v>
      </c>
      <c r="AH181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16" spans="1:34" x14ac:dyDescent="0.3">
      <c r="A1816" t="s">
        <v>46</v>
      </c>
      <c r="B1816" t="s">
        <v>72</v>
      </c>
      <c r="C1816">
        <v>2024</v>
      </c>
      <c r="D1816" t="s">
        <v>61</v>
      </c>
      <c r="E1816" s="3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34</v>
      </c>
      <c r="N1816">
        <v>7</v>
      </c>
      <c r="O1816" t="s">
        <v>28</v>
      </c>
      <c r="P1816">
        <v>69</v>
      </c>
      <c r="Q1816">
        <v>2507</v>
      </c>
      <c r="R1816">
        <v>5</v>
      </c>
      <c r="S1816">
        <v>2</v>
      </c>
      <c r="T1816" t="s">
        <v>41</v>
      </c>
      <c r="U1816" t="s">
        <v>37</v>
      </c>
      <c r="V1816" s="3">
        <v>249983</v>
      </c>
      <c r="W1816">
        <v>3.24</v>
      </c>
      <c r="X1816">
        <v>5</v>
      </c>
      <c r="Y1816" s="1">
        <f>EV_Data4[[#This Row],[range_miles]]/EV_Data4[[#This Row],[battery_capacity_kwh]]</f>
        <v>3.9002557544757033</v>
      </c>
      <c r="Z1816" s="4">
        <f>EV_Data4[[#This Row],[price_usd]]/EV_Data4[[#This Row],[range_miles]]</f>
        <v>141.14098360655737</v>
      </c>
      <c r="AA1816" s="2">
        <f>(EV_Data4[[#This Row],[customer_rating]]*EV_Data4[[#This Row],[safety_rating]]*1000)/EV_Data4[[#This Row],[price_usd]]</f>
        <v>0.37632410332651933</v>
      </c>
      <c r="AB1816">
        <f>EV_Data4[[#This Row],[horsepower]]+EV_Data4[[#This Row],[torque_nm]]/EV_Data4[[#This Row],[acceleration_0_60_mph]]</f>
        <v>327.73684210526318</v>
      </c>
      <c r="AC1816" t="str">
        <f>IF(EV_Data4[[#This Row],[price_usd]]&gt;=80000,"Luxury",IF(EV_Data4[[#This Row],[price_usd]]&gt;=40000,"Mid-Range","Budget"))</f>
        <v>Mid-Range</v>
      </c>
      <c r="AD1816" t="str">
        <f>IF(EV_Data4[[#This Row],[range_miles]]&gt;=350,"Long-Range",IF(EV_Data4[[#This Row],[range_miles]]&gt;=250,"Medium-Range","Short-Range"))</f>
        <v>Medium-Range</v>
      </c>
      <c r="AE1816" t="str">
        <f>IF(EV_Data4[[#This Row],[charging_speed_kw]]&gt;=250,"Ultra-Fast",IF(EV_Data4[[#This Row],[charging_speed_kw]]&gt;=150,"Fast-Charging","Standard-Charging"))</f>
        <v>Ultra-Fast</v>
      </c>
      <c r="AF1816" t="str">
        <f>IF(EV_Data4[[#This Row],[acceleration_0_60_mph]]&lt;=3,"SportsPerformance",IF(EV_Data4[[#This Row],[acceleration_0_60_mph]]&lt;=5,"HighPerformance","Standard"))</f>
        <v>Standard</v>
      </c>
      <c r="AG1816" t="str">
        <f>IF(EV_Data4[[#This Row],[customer_rating]]&gt;=4.5,"Excellent",IF(EV_Data4[[#This Row],[customer_rating]]&gt;=3.5,"Good","Average"))</f>
        <v>Average</v>
      </c>
      <c r="AH181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17" spans="1:34" x14ac:dyDescent="0.3">
      <c r="A1817" t="s">
        <v>59</v>
      </c>
      <c r="B1817" t="s">
        <v>111</v>
      </c>
      <c r="C1817">
        <v>2025</v>
      </c>
      <c r="D1817" t="s">
        <v>33</v>
      </c>
      <c r="E1817" s="3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48</v>
      </c>
      <c r="N1817">
        <v>5</v>
      </c>
      <c r="O1817" t="s">
        <v>28</v>
      </c>
      <c r="P1817">
        <v>68.2</v>
      </c>
      <c r="Q1817">
        <v>2045</v>
      </c>
      <c r="R1817">
        <v>4</v>
      </c>
      <c r="S1817">
        <v>2</v>
      </c>
      <c r="T1817" t="s">
        <v>41</v>
      </c>
      <c r="U1817" t="s">
        <v>37</v>
      </c>
      <c r="V1817" s="3">
        <v>17793</v>
      </c>
      <c r="W1817">
        <v>3.42</v>
      </c>
      <c r="X1817">
        <v>5</v>
      </c>
      <c r="Y1817" s="1">
        <f>EV_Data4[[#This Row],[range_miles]]/EV_Data4[[#This Row],[battery_capacity_kwh]]</f>
        <v>3.6389684813753584</v>
      </c>
      <c r="Z1817" s="4">
        <f>EV_Data4[[#This Row],[price_usd]]/EV_Data4[[#This Row],[range_miles]]</f>
        <v>212.76377952755905</v>
      </c>
      <c r="AA1817" s="2">
        <f>(EV_Data4[[#This Row],[customer_rating]]*EV_Data4[[#This Row],[safety_rating]]*1000)/EV_Data4[[#This Row],[price_usd]]</f>
        <v>0.2531364494282225</v>
      </c>
      <c r="AB1817">
        <f>EV_Data4[[#This Row],[horsepower]]+EV_Data4[[#This Row],[torque_nm]]/EV_Data4[[#This Row],[acceleration_0_60_mph]]</f>
        <v>386.50453172205437</v>
      </c>
      <c r="AC1817" t="str">
        <f>IF(EV_Data4[[#This Row],[price_usd]]&gt;=80000,"Luxury",IF(EV_Data4[[#This Row],[price_usd]]&gt;=40000,"Mid-Range","Budget"))</f>
        <v>Mid-Range</v>
      </c>
      <c r="AD1817" t="str">
        <f>IF(EV_Data4[[#This Row],[range_miles]]&gt;=350,"Long-Range",IF(EV_Data4[[#This Row],[range_miles]]&gt;=250,"Medium-Range","Short-Range"))</f>
        <v>Medium-Range</v>
      </c>
      <c r="AE1817" t="str">
        <f>IF(EV_Data4[[#This Row],[charging_speed_kw]]&gt;=250,"Ultra-Fast",IF(EV_Data4[[#This Row],[charging_speed_kw]]&gt;=150,"Fast-Charging","Standard-Charging"))</f>
        <v>Standard-Charging</v>
      </c>
      <c r="AF1817" t="str">
        <f>IF(EV_Data4[[#This Row],[acceleration_0_60_mph]]&lt;=3,"SportsPerformance",IF(EV_Data4[[#This Row],[acceleration_0_60_mph]]&lt;=5,"HighPerformance","Standard"))</f>
        <v>Standard</v>
      </c>
      <c r="AG1817" t="str">
        <f>IF(EV_Data4[[#This Row],[customer_rating]]&gt;=4.5,"Excellent",IF(EV_Data4[[#This Row],[customer_rating]]&gt;=3.5,"Good","Average"))</f>
        <v>Average</v>
      </c>
      <c r="AH181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18" spans="1:34" x14ac:dyDescent="0.3">
      <c r="A1818" t="s">
        <v>63</v>
      </c>
      <c r="B1818" t="s">
        <v>67</v>
      </c>
      <c r="C1818">
        <v>2025</v>
      </c>
      <c r="D1818" t="s">
        <v>33</v>
      </c>
      <c r="E1818" s="3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27</v>
      </c>
      <c r="N1818">
        <v>7</v>
      </c>
      <c r="O1818" t="s">
        <v>51</v>
      </c>
      <c r="P1818">
        <v>21.2</v>
      </c>
      <c r="Q1818">
        <v>1500</v>
      </c>
      <c r="R1818">
        <v>4</v>
      </c>
      <c r="S1818">
        <v>0</v>
      </c>
      <c r="T1818" t="s">
        <v>65</v>
      </c>
      <c r="U1818" t="s">
        <v>66</v>
      </c>
      <c r="V1818" s="3">
        <v>145087</v>
      </c>
      <c r="W1818">
        <v>3.26</v>
      </c>
      <c r="X1818">
        <v>4</v>
      </c>
      <c r="Y1818" s="1">
        <f>EV_Data4[[#This Row],[range_miles]]/EV_Data4[[#This Row],[battery_capacity_kwh]]</f>
        <v>3.7106918238993711</v>
      </c>
      <c r="Z1818" s="4">
        <f>EV_Data4[[#This Row],[price_usd]]/EV_Data4[[#This Row],[range_miles]]</f>
        <v>147.76809322033898</v>
      </c>
      <c r="AA1818" s="2">
        <f>(EV_Data4[[#This Row],[customer_rating]]*EV_Data4[[#This Row],[safety_rating]]*1000)/EV_Data4[[#This Row],[price_usd]]</f>
        <v>0.37392535887801748</v>
      </c>
      <c r="AB1818">
        <f>EV_Data4[[#This Row],[horsepower]]+EV_Data4[[#This Row],[torque_nm]]/EV_Data4[[#This Row],[acceleration_0_60_mph]]</f>
        <v>431.57232704402514</v>
      </c>
      <c r="AC1818" t="str">
        <f>IF(EV_Data4[[#This Row],[price_usd]]&gt;=80000,"Luxury",IF(EV_Data4[[#This Row],[price_usd]]&gt;=40000,"Mid-Range","Budget"))</f>
        <v>Budget</v>
      </c>
      <c r="AD1818" t="str">
        <f>IF(EV_Data4[[#This Row],[range_miles]]&gt;=350,"Long-Range",IF(EV_Data4[[#This Row],[range_miles]]&gt;=250,"Medium-Range","Short-Range"))</f>
        <v>Short-Range</v>
      </c>
      <c r="AE1818" t="str">
        <f>IF(EV_Data4[[#This Row],[charging_speed_kw]]&gt;=250,"Ultra-Fast",IF(EV_Data4[[#This Row],[charging_speed_kw]]&gt;=150,"Fast-Charging","Standard-Charging"))</f>
        <v>Standard-Charging</v>
      </c>
      <c r="AF1818" t="str">
        <f>IF(EV_Data4[[#This Row],[acceleration_0_60_mph]]&lt;=3,"SportsPerformance",IF(EV_Data4[[#This Row],[acceleration_0_60_mph]]&lt;=5,"HighPerformance","Standard"))</f>
        <v>Standard</v>
      </c>
      <c r="AG1818" t="str">
        <f>IF(EV_Data4[[#This Row],[customer_rating]]&gt;=4.5,"Excellent",IF(EV_Data4[[#This Row],[customer_rating]]&gt;=3.5,"Good","Average"))</f>
        <v>Average</v>
      </c>
      <c r="AH181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19" spans="1:34" x14ac:dyDescent="0.3">
      <c r="A1819" t="s">
        <v>76</v>
      </c>
      <c r="B1819" t="s">
        <v>98</v>
      </c>
      <c r="C1819">
        <v>2025</v>
      </c>
      <c r="D1819" t="s">
        <v>61</v>
      </c>
      <c r="E1819" s="3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34</v>
      </c>
      <c r="N1819">
        <v>5</v>
      </c>
      <c r="O1819" t="s">
        <v>51</v>
      </c>
      <c r="P1819">
        <v>38.200000000000003</v>
      </c>
      <c r="Q1819">
        <v>1509</v>
      </c>
      <c r="R1819">
        <v>3</v>
      </c>
      <c r="S1819">
        <v>1</v>
      </c>
      <c r="T1819" t="s">
        <v>41</v>
      </c>
      <c r="U1819" t="s">
        <v>37</v>
      </c>
      <c r="V1819" s="3">
        <v>20597</v>
      </c>
      <c r="W1819">
        <v>3.51</v>
      </c>
      <c r="X1819">
        <v>5</v>
      </c>
      <c r="Y1819" s="1">
        <f>EV_Data4[[#This Row],[range_miles]]/EV_Data4[[#This Row],[battery_capacity_kwh]]</f>
        <v>3.7288135593220337</v>
      </c>
      <c r="Z1819" s="4">
        <f>EV_Data4[[#This Row],[price_usd]]/EV_Data4[[#This Row],[range_miles]]</f>
        <v>195.35285123966941</v>
      </c>
      <c r="AA1819" s="2">
        <f>(EV_Data4[[#This Row],[customer_rating]]*EV_Data4[[#This Row],[safety_rating]]*1000)/EV_Data4[[#This Row],[price_usd]]</f>
        <v>0.2227374538845687</v>
      </c>
      <c r="AB1819">
        <f>EV_Data4[[#This Row],[horsepower]]+EV_Data4[[#This Row],[torque_nm]]/EV_Data4[[#This Row],[acceleration_0_60_mph]]</f>
        <v>485.5078125</v>
      </c>
      <c r="AC1819" t="str">
        <f>IF(EV_Data4[[#This Row],[price_usd]]&gt;=80000,"Luxury",IF(EV_Data4[[#This Row],[price_usd]]&gt;=40000,"Mid-Range","Budget"))</f>
        <v>Mid-Range</v>
      </c>
      <c r="AD1819" t="str">
        <f>IF(EV_Data4[[#This Row],[range_miles]]&gt;=350,"Long-Range",IF(EV_Data4[[#This Row],[range_miles]]&gt;=250,"Medium-Range","Short-Range"))</f>
        <v>Short-Range</v>
      </c>
      <c r="AE1819" t="str">
        <f>IF(EV_Data4[[#This Row],[charging_speed_kw]]&gt;=250,"Ultra-Fast",IF(EV_Data4[[#This Row],[charging_speed_kw]]&gt;=150,"Fast-Charging","Standard-Charging"))</f>
        <v>Standard-Charging</v>
      </c>
      <c r="AF1819" t="str">
        <f>IF(EV_Data4[[#This Row],[acceleration_0_60_mph]]&lt;=3,"SportsPerformance",IF(EV_Data4[[#This Row],[acceleration_0_60_mph]]&lt;=5,"HighPerformance","Standard"))</f>
        <v>Standard</v>
      </c>
      <c r="AG1819" t="str">
        <f>IF(EV_Data4[[#This Row],[customer_rating]]&gt;=4.5,"Excellent",IF(EV_Data4[[#This Row],[customer_rating]]&gt;=3.5,"Good","Average"))</f>
        <v>Good</v>
      </c>
      <c r="AH181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20" spans="1:34" x14ac:dyDescent="0.3">
      <c r="A1820" t="s">
        <v>83</v>
      </c>
      <c r="B1820" t="s">
        <v>116</v>
      </c>
      <c r="C1820">
        <v>2024</v>
      </c>
      <c r="D1820" t="s">
        <v>44</v>
      </c>
      <c r="E1820" s="3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34</v>
      </c>
      <c r="N1820">
        <v>7</v>
      </c>
      <c r="O1820" t="s">
        <v>35</v>
      </c>
      <c r="P1820">
        <v>41.1</v>
      </c>
      <c r="Q1820">
        <v>2056</v>
      </c>
      <c r="R1820">
        <v>4</v>
      </c>
      <c r="S1820">
        <v>1</v>
      </c>
      <c r="T1820" t="s">
        <v>29</v>
      </c>
      <c r="U1820" t="s">
        <v>33</v>
      </c>
      <c r="V1820" s="3">
        <v>42961</v>
      </c>
      <c r="W1820">
        <v>3.63</v>
      </c>
      <c r="X1820">
        <v>5</v>
      </c>
      <c r="Y1820" s="1">
        <f>EV_Data4[[#This Row],[range_miles]]/EV_Data4[[#This Row],[battery_capacity_kwh]]</f>
        <v>3.5881627620221952</v>
      </c>
      <c r="Z1820" s="4">
        <f>EV_Data4[[#This Row],[price_usd]]/EV_Data4[[#This Row],[range_miles]]</f>
        <v>239.91687285223367</v>
      </c>
      <c r="AA1820" s="2">
        <f>(EV_Data4[[#This Row],[customer_rating]]*EV_Data4[[#This Row],[safety_rating]]*1000)/EV_Data4[[#This Row],[price_usd]]</f>
        <v>0.20797581522007694</v>
      </c>
      <c r="AB1820">
        <f>EV_Data4[[#This Row],[horsepower]]+EV_Data4[[#This Row],[torque_nm]]/EV_Data4[[#This Row],[acceleration_0_60_mph]]</f>
        <v>516.00736648250461</v>
      </c>
      <c r="AC1820" t="str">
        <f>IF(EV_Data4[[#This Row],[price_usd]]&gt;=80000,"Luxury",IF(EV_Data4[[#This Row],[price_usd]]&gt;=40000,"Mid-Range","Budget"))</f>
        <v>Mid-Range</v>
      </c>
      <c r="AD1820" t="str">
        <f>IF(EV_Data4[[#This Row],[range_miles]]&gt;=350,"Long-Range",IF(EV_Data4[[#This Row],[range_miles]]&gt;=250,"Medium-Range","Short-Range"))</f>
        <v>Medium-Range</v>
      </c>
      <c r="AE1820" t="str">
        <f>IF(EV_Data4[[#This Row],[charging_speed_kw]]&gt;=250,"Ultra-Fast",IF(EV_Data4[[#This Row],[charging_speed_kw]]&gt;=150,"Fast-Charging","Standard-Charging"))</f>
        <v>Standard-Charging</v>
      </c>
      <c r="AF1820" t="str">
        <f>IF(EV_Data4[[#This Row],[acceleration_0_60_mph]]&lt;=3,"SportsPerformance",IF(EV_Data4[[#This Row],[acceleration_0_60_mph]]&lt;=5,"HighPerformance","Standard"))</f>
        <v>Standard</v>
      </c>
      <c r="AG1820" t="str">
        <f>IF(EV_Data4[[#This Row],[customer_rating]]&gt;=4.5,"Excellent",IF(EV_Data4[[#This Row],[customer_rating]]&gt;=3.5,"Good","Average"))</f>
        <v>Good</v>
      </c>
      <c r="AH182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21" spans="1:34" x14ac:dyDescent="0.3">
      <c r="A1821" t="s">
        <v>24</v>
      </c>
      <c r="B1821" t="s">
        <v>74</v>
      </c>
      <c r="C1821">
        <v>2025</v>
      </c>
      <c r="D1821" t="s">
        <v>44</v>
      </c>
      <c r="E1821" s="3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27</v>
      </c>
      <c r="N1821">
        <v>7</v>
      </c>
      <c r="O1821" t="s">
        <v>58</v>
      </c>
      <c r="P1821">
        <v>28</v>
      </c>
      <c r="Q1821">
        <v>1693</v>
      </c>
      <c r="R1821">
        <v>3</v>
      </c>
      <c r="S1821">
        <v>1</v>
      </c>
      <c r="T1821" t="s">
        <v>29</v>
      </c>
      <c r="U1821" t="s">
        <v>33</v>
      </c>
      <c r="V1821" s="3">
        <v>223250</v>
      </c>
      <c r="W1821">
        <v>3.54</v>
      </c>
      <c r="X1821">
        <v>4</v>
      </c>
      <c r="Y1821" s="1">
        <f>EV_Data4[[#This Row],[range_miles]]/EV_Data4[[#This Row],[battery_capacity_kwh]]</f>
        <v>3.3132530120481927</v>
      </c>
      <c r="Z1821" s="4">
        <f>EV_Data4[[#This Row],[price_usd]]/EV_Data4[[#This Row],[range_miles]]</f>
        <v>345.87607272727274</v>
      </c>
      <c r="AA1821" s="2">
        <f>(EV_Data4[[#This Row],[customer_rating]]*EV_Data4[[#This Row],[safety_rating]]*1000)/EV_Data4[[#This Row],[price_usd]]</f>
        <v>0.11165323323372157</v>
      </c>
      <c r="AB1821">
        <f>EV_Data4[[#This Row],[horsepower]]+EV_Data4[[#This Row],[torque_nm]]/EV_Data4[[#This Row],[acceleration_0_60_mph]]</f>
        <v>1162.2676579925651</v>
      </c>
      <c r="AC1821" t="str">
        <f>IF(EV_Data4[[#This Row],[price_usd]]&gt;=80000,"Luxury",IF(EV_Data4[[#This Row],[price_usd]]&gt;=40000,"Mid-Range","Budget"))</f>
        <v>Luxury</v>
      </c>
      <c r="AD1821" t="str">
        <f>IF(EV_Data4[[#This Row],[range_miles]]&gt;=350,"Long-Range",IF(EV_Data4[[#This Row],[range_miles]]&gt;=250,"Medium-Range","Short-Range"))</f>
        <v>Medium-Range</v>
      </c>
      <c r="AE1821" t="str">
        <f>IF(EV_Data4[[#This Row],[charging_speed_kw]]&gt;=250,"Ultra-Fast",IF(EV_Data4[[#This Row],[charging_speed_kw]]&gt;=150,"Fast-Charging","Standard-Charging"))</f>
        <v>Standard-Charging</v>
      </c>
      <c r="AF1821" t="str">
        <f>IF(EV_Data4[[#This Row],[acceleration_0_60_mph]]&lt;=3,"SportsPerformance",IF(EV_Data4[[#This Row],[acceleration_0_60_mph]]&lt;=5,"HighPerformance","Standard"))</f>
        <v>Standard</v>
      </c>
      <c r="AG1821" t="str">
        <f>IF(EV_Data4[[#This Row],[customer_rating]]&gt;=4.5,"Excellent",IF(EV_Data4[[#This Row],[customer_rating]]&gt;=3.5,"Good","Average"))</f>
        <v>Good</v>
      </c>
      <c r="AH182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22" spans="1:34" x14ac:dyDescent="0.3">
      <c r="A1822" t="s">
        <v>63</v>
      </c>
      <c r="B1822" t="s">
        <v>107</v>
      </c>
      <c r="C1822">
        <v>2025</v>
      </c>
      <c r="D1822" t="s">
        <v>33</v>
      </c>
      <c r="E1822" s="3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34</v>
      </c>
      <c r="N1822">
        <v>5</v>
      </c>
      <c r="O1822" t="s">
        <v>28</v>
      </c>
      <c r="P1822">
        <v>75.5</v>
      </c>
      <c r="Q1822">
        <v>2279</v>
      </c>
      <c r="R1822">
        <v>5</v>
      </c>
      <c r="S1822">
        <v>2</v>
      </c>
      <c r="T1822" t="s">
        <v>65</v>
      </c>
      <c r="U1822" t="s">
        <v>66</v>
      </c>
      <c r="V1822" s="3">
        <v>220677</v>
      </c>
      <c r="W1822">
        <v>3.2</v>
      </c>
      <c r="X1822">
        <v>5</v>
      </c>
      <c r="Y1822" s="1">
        <f>EV_Data4[[#This Row],[range_miles]]/EV_Data4[[#This Row],[battery_capacity_kwh]]</f>
        <v>3.2633587786259541</v>
      </c>
      <c r="Z1822" s="4">
        <f>EV_Data4[[#This Row],[price_usd]]/EV_Data4[[#This Row],[range_miles]]</f>
        <v>197.93245614035087</v>
      </c>
      <c r="AA1822" s="2">
        <f>(EV_Data4[[#This Row],[customer_rating]]*EV_Data4[[#This Row],[safety_rating]]*1000)/EV_Data4[[#This Row],[price_usd]]</f>
        <v>0.47272313639982927</v>
      </c>
      <c r="AB1822">
        <f>EV_Data4[[#This Row],[horsepower]]+EV_Data4[[#This Row],[torque_nm]]/EV_Data4[[#This Row],[acceleration_0_60_mph]]</f>
        <v>395.41847826086956</v>
      </c>
      <c r="AC1822" t="str">
        <f>IF(EV_Data4[[#This Row],[price_usd]]&gt;=80000,"Luxury",IF(EV_Data4[[#This Row],[price_usd]]&gt;=40000,"Mid-Range","Budget"))</f>
        <v>Budget</v>
      </c>
      <c r="AD1822" t="str">
        <f>IF(EV_Data4[[#This Row],[range_miles]]&gt;=350,"Long-Range",IF(EV_Data4[[#This Row],[range_miles]]&gt;=250,"Medium-Range","Short-Range"))</f>
        <v>Short-Range</v>
      </c>
      <c r="AE1822" t="str">
        <f>IF(EV_Data4[[#This Row],[charging_speed_kw]]&gt;=250,"Ultra-Fast",IF(EV_Data4[[#This Row],[charging_speed_kw]]&gt;=150,"Fast-Charging","Standard-Charging"))</f>
        <v>Standard-Charging</v>
      </c>
      <c r="AF1822" t="str">
        <f>IF(EV_Data4[[#This Row],[acceleration_0_60_mph]]&lt;=3,"SportsPerformance",IF(EV_Data4[[#This Row],[acceleration_0_60_mph]]&lt;=5,"HighPerformance","Standard"))</f>
        <v>Standard</v>
      </c>
      <c r="AG1822" t="str">
        <f>IF(EV_Data4[[#This Row],[customer_rating]]&gt;=4.5,"Excellent",IF(EV_Data4[[#This Row],[customer_rating]]&gt;=3.5,"Good","Average"))</f>
        <v>Average</v>
      </c>
      <c r="AH182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23" spans="1:34" x14ac:dyDescent="0.3">
      <c r="A1823" t="s">
        <v>46</v>
      </c>
      <c r="B1823" t="s">
        <v>72</v>
      </c>
      <c r="C1823">
        <v>2025</v>
      </c>
      <c r="D1823" t="s">
        <v>33</v>
      </c>
      <c r="E1823" s="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34</v>
      </c>
      <c r="N1823">
        <v>5</v>
      </c>
      <c r="O1823" t="s">
        <v>28</v>
      </c>
      <c r="P1823">
        <v>75.400000000000006</v>
      </c>
      <c r="Q1823">
        <v>2642</v>
      </c>
      <c r="R1823">
        <v>4</v>
      </c>
      <c r="S1823">
        <v>2</v>
      </c>
      <c r="T1823" t="s">
        <v>41</v>
      </c>
      <c r="U1823" t="s">
        <v>33</v>
      </c>
      <c r="V1823" s="3">
        <v>113008</v>
      </c>
      <c r="W1823">
        <v>3.85</v>
      </c>
      <c r="X1823">
        <v>4</v>
      </c>
      <c r="Y1823" s="1">
        <f>EV_Data4[[#This Row],[range_miles]]/EV_Data4[[#This Row],[battery_capacity_kwh]]</f>
        <v>3.8149556400506968</v>
      </c>
      <c r="Z1823" s="4">
        <f>EV_Data4[[#This Row],[price_usd]]/EV_Data4[[#This Row],[range_miles]]</f>
        <v>328.54225913621264</v>
      </c>
      <c r="AA1823" s="2">
        <f>(EV_Data4[[#This Row],[customer_rating]]*EV_Data4[[#This Row],[safety_rating]]*1000)/EV_Data4[[#This Row],[price_usd]]</f>
        <v>0.15572666612870181</v>
      </c>
      <c r="AB1823">
        <f>EV_Data4[[#This Row],[horsepower]]+EV_Data4[[#This Row],[torque_nm]]/EV_Data4[[#This Row],[acceleration_0_60_mph]]</f>
        <v>803.88790560471978</v>
      </c>
      <c r="AC1823" t="str">
        <f>IF(EV_Data4[[#This Row],[price_usd]]&gt;=80000,"Luxury",IF(EV_Data4[[#This Row],[price_usd]]&gt;=40000,"Mid-Range","Budget"))</f>
        <v>Luxury</v>
      </c>
      <c r="AD1823" t="str">
        <f>IF(EV_Data4[[#This Row],[range_miles]]&gt;=350,"Long-Range",IF(EV_Data4[[#This Row],[range_miles]]&gt;=250,"Medium-Range","Short-Range"))</f>
        <v>Medium-Range</v>
      </c>
      <c r="AE1823" t="str">
        <f>IF(EV_Data4[[#This Row],[charging_speed_kw]]&gt;=250,"Ultra-Fast",IF(EV_Data4[[#This Row],[charging_speed_kw]]&gt;=150,"Fast-Charging","Standard-Charging"))</f>
        <v>Ultra-Fast</v>
      </c>
      <c r="AF1823" t="str">
        <f>IF(EV_Data4[[#This Row],[acceleration_0_60_mph]]&lt;=3,"SportsPerformance",IF(EV_Data4[[#This Row],[acceleration_0_60_mph]]&lt;=5,"HighPerformance","Standard"))</f>
        <v>Standard</v>
      </c>
      <c r="AG1823" t="str">
        <f>IF(EV_Data4[[#This Row],[customer_rating]]&gt;=4.5,"Excellent",IF(EV_Data4[[#This Row],[customer_rating]]&gt;=3.5,"Good","Average"))</f>
        <v>Good</v>
      </c>
      <c r="AH182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24" spans="1:34" x14ac:dyDescent="0.3">
      <c r="A1824" t="s">
        <v>42</v>
      </c>
      <c r="B1824" t="s">
        <v>71</v>
      </c>
      <c r="C1824">
        <v>2020</v>
      </c>
      <c r="D1824" t="s">
        <v>26</v>
      </c>
      <c r="E1824" s="3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34</v>
      </c>
      <c r="N1824">
        <v>7</v>
      </c>
      <c r="O1824" t="s">
        <v>40</v>
      </c>
      <c r="P1824">
        <v>78.2</v>
      </c>
      <c r="Q1824">
        <v>1712</v>
      </c>
      <c r="R1824">
        <v>5</v>
      </c>
      <c r="S1824">
        <v>0</v>
      </c>
      <c r="T1824" t="s">
        <v>45</v>
      </c>
      <c r="U1824" t="s">
        <v>37</v>
      </c>
      <c r="V1824" s="3">
        <v>106543</v>
      </c>
      <c r="W1824">
        <v>3.82</v>
      </c>
      <c r="X1824">
        <v>4</v>
      </c>
      <c r="Y1824" s="1">
        <f>EV_Data4[[#This Row],[range_miles]]/EV_Data4[[#This Row],[battery_capacity_kwh]]</f>
        <v>3.8575152041702867</v>
      </c>
      <c r="Z1824" s="4">
        <f>EV_Data4[[#This Row],[price_usd]]/EV_Data4[[#This Row],[range_miles]]</f>
        <v>115.27511261261262</v>
      </c>
      <c r="AA1824" s="2">
        <f>(EV_Data4[[#This Row],[customer_rating]]*EV_Data4[[#This Row],[safety_rating]]*1000)/EV_Data4[[#This Row],[price_usd]]</f>
        <v>0.37317697673896066</v>
      </c>
      <c r="AB1824">
        <f>EV_Data4[[#This Row],[horsepower]]+EV_Data4[[#This Row],[torque_nm]]/EV_Data4[[#This Row],[acceleration_0_60_mph]]</f>
        <v>639.6501547987616</v>
      </c>
      <c r="AC1824" t="str">
        <f>IF(EV_Data4[[#This Row],[price_usd]]&gt;=80000,"Luxury",IF(EV_Data4[[#This Row],[price_usd]]&gt;=40000,"Mid-Range","Budget"))</f>
        <v>Mid-Range</v>
      </c>
      <c r="AD1824" t="str">
        <f>IF(EV_Data4[[#This Row],[range_miles]]&gt;=350,"Long-Range",IF(EV_Data4[[#This Row],[range_miles]]&gt;=250,"Medium-Range","Short-Range"))</f>
        <v>Long-Range</v>
      </c>
      <c r="AE1824" t="str">
        <f>IF(EV_Data4[[#This Row],[charging_speed_kw]]&gt;=250,"Ultra-Fast",IF(EV_Data4[[#This Row],[charging_speed_kw]]&gt;=150,"Fast-Charging","Standard-Charging"))</f>
        <v>Fast-Charging</v>
      </c>
      <c r="AF1824" t="str">
        <f>IF(EV_Data4[[#This Row],[acceleration_0_60_mph]]&lt;=3,"SportsPerformance",IF(EV_Data4[[#This Row],[acceleration_0_60_mph]]&lt;=5,"HighPerformance","Standard"))</f>
        <v>HighPerformance</v>
      </c>
      <c r="AG1824" t="str">
        <f>IF(EV_Data4[[#This Row],[customer_rating]]&gt;=4.5,"Excellent",IF(EV_Data4[[#This Row],[customer_rating]]&gt;=3.5,"Good","Average"))</f>
        <v>Good</v>
      </c>
      <c r="AH182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25" spans="1:34" x14ac:dyDescent="0.3">
      <c r="A1825" t="s">
        <v>76</v>
      </c>
      <c r="B1825" t="s">
        <v>81</v>
      </c>
      <c r="C1825">
        <v>2023</v>
      </c>
      <c r="D1825" t="s">
        <v>61</v>
      </c>
      <c r="E1825" s="3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34</v>
      </c>
      <c r="N1825">
        <v>7</v>
      </c>
      <c r="O1825" t="s">
        <v>50</v>
      </c>
      <c r="P1825">
        <v>39</v>
      </c>
      <c r="Q1825">
        <v>1682</v>
      </c>
      <c r="R1825">
        <v>4</v>
      </c>
      <c r="S1825">
        <v>2</v>
      </c>
      <c r="T1825" t="s">
        <v>41</v>
      </c>
      <c r="U1825" t="s">
        <v>37</v>
      </c>
      <c r="V1825" s="3">
        <v>73417</v>
      </c>
      <c r="W1825">
        <v>3.13</v>
      </c>
      <c r="X1825">
        <v>4</v>
      </c>
      <c r="Y1825" s="1">
        <f>EV_Data4[[#This Row],[range_miles]]/EV_Data4[[#This Row],[battery_capacity_kwh]]</f>
        <v>3.215434083601286</v>
      </c>
      <c r="Z1825" s="4">
        <f>EV_Data4[[#This Row],[price_usd]]/EV_Data4[[#This Row],[range_miles]]</f>
        <v>265.95175</v>
      </c>
      <c r="AA1825" s="2">
        <f>(EV_Data4[[#This Row],[customer_rating]]*EV_Data4[[#This Row],[safety_rating]]*1000)/EV_Data4[[#This Row],[price_usd]]</f>
        <v>0.23538104186191669</v>
      </c>
      <c r="AB1825">
        <f>EV_Data4[[#This Row],[horsepower]]+EV_Data4[[#This Row],[torque_nm]]/EV_Data4[[#This Row],[acceleration_0_60_mph]]</f>
        <v>576.39007092198585</v>
      </c>
      <c r="AC1825" t="str">
        <f>IF(EV_Data4[[#This Row],[price_usd]]&gt;=80000,"Luxury",IF(EV_Data4[[#This Row],[price_usd]]&gt;=40000,"Mid-Range","Budget"))</f>
        <v>Mid-Range</v>
      </c>
      <c r="AD1825" t="str">
        <f>IF(EV_Data4[[#This Row],[range_miles]]&gt;=350,"Long-Range",IF(EV_Data4[[#This Row],[range_miles]]&gt;=250,"Medium-Range","Short-Range"))</f>
        <v>Short-Range</v>
      </c>
      <c r="AE1825" t="str">
        <f>IF(EV_Data4[[#This Row],[charging_speed_kw]]&gt;=250,"Ultra-Fast",IF(EV_Data4[[#This Row],[charging_speed_kw]]&gt;=150,"Fast-Charging","Standard-Charging"))</f>
        <v>Standard-Charging</v>
      </c>
      <c r="AF1825" t="str">
        <f>IF(EV_Data4[[#This Row],[acceleration_0_60_mph]]&lt;=3,"SportsPerformance",IF(EV_Data4[[#This Row],[acceleration_0_60_mph]]&lt;=5,"HighPerformance","Standard"))</f>
        <v>Standard</v>
      </c>
      <c r="AG1825" t="str">
        <f>IF(EV_Data4[[#This Row],[customer_rating]]&gt;=4.5,"Excellent",IF(EV_Data4[[#This Row],[customer_rating]]&gt;=3.5,"Good","Average"))</f>
        <v>Average</v>
      </c>
      <c r="AH182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26" spans="1:34" x14ac:dyDescent="0.3">
      <c r="A1826" t="s">
        <v>83</v>
      </c>
      <c r="B1826" t="s">
        <v>114</v>
      </c>
      <c r="C1826">
        <v>2024</v>
      </c>
      <c r="D1826" t="s">
        <v>56</v>
      </c>
      <c r="E1826" s="3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34</v>
      </c>
      <c r="N1826">
        <v>5</v>
      </c>
      <c r="O1826" t="s">
        <v>51</v>
      </c>
      <c r="P1826">
        <v>35.200000000000003</v>
      </c>
      <c r="Q1826">
        <v>1522</v>
      </c>
      <c r="R1826">
        <v>5</v>
      </c>
      <c r="S1826">
        <v>2</v>
      </c>
      <c r="T1826" t="s">
        <v>29</v>
      </c>
      <c r="U1826" t="s">
        <v>33</v>
      </c>
      <c r="V1826" s="3">
        <v>78616</v>
      </c>
      <c r="W1826">
        <v>3.2</v>
      </c>
      <c r="X1826">
        <v>6</v>
      </c>
      <c r="Y1826" s="1">
        <f>EV_Data4[[#This Row],[range_miles]]/EV_Data4[[#This Row],[battery_capacity_kwh]]</f>
        <v>3.5635359116022096</v>
      </c>
      <c r="Z1826" s="4">
        <f>EV_Data4[[#This Row],[price_usd]]/EV_Data4[[#This Row],[range_miles]]</f>
        <v>286.43670542635658</v>
      </c>
      <c r="AA1826" s="2">
        <f>(EV_Data4[[#This Row],[customer_rating]]*EV_Data4[[#This Row],[safety_rating]]*1000)/EV_Data4[[#This Row],[price_usd]]</f>
        <v>0.21650683275266652</v>
      </c>
      <c r="AB1826">
        <f>EV_Data4[[#This Row],[horsepower]]+EV_Data4[[#This Row],[torque_nm]]/EV_Data4[[#This Row],[acceleration_0_60_mph]]</f>
        <v>489.85185185185185</v>
      </c>
      <c r="AC1826" t="str">
        <f>IF(EV_Data4[[#This Row],[price_usd]]&gt;=80000,"Luxury",IF(EV_Data4[[#This Row],[price_usd]]&gt;=40000,"Mid-Range","Budget"))</f>
        <v>Mid-Range</v>
      </c>
      <c r="AD1826" t="str">
        <f>IF(EV_Data4[[#This Row],[range_miles]]&gt;=350,"Long-Range",IF(EV_Data4[[#This Row],[range_miles]]&gt;=250,"Medium-Range","Short-Range"))</f>
        <v>Medium-Range</v>
      </c>
      <c r="AE1826" t="str">
        <f>IF(EV_Data4[[#This Row],[charging_speed_kw]]&gt;=250,"Ultra-Fast",IF(EV_Data4[[#This Row],[charging_speed_kw]]&gt;=150,"Fast-Charging","Standard-Charging"))</f>
        <v>Standard-Charging</v>
      </c>
      <c r="AF1826" t="str">
        <f>IF(EV_Data4[[#This Row],[acceleration_0_60_mph]]&lt;=3,"SportsPerformance",IF(EV_Data4[[#This Row],[acceleration_0_60_mph]]&lt;=5,"HighPerformance","Standard"))</f>
        <v>Standard</v>
      </c>
      <c r="AG1826" t="str">
        <f>IF(EV_Data4[[#This Row],[customer_rating]]&gt;=4.5,"Excellent",IF(EV_Data4[[#This Row],[customer_rating]]&gt;=3.5,"Good","Average"))</f>
        <v>Average</v>
      </c>
      <c r="AH182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27" spans="1:34" x14ac:dyDescent="0.3">
      <c r="A1827" t="s">
        <v>68</v>
      </c>
      <c r="B1827" t="s">
        <v>69</v>
      </c>
      <c r="C1827">
        <v>2023</v>
      </c>
      <c r="D1827" t="s">
        <v>44</v>
      </c>
      <c r="E1827" s="3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34</v>
      </c>
      <c r="N1827">
        <v>7</v>
      </c>
      <c r="O1827" t="s">
        <v>50</v>
      </c>
      <c r="P1827">
        <v>37.4</v>
      </c>
      <c r="Q1827">
        <v>1766</v>
      </c>
      <c r="R1827">
        <v>5</v>
      </c>
      <c r="S1827">
        <v>1</v>
      </c>
      <c r="T1827" t="s">
        <v>45</v>
      </c>
      <c r="U1827" t="s">
        <v>37</v>
      </c>
      <c r="V1827" s="3">
        <v>113770</v>
      </c>
      <c r="W1827">
        <v>3.51</v>
      </c>
      <c r="X1827">
        <v>4</v>
      </c>
      <c r="Y1827" s="1">
        <f>EV_Data4[[#This Row],[range_miles]]/EV_Data4[[#This Row],[battery_capacity_kwh]]</f>
        <v>3.2861189801699715</v>
      </c>
      <c r="Z1827" s="4">
        <f>EV_Data4[[#This Row],[price_usd]]/EV_Data4[[#This Row],[range_miles]]</f>
        <v>141.88784482758621</v>
      </c>
      <c r="AA1827" s="2">
        <f>(EV_Data4[[#This Row],[customer_rating]]*EV_Data4[[#This Row],[safety_rating]]*1000)/EV_Data4[[#This Row],[price_usd]]</f>
        <v>0.35542885681320657</v>
      </c>
      <c r="AB1827">
        <f>EV_Data4[[#This Row],[horsepower]]+EV_Data4[[#This Row],[torque_nm]]/EV_Data4[[#This Row],[acceleration_0_60_mph]]</f>
        <v>600.78947368421052</v>
      </c>
      <c r="AC1827" t="str">
        <f>IF(EV_Data4[[#This Row],[price_usd]]&gt;=80000,"Luxury",IF(EV_Data4[[#This Row],[price_usd]]&gt;=40000,"Mid-Range","Budget"))</f>
        <v>Mid-Range</v>
      </c>
      <c r="AD1827" t="str">
        <f>IF(EV_Data4[[#This Row],[range_miles]]&gt;=350,"Long-Range",IF(EV_Data4[[#This Row],[range_miles]]&gt;=250,"Medium-Range","Short-Range"))</f>
        <v>Medium-Range</v>
      </c>
      <c r="AE1827" t="str">
        <f>IF(EV_Data4[[#This Row],[charging_speed_kw]]&gt;=250,"Ultra-Fast",IF(EV_Data4[[#This Row],[charging_speed_kw]]&gt;=150,"Fast-Charging","Standard-Charging"))</f>
        <v>Standard-Charging</v>
      </c>
      <c r="AF1827" t="str">
        <f>IF(EV_Data4[[#This Row],[acceleration_0_60_mph]]&lt;=3,"SportsPerformance",IF(EV_Data4[[#This Row],[acceleration_0_60_mph]]&lt;=5,"HighPerformance","Standard"))</f>
        <v>HighPerformance</v>
      </c>
      <c r="AG1827" t="str">
        <f>IF(EV_Data4[[#This Row],[customer_rating]]&gt;=4.5,"Excellent",IF(EV_Data4[[#This Row],[customer_rating]]&gt;=3.5,"Good","Average"))</f>
        <v>Good</v>
      </c>
      <c r="AH182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28" spans="1:34" x14ac:dyDescent="0.3">
      <c r="A1828" t="s">
        <v>46</v>
      </c>
      <c r="B1828" t="s">
        <v>47</v>
      </c>
      <c r="C1828">
        <v>2025</v>
      </c>
      <c r="D1828" t="s">
        <v>33</v>
      </c>
      <c r="E1828" s="3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27</v>
      </c>
      <c r="N1828">
        <v>7</v>
      </c>
      <c r="O1828" t="s">
        <v>35</v>
      </c>
      <c r="P1828">
        <v>54.9</v>
      </c>
      <c r="Q1828">
        <v>1856</v>
      </c>
      <c r="R1828">
        <v>4</v>
      </c>
      <c r="S1828">
        <v>2</v>
      </c>
      <c r="T1828" t="s">
        <v>41</v>
      </c>
      <c r="U1828" t="s">
        <v>30</v>
      </c>
      <c r="V1828" s="3">
        <v>225901</v>
      </c>
      <c r="W1828">
        <v>3.6</v>
      </c>
      <c r="X1828">
        <v>5</v>
      </c>
      <c r="Y1828" s="1">
        <f>EV_Data4[[#This Row],[range_miles]]/EV_Data4[[#This Row],[battery_capacity_kwh]]</f>
        <v>3.2188841201716736</v>
      </c>
      <c r="Z1828" s="4">
        <f>EV_Data4[[#This Row],[price_usd]]/EV_Data4[[#This Row],[range_miles]]</f>
        <v>863.16800000000001</v>
      </c>
      <c r="AA1828" s="2">
        <f>(EV_Data4[[#This Row],[customer_rating]]*EV_Data4[[#This Row],[safety_rating]]*1000)/EV_Data4[[#This Row],[price_usd]]</f>
        <v>0.11121821012827167</v>
      </c>
      <c r="AB1828">
        <f>EV_Data4[[#This Row],[horsepower]]+EV_Data4[[#This Row],[torque_nm]]/EV_Data4[[#This Row],[acceleration_0_60_mph]]</f>
        <v>1008.444921316166</v>
      </c>
      <c r="AC1828" t="str">
        <f>IF(EV_Data4[[#This Row],[price_usd]]&gt;=80000,"Luxury",IF(EV_Data4[[#This Row],[price_usd]]&gt;=40000,"Mid-Range","Budget"))</f>
        <v>Luxury</v>
      </c>
      <c r="AD1828" t="str">
        <f>IF(EV_Data4[[#This Row],[range_miles]]&gt;=350,"Long-Range",IF(EV_Data4[[#This Row],[range_miles]]&gt;=250,"Medium-Range","Short-Range"))</f>
        <v>Short-Range</v>
      </c>
      <c r="AE1828" t="str">
        <f>IF(EV_Data4[[#This Row],[charging_speed_kw]]&gt;=250,"Ultra-Fast",IF(EV_Data4[[#This Row],[charging_speed_kw]]&gt;=150,"Fast-Charging","Standard-Charging"))</f>
        <v>Ultra-Fast</v>
      </c>
      <c r="AF1828" t="str">
        <f>IF(EV_Data4[[#This Row],[acceleration_0_60_mph]]&lt;=3,"SportsPerformance",IF(EV_Data4[[#This Row],[acceleration_0_60_mph]]&lt;=5,"HighPerformance","Standard"))</f>
        <v>Standard</v>
      </c>
      <c r="AG1828" t="str">
        <f>IF(EV_Data4[[#This Row],[customer_rating]]&gt;=4.5,"Excellent",IF(EV_Data4[[#This Row],[customer_rating]]&gt;=3.5,"Good","Average"))</f>
        <v>Good</v>
      </c>
      <c r="AH182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29" spans="1:34" x14ac:dyDescent="0.3">
      <c r="A1829" t="s">
        <v>59</v>
      </c>
      <c r="B1829" t="s">
        <v>111</v>
      </c>
      <c r="C1829">
        <v>2023</v>
      </c>
      <c r="D1829" t="s">
        <v>56</v>
      </c>
      <c r="E1829" s="3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34</v>
      </c>
      <c r="N1829">
        <v>5</v>
      </c>
      <c r="O1829" t="s">
        <v>50</v>
      </c>
      <c r="P1829">
        <v>27.3</v>
      </c>
      <c r="Q1829">
        <v>1690</v>
      </c>
      <c r="R1829">
        <v>4</v>
      </c>
      <c r="S1829">
        <v>1</v>
      </c>
      <c r="T1829" t="s">
        <v>41</v>
      </c>
      <c r="U1829" t="s">
        <v>33</v>
      </c>
      <c r="V1829" s="3">
        <v>16427</v>
      </c>
      <c r="W1829">
        <v>3.38</v>
      </c>
      <c r="X1829">
        <v>3</v>
      </c>
      <c r="Y1829" s="1">
        <f>EV_Data4[[#This Row],[range_miles]]/EV_Data4[[#This Row],[battery_capacity_kwh]]</f>
        <v>3.8669438669438669</v>
      </c>
      <c r="Z1829" s="4">
        <f>EV_Data4[[#This Row],[price_usd]]/EV_Data4[[#This Row],[range_miles]]</f>
        <v>438.24897849462366</v>
      </c>
      <c r="AA1829" s="2">
        <f>(EV_Data4[[#This Row],[customer_rating]]*EV_Data4[[#This Row],[safety_rating]]*1000)/EV_Data4[[#This Row],[price_usd]]</f>
        <v>0.16586044830656116</v>
      </c>
      <c r="AB1829">
        <f>EV_Data4[[#This Row],[horsepower]]+EV_Data4[[#This Row],[torque_nm]]/EV_Data4[[#This Row],[acceleration_0_60_mph]]</f>
        <v>786.59477124183002</v>
      </c>
      <c r="AC1829" t="str">
        <f>IF(EV_Data4[[#This Row],[price_usd]]&gt;=80000,"Luxury",IF(EV_Data4[[#This Row],[price_usd]]&gt;=40000,"Mid-Range","Budget"))</f>
        <v>Luxury</v>
      </c>
      <c r="AD1829" t="str">
        <f>IF(EV_Data4[[#This Row],[range_miles]]&gt;=350,"Long-Range",IF(EV_Data4[[#This Row],[range_miles]]&gt;=250,"Medium-Range","Short-Range"))</f>
        <v>Short-Range</v>
      </c>
      <c r="AE1829" t="str">
        <f>IF(EV_Data4[[#This Row],[charging_speed_kw]]&gt;=250,"Ultra-Fast",IF(EV_Data4[[#This Row],[charging_speed_kw]]&gt;=150,"Fast-Charging","Standard-Charging"))</f>
        <v>Standard-Charging</v>
      </c>
      <c r="AF1829" t="str">
        <f>IF(EV_Data4[[#This Row],[acceleration_0_60_mph]]&lt;=3,"SportsPerformance",IF(EV_Data4[[#This Row],[acceleration_0_60_mph]]&lt;=5,"HighPerformance","Standard"))</f>
        <v>Standard</v>
      </c>
      <c r="AG1829" t="str">
        <f>IF(EV_Data4[[#This Row],[customer_rating]]&gt;=4.5,"Excellent",IF(EV_Data4[[#This Row],[customer_rating]]&gt;=3.5,"Good","Average"))</f>
        <v>Average</v>
      </c>
      <c r="AH182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30" spans="1:34" x14ac:dyDescent="0.3">
      <c r="A1830" t="s">
        <v>76</v>
      </c>
      <c r="B1830" t="s">
        <v>91</v>
      </c>
      <c r="C1830">
        <v>2024</v>
      </c>
      <c r="D1830" t="s">
        <v>56</v>
      </c>
      <c r="E1830" s="3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27</v>
      </c>
      <c r="N1830">
        <v>2</v>
      </c>
      <c r="O1830" t="s">
        <v>28</v>
      </c>
      <c r="P1830">
        <v>61</v>
      </c>
      <c r="Q1830">
        <v>2425</v>
      </c>
      <c r="R1830">
        <v>5</v>
      </c>
      <c r="S1830">
        <v>1</v>
      </c>
      <c r="T1830" t="s">
        <v>41</v>
      </c>
      <c r="U1830" t="s">
        <v>66</v>
      </c>
      <c r="V1830" s="3">
        <v>77480</v>
      </c>
      <c r="W1830">
        <v>3.1</v>
      </c>
      <c r="X1830">
        <v>3</v>
      </c>
      <c r="Y1830" s="1">
        <f>EV_Data4[[#This Row],[range_miles]]/EV_Data4[[#This Row],[battery_capacity_kwh]]</f>
        <v>3.6510791366906474</v>
      </c>
      <c r="Z1830" s="4">
        <f>EV_Data4[[#This Row],[price_usd]]/EV_Data4[[#This Row],[range_miles]]</f>
        <v>162.83039408866995</v>
      </c>
      <c r="AA1830" s="2">
        <f>(EV_Data4[[#This Row],[customer_rating]]*EV_Data4[[#This Row],[safety_rating]]*1000)/EV_Data4[[#This Row],[price_usd]]</f>
        <v>0.46892154398015162</v>
      </c>
      <c r="AB1830">
        <f>EV_Data4[[#This Row],[horsepower]]+EV_Data4[[#This Row],[torque_nm]]/EV_Data4[[#This Row],[acceleration_0_60_mph]]</f>
        <v>202.71768202080239</v>
      </c>
      <c r="AC1830" t="str">
        <f>IF(EV_Data4[[#This Row],[price_usd]]&gt;=80000,"Luxury",IF(EV_Data4[[#This Row],[price_usd]]&gt;=40000,"Mid-Range","Budget"))</f>
        <v>Budget</v>
      </c>
      <c r="AD1830" t="str">
        <f>IF(EV_Data4[[#This Row],[range_miles]]&gt;=350,"Long-Range",IF(EV_Data4[[#This Row],[range_miles]]&gt;=250,"Medium-Range","Short-Range"))</f>
        <v>Short-Range</v>
      </c>
      <c r="AE1830" t="str">
        <f>IF(EV_Data4[[#This Row],[charging_speed_kw]]&gt;=250,"Ultra-Fast",IF(EV_Data4[[#This Row],[charging_speed_kw]]&gt;=150,"Fast-Charging","Standard-Charging"))</f>
        <v>Standard-Charging</v>
      </c>
      <c r="AF1830" t="str">
        <f>IF(EV_Data4[[#This Row],[acceleration_0_60_mph]]&lt;=3,"SportsPerformance",IF(EV_Data4[[#This Row],[acceleration_0_60_mph]]&lt;=5,"HighPerformance","Standard"))</f>
        <v>Standard</v>
      </c>
      <c r="AG1830" t="str">
        <f>IF(EV_Data4[[#This Row],[customer_rating]]&gt;=4.5,"Excellent",IF(EV_Data4[[#This Row],[customer_rating]]&gt;=3.5,"Good","Average"))</f>
        <v>Average</v>
      </c>
      <c r="AH183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31" spans="1:34" x14ac:dyDescent="0.3">
      <c r="A1831" t="s">
        <v>63</v>
      </c>
      <c r="B1831" t="s">
        <v>96</v>
      </c>
      <c r="C1831">
        <v>2024</v>
      </c>
      <c r="D1831" t="s">
        <v>44</v>
      </c>
      <c r="E1831" s="3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48</v>
      </c>
      <c r="N1831">
        <v>5</v>
      </c>
      <c r="O1831" t="s">
        <v>51</v>
      </c>
      <c r="P1831">
        <v>34.1</v>
      </c>
      <c r="Q1831">
        <v>1685</v>
      </c>
      <c r="R1831">
        <v>5</v>
      </c>
      <c r="S1831">
        <v>1</v>
      </c>
      <c r="T1831" t="s">
        <v>65</v>
      </c>
      <c r="U1831" t="s">
        <v>37</v>
      </c>
      <c r="V1831" s="3">
        <v>237305</v>
      </c>
      <c r="W1831">
        <v>3.52</v>
      </c>
      <c r="X1831">
        <v>4</v>
      </c>
      <c r="Y1831" s="1">
        <f>EV_Data4[[#This Row],[range_miles]]/EV_Data4[[#This Row],[battery_capacity_kwh]]</f>
        <v>3.2118451025056949</v>
      </c>
      <c r="Z1831" s="4">
        <f>EV_Data4[[#This Row],[price_usd]]/EV_Data4[[#This Row],[range_miles]]</f>
        <v>135.73592198581559</v>
      </c>
      <c r="AA1831" s="2">
        <f>(EV_Data4[[#This Row],[customer_rating]]*EV_Data4[[#This Row],[safety_rating]]*1000)/EV_Data4[[#This Row],[price_usd]]</f>
        <v>0.45979978331935212</v>
      </c>
      <c r="AB1831">
        <f>EV_Data4[[#This Row],[horsepower]]+EV_Data4[[#This Row],[torque_nm]]/EV_Data4[[#This Row],[acceleration_0_60_mph]]</f>
        <v>411.94273127753303</v>
      </c>
      <c r="AC1831" t="str">
        <f>IF(EV_Data4[[#This Row],[price_usd]]&gt;=80000,"Luxury",IF(EV_Data4[[#This Row],[price_usd]]&gt;=40000,"Mid-Range","Budget"))</f>
        <v>Budget</v>
      </c>
      <c r="AD1831" t="str">
        <f>IF(EV_Data4[[#This Row],[range_miles]]&gt;=350,"Long-Range",IF(EV_Data4[[#This Row],[range_miles]]&gt;=250,"Medium-Range","Short-Range"))</f>
        <v>Medium-Range</v>
      </c>
      <c r="AE1831" t="str">
        <f>IF(EV_Data4[[#This Row],[charging_speed_kw]]&gt;=250,"Ultra-Fast",IF(EV_Data4[[#This Row],[charging_speed_kw]]&gt;=150,"Fast-Charging","Standard-Charging"))</f>
        <v>Standard-Charging</v>
      </c>
      <c r="AF1831" t="str">
        <f>IF(EV_Data4[[#This Row],[acceleration_0_60_mph]]&lt;=3,"SportsPerformance",IF(EV_Data4[[#This Row],[acceleration_0_60_mph]]&lt;=5,"HighPerformance","Standard"))</f>
        <v>HighPerformance</v>
      </c>
      <c r="AG1831" t="str">
        <f>IF(EV_Data4[[#This Row],[customer_rating]]&gt;=4.5,"Excellent",IF(EV_Data4[[#This Row],[customer_rating]]&gt;=3.5,"Good","Average"))</f>
        <v>Good</v>
      </c>
      <c r="AH183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32" spans="1:34" x14ac:dyDescent="0.3">
      <c r="A1832" t="s">
        <v>134</v>
      </c>
      <c r="B1832">
        <v>3</v>
      </c>
      <c r="C1832">
        <v>2023</v>
      </c>
      <c r="D1832" t="s">
        <v>44</v>
      </c>
      <c r="E1832" s="3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48</v>
      </c>
      <c r="N1832">
        <v>5</v>
      </c>
      <c r="O1832" t="s">
        <v>50</v>
      </c>
      <c r="P1832">
        <v>21.3</v>
      </c>
      <c r="Q1832">
        <v>1500</v>
      </c>
      <c r="R1832">
        <v>5</v>
      </c>
      <c r="S1832">
        <v>0</v>
      </c>
      <c r="T1832" t="s">
        <v>123</v>
      </c>
      <c r="U1832" t="s">
        <v>33</v>
      </c>
      <c r="V1832" s="3">
        <v>5412</v>
      </c>
      <c r="W1832">
        <v>3.55</v>
      </c>
      <c r="X1832">
        <v>3</v>
      </c>
      <c r="Y1832" s="1">
        <f>EV_Data4[[#This Row],[range_miles]]/EV_Data4[[#This Row],[battery_capacity_kwh]]</f>
        <v>3.795045045045045</v>
      </c>
      <c r="Z1832" s="4">
        <f>EV_Data4[[#This Row],[price_usd]]/EV_Data4[[#This Row],[range_miles]]</f>
        <v>229.02727002967359</v>
      </c>
      <c r="AA1832" s="2">
        <f>(EV_Data4[[#This Row],[customer_rating]]*EV_Data4[[#This Row],[safety_rating]]*1000)/EV_Data4[[#This Row],[price_usd]]</f>
        <v>0.22997533498336856</v>
      </c>
      <c r="AB1832">
        <f>EV_Data4[[#This Row],[horsepower]]+EV_Data4[[#This Row],[torque_nm]]/EV_Data4[[#This Row],[acceleration_0_60_mph]]</f>
        <v>508.72535211267609</v>
      </c>
      <c r="AC1832" t="str">
        <f>IF(EV_Data4[[#This Row],[price_usd]]&gt;=80000,"Luxury",IF(EV_Data4[[#This Row],[price_usd]]&gt;=40000,"Mid-Range","Budget"))</f>
        <v>Mid-Range</v>
      </c>
      <c r="AD1832" t="str">
        <f>IF(EV_Data4[[#This Row],[range_miles]]&gt;=350,"Long-Range",IF(EV_Data4[[#This Row],[range_miles]]&gt;=250,"Medium-Range","Short-Range"))</f>
        <v>Medium-Range</v>
      </c>
      <c r="AE1832" t="str">
        <f>IF(EV_Data4[[#This Row],[charging_speed_kw]]&gt;=250,"Ultra-Fast",IF(EV_Data4[[#This Row],[charging_speed_kw]]&gt;=150,"Fast-Charging","Standard-Charging"))</f>
        <v>Standard-Charging</v>
      </c>
      <c r="AF1832" t="str">
        <f>IF(EV_Data4[[#This Row],[acceleration_0_60_mph]]&lt;=3,"SportsPerformance",IF(EV_Data4[[#This Row],[acceleration_0_60_mph]]&lt;=5,"HighPerformance","Standard"))</f>
        <v>Standard</v>
      </c>
      <c r="AG1832" t="str">
        <f>IF(EV_Data4[[#This Row],[customer_rating]]&gt;=4.5,"Excellent",IF(EV_Data4[[#This Row],[customer_rating]]&gt;=3.5,"Good","Average"))</f>
        <v>Good</v>
      </c>
      <c r="AH183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33" spans="1:34" x14ac:dyDescent="0.3">
      <c r="A1833" t="s">
        <v>42</v>
      </c>
      <c r="B1833" t="s">
        <v>71</v>
      </c>
      <c r="C1833">
        <v>2025</v>
      </c>
      <c r="D1833" t="s">
        <v>33</v>
      </c>
      <c r="E1833" s="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48</v>
      </c>
      <c r="N1833">
        <v>5</v>
      </c>
      <c r="O1833" t="s">
        <v>50</v>
      </c>
      <c r="P1833">
        <v>21.1</v>
      </c>
      <c r="Q1833">
        <v>1503</v>
      </c>
      <c r="R1833">
        <v>3</v>
      </c>
      <c r="S1833">
        <v>1</v>
      </c>
      <c r="T1833" t="s">
        <v>45</v>
      </c>
      <c r="U1833" t="s">
        <v>33</v>
      </c>
      <c r="V1833" s="3">
        <v>130227</v>
      </c>
      <c r="W1833">
        <v>3.54</v>
      </c>
      <c r="X1833">
        <v>4</v>
      </c>
      <c r="Y1833" s="1">
        <f>EV_Data4[[#This Row],[range_miles]]/EV_Data4[[#This Row],[battery_capacity_kwh]]</f>
        <v>3.5116598079561041</v>
      </c>
      <c r="Z1833" s="4">
        <f>EV_Data4[[#This Row],[price_usd]]/EV_Data4[[#This Row],[range_miles]]</f>
        <v>315.31812500000001</v>
      </c>
      <c r="AA1833" s="2">
        <f>(EV_Data4[[#This Row],[customer_rating]]*EV_Data4[[#This Row],[safety_rating]]*1000)/EV_Data4[[#This Row],[price_usd]]</f>
        <v>0.13156355981756521</v>
      </c>
      <c r="AB1833">
        <f>EV_Data4[[#This Row],[horsepower]]+EV_Data4[[#This Row],[torque_nm]]/EV_Data4[[#This Row],[acceleration_0_60_mph]]</f>
        <v>1033.1394302848576</v>
      </c>
      <c r="AC1833" t="str">
        <f>IF(EV_Data4[[#This Row],[price_usd]]&gt;=80000,"Luxury",IF(EV_Data4[[#This Row],[price_usd]]&gt;=40000,"Mid-Range","Budget"))</f>
        <v>Luxury</v>
      </c>
      <c r="AD1833" t="str">
        <f>IF(EV_Data4[[#This Row],[range_miles]]&gt;=350,"Long-Range",IF(EV_Data4[[#This Row],[range_miles]]&gt;=250,"Medium-Range","Short-Range"))</f>
        <v>Medium-Range</v>
      </c>
      <c r="AE1833" t="str">
        <f>IF(EV_Data4[[#This Row],[charging_speed_kw]]&gt;=250,"Ultra-Fast",IF(EV_Data4[[#This Row],[charging_speed_kw]]&gt;=150,"Fast-Charging","Standard-Charging"))</f>
        <v>Standard-Charging</v>
      </c>
      <c r="AF1833" t="str">
        <f>IF(EV_Data4[[#This Row],[acceleration_0_60_mph]]&lt;=3,"SportsPerformance",IF(EV_Data4[[#This Row],[acceleration_0_60_mph]]&lt;=5,"HighPerformance","Standard"))</f>
        <v>Standard</v>
      </c>
      <c r="AG1833" t="str">
        <f>IF(EV_Data4[[#This Row],[customer_rating]]&gt;=4.5,"Excellent",IF(EV_Data4[[#This Row],[customer_rating]]&gt;=3.5,"Good","Average"))</f>
        <v>Good</v>
      </c>
      <c r="AH183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34" spans="1:34" x14ac:dyDescent="0.3">
      <c r="A1834" t="s">
        <v>42</v>
      </c>
      <c r="B1834" t="s">
        <v>115</v>
      </c>
      <c r="C1834">
        <v>2021</v>
      </c>
      <c r="D1834" t="s">
        <v>33</v>
      </c>
      <c r="E1834" s="3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27</v>
      </c>
      <c r="N1834">
        <v>5</v>
      </c>
      <c r="O1834" t="s">
        <v>35</v>
      </c>
      <c r="P1834">
        <v>45.9</v>
      </c>
      <c r="Q1834">
        <v>2561</v>
      </c>
      <c r="R1834">
        <v>5</v>
      </c>
      <c r="S1834">
        <v>1</v>
      </c>
      <c r="T1834" t="s">
        <v>45</v>
      </c>
      <c r="U1834" t="s">
        <v>37</v>
      </c>
      <c r="V1834" s="3">
        <v>73706</v>
      </c>
      <c r="W1834">
        <v>3</v>
      </c>
      <c r="X1834">
        <v>3</v>
      </c>
      <c r="Y1834" s="1">
        <f>EV_Data4[[#This Row],[range_miles]]/EV_Data4[[#This Row],[battery_capacity_kwh]]</f>
        <v>3.6057692307692308</v>
      </c>
      <c r="Z1834" s="4">
        <f>EV_Data4[[#This Row],[price_usd]]/EV_Data4[[#This Row],[range_miles]]</f>
        <v>240.6198666666667</v>
      </c>
      <c r="AA1834" s="2">
        <f>(EV_Data4[[#This Row],[customer_rating]]*EV_Data4[[#This Row],[safety_rating]]*1000)/EV_Data4[[#This Row],[price_usd]]</f>
        <v>0.41559328157442249</v>
      </c>
      <c r="AB1834">
        <f>EV_Data4[[#This Row],[horsepower]]+EV_Data4[[#This Row],[torque_nm]]/EV_Data4[[#This Row],[acceleration_0_60_mph]]</f>
        <v>298.80769230769232</v>
      </c>
      <c r="AC1834" t="str">
        <f>IF(EV_Data4[[#This Row],[price_usd]]&gt;=80000,"Luxury",IF(EV_Data4[[#This Row],[price_usd]]&gt;=40000,"Mid-Range","Budget"))</f>
        <v>Budget</v>
      </c>
      <c r="AD1834" t="str">
        <f>IF(EV_Data4[[#This Row],[range_miles]]&gt;=350,"Long-Range",IF(EV_Data4[[#This Row],[range_miles]]&gt;=250,"Medium-Range","Short-Range"))</f>
        <v>Short-Range</v>
      </c>
      <c r="AE1834" t="str">
        <f>IF(EV_Data4[[#This Row],[charging_speed_kw]]&gt;=250,"Ultra-Fast",IF(EV_Data4[[#This Row],[charging_speed_kw]]&gt;=150,"Fast-Charging","Standard-Charging"))</f>
        <v>Standard-Charging</v>
      </c>
      <c r="AF1834" t="str">
        <f>IF(EV_Data4[[#This Row],[acceleration_0_60_mph]]&lt;=3,"SportsPerformance",IF(EV_Data4[[#This Row],[acceleration_0_60_mph]]&lt;=5,"HighPerformance","Standard"))</f>
        <v>Standard</v>
      </c>
      <c r="AG1834" t="str">
        <f>IF(EV_Data4[[#This Row],[customer_rating]]&gt;=4.5,"Excellent",IF(EV_Data4[[#This Row],[customer_rating]]&gt;=3.5,"Good","Average"))</f>
        <v>Average</v>
      </c>
      <c r="AH183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35" spans="1:34" x14ac:dyDescent="0.3">
      <c r="A1835" t="s">
        <v>38</v>
      </c>
      <c r="B1835" t="s">
        <v>102</v>
      </c>
      <c r="C1835">
        <v>2022</v>
      </c>
      <c r="D1835" t="s">
        <v>26</v>
      </c>
      <c r="E1835" s="3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34</v>
      </c>
      <c r="N1835">
        <v>5</v>
      </c>
      <c r="O1835" t="s">
        <v>35</v>
      </c>
      <c r="P1835">
        <v>48.3</v>
      </c>
      <c r="Q1835">
        <v>1650</v>
      </c>
      <c r="R1835">
        <v>3</v>
      </c>
      <c r="S1835">
        <v>0</v>
      </c>
      <c r="T1835" t="s">
        <v>41</v>
      </c>
      <c r="U1835" t="s">
        <v>37</v>
      </c>
      <c r="V1835" s="3">
        <v>16751</v>
      </c>
      <c r="W1835">
        <v>3.44</v>
      </c>
      <c r="X1835">
        <v>4</v>
      </c>
      <c r="Y1835" s="1">
        <f>EV_Data4[[#This Row],[range_miles]]/EV_Data4[[#This Row],[battery_capacity_kwh]]</f>
        <v>3.7552155771905422</v>
      </c>
      <c r="Z1835" s="4">
        <f>EV_Data4[[#This Row],[price_usd]]/EV_Data4[[#This Row],[range_miles]]</f>
        <v>220.34637037037035</v>
      </c>
      <c r="AA1835" s="2">
        <f>(EV_Data4[[#This Row],[customer_rating]]*EV_Data4[[#This Row],[safety_rating]]*1000)/EV_Data4[[#This Row],[price_usd]]</f>
        <v>0.1734642697221479</v>
      </c>
      <c r="AB1835">
        <f>EV_Data4[[#This Row],[horsepower]]+EV_Data4[[#This Row],[torque_nm]]/EV_Data4[[#This Row],[acceleration_0_60_mph]]</f>
        <v>985.67105263157896</v>
      </c>
      <c r="AC1835" t="str">
        <f>IF(EV_Data4[[#This Row],[price_usd]]&gt;=80000,"Luxury",IF(EV_Data4[[#This Row],[price_usd]]&gt;=40000,"Mid-Range","Budget"))</f>
        <v>Mid-Range</v>
      </c>
      <c r="AD1835" t="str">
        <f>IF(EV_Data4[[#This Row],[range_miles]]&gt;=350,"Long-Range",IF(EV_Data4[[#This Row],[range_miles]]&gt;=250,"Medium-Range","Short-Range"))</f>
        <v>Medium-Range</v>
      </c>
      <c r="AE1835" t="str">
        <f>IF(EV_Data4[[#This Row],[charging_speed_kw]]&gt;=250,"Ultra-Fast",IF(EV_Data4[[#This Row],[charging_speed_kw]]&gt;=150,"Fast-Charging","Standard-Charging"))</f>
        <v>Fast-Charging</v>
      </c>
      <c r="AF1835" t="str">
        <f>IF(EV_Data4[[#This Row],[acceleration_0_60_mph]]&lt;=3,"SportsPerformance",IF(EV_Data4[[#This Row],[acceleration_0_60_mph]]&lt;=5,"HighPerformance","Standard"))</f>
        <v>HighPerformance</v>
      </c>
      <c r="AG1835" t="str">
        <f>IF(EV_Data4[[#This Row],[customer_rating]]&gt;=4.5,"Excellent",IF(EV_Data4[[#This Row],[customer_rating]]&gt;=3.5,"Good","Average"))</f>
        <v>Average</v>
      </c>
      <c r="AH183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36" spans="1:34" x14ac:dyDescent="0.3">
      <c r="A1836" t="s">
        <v>76</v>
      </c>
      <c r="B1836" t="s">
        <v>98</v>
      </c>
      <c r="C1836">
        <v>2023</v>
      </c>
      <c r="D1836" t="s">
        <v>61</v>
      </c>
      <c r="E1836" s="3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34</v>
      </c>
      <c r="N1836">
        <v>5</v>
      </c>
      <c r="O1836" t="s">
        <v>28</v>
      </c>
      <c r="P1836">
        <v>76.099999999999994</v>
      </c>
      <c r="Q1836">
        <v>2667</v>
      </c>
      <c r="R1836">
        <v>4</v>
      </c>
      <c r="S1836">
        <v>1</v>
      </c>
      <c r="T1836" t="s">
        <v>41</v>
      </c>
      <c r="U1836" t="s">
        <v>37</v>
      </c>
      <c r="V1836" s="3">
        <v>31451</v>
      </c>
      <c r="W1836">
        <v>3.08</v>
      </c>
      <c r="X1836">
        <v>3</v>
      </c>
      <c r="Y1836" s="1">
        <f>EV_Data4[[#This Row],[range_miles]]/EV_Data4[[#This Row],[battery_capacity_kwh]]</f>
        <v>3.3406593406593408</v>
      </c>
      <c r="Z1836" s="4">
        <f>EV_Data4[[#This Row],[price_usd]]/EV_Data4[[#This Row],[range_miles]]</f>
        <v>252.85401315789471</v>
      </c>
      <c r="AA1836" s="2">
        <f>(EV_Data4[[#This Row],[customer_rating]]*EV_Data4[[#This Row],[safety_rating]]*1000)/EV_Data4[[#This Row],[price_usd]]</f>
        <v>0.3205510981086705</v>
      </c>
      <c r="AB1836">
        <f>EV_Data4[[#This Row],[horsepower]]+EV_Data4[[#This Row],[torque_nm]]/EV_Data4[[#This Row],[acceleration_0_60_mph]]</f>
        <v>279.78061224489795</v>
      </c>
      <c r="AC1836" t="str">
        <f>IF(EV_Data4[[#This Row],[price_usd]]&gt;=80000,"Luxury",IF(EV_Data4[[#This Row],[price_usd]]&gt;=40000,"Mid-Range","Budget"))</f>
        <v>Budget</v>
      </c>
      <c r="AD1836" t="str">
        <f>IF(EV_Data4[[#This Row],[range_miles]]&gt;=350,"Long-Range",IF(EV_Data4[[#This Row],[range_miles]]&gt;=250,"Medium-Range","Short-Range"))</f>
        <v>Short-Range</v>
      </c>
      <c r="AE1836" t="str">
        <f>IF(EV_Data4[[#This Row],[charging_speed_kw]]&gt;=250,"Ultra-Fast",IF(EV_Data4[[#This Row],[charging_speed_kw]]&gt;=150,"Fast-Charging","Standard-Charging"))</f>
        <v>Standard-Charging</v>
      </c>
      <c r="AF1836" t="str">
        <f>IF(EV_Data4[[#This Row],[acceleration_0_60_mph]]&lt;=3,"SportsPerformance",IF(EV_Data4[[#This Row],[acceleration_0_60_mph]]&lt;=5,"HighPerformance","Standard"))</f>
        <v>Standard</v>
      </c>
      <c r="AG1836" t="str">
        <f>IF(EV_Data4[[#This Row],[customer_rating]]&gt;=4.5,"Excellent",IF(EV_Data4[[#This Row],[customer_rating]]&gt;=3.5,"Good","Average"))</f>
        <v>Average</v>
      </c>
      <c r="AH183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37" spans="1:34" x14ac:dyDescent="0.3">
      <c r="A1837" t="s">
        <v>83</v>
      </c>
      <c r="B1837" t="s">
        <v>89</v>
      </c>
      <c r="C1837">
        <v>2024</v>
      </c>
      <c r="D1837" t="s">
        <v>26</v>
      </c>
      <c r="E1837" s="3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34</v>
      </c>
      <c r="N1837">
        <v>7</v>
      </c>
      <c r="O1837" t="s">
        <v>51</v>
      </c>
      <c r="P1837">
        <v>31.1</v>
      </c>
      <c r="Q1837">
        <v>1547</v>
      </c>
      <c r="R1837">
        <v>5</v>
      </c>
      <c r="S1837">
        <v>1</v>
      </c>
      <c r="T1837" t="s">
        <v>29</v>
      </c>
      <c r="U1837" t="s">
        <v>33</v>
      </c>
      <c r="V1837" s="3">
        <v>50214</v>
      </c>
      <c r="W1837">
        <v>3.67</v>
      </c>
      <c r="X1837">
        <v>6</v>
      </c>
      <c r="Y1837" s="1">
        <f>EV_Data4[[#This Row],[range_miles]]/EV_Data4[[#This Row],[battery_capacity_kwh]]</f>
        <v>3.3454876937101186</v>
      </c>
      <c r="Z1837" s="4">
        <f>EV_Data4[[#This Row],[price_usd]]/EV_Data4[[#This Row],[range_miles]]</f>
        <v>199.73158038147142</v>
      </c>
      <c r="AA1837" s="2">
        <f>(EV_Data4[[#This Row],[customer_rating]]*EV_Data4[[#This Row],[safety_rating]]*1000)/EV_Data4[[#This Row],[price_usd]]</f>
        <v>0.25033597543515146</v>
      </c>
      <c r="AB1837">
        <f>EV_Data4[[#This Row],[horsepower]]+EV_Data4[[#This Row],[torque_nm]]/EV_Data4[[#This Row],[acceleration_0_60_mph]]</f>
        <v>619.29411764705878</v>
      </c>
      <c r="AC1837" t="str">
        <f>IF(EV_Data4[[#This Row],[price_usd]]&gt;=80000,"Luxury",IF(EV_Data4[[#This Row],[price_usd]]&gt;=40000,"Mid-Range","Budget"))</f>
        <v>Mid-Range</v>
      </c>
      <c r="AD1837" t="str">
        <f>IF(EV_Data4[[#This Row],[range_miles]]&gt;=350,"Long-Range",IF(EV_Data4[[#This Row],[range_miles]]&gt;=250,"Medium-Range","Short-Range"))</f>
        <v>Long-Range</v>
      </c>
      <c r="AE1837" t="str">
        <f>IF(EV_Data4[[#This Row],[charging_speed_kw]]&gt;=250,"Ultra-Fast",IF(EV_Data4[[#This Row],[charging_speed_kw]]&gt;=150,"Fast-Charging","Standard-Charging"))</f>
        <v>Fast-Charging</v>
      </c>
      <c r="AF1837" t="str">
        <f>IF(EV_Data4[[#This Row],[acceleration_0_60_mph]]&lt;=3,"SportsPerformance",IF(EV_Data4[[#This Row],[acceleration_0_60_mph]]&lt;=5,"HighPerformance","Standard"))</f>
        <v>HighPerformance</v>
      </c>
      <c r="AG1837" t="str">
        <f>IF(EV_Data4[[#This Row],[customer_rating]]&gt;=4.5,"Excellent",IF(EV_Data4[[#This Row],[customer_rating]]&gt;=3.5,"Good","Average"))</f>
        <v>Good</v>
      </c>
      <c r="AH1837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38" spans="1:34" x14ac:dyDescent="0.3">
      <c r="A1838" t="s">
        <v>46</v>
      </c>
      <c r="B1838" t="s">
        <v>49</v>
      </c>
      <c r="C1838">
        <v>2025</v>
      </c>
      <c r="D1838" t="s">
        <v>44</v>
      </c>
      <c r="E1838" s="3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27</v>
      </c>
      <c r="N1838">
        <v>7</v>
      </c>
      <c r="O1838" t="s">
        <v>58</v>
      </c>
      <c r="P1838">
        <v>24.3</v>
      </c>
      <c r="Q1838">
        <v>1500</v>
      </c>
      <c r="R1838">
        <v>4</v>
      </c>
      <c r="S1838">
        <v>2</v>
      </c>
      <c r="T1838" t="s">
        <v>41</v>
      </c>
      <c r="U1838" t="s">
        <v>30</v>
      </c>
      <c r="V1838" s="3">
        <v>455459</v>
      </c>
      <c r="W1838">
        <v>3.98</v>
      </c>
      <c r="X1838">
        <v>5</v>
      </c>
      <c r="Y1838" s="1">
        <f>EV_Data4[[#This Row],[range_miles]]/EV_Data4[[#This Row],[battery_capacity_kwh]]</f>
        <v>3.4757505773672057</v>
      </c>
      <c r="Z1838" s="4">
        <f>EV_Data4[[#This Row],[price_usd]]/EV_Data4[[#This Row],[range_miles]]</f>
        <v>378.3002325581395</v>
      </c>
      <c r="AA1838" s="2">
        <f>(EV_Data4[[#This Row],[customer_rating]]*EV_Data4[[#This Row],[safety_rating]]*1000)/EV_Data4[[#This Row],[price_usd]]</f>
        <v>0.13981055494164008</v>
      </c>
      <c r="AB1838">
        <f>EV_Data4[[#This Row],[horsepower]]+EV_Data4[[#This Row],[torque_nm]]/EV_Data4[[#This Row],[acceleration_0_60_mph]]</f>
        <v>983.23140495867767</v>
      </c>
      <c r="AC1838" t="str">
        <f>IF(EV_Data4[[#This Row],[price_usd]]&gt;=80000,"Luxury",IF(EV_Data4[[#This Row],[price_usd]]&gt;=40000,"Mid-Range","Budget"))</f>
        <v>Luxury</v>
      </c>
      <c r="AD1838" t="str">
        <f>IF(EV_Data4[[#This Row],[range_miles]]&gt;=350,"Long-Range",IF(EV_Data4[[#This Row],[range_miles]]&gt;=250,"Medium-Range","Short-Range"))</f>
        <v>Medium-Range</v>
      </c>
      <c r="AE1838" t="str">
        <f>IF(EV_Data4[[#This Row],[charging_speed_kw]]&gt;=250,"Ultra-Fast",IF(EV_Data4[[#This Row],[charging_speed_kw]]&gt;=150,"Fast-Charging","Standard-Charging"))</f>
        <v>Ultra-Fast</v>
      </c>
      <c r="AF1838" t="str">
        <f>IF(EV_Data4[[#This Row],[acceleration_0_60_mph]]&lt;=3,"SportsPerformance",IF(EV_Data4[[#This Row],[acceleration_0_60_mph]]&lt;=5,"HighPerformance","Standard"))</f>
        <v>HighPerformance</v>
      </c>
      <c r="AG1838" t="str">
        <f>IF(EV_Data4[[#This Row],[customer_rating]]&gt;=4.5,"Excellent",IF(EV_Data4[[#This Row],[customer_rating]]&gt;=3.5,"Good","Average"))</f>
        <v>Good</v>
      </c>
      <c r="AH183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39" spans="1:34" x14ac:dyDescent="0.3">
      <c r="A1839" t="s">
        <v>63</v>
      </c>
      <c r="B1839" t="s">
        <v>96</v>
      </c>
      <c r="C1839">
        <v>2024</v>
      </c>
      <c r="D1839" t="s">
        <v>33</v>
      </c>
      <c r="E1839" s="3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27</v>
      </c>
      <c r="N1839">
        <v>7</v>
      </c>
      <c r="O1839" t="s">
        <v>50</v>
      </c>
      <c r="P1839">
        <v>25.6</v>
      </c>
      <c r="Q1839">
        <v>1569</v>
      </c>
      <c r="R1839">
        <v>4</v>
      </c>
      <c r="S1839">
        <v>0</v>
      </c>
      <c r="T1839" t="s">
        <v>65</v>
      </c>
      <c r="U1839" t="s">
        <v>30</v>
      </c>
      <c r="V1839" s="3">
        <v>178707</v>
      </c>
      <c r="W1839">
        <v>3.53</v>
      </c>
      <c r="X1839">
        <v>4</v>
      </c>
      <c r="Y1839" s="1">
        <f>EV_Data4[[#This Row],[range_miles]]/EV_Data4[[#This Row],[battery_capacity_kwh]]</f>
        <v>3.5335689045936394</v>
      </c>
      <c r="Z1839" s="4">
        <f>EV_Data4[[#This Row],[price_usd]]/EV_Data4[[#This Row],[range_miles]]</f>
        <v>335.08673333333337</v>
      </c>
      <c r="AA1839" s="2">
        <f>(EV_Data4[[#This Row],[customer_rating]]*EV_Data4[[#This Row],[safety_rating]]*1000)/EV_Data4[[#This Row],[price_usd]]</f>
        <v>0.14046114627834663</v>
      </c>
      <c r="AB1839">
        <f>EV_Data4[[#This Row],[horsepower]]+EV_Data4[[#This Row],[torque_nm]]/EV_Data4[[#This Row],[acceleration_0_60_mph]]</f>
        <v>1134.5323741007194</v>
      </c>
      <c r="AC1839" t="str">
        <f>IF(EV_Data4[[#This Row],[price_usd]]&gt;=80000,"Luxury",IF(EV_Data4[[#This Row],[price_usd]]&gt;=40000,"Mid-Range","Budget"))</f>
        <v>Luxury</v>
      </c>
      <c r="AD1839" t="str">
        <f>IF(EV_Data4[[#This Row],[range_miles]]&gt;=350,"Long-Range",IF(EV_Data4[[#This Row],[range_miles]]&gt;=250,"Medium-Range","Short-Range"))</f>
        <v>Medium-Range</v>
      </c>
      <c r="AE1839" t="str">
        <f>IF(EV_Data4[[#This Row],[charging_speed_kw]]&gt;=250,"Ultra-Fast",IF(EV_Data4[[#This Row],[charging_speed_kw]]&gt;=150,"Fast-Charging","Standard-Charging"))</f>
        <v>Standard-Charging</v>
      </c>
      <c r="AF1839" t="str">
        <f>IF(EV_Data4[[#This Row],[acceleration_0_60_mph]]&lt;=3,"SportsPerformance",IF(EV_Data4[[#This Row],[acceleration_0_60_mph]]&lt;=5,"HighPerformance","Standard"))</f>
        <v>Standard</v>
      </c>
      <c r="AG1839" t="str">
        <f>IF(EV_Data4[[#This Row],[customer_rating]]&gt;=4.5,"Excellent",IF(EV_Data4[[#This Row],[customer_rating]]&gt;=3.5,"Good","Average"))</f>
        <v>Good</v>
      </c>
      <c r="AH183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40" spans="1:34" x14ac:dyDescent="0.3">
      <c r="A1840" t="s">
        <v>94</v>
      </c>
      <c r="B1840" t="s">
        <v>95</v>
      </c>
      <c r="C1840">
        <v>2025</v>
      </c>
      <c r="D1840" t="s">
        <v>56</v>
      </c>
      <c r="E1840" s="3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27</v>
      </c>
      <c r="N1840">
        <v>5</v>
      </c>
      <c r="O1840" t="s">
        <v>50</v>
      </c>
      <c r="P1840">
        <v>28.6</v>
      </c>
      <c r="Q1840">
        <v>1769</v>
      </c>
      <c r="R1840">
        <v>3</v>
      </c>
      <c r="S1840">
        <v>0</v>
      </c>
      <c r="T1840" t="s">
        <v>41</v>
      </c>
      <c r="U1840" t="s">
        <v>33</v>
      </c>
      <c r="V1840" s="3">
        <v>26875</v>
      </c>
      <c r="W1840">
        <v>3.25</v>
      </c>
      <c r="X1840">
        <v>5</v>
      </c>
      <c r="Y1840" s="1">
        <f>EV_Data4[[#This Row],[range_miles]]/EV_Data4[[#This Row],[battery_capacity_kwh]]</f>
        <v>3.5377358490566038</v>
      </c>
      <c r="Z1840" s="4">
        <f>EV_Data4[[#This Row],[price_usd]]/EV_Data4[[#This Row],[range_miles]]</f>
        <v>520.58799999999997</v>
      </c>
      <c r="AA1840" s="2">
        <f>(EV_Data4[[#This Row],[customer_rating]]*EV_Data4[[#This Row],[safety_rating]]*1000)/EV_Data4[[#This Row],[price_usd]]</f>
        <v>0.12485881349550892</v>
      </c>
      <c r="AB1840">
        <f>EV_Data4[[#This Row],[horsepower]]+EV_Data4[[#This Row],[torque_nm]]/EV_Data4[[#This Row],[acceleration_0_60_mph]]</f>
        <v>713.55405405405406</v>
      </c>
      <c r="AC1840" t="str">
        <f>IF(EV_Data4[[#This Row],[price_usd]]&gt;=80000,"Luxury",IF(EV_Data4[[#This Row],[price_usd]]&gt;=40000,"Mid-Range","Budget"))</f>
        <v>Mid-Range</v>
      </c>
      <c r="AD1840" t="str">
        <f>IF(EV_Data4[[#This Row],[range_miles]]&gt;=350,"Long-Range",IF(EV_Data4[[#This Row],[range_miles]]&gt;=250,"Medium-Range","Short-Range"))</f>
        <v>Short-Range</v>
      </c>
      <c r="AE1840" t="str">
        <f>IF(EV_Data4[[#This Row],[charging_speed_kw]]&gt;=250,"Ultra-Fast",IF(EV_Data4[[#This Row],[charging_speed_kw]]&gt;=150,"Fast-Charging","Standard-Charging"))</f>
        <v>Standard-Charging</v>
      </c>
      <c r="AF1840" t="str">
        <f>IF(EV_Data4[[#This Row],[acceleration_0_60_mph]]&lt;=3,"SportsPerformance",IF(EV_Data4[[#This Row],[acceleration_0_60_mph]]&lt;=5,"HighPerformance","Standard"))</f>
        <v>Standard</v>
      </c>
      <c r="AG1840" t="str">
        <f>IF(EV_Data4[[#This Row],[customer_rating]]&gt;=4.5,"Excellent",IF(EV_Data4[[#This Row],[customer_rating]]&gt;=3.5,"Good","Average"))</f>
        <v>Average</v>
      </c>
      <c r="AH184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41" spans="1:34" x14ac:dyDescent="0.3">
      <c r="A1841" t="s">
        <v>63</v>
      </c>
      <c r="B1841" t="s">
        <v>107</v>
      </c>
      <c r="C1841">
        <v>2025</v>
      </c>
      <c r="D1841" t="s">
        <v>26</v>
      </c>
      <c r="E1841" s="3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27</v>
      </c>
      <c r="N1841">
        <v>5</v>
      </c>
      <c r="O1841" t="s">
        <v>50</v>
      </c>
      <c r="P1841">
        <v>17.600000000000001</v>
      </c>
      <c r="Q1841">
        <v>1696</v>
      </c>
      <c r="R1841">
        <v>3</v>
      </c>
      <c r="S1841">
        <v>0</v>
      </c>
      <c r="T1841" t="s">
        <v>65</v>
      </c>
      <c r="U1841" t="s">
        <v>30</v>
      </c>
      <c r="V1841" s="3">
        <v>115025</v>
      </c>
      <c r="W1841">
        <v>3.58</v>
      </c>
      <c r="X1841">
        <v>4</v>
      </c>
      <c r="Y1841" s="1">
        <f>EV_Data4[[#This Row],[range_miles]]/EV_Data4[[#This Row],[battery_capacity_kwh]]</f>
        <v>3.2166890982503364</v>
      </c>
      <c r="Z1841" s="4">
        <f>EV_Data4[[#This Row],[price_usd]]/EV_Data4[[#This Row],[range_miles]]</f>
        <v>424.34410041841005</v>
      </c>
      <c r="AA1841" s="2">
        <f>(EV_Data4[[#This Row],[customer_rating]]*EV_Data4[[#This Row],[safety_rating]]*1000)/EV_Data4[[#This Row],[price_usd]]</f>
        <v>0.10589811063571997</v>
      </c>
      <c r="AB1841">
        <f>EV_Data4[[#This Row],[horsepower]]+EV_Data4[[#This Row],[torque_nm]]/EV_Data4[[#This Row],[acceleration_0_60_mph]]</f>
        <v>1256.6757493188011</v>
      </c>
      <c r="AC1841" t="str">
        <f>IF(EV_Data4[[#This Row],[price_usd]]&gt;=80000,"Luxury",IF(EV_Data4[[#This Row],[price_usd]]&gt;=40000,"Mid-Range","Budget"))</f>
        <v>Luxury</v>
      </c>
      <c r="AD1841" t="str">
        <f>IF(EV_Data4[[#This Row],[range_miles]]&gt;=350,"Long-Range",IF(EV_Data4[[#This Row],[range_miles]]&gt;=250,"Medium-Range","Short-Range"))</f>
        <v>Short-Range</v>
      </c>
      <c r="AE1841" t="str">
        <f>IF(EV_Data4[[#This Row],[charging_speed_kw]]&gt;=250,"Ultra-Fast",IF(EV_Data4[[#This Row],[charging_speed_kw]]&gt;=150,"Fast-Charging","Standard-Charging"))</f>
        <v>Fast-Charging</v>
      </c>
      <c r="AF1841" t="str">
        <f>IF(EV_Data4[[#This Row],[acceleration_0_60_mph]]&lt;=3,"SportsPerformance",IF(EV_Data4[[#This Row],[acceleration_0_60_mph]]&lt;=5,"HighPerformance","Standard"))</f>
        <v>HighPerformance</v>
      </c>
      <c r="AG1841" t="str">
        <f>IF(EV_Data4[[#This Row],[customer_rating]]&gt;=4.5,"Excellent",IF(EV_Data4[[#This Row],[customer_rating]]&gt;=3.5,"Good","Average"))</f>
        <v>Good</v>
      </c>
      <c r="AH184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42" spans="1:34" x14ac:dyDescent="0.3">
      <c r="A1842" t="s">
        <v>24</v>
      </c>
      <c r="B1842" t="s">
        <v>85</v>
      </c>
      <c r="C1842">
        <v>2023</v>
      </c>
      <c r="D1842" t="s">
        <v>33</v>
      </c>
      <c r="E1842" s="3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27</v>
      </c>
      <c r="N1842">
        <v>7</v>
      </c>
      <c r="O1842" t="s">
        <v>51</v>
      </c>
      <c r="P1842">
        <v>20.100000000000001</v>
      </c>
      <c r="Q1842">
        <v>1973</v>
      </c>
      <c r="R1842">
        <v>4</v>
      </c>
      <c r="S1842">
        <v>0</v>
      </c>
      <c r="T1842" t="s">
        <v>29</v>
      </c>
      <c r="U1842" t="s">
        <v>33</v>
      </c>
      <c r="V1842" s="3">
        <v>245824</v>
      </c>
      <c r="W1842">
        <v>3.56</v>
      </c>
      <c r="X1842">
        <v>5</v>
      </c>
      <c r="Y1842" s="1">
        <f>EV_Data4[[#This Row],[range_miles]]/EV_Data4[[#This Row],[battery_capacity_kwh]]</f>
        <v>3.424821002386635</v>
      </c>
      <c r="Z1842" s="4">
        <f>EV_Data4[[#This Row],[price_usd]]/EV_Data4[[#This Row],[range_miles]]</f>
        <v>347.07170731707316</v>
      </c>
      <c r="AA1842" s="2">
        <f>(EV_Data4[[#This Row],[customer_rating]]*EV_Data4[[#This Row],[safety_rating]]*1000)/EV_Data4[[#This Row],[price_usd]]</f>
        <v>0.14295813715909655</v>
      </c>
      <c r="AB1842">
        <f>EV_Data4[[#This Row],[horsepower]]+EV_Data4[[#This Row],[torque_nm]]/EV_Data4[[#This Row],[acceleration_0_60_mph]]</f>
        <v>1116.0161507402422</v>
      </c>
      <c r="AC1842" t="str">
        <f>IF(EV_Data4[[#This Row],[price_usd]]&gt;=80000,"Luxury",IF(EV_Data4[[#This Row],[price_usd]]&gt;=40000,"Mid-Range","Budget"))</f>
        <v>Luxury</v>
      </c>
      <c r="AD1842" t="str">
        <f>IF(EV_Data4[[#This Row],[range_miles]]&gt;=350,"Long-Range",IF(EV_Data4[[#This Row],[range_miles]]&gt;=250,"Medium-Range","Short-Range"))</f>
        <v>Medium-Range</v>
      </c>
      <c r="AE1842" t="str">
        <f>IF(EV_Data4[[#This Row],[charging_speed_kw]]&gt;=250,"Ultra-Fast",IF(EV_Data4[[#This Row],[charging_speed_kw]]&gt;=150,"Fast-Charging","Standard-Charging"))</f>
        <v>Standard-Charging</v>
      </c>
      <c r="AF1842" t="str">
        <f>IF(EV_Data4[[#This Row],[acceleration_0_60_mph]]&lt;=3,"SportsPerformance",IF(EV_Data4[[#This Row],[acceleration_0_60_mph]]&lt;=5,"HighPerformance","Standard"))</f>
        <v>Standard</v>
      </c>
      <c r="AG1842" t="str">
        <f>IF(EV_Data4[[#This Row],[customer_rating]]&gt;=4.5,"Excellent",IF(EV_Data4[[#This Row],[customer_rating]]&gt;=3.5,"Good","Average"))</f>
        <v>Good</v>
      </c>
      <c r="AH184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43" spans="1:34" x14ac:dyDescent="0.3">
      <c r="A1843" t="s">
        <v>24</v>
      </c>
      <c r="B1843" t="s">
        <v>85</v>
      </c>
      <c r="C1843">
        <v>2025</v>
      </c>
      <c r="D1843" t="s">
        <v>56</v>
      </c>
      <c r="E1843" s="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27</v>
      </c>
      <c r="N1843">
        <v>5</v>
      </c>
      <c r="O1843" t="s">
        <v>51</v>
      </c>
      <c r="P1843">
        <v>31.4</v>
      </c>
      <c r="Q1843">
        <v>1570</v>
      </c>
      <c r="R1843">
        <v>5</v>
      </c>
      <c r="S1843">
        <v>0</v>
      </c>
      <c r="T1843" t="s">
        <v>29</v>
      </c>
      <c r="U1843" t="s">
        <v>33</v>
      </c>
      <c r="V1843" s="3">
        <v>206717</v>
      </c>
      <c r="W1843">
        <v>3.56</v>
      </c>
      <c r="X1843">
        <v>4</v>
      </c>
      <c r="Y1843" s="1">
        <f>EV_Data4[[#This Row],[range_miles]]/EV_Data4[[#This Row],[battery_capacity_kwh]]</f>
        <v>3.6911487758945385</v>
      </c>
      <c r="Z1843" s="4">
        <f>EV_Data4[[#This Row],[price_usd]]/EV_Data4[[#This Row],[range_miles]]</f>
        <v>339.90188775510205</v>
      </c>
      <c r="AA1843" s="2">
        <f>(EV_Data4[[#This Row],[customer_rating]]*EV_Data4[[#This Row],[safety_rating]]*1000)/EV_Data4[[#This Row],[price_usd]]</f>
        <v>0.26718394278541058</v>
      </c>
      <c r="AB1843">
        <f>EV_Data4[[#This Row],[horsepower]]+EV_Data4[[#This Row],[torque_nm]]/EV_Data4[[#This Row],[acceleration_0_60_mph]]</f>
        <v>794.1830065359477</v>
      </c>
      <c r="AC1843" t="str">
        <f>IF(EV_Data4[[#This Row],[price_usd]]&gt;=80000,"Luxury",IF(EV_Data4[[#This Row],[price_usd]]&gt;=40000,"Mid-Range","Budget"))</f>
        <v>Mid-Range</v>
      </c>
      <c r="AD1843" t="str">
        <f>IF(EV_Data4[[#This Row],[range_miles]]&gt;=350,"Long-Range",IF(EV_Data4[[#This Row],[range_miles]]&gt;=250,"Medium-Range","Short-Range"))</f>
        <v>Short-Range</v>
      </c>
      <c r="AE1843" t="str">
        <f>IF(EV_Data4[[#This Row],[charging_speed_kw]]&gt;=250,"Ultra-Fast",IF(EV_Data4[[#This Row],[charging_speed_kw]]&gt;=150,"Fast-Charging","Standard-Charging"))</f>
        <v>Standard-Charging</v>
      </c>
      <c r="AF1843" t="str">
        <f>IF(EV_Data4[[#This Row],[acceleration_0_60_mph]]&lt;=3,"SportsPerformance",IF(EV_Data4[[#This Row],[acceleration_0_60_mph]]&lt;=5,"HighPerformance","Standard"))</f>
        <v>Standard</v>
      </c>
      <c r="AG1843" t="str">
        <f>IF(EV_Data4[[#This Row],[customer_rating]]&gt;=4.5,"Excellent",IF(EV_Data4[[#This Row],[customer_rating]]&gt;=3.5,"Good","Average"))</f>
        <v>Good</v>
      </c>
      <c r="AH184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44" spans="1:34" x14ac:dyDescent="0.3">
      <c r="A1844" t="s">
        <v>24</v>
      </c>
      <c r="B1844" t="s">
        <v>85</v>
      </c>
      <c r="C1844">
        <v>2021</v>
      </c>
      <c r="D1844" t="s">
        <v>44</v>
      </c>
      <c r="E1844" s="3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34</v>
      </c>
      <c r="N1844">
        <v>7</v>
      </c>
      <c r="O1844" t="s">
        <v>50</v>
      </c>
      <c r="P1844">
        <v>27.6</v>
      </c>
      <c r="Q1844">
        <v>1724</v>
      </c>
      <c r="R1844">
        <v>4</v>
      </c>
      <c r="S1844">
        <v>0</v>
      </c>
      <c r="T1844" t="s">
        <v>29</v>
      </c>
      <c r="U1844" t="s">
        <v>33</v>
      </c>
      <c r="V1844" s="3">
        <v>211095</v>
      </c>
      <c r="W1844">
        <v>3.8</v>
      </c>
      <c r="X1844">
        <v>5</v>
      </c>
      <c r="Y1844" s="1">
        <f>EV_Data4[[#This Row],[range_miles]]/EV_Data4[[#This Row],[battery_capacity_kwh]]</f>
        <v>3.5859728506787327</v>
      </c>
      <c r="Z1844" s="4">
        <f>EV_Data4[[#This Row],[price_usd]]/EV_Data4[[#This Row],[range_miles]]</f>
        <v>222.88555205047319</v>
      </c>
      <c r="AA1844" s="2">
        <f>(EV_Data4[[#This Row],[customer_rating]]*EV_Data4[[#This Row],[safety_rating]]*1000)/EV_Data4[[#This Row],[price_usd]]</f>
        <v>0.2151307088896538</v>
      </c>
      <c r="AB1844">
        <f>EV_Data4[[#This Row],[horsepower]]+EV_Data4[[#This Row],[torque_nm]]/EV_Data4[[#This Row],[acceleration_0_60_mph]]</f>
        <v>844.60995850622407</v>
      </c>
      <c r="AC1844" t="str">
        <f>IF(EV_Data4[[#This Row],[price_usd]]&gt;=80000,"Luxury",IF(EV_Data4[[#This Row],[price_usd]]&gt;=40000,"Mid-Range","Budget"))</f>
        <v>Mid-Range</v>
      </c>
      <c r="AD1844" t="str">
        <f>IF(EV_Data4[[#This Row],[range_miles]]&gt;=350,"Long-Range",IF(EV_Data4[[#This Row],[range_miles]]&gt;=250,"Medium-Range","Short-Range"))</f>
        <v>Medium-Range</v>
      </c>
      <c r="AE1844" t="str">
        <f>IF(EV_Data4[[#This Row],[charging_speed_kw]]&gt;=250,"Ultra-Fast",IF(EV_Data4[[#This Row],[charging_speed_kw]]&gt;=150,"Fast-Charging","Standard-Charging"))</f>
        <v>Standard-Charging</v>
      </c>
      <c r="AF1844" t="str">
        <f>IF(EV_Data4[[#This Row],[acceleration_0_60_mph]]&lt;=3,"SportsPerformance",IF(EV_Data4[[#This Row],[acceleration_0_60_mph]]&lt;=5,"HighPerformance","Standard"))</f>
        <v>HighPerformance</v>
      </c>
      <c r="AG1844" t="str">
        <f>IF(EV_Data4[[#This Row],[customer_rating]]&gt;=4.5,"Excellent",IF(EV_Data4[[#This Row],[customer_rating]]&gt;=3.5,"Good","Average"))</f>
        <v>Good</v>
      </c>
      <c r="AH184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45" spans="1:34" x14ac:dyDescent="0.3">
      <c r="A1845" t="s">
        <v>42</v>
      </c>
      <c r="B1845" t="s">
        <v>54</v>
      </c>
      <c r="C1845">
        <v>2025</v>
      </c>
      <c r="D1845" t="s">
        <v>26</v>
      </c>
      <c r="E1845" s="3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48</v>
      </c>
      <c r="N1845">
        <v>5</v>
      </c>
      <c r="O1845" t="s">
        <v>35</v>
      </c>
      <c r="P1845">
        <v>53.4</v>
      </c>
      <c r="Q1845">
        <v>1849</v>
      </c>
      <c r="R1845">
        <v>4</v>
      </c>
      <c r="S1845">
        <v>0</v>
      </c>
      <c r="T1845" t="s">
        <v>45</v>
      </c>
      <c r="U1845" t="s">
        <v>30</v>
      </c>
      <c r="V1845" s="3">
        <v>55383</v>
      </c>
      <c r="W1845">
        <v>3.92</v>
      </c>
      <c r="X1845">
        <v>4</v>
      </c>
      <c r="Y1845" s="1">
        <f>EV_Data4[[#This Row],[range_miles]]/EV_Data4[[#This Row],[battery_capacity_kwh]]</f>
        <v>3.7790157845868153</v>
      </c>
      <c r="Z1845" s="4">
        <f>EV_Data4[[#This Row],[price_usd]]/EV_Data4[[#This Row],[range_miles]]</f>
        <v>271.49520884520888</v>
      </c>
      <c r="AA1845" s="2">
        <f>(EV_Data4[[#This Row],[customer_rating]]*EV_Data4[[#This Row],[safety_rating]]*1000)/EV_Data4[[#This Row],[price_usd]]</f>
        <v>0.14190231455525887</v>
      </c>
      <c r="AB1845">
        <f>EV_Data4[[#This Row],[horsepower]]+EV_Data4[[#This Row],[torque_nm]]/EV_Data4[[#This Row],[acceleration_0_60_mph]]</f>
        <v>1313.3333333333333</v>
      </c>
      <c r="AC1845" t="str">
        <f>IF(EV_Data4[[#This Row],[price_usd]]&gt;=80000,"Luxury",IF(EV_Data4[[#This Row],[price_usd]]&gt;=40000,"Mid-Range","Budget"))</f>
        <v>Luxury</v>
      </c>
      <c r="AD1845" t="str">
        <f>IF(EV_Data4[[#This Row],[range_miles]]&gt;=350,"Long-Range",IF(EV_Data4[[#This Row],[range_miles]]&gt;=250,"Medium-Range","Short-Range"))</f>
        <v>Long-Range</v>
      </c>
      <c r="AE1845" t="str">
        <f>IF(EV_Data4[[#This Row],[charging_speed_kw]]&gt;=250,"Ultra-Fast",IF(EV_Data4[[#This Row],[charging_speed_kw]]&gt;=150,"Fast-Charging","Standard-Charging"))</f>
        <v>Fast-Charging</v>
      </c>
      <c r="AF1845" t="str">
        <f>IF(EV_Data4[[#This Row],[acceleration_0_60_mph]]&lt;=3,"SportsPerformance",IF(EV_Data4[[#This Row],[acceleration_0_60_mph]]&lt;=5,"HighPerformance","Standard"))</f>
        <v>SportsPerformance</v>
      </c>
      <c r="AG1845" t="str">
        <f>IF(EV_Data4[[#This Row],[customer_rating]]&gt;=4.5,"Excellent",IF(EV_Data4[[#This Row],[customer_rating]]&gt;=3.5,"Good","Average"))</f>
        <v>Good</v>
      </c>
      <c r="AH184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46" spans="1:34" x14ac:dyDescent="0.3">
      <c r="A1846" t="s">
        <v>92</v>
      </c>
      <c r="B1846" t="s">
        <v>110</v>
      </c>
      <c r="C1846">
        <v>2025</v>
      </c>
      <c r="D1846" t="s">
        <v>33</v>
      </c>
      <c r="E1846" s="3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27</v>
      </c>
      <c r="N1846">
        <v>7</v>
      </c>
      <c r="O1846" t="s">
        <v>58</v>
      </c>
      <c r="P1846">
        <v>34.200000000000003</v>
      </c>
      <c r="Q1846">
        <v>1974</v>
      </c>
      <c r="R1846">
        <v>5</v>
      </c>
      <c r="S1846">
        <v>2</v>
      </c>
      <c r="T1846" t="s">
        <v>65</v>
      </c>
      <c r="U1846" t="s">
        <v>30</v>
      </c>
      <c r="V1846" s="3">
        <v>26944</v>
      </c>
      <c r="W1846">
        <v>3.47</v>
      </c>
      <c r="X1846">
        <v>3</v>
      </c>
      <c r="Y1846" s="1">
        <f>EV_Data4[[#This Row],[range_miles]]/EV_Data4[[#This Row],[battery_capacity_kwh]]</f>
        <v>3.4347826086956523</v>
      </c>
      <c r="Z1846" s="4">
        <f>EV_Data4[[#This Row],[price_usd]]/EV_Data4[[#This Row],[range_miles]]</f>
        <v>442.8424050632911</v>
      </c>
      <c r="AA1846" s="2">
        <f>(EV_Data4[[#This Row],[customer_rating]]*EV_Data4[[#This Row],[safety_rating]]*1000)/EV_Data4[[#This Row],[price_usd]]</f>
        <v>0.16531106826680159</v>
      </c>
      <c r="AB1846">
        <f>EV_Data4[[#This Row],[horsepower]]+EV_Data4[[#This Row],[torque_nm]]/EV_Data4[[#This Row],[acceleration_0_60_mph]]</f>
        <v>1112.9820051413881</v>
      </c>
      <c r="AC1846" t="str">
        <f>IF(EV_Data4[[#This Row],[price_usd]]&gt;=80000,"Luxury",IF(EV_Data4[[#This Row],[price_usd]]&gt;=40000,"Mid-Range","Budget"))</f>
        <v>Luxury</v>
      </c>
      <c r="AD1846" t="str">
        <f>IF(EV_Data4[[#This Row],[range_miles]]&gt;=350,"Long-Range",IF(EV_Data4[[#This Row],[range_miles]]&gt;=250,"Medium-Range","Short-Range"))</f>
        <v>Short-Range</v>
      </c>
      <c r="AE1846" t="str">
        <f>IF(EV_Data4[[#This Row],[charging_speed_kw]]&gt;=250,"Ultra-Fast",IF(EV_Data4[[#This Row],[charging_speed_kw]]&gt;=150,"Fast-Charging","Standard-Charging"))</f>
        <v>Standard-Charging</v>
      </c>
      <c r="AF1846" t="str">
        <f>IF(EV_Data4[[#This Row],[acceleration_0_60_mph]]&lt;=3,"SportsPerformance",IF(EV_Data4[[#This Row],[acceleration_0_60_mph]]&lt;=5,"HighPerformance","Standard"))</f>
        <v>Standard</v>
      </c>
      <c r="AG1846" t="str">
        <f>IF(EV_Data4[[#This Row],[customer_rating]]&gt;=4.5,"Excellent",IF(EV_Data4[[#This Row],[customer_rating]]&gt;=3.5,"Good","Average"))</f>
        <v>Average</v>
      </c>
      <c r="AH184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47" spans="1:34" x14ac:dyDescent="0.3">
      <c r="A1847" t="s">
        <v>63</v>
      </c>
      <c r="B1847" t="s">
        <v>82</v>
      </c>
      <c r="C1847">
        <v>2024</v>
      </c>
      <c r="D1847" t="s">
        <v>44</v>
      </c>
      <c r="E1847" s="3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34</v>
      </c>
      <c r="N1847">
        <v>7</v>
      </c>
      <c r="O1847" t="s">
        <v>28</v>
      </c>
      <c r="P1847">
        <v>66.5</v>
      </c>
      <c r="Q1847">
        <v>2360</v>
      </c>
      <c r="R1847">
        <v>3</v>
      </c>
      <c r="S1847">
        <v>0</v>
      </c>
      <c r="T1847" t="s">
        <v>65</v>
      </c>
      <c r="U1847" t="s">
        <v>37</v>
      </c>
      <c r="V1847" s="3">
        <v>120124</v>
      </c>
      <c r="W1847">
        <v>3.79</v>
      </c>
      <c r="X1847">
        <v>4</v>
      </c>
      <c r="Y1847" s="1">
        <f>EV_Data4[[#This Row],[range_miles]]/EV_Data4[[#This Row],[battery_capacity_kwh]]</f>
        <v>3.4409594095940959</v>
      </c>
      <c r="Z1847" s="4">
        <f>EV_Data4[[#This Row],[price_usd]]/EV_Data4[[#This Row],[range_miles]]</f>
        <v>112.71088471849868</v>
      </c>
      <c r="AA1847" s="2">
        <f>(EV_Data4[[#This Row],[customer_rating]]*EV_Data4[[#This Row],[safety_rating]]*1000)/EV_Data4[[#This Row],[price_usd]]</f>
        <v>0.27044924545374105</v>
      </c>
      <c r="AB1847">
        <f>EV_Data4[[#This Row],[horsepower]]+EV_Data4[[#This Row],[torque_nm]]/EV_Data4[[#This Row],[acceleration_0_60_mph]]</f>
        <v>504.62626262626264</v>
      </c>
      <c r="AC1847" t="str">
        <f>IF(EV_Data4[[#This Row],[price_usd]]&gt;=80000,"Luxury",IF(EV_Data4[[#This Row],[price_usd]]&gt;=40000,"Mid-Range","Budget"))</f>
        <v>Mid-Range</v>
      </c>
      <c r="AD1847" t="str">
        <f>IF(EV_Data4[[#This Row],[range_miles]]&gt;=350,"Long-Range",IF(EV_Data4[[#This Row],[range_miles]]&gt;=250,"Medium-Range","Short-Range"))</f>
        <v>Long-Range</v>
      </c>
      <c r="AE1847" t="str">
        <f>IF(EV_Data4[[#This Row],[charging_speed_kw]]&gt;=250,"Ultra-Fast",IF(EV_Data4[[#This Row],[charging_speed_kw]]&gt;=150,"Fast-Charging","Standard-Charging"))</f>
        <v>Standard-Charging</v>
      </c>
      <c r="AF1847" t="str">
        <f>IF(EV_Data4[[#This Row],[acceleration_0_60_mph]]&lt;=3,"SportsPerformance",IF(EV_Data4[[#This Row],[acceleration_0_60_mph]]&lt;=5,"HighPerformance","Standard"))</f>
        <v>HighPerformance</v>
      </c>
      <c r="AG1847" t="str">
        <f>IF(EV_Data4[[#This Row],[customer_rating]]&gt;=4.5,"Excellent",IF(EV_Data4[[#This Row],[customer_rating]]&gt;=3.5,"Good","Average"))</f>
        <v>Good</v>
      </c>
      <c r="AH184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48" spans="1:34" x14ac:dyDescent="0.3">
      <c r="A1848" t="s">
        <v>46</v>
      </c>
      <c r="B1848" t="s">
        <v>57</v>
      </c>
      <c r="C1848">
        <v>2025</v>
      </c>
      <c r="D1848" t="s">
        <v>44</v>
      </c>
      <c r="E1848" s="3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48</v>
      </c>
      <c r="N1848">
        <v>7</v>
      </c>
      <c r="O1848" t="s">
        <v>28</v>
      </c>
      <c r="P1848">
        <v>66.5</v>
      </c>
      <c r="Q1848">
        <v>2561</v>
      </c>
      <c r="R1848">
        <v>4</v>
      </c>
      <c r="S1848">
        <v>2</v>
      </c>
      <c r="T1848" t="s">
        <v>41</v>
      </c>
      <c r="U1848" t="s">
        <v>30</v>
      </c>
      <c r="V1848" s="3">
        <v>236717</v>
      </c>
      <c r="W1848">
        <v>4.0599999999999996</v>
      </c>
      <c r="X1848">
        <v>5</v>
      </c>
      <c r="Y1848" s="1">
        <f>EV_Data4[[#This Row],[range_miles]]/EV_Data4[[#This Row],[battery_capacity_kwh]]</f>
        <v>3.2047477744807122</v>
      </c>
      <c r="Z1848" s="4">
        <f>EV_Data4[[#This Row],[price_usd]]/EV_Data4[[#This Row],[range_miles]]</f>
        <v>371.41416666666669</v>
      </c>
      <c r="AA1848" s="2">
        <f>(EV_Data4[[#This Row],[customer_rating]]*EV_Data4[[#This Row],[safety_rating]]*1000)/EV_Data4[[#This Row],[price_usd]]</f>
        <v>0.13495300203534719</v>
      </c>
      <c r="AB1848">
        <f>EV_Data4[[#This Row],[horsepower]]+EV_Data4[[#This Row],[torque_nm]]/EV_Data4[[#This Row],[acceleration_0_60_mph]]</f>
        <v>1001.7265625</v>
      </c>
      <c r="AC1848" t="str">
        <f>IF(EV_Data4[[#This Row],[price_usd]]&gt;=80000,"Luxury",IF(EV_Data4[[#This Row],[price_usd]]&gt;=40000,"Mid-Range","Budget"))</f>
        <v>Luxury</v>
      </c>
      <c r="AD1848" t="str">
        <f>IF(EV_Data4[[#This Row],[range_miles]]&gt;=350,"Long-Range",IF(EV_Data4[[#This Row],[range_miles]]&gt;=250,"Medium-Range","Short-Range"))</f>
        <v>Medium-Range</v>
      </c>
      <c r="AE1848" t="str">
        <f>IF(EV_Data4[[#This Row],[charging_speed_kw]]&gt;=250,"Ultra-Fast",IF(EV_Data4[[#This Row],[charging_speed_kw]]&gt;=150,"Fast-Charging","Standard-Charging"))</f>
        <v>Ultra-Fast</v>
      </c>
      <c r="AF1848" t="str">
        <f>IF(EV_Data4[[#This Row],[acceleration_0_60_mph]]&lt;=3,"SportsPerformance",IF(EV_Data4[[#This Row],[acceleration_0_60_mph]]&lt;=5,"HighPerformance","Standard"))</f>
        <v>Standard</v>
      </c>
      <c r="AG1848" t="str">
        <f>IF(EV_Data4[[#This Row],[customer_rating]]&gt;=4.5,"Excellent",IF(EV_Data4[[#This Row],[customer_rating]]&gt;=3.5,"Good","Average"))</f>
        <v>Good</v>
      </c>
      <c r="AH184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49" spans="1:34" x14ac:dyDescent="0.3">
      <c r="A1849" t="s">
        <v>46</v>
      </c>
      <c r="B1849" t="s">
        <v>49</v>
      </c>
      <c r="C1849">
        <v>2025</v>
      </c>
      <c r="D1849" t="s">
        <v>44</v>
      </c>
      <c r="E1849" s="3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27</v>
      </c>
      <c r="N1849">
        <v>5</v>
      </c>
      <c r="O1849" t="s">
        <v>40</v>
      </c>
      <c r="P1849">
        <v>72</v>
      </c>
      <c r="Q1849">
        <v>1709</v>
      </c>
      <c r="R1849">
        <v>5</v>
      </c>
      <c r="S1849">
        <v>2</v>
      </c>
      <c r="T1849" t="s">
        <v>41</v>
      </c>
      <c r="U1849" t="s">
        <v>30</v>
      </c>
      <c r="V1849" s="3">
        <v>458246</v>
      </c>
      <c r="W1849">
        <v>3.66</v>
      </c>
      <c r="X1849">
        <v>5</v>
      </c>
      <c r="Y1849" s="1">
        <f>EV_Data4[[#This Row],[range_miles]]/EV_Data4[[#This Row],[battery_capacity_kwh]]</f>
        <v>3.4748603351955309</v>
      </c>
      <c r="Z1849" s="4">
        <f>EV_Data4[[#This Row],[price_usd]]/EV_Data4[[#This Row],[range_miles]]</f>
        <v>473.7807717041801</v>
      </c>
      <c r="AA1849" s="2">
        <f>(EV_Data4[[#This Row],[customer_rating]]*EV_Data4[[#This Row],[safety_rating]]*1000)/EV_Data4[[#This Row],[price_usd]]</f>
        <v>0.12419761890768262</v>
      </c>
      <c r="AB1849">
        <f>EV_Data4[[#This Row],[horsepower]]+EV_Data4[[#This Row],[torque_nm]]/EV_Data4[[#This Row],[acceleration_0_60_mph]]</f>
        <v>1199.3303571428571</v>
      </c>
      <c r="AC1849" t="str">
        <f>IF(EV_Data4[[#This Row],[price_usd]]&gt;=80000,"Luxury",IF(EV_Data4[[#This Row],[price_usd]]&gt;=40000,"Mid-Range","Budget"))</f>
        <v>Luxury</v>
      </c>
      <c r="AD1849" t="str">
        <f>IF(EV_Data4[[#This Row],[range_miles]]&gt;=350,"Long-Range",IF(EV_Data4[[#This Row],[range_miles]]&gt;=250,"Medium-Range","Short-Range"))</f>
        <v>Medium-Range</v>
      </c>
      <c r="AE1849" t="str">
        <f>IF(EV_Data4[[#This Row],[charging_speed_kw]]&gt;=250,"Ultra-Fast",IF(EV_Data4[[#This Row],[charging_speed_kw]]&gt;=150,"Fast-Charging","Standard-Charging"))</f>
        <v>Fast-Charging</v>
      </c>
      <c r="AF1849" t="str">
        <f>IF(EV_Data4[[#This Row],[acceleration_0_60_mph]]&lt;=3,"SportsPerformance",IF(EV_Data4[[#This Row],[acceleration_0_60_mph]]&lt;=5,"HighPerformance","Standard"))</f>
        <v>HighPerformance</v>
      </c>
      <c r="AG1849" t="str">
        <f>IF(EV_Data4[[#This Row],[customer_rating]]&gt;=4.5,"Excellent",IF(EV_Data4[[#This Row],[customer_rating]]&gt;=3.5,"Good","Average"))</f>
        <v>Good</v>
      </c>
      <c r="AH184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50" spans="1:34" x14ac:dyDescent="0.3">
      <c r="A1850" t="s">
        <v>86</v>
      </c>
      <c r="B1850" t="s">
        <v>87</v>
      </c>
      <c r="C1850">
        <v>2025</v>
      </c>
      <c r="D1850" t="s">
        <v>56</v>
      </c>
      <c r="E1850" s="3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27</v>
      </c>
      <c r="N1850">
        <v>5</v>
      </c>
      <c r="O1850" t="s">
        <v>35</v>
      </c>
      <c r="P1850">
        <v>36.4</v>
      </c>
      <c r="Q1850">
        <v>1869</v>
      </c>
      <c r="R1850">
        <v>5</v>
      </c>
      <c r="S1850">
        <v>1</v>
      </c>
      <c r="T1850" t="s">
        <v>29</v>
      </c>
      <c r="U1850" t="s">
        <v>33</v>
      </c>
      <c r="V1850" s="3">
        <v>21802</v>
      </c>
      <c r="W1850">
        <v>3.43</v>
      </c>
      <c r="X1850">
        <v>5</v>
      </c>
      <c r="Y1850" s="1">
        <f>EV_Data4[[#This Row],[range_miles]]/EV_Data4[[#This Row],[battery_capacity_kwh]]</f>
        <v>3.4340659340659343</v>
      </c>
      <c r="Z1850" s="4">
        <f>EV_Data4[[#This Row],[price_usd]]/EV_Data4[[#This Row],[range_miles]]</f>
        <v>278.86484000000002</v>
      </c>
      <c r="AA1850" s="2">
        <f>(EV_Data4[[#This Row],[customer_rating]]*EV_Data4[[#This Row],[safety_rating]]*1000)/EV_Data4[[#This Row],[price_usd]]</f>
        <v>0.24599730823003721</v>
      </c>
      <c r="AB1850">
        <f>EV_Data4[[#This Row],[horsepower]]+EV_Data4[[#This Row],[torque_nm]]/EV_Data4[[#This Row],[acceleration_0_60_mph]]</f>
        <v>448.57954545454544</v>
      </c>
      <c r="AC1850" t="str">
        <f>IF(EV_Data4[[#This Row],[price_usd]]&gt;=80000,"Luxury",IF(EV_Data4[[#This Row],[price_usd]]&gt;=40000,"Mid-Range","Budget"))</f>
        <v>Mid-Range</v>
      </c>
      <c r="AD1850" t="str">
        <f>IF(EV_Data4[[#This Row],[range_miles]]&gt;=350,"Long-Range",IF(EV_Data4[[#This Row],[range_miles]]&gt;=250,"Medium-Range","Short-Range"))</f>
        <v>Medium-Range</v>
      </c>
      <c r="AE1850" t="str">
        <f>IF(EV_Data4[[#This Row],[charging_speed_kw]]&gt;=250,"Ultra-Fast",IF(EV_Data4[[#This Row],[charging_speed_kw]]&gt;=150,"Fast-Charging","Standard-Charging"))</f>
        <v>Standard-Charging</v>
      </c>
      <c r="AF1850" t="str">
        <f>IF(EV_Data4[[#This Row],[acceleration_0_60_mph]]&lt;=3,"SportsPerformance",IF(EV_Data4[[#This Row],[acceleration_0_60_mph]]&lt;=5,"HighPerformance","Standard"))</f>
        <v>Standard</v>
      </c>
      <c r="AG1850" t="str">
        <f>IF(EV_Data4[[#This Row],[customer_rating]]&gt;=4.5,"Excellent",IF(EV_Data4[[#This Row],[customer_rating]]&gt;=3.5,"Good","Average"))</f>
        <v>Average</v>
      </c>
      <c r="AH185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51" spans="1:34" x14ac:dyDescent="0.3">
      <c r="A1851" t="s">
        <v>83</v>
      </c>
      <c r="B1851" t="s">
        <v>84</v>
      </c>
      <c r="C1851">
        <v>2025</v>
      </c>
      <c r="D1851" t="s">
        <v>33</v>
      </c>
      <c r="E1851" s="3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27</v>
      </c>
      <c r="N1851">
        <v>7</v>
      </c>
      <c r="O1851" t="s">
        <v>51</v>
      </c>
      <c r="P1851">
        <v>28.6</v>
      </c>
      <c r="Q1851">
        <v>1728</v>
      </c>
      <c r="R1851">
        <v>4</v>
      </c>
      <c r="S1851">
        <v>1</v>
      </c>
      <c r="T1851" t="s">
        <v>29</v>
      </c>
      <c r="U1851" t="s">
        <v>33</v>
      </c>
      <c r="V1851" s="3">
        <v>40644</v>
      </c>
      <c r="W1851">
        <v>3.5</v>
      </c>
      <c r="X1851">
        <v>7</v>
      </c>
      <c r="Y1851" s="1">
        <f>EV_Data4[[#This Row],[range_miles]]/EV_Data4[[#This Row],[battery_capacity_kwh]]</f>
        <v>3.5128805620608898</v>
      </c>
      <c r="Z1851" s="4">
        <f>EV_Data4[[#This Row],[price_usd]]/EV_Data4[[#This Row],[range_miles]]</f>
        <v>590.84113333333335</v>
      </c>
      <c r="AA1851" s="2">
        <f>(EV_Data4[[#This Row],[customer_rating]]*EV_Data4[[#This Row],[safety_rating]]*1000)/EV_Data4[[#This Row],[price_usd]]</f>
        <v>0.15796688495057384</v>
      </c>
      <c r="AB1851">
        <f>EV_Data4[[#This Row],[horsepower]]+EV_Data4[[#This Row],[torque_nm]]/EV_Data4[[#This Row],[acceleration_0_60_mph]]</f>
        <v>706.01517067003795</v>
      </c>
      <c r="AC1851" t="str">
        <f>IF(EV_Data4[[#This Row],[price_usd]]&gt;=80000,"Luxury",IF(EV_Data4[[#This Row],[price_usd]]&gt;=40000,"Mid-Range","Budget"))</f>
        <v>Luxury</v>
      </c>
      <c r="AD1851" t="str">
        <f>IF(EV_Data4[[#This Row],[range_miles]]&gt;=350,"Long-Range",IF(EV_Data4[[#This Row],[range_miles]]&gt;=250,"Medium-Range","Short-Range"))</f>
        <v>Short-Range</v>
      </c>
      <c r="AE1851" t="str">
        <f>IF(EV_Data4[[#This Row],[charging_speed_kw]]&gt;=250,"Ultra-Fast",IF(EV_Data4[[#This Row],[charging_speed_kw]]&gt;=150,"Fast-Charging","Standard-Charging"))</f>
        <v>Standard-Charging</v>
      </c>
      <c r="AF1851" t="str">
        <f>IF(EV_Data4[[#This Row],[acceleration_0_60_mph]]&lt;=3,"SportsPerformance",IF(EV_Data4[[#This Row],[acceleration_0_60_mph]]&lt;=5,"HighPerformance","Standard"))</f>
        <v>Standard</v>
      </c>
      <c r="AG1851" t="str">
        <f>IF(EV_Data4[[#This Row],[customer_rating]]&gt;=4.5,"Excellent",IF(EV_Data4[[#This Row],[customer_rating]]&gt;=3.5,"Good","Average"))</f>
        <v>Good</v>
      </c>
      <c r="AH185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52" spans="1:34" x14ac:dyDescent="0.3">
      <c r="A1852" t="s">
        <v>63</v>
      </c>
      <c r="B1852" t="s">
        <v>88</v>
      </c>
      <c r="C1852">
        <v>2022</v>
      </c>
      <c r="D1852" t="s">
        <v>61</v>
      </c>
      <c r="E1852" s="3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27</v>
      </c>
      <c r="N1852">
        <v>5</v>
      </c>
      <c r="O1852" t="s">
        <v>50</v>
      </c>
      <c r="P1852">
        <v>30.7</v>
      </c>
      <c r="Q1852">
        <v>1668</v>
      </c>
      <c r="R1852">
        <v>4</v>
      </c>
      <c r="S1852">
        <v>1</v>
      </c>
      <c r="T1852" t="s">
        <v>65</v>
      </c>
      <c r="U1852" t="s">
        <v>33</v>
      </c>
      <c r="V1852" s="3">
        <v>201225</v>
      </c>
      <c r="W1852">
        <v>3.25</v>
      </c>
      <c r="X1852">
        <v>5</v>
      </c>
      <c r="Y1852" s="1">
        <f>EV_Data4[[#This Row],[range_miles]]/EV_Data4[[#This Row],[battery_capacity_kwh]]</f>
        <v>3.281853281853282</v>
      </c>
      <c r="Z1852" s="4">
        <f>EV_Data4[[#This Row],[price_usd]]/EV_Data4[[#This Row],[range_miles]]</f>
        <v>400.52311764705877</v>
      </c>
      <c r="AA1852" s="2">
        <f>(EV_Data4[[#This Row],[customer_rating]]*EV_Data4[[#This Row],[safety_rating]]*1000)/EV_Data4[[#This Row],[price_usd]]</f>
        <v>0.19092677767149521</v>
      </c>
      <c r="AB1852">
        <f>EV_Data4[[#This Row],[horsepower]]+EV_Data4[[#This Row],[torque_nm]]/EV_Data4[[#This Row],[acceleration_0_60_mph]]</f>
        <v>896.50381679389307</v>
      </c>
      <c r="AC1852" t="str">
        <f>IF(EV_Data4[[#This Row],[price_usd]]&gt;=80000,"Luxury",IF(EV_Data4[[#This Row],[price_usd]]&gt;=40000,"Mid-Range","Budget"))</f>
        <v>Mid-Range</v>
      </c>
      <c r="AD1852" t="str">
        <f>IF(EV_Data4[[#This Row],[range_miles]]&gt;=350,"Long-Range",IF(EV_Data4[[#This Row],[range_miles]]&gt;=250,"Medium-Range","Short-Range"))</f>
        <v>Short-Range</v>
      </c>
      <c r="AE1852" t="str">
        <f>IF(EV_Data4[[#This Row],[charging_speed_kw]]&gt;=250,"Ultra-Fast",IF(EV_Data4[[#This Row],[charging_speed_kw]]&gt;=150,"Fast-Charging","Standard-Charging"))</f>
        <v>Standard-Charging</v>
      </c>
      <c r="AF1852" t="str">
        <f>IF(EV_Data4[[#This Row],[acceleration_0_60_mph]]&lt;=3,"SportsPerformance",IF(EV_Data4[[#This Row],[acceleration_0_60_mph]]&lt;=5,"HighPerformance","Standard"))</f>
        <v>Standard</v>
      </c>
      <c r="AG1852" t="str">
        <f>IF(EV_Data4[[#This Row],[customer_rating]]&gt;=4.5,"Excellent",IF(EV_Data4[[#This Row],[customer_rating]]&gt;=3.5,"Good","Average"))</f>
        <v>Average</v>
      </c>
      <c r="AH185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53" spans="1:34" x14ac:dyDescent="0.3">
      <c r="A1853" t="s">
        <v>76</v>
      </c>
      <c r="B1853" t="s">
        <v>81</v>
      </c>
      <c r="C1853">
        <v>2024</v>
      </c>
      <c r="D1853" t="s">
        <v>33</v>
      </c>
      <c r="E1853" s="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48</v>
      </c>
      <c r="N1853">
        <v>7</v>
      </c>
      <c r="O1853" t="s">
        <v>35</v>
      </c>
      <c r="P1853">
        <v>50.1</v>
      </c>
      <c r="Q1853">
        <v>2018</v>
      </c>
      <c r="R1853">
        <v>5</v>
      </c>
      <c r="S1853">
        <v>0</v>
      </c>
      <c r="T1853" t="s">
        <v>41</v>
      </c>
      <c r="U1853" t="s">
        <v>33</v>
      </c>
      <c r="V1853" s="3">
        <v>20102</v>
      </c>
      <c r="W1853">
        <v>3.3</v>
      </c>
      <c r="X1853">
        <v>5</v>
      </c>
      <c r="Y1853" s="1">
        <f>EV_Data4[[#This Row],[range_miles]]/EV_Data4[[#This Row],[battery_capacity_kwh]]</f>
        <v>3.9363817097415508</v>
      </c>
      <c r="Z1853" s="4">
        <f>EV_Data4[[#This Row],[price_usd]]/EV_Data4[[#This Row],[range_miles]]</f>
        <v>494.59095959595959</v>
      </c>
      <c r="AA1853" s="2">
        <f>(EV_Data4[[#This Row],[customer_rating]]*EV_Data4[[#This Row],[safety_rating]]*1000)/EV_Data4[[#This Row],[price_usd]]</f>
        <v>0.16848939859598297</v>
      </c>
      <c r="AB1853">
        <f>EV_Data4[[#This Row],[horsepower]]+EV_Data4[[#This Row],[torque_nm]]/EV_Data4[[#This Row],[acceleration_0_60_mph]]</f>
        <v>1134.1040462427745</v>
      </c>
      <c r="AC1853" t="str">
        <f>IF(EV_Data4[[#This Row],[price_usd]]&gt;=80000,"Luxury",IF(EV_Data4[[#This Row],[price_usd]]&gt;=40000,"Mid-Range","Budget"))</f>
        <v>Luxury</v>
      </c>
      <c r="AD1853" t="str">
        <f>IF(EV_Data4[[#This Row],[range_miles]]&gt;=350,"Long-Range",IF(EV_Data4[[#This Row],[range_miles]]&gt;=250,"Medium-Range","Short-Range"))</f>
        <v>Short-Range</v>
      </c>
      <c r="AE1853" t="str">
        <f>IF(EV_Data4[[#This Row],[charging_speed_kw]]&gt;=250,"Ultra-Fast",IF(EV_Data4[[#This Row],[charging_speed_kw]]&gt;=150,"Fast-Charging","Standard-Charging"))</f>
        <v>Standard-Charging</v>
      </c>
      <c r="AF1853" t="str">
        <f>IF(EV_Data4[[#This Row],[acceleration_0_60_mph]]&lt;=3,"SportsPerformance",IF(EV_Data4[[#This Row],[acceleration_0_60_mph]]&lt;=5,"HighPerformance","Standard"))</f>
        <v>Standard</v>
      </c>
      <c r="AG1853" t="str">
        <f>IF(EV_Data4[[#This Row],[customer_rating]]&gt;=4.5,"Excellent",IF(EV_Data4[[#This Row],[customer_rating]]&gt;=3.5,"Good","Average"))</f>
        <v>Average</v>
      </c>
      <c r="AH185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54" spans="1:34" x14ac:dyDescent="0.3">
      <c r="A1854" t="s">
        <v>52</v>
      </c>
      <c r="B1854" t="s">
        <v>126</v>
      </c>
      <c r="C1854">
        <v>2022</v>
      </c>
      <c r="D1854" t="s">
        <v>44</v>
      </c>
      <c r="E1854" s="3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48</v>
      </c>
      <c r="N1854">
        <v>5</v>
      </c>
      <c r="O1854" t="s">
        <v>50</v>
      </c>
      <c r="P1854">
        <v>38.1</v>
      </c>
      <c r="Q1854">
        <v>1668</v>
      </c>
      <c r="R1854">
        <v>4</v>
      </c>
      <c r="S1854">
        <v>2</v>
      </c>
      <c r="T1854" t="s">
        <v>29</v>
      </c>
      <c r="U1854" t="s">
        <v>30</v>
      </c>
      <c r="V1854" s="3">
        <v>78467</v>
      </c>
      <c r="W1854">
        <v>3.86</v>
      </c>
      <c r="X1854">
        <v>8</v>
      </c>
      <c r="Y1854" s="1">
        <f>EV_Data4[[#This Row],[range_miles]]/EV_Data4[[#This Row],[battery_capacity_kwh]]</f>
        <v>3.6690647482014387</v>
      </c>
      <c r="Z1854" s="4">
        <f>EV_Data4[[#This Row],[price_usd]]/EV_Data4[[#This Row],[range_miles]]</f>
        <v>388.77849673202616</v>
      </c>
      <c r="AA1854" s="2">
        <f>(EV_Data4[[#This Row],[customer_rating]]*EV_Data4[[#This Row],[safety_rating]]*1000)/EV_Data4[[#This Row],[price_usd]]</f>
        <v>0.12978474057593828</v>
      </c>
      <c r="AB1854">
        <f>EV_Data4[[#This Row],[horsepower]]+EV_Data4[[#This Row],[torque_nm]]/EV_Data4[[#This Row],[acceleration_0_60_mph]]</f>
        <v>761.90697674418607</v>
      </c>
      <c r="AC1854" t="str">
        <f>IF(EV_Data4[[#This Row],[price_usd]]&gt;=80000,"Luxury",IF(EV_Data4[[#This Row],[price_usd]]&gt;=40000,"Mid-Range","Budget"))</f>
        <v>Luxury</v>
      </c>
      <c r="AD1854" t="str">
        <f>IF(EV_Data4[[#This Row],[range_miles]]&gt;=350,"Long-Range",IF(EV_Data4[[#This Row],[range_miles]]&gt;=250,"Medium-Range","Short-Range"))</f>
        <v>Medium-Range</v>
      </c>
      <c r="AE1854" t="str">
        <f>IF(EV_Data4[[#This Row],[charging_speed_kw]]&gt;=250,"Ultra-Fast",IF(EV_Data4[[#This Row],[charging_speed_kw]]&gt;=150,"Fast-Charging","Standard-Charging"))</f>
        <v>Standard-Charging</v>
      </c>
      <c r="AF1854" t="str">
        <f>IF(EV_Data4[[#This Row],[acceleration_0_60_mph]]&lt;=3,"SportsPerformance",IF(EV_Data4[[#This Row],[acceleration_0_60_mph]]&lt;=5,"HighPerformance","Standard"))</f>
        <v>HighPerformance</v>
      </c>
      <c r="AG1854" t="str">
        <f>IF(EV_Data4[[#This Row],[customer_rating]]&gt;=4.5,"Excellent",IF(EV_Data4[[#This Row],[customer_rating]]&gt;=3.5,"Good","Average"))</f>
        <v>Good</v>
      </c>
      <c r="AH185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55" spans="1:34" x14ac:dyDescent="0.3">
      <c r="A1855" t="s">
        <v>52</v>
      </c>
      <c r="B1855" t="s">
        <v>103</v>
      </c>
      <c r="C1855">
        <v>2021</v>
      </c>
      <c r="D1855" t="s">
        <v>26</v>
      </c>
      <c r="E1855" s="3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48</v>
      </c>
      <c r="N1855">
        <v>7</v>
      </c>
      <c r="O1855" t="s">
        <v>50</v>
      </c>
      <c r="P1855">
        <v>38.9</v>
      </c>
      <c r="Q1855">
        <v>1571</v>
      </c>
      <c r="R1855">
        <v>5</v>
      </c>
      <c r="S1855">
        <v>1</v>
      </c>
      <c r="T1855" t="s">
        <v>29</v>
      </c>
      <c r="U1855" t="s">
        <v>30</v>
      </c>
      <c r="V1855" s="3">
        <v>66576</v>
      </c>
      <c r="W1855">
        <v>3.8</v>
      </c>
      <c r="X1855">
        <v>8</v>
      </c>
      <c r="Y1855" s="1">
        <f>EV_Data4[[#This Row],[range_miles]]/EV_Data4[[#This Row],[battery_capacity_kwh]]</f>
        <v>3.3303085299455533</v>
      </c>
      <c r="Z1855" s="4">
        <f>EV_Data4[[#This Row],[price_usd]]/EV_Data4[[#This Row],[range_miles]]</f>
        <v>457.11310626702999</v>
      </c>
      <c r="AA1855" s="2">
        <f>(EV_Data4[[#This Row],[customer_rating]]*EV_Data4[[#This Row],[safety_rating]]*1000)/EV_Data4[[#This Row],[price_usd]]</f>
        <v>0.11325668955107492</v>
      </c>
      <c r="AB1855">
        <f>EV_Data4[[#This Row],[horsepower]]+EV_Data4[[#This Row],[torque_nm]]/EV_Data4[[#This Row],[acceleration_0_60_mph]]</f>
        <v>1216.1137440758293</v>
      </c>
      <c r="AC1855" t="str">
        <f>IF(EV_Data4[[#This Row],[price_usd]]&gt;=80000,"Luxury",IF(EV_Data4[[#This Row],[price_usd]]&gt;=40000,"Mid-Range","Budget"))</f>
        <v>Luxury</v>
      </c>
      <c r="AD1855" t="str">
        <f>IF(EV_Data4[[#This Row],[range_miles]]&gt;=350,"Long-Range",IF(EV_Data4[[#This Row],[range_miles]]&gt;=250,"Medium-Range","Short-Range"))</f>
        <v>Long-Range</v>
      </c>
      <c r="AE1855" t="str">
        <f>IF(EV_Data4[[#This Row],[charging_speed_kw]]&gt;=250,"Ultra-Fast",IF(EV_Data4[[#This Row],[charging_speed_kw]]&gt;=150,"Fast-Charging","Standard-Charging"))</f>
        <v>Fast-Charging</v>
      </c>
      <c r="AF1855" t="str">
        <f>IF(EV_Data4[[#This Row],[acceleration_0_60_mph]]&lt;=3,"SportsPerformance",IF(EV_Data4[[#This Row],[acceleration_0_60_mph]]&lt;=5,"HighPerformance","Standard"))</f>
        <v>HighPerformance</v>
      </c>
      <c r="AG1855" t="str">
        <f>IF(EV_Data4[[#This Row],[customer_rating]]&gt;=4.5,"Excellent",IF(EV_Data4[[#This Row],[customer_rating]]&gt;=3.5,"Good","Average"))</f>
        <v>Good</v>
      </c>
      <c r="AH185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56" spans="1:34" x14ac:dyDescent="0.3">
      <c r="A1856" t="s">
        <v>94</v>
      </c>
      <c r="B1856" t="s">
        <v>95</v>
      </c>
      <c r="C1856">
        <v>2024</v>
      </c>
      <c r="D1856" t="s">
        <v>26</v>
      </c>
      <c r="E1856" s="3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48</v>
      </c>
      <c r="N1856">
        <v>7</v>
      </c>
      <c r="O1856" t="s">
        <v>50</v>
      </c>
      <c r="P1856">
        <v>16.2</v>
      </c>
      <c r="Q1856">
        <v>1630</v>
      </c>
      <c r="R1856">
        <v>5</v>
      </c>
      <c r="S1856">
        <v>0</v>
      </c>
      <c r="T1856" t="s">
        <v>41</v>
      </c>
      <c r="U1856" t="s">
        <v>30</v>
      </c>
      <c r="V1856" s="3">
        <v>1509</v>
      </c>
      <c r="W1856">
        <v>3.58</v>
      </c>
      <c r="X1856">
        <v>5</v>
      </c>
      <c r="Y1856" s="1">
        <f>EV_Data4[[#This Row],[range_miles]]/EV_Data4[[#This Row],[battery_capacity_kwh]]</f>
        <v>3.5492227979274609</v>
      </c>
      <c r="Z1856" s="4">
        <f>EV_Data4[[#This Row],[price_usd]]/EV_Data4[[#This Row],[range_miles]]</f>
        <v>386.84861313868612</v>
      </c>
      <c r="AA1856" s="2">
        <f>(EV_Data4[[#This Row],[customer_rating]]*EV_Data4[[#This Row],[safety_rating]]*1000)/EV_Data4[[#This Row],[price_usd]]</f>
        <v>0.16887346867614145</v>
      </c>
      <c r="AB1856">
        <f>EV_Data4[[#This Row],[horsepower]]+EV_Data4[[#This Row],[torque_nm]]/EV_Data4[[#This Row],[acceleration_0_60_mph]]</f>
        <v>1293.2907348242811</v>
      </c>
      <c r="AC1856" t="str">
        <f>IF(EV_Data4[[#This Row],[price_usd]]&gt;=80000,"Luxury",IF(EV_Data4[[#This Row],[price_usd]]&gt;=40000,"Mid-Range","Budget"))</f>
        <v>Luxury</v>
      </c>
      <c r="AD1856" t="str">
        <f>IF(EV_Data4[[#This Row],[range_miles]]&gt;=350,"Long-Range",IF(EV_Data4[[#This Row],[range_miles]]&gt;=250,"Medium-Range","Short-Range"))</f>
        <v>Medium-Range</v>
      </c>
      <c r="AE1856" t="str">
        <f>IF(EV_Data4[[#This Row],[charging_speed_kw]]&gt;=250,"Ultra-Fast",IF(EV_Data4[[#This Row],[charging_speed_kw]]&gt;=150,"Fast-Charging","Standard-Charging"))</f>
        <v>Fast-Charging</v>
      </c>
      <c r="AF1856" t="str">
        <f>IF(EV_Data4[[#This Row],[acceleration_0_60_mph]]&lt;=3,"SportsPerformance",IF(EV_Data4[[#This Row],[acceleration_0_60_mph]]&lt;=5,"HighPerformance","Standard"))</f>
        <v>HighPerformance</v>
      </c>
      <c r="AG1856" t="str">
        <f>IF(EV_Data4[[#This Row],[customer_rating]]&gt;=4.5,"Excellent",IF(EV_Data4[[#This Row],[customer_rating]]&gt;=3.5,"Good","Average"))</f>
        <v>Good</v>
      </c>
      <c r="AH185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57" spans="1:34" x14ac:dyDescent="0.3">
      <c r="A1857" t="s">
        <v>63</v>
      </c>
      <c r="B1857" t="s">
        <v>88</v>
      </c>
      <c r="C1857">
        <v>2023</v>
      </c>
      <c r="D1857" t="s">
        <v>44</v>
      </c>
      <c r="E1857" s="3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27</v>
      </c>
      <c r="N1857">
        <v>5</v>
      </c>
      <c r="O1857" t="s">
        <v>50</v>
      </c>
      <c r="P1857">
        <v>37.9</v>
      </c>
      <c r="Q1857">
        <v>1679</v>
      </c>
      <c r="R1857">
        <v>5</v>
      </c>
      <c r="S1857">
        <v>0</v>
      </c>
      <c r="T1857" t="s">
        <v>65</v>
      </c>
      <c r="U1857" t="s">
        <v>33</v>
      </c>
      <c r="V1857" s="3">
        <v>117049</v>
      </c>
      <c r="W1857">
        <v>3.64</v>
      </c>
      <c r="X1857">
        <v>5</v>
      </c>
      <c r="Y1857" s="1">
        <f>EV_Data4[[#This Row],[range_miles]]/EV_Data4[[#This Row],[battery_capacity_kwh]]</f>
        <v>3.5699373695198329</v>
      </c>
      <c r="Z1857" s="4">
        <f>EV_Data4[[#This Row],[price_usd]]/EV_Data4[[#This Row],[range_miles]]</f>
        <v>275.04295321637426</v>
      </c>
      <c r="AA1857" s="2">
        <f>(EV_Data4[[#This Row],[customer_rating]]*EV_Data4[[#This Row],[safety_rating]]*1000)/EV_Data4[[#This Row],[price_usd]]</f>
        <v>0.19348386732577336</v>
      </c>
      <c r="AB1857">
        <f>EV_Data4[[#This Row],[horsepower]]+EV_Data4[[#This Row],[torque_nm]]/EV_Data4[[#This Row],[acceleration_0_60_mph]]</f>
        <v>1185.4545454545455</v>
      </c>
      <c r="AC1857" t="str">
        <f>IF(EV_Data4[[#This Row],[price_usd]]&gt;=80000,"Luxury",IF(EV_Data4[[#This Row],[price_usd]]&gt;=40000,"Mid-Range","Budget"))</f>
        <v>Luxury</v>
      </c>
      <c r="AD1857" t="str">
        <f>IF(EV_Data4[[#This Row],[range_miles]]&gt;=350,"Long-Range",IF(EV_Data4[[#This Row],[range_miles]]&gt;=250,"Medium-Range","Short-Range"))</f>
        <v>Medium-Range</v>
      </c>
      <c r="AE1857" t="str">
        <f>IF(EV_Data4[[#This Row],[charging_speed_kw]]&gt;=250,"Ultra-Fast",IF(EV_Data4[[#This Row],[charging_speed_kw]]&gt;=150,"Fast-Charging","Standard-Charging"))</f>
        <v>Standard-Charging</v>
      </c>
      <c r="AF1857" t="str">
        <f>IF(EV_Data4[[#This Row],[acceleration_0_60_mph]]&lt;=3,"SportsPerformance",IF(EV_Data4[[#This Row],[acceleration_0_60_mph]]&lt;=5,"HighPerformance","Standard"))</f>
        <v>HighPerformance</v>
      </c>
      <c r="AG1857" t="str">
        <f>IF(EV_Data4[[#This Row],[customer_rating]]&gt;=4.5,"Excellent",IF(EV_Data4[[#This Row],[customer_rating]]&gt;=3.5,"Good","Average"))</f>
        <v>Good</v>
      </c>
      <c r="AH185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58" spans="1:34" x14ac:dyDescent="0.3">
      <c r="A1858" t="s">
        <v>38</v>
      </c>
      <c r="B1858" t="s">
        <v>102</v>
      </c>
      <c r="C1858">
        <v>2025</v>
      </c>
      <c r="D1858" t="s">
        <v>44</v>
      </c>
      <c r="E1858" s="3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34</v>
      </c>
      <c r="N1858">
        <v>5</v>
      </c>
      <c r="O1858" t="s">
        <v>35</v>
      </c>
      <c r="P1858">
        <v>61.6</v>
      </c>
      <c r="Q1858">
        <v>2173</v>
      </c>
      <c r="R1858">
        <v>5</v>
      </c>
      <c r="S1858">
        <v>1</v>
      </c>
      <c r="T1858" t="s">
        <v>41</v>
      </c>
      <c r="U1858" t="s">
        <v>37</v>
      </c>
      <c r="V1858" s="3">
        <v>5246</v>
      </c>
      <c r="W1858">
        <v>3.78</v>
      </c>
      <c r="X1858">
        <v>5</v>
      </c>
      <c r="Y1858" s="1">
        <f>EV_Data4[[#This Row],[range_miles]]/EV_Data4[[#This Row],[battery_capacity_kwh]]</f>
        <v>3.5819327731092434</v>
      </c>
      <c r="Z1858" s="4">
        <f>EV_Data4[[#This Row],[price_usd]]/EV_Data4[[#This Row],[range_miles]]</f>
        <v>171.18164222873901</v>
      </c>
      <c r="AA1858" s="2">
        <f>(EV_Data4[[#This Row],[customer_rating]]*EV_Data4[[#This Row],[safety_rating]]*1000)/EV_Data4[[#This Row],[price_usd]]</f>
        <v>0.32378016252051034</v>
      </c>
      <c r="AB1858">
        <f>EV_Data4[[#This Row],[horsepower]]+EV_Data4[[#This Row],[torque_nm]]/EV_Data4[[#This Row],[acceleration_0_60_mph]]</f>
        <v>922.06239168110915</v>
      </c>
      <c r="AC1858" t="str">
        <f>IF(EV_Data4[[#This Row],[price_usd]]&gt;=80000,"Luxury",IF(EV_Data4[[#This Row],[price_usd]]&gt;=40000,"Mid-Range","Budget"))</f>
        <v>Mid-Range</v>
      </c>
      <c r="AD1858" t="str">
        <f>IF(EV_Data4[[#This Row],[range_miles]]&gt;=350,"Long-Range",IF(EV_Data4[[#This Row],[range_miles]]&gt;=250,"Medium-Range","Short-Range"))</f>
        <v>Medium-Range</v>
      </c>
      <c r="AE1858" t="str">
        <f>IF(EV_Data4[[#This Row],[charging_speed_kw]]&gt;=250,"Ultra-Fast",IF(EV_Data4[[#This Row],[charging_speed_kw]]&gt;=150,"Fast-Charging","Standard-Charging"))</f>
        <v>Standard-Charging</v>
      </c>
      <c r="AF1858" t="str">
        <f>IF(EV_Data4[[#This Row],[acceleration_0_60_mph]]&lt;=3,"SportsPerformance",IF(EV_Data4[[#This Row],[acceleration_0_60_mph]]&lt;=5,"HighPerformance","Standard"))</f>
        <v>Standard</v>
      </c>
      <c r="AG1858" t="str">
        <f>IF(EV_Data4[[#This Row],[customer_rating]]&gt;=4.5,"Excellent",IF(EV_Data4[[#This Row],[customer_rating]]&gt;=3.5,"Good","Average"))</f>
        <v>Good</v>
      </c>
      <c r="AH185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59" spans="1:34" x14ac:dyDescent="0.3">
      <c r="A1859" t="s">
        <v>68</v>
      </c>
      <c r="B1859" t="s">
        <v>106</v>
      </c>
      <c r="C1859">
        <v>2025</v>
      </c>
      <c r="D1859" t="s">
        <v>33</v>
      </c>
      <c r="E1859" s="3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27</v>
      </c>
      <c r="N1859">
        <v>7</v>
      </c>
      <c r="O1859" t="s">
        <v>58</v>
      </c>
      <c r="P1859">
        <v>17.100000000000001</v>
      </c>
      <c r="Q1859">
        <v>1574</v>
      </c>
      <c r="R1859">
        <v>4</v>
      </c>
      <c r="S1859">
        <v>0</v>
      </c>
      <c r="T1859" t="s">
        <v>45</v>
      </c>
      <c r="U1859" t="s">
        <v>37</v>
      </c>
      <c r="V1859" s="3">
        <v>90740</v>
      </c>
      <c r="W1859">
        <v>3.34</v>
      </c>
      <c r="X1859">
        <v>4</v>
      </c>
      <c r="Y1859" s="1">
        <f>EV_Data4[[#This Row],[range_miles]]/EV_Data4[[#This Row],[battery_capacity_kwh]]</f>
        <v>3.5622317596566524</v>
      </c>
      <c r="Z1859" s="4">
        <f>EV_Data4[[#This Row],[price_usd]]/EV_Data4[[#This Row],[range_miles]]</f>
        <v>388.37891566265063</v>
      </c>
      <c r="AA1859" s="2">
        <f>(EV_Data4[[#This Row],[customer_rating]]*EV_Data4[[#This Row],[safety_rating]]*1000)/EV_Data4[[#This Row],[price_usd]]</f>
        <v>0.20722527527923451</v>
      </c>
      <c r="AB1859">
        <f>EV_Data4[[#This Row],[horsepower]]+EV_Data4[[#This Row],[torque_nm]]/EV_Data4[[#This Row],[acceleration_0_60_mph]]</f>
        <v>916.33017077798866</v>
      </c>
      <c r="AC1859" t="str">
        <f>IF(EV_Data4[[#This Row],[price_usd]]&gt;=80000,"Luxury",IF(EV_Data4[[#This Row],[price_usd]]&gt;=40000,"Mid-Range","Budget"))</f>
        <v>Mid-Range</v>
      </c>
      <c r="AD1859" t="str">
        <f>IF(EV_Data4[[#This Row],[range_miles]]&gt;=350,"Long-Range",IF(EV_Data4[[#This Row],[range_miles]]&gt;=250,"Medium-Range","Short-Range"))</f>
        <v>Short-Range</v>
      </c>
      <c r="AE1859" t="str">
        <f>IF(EV_Data4[[#This Row],[charging_speed_kw]]&gt;=250,"Ultra-Fast",IF(EV_Data4[[#This Row],[charging_speed_kw]]&gt;=150,"Fast-Charging","Standard-Charging"))</f>
        <v>Standard-Charging</v>
      </c>
      <c r="AF1859" t="str">
        <f>IF(EV_Data4[[#This Row],[acceleration_0_60_mph]]&lt;=3,"SportsPerformance",IF(EV_Data4[[#This Row],[acceleration_0_60_mph]]&lt;=5,"HighPerformance","Standard"))</f>
        <v>Standard</v>
      </c>
      <c r="AG1859" t="str">
        <f>IF(EV_Data4[[#This Row],[customer_rating]]&gt;=4.5,"Excellent",IF(EV_Data4[[#This Row],[customer_rating]]&gt;=3.5,"Good","Average"))</f>
        <v>Average</v>
      </c>
      <c r="AH185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60" spans="1:34" x14ac:dyDescent="0.3">
      <c r="A1860" t="s">
        <v>52</v>
      </c>
      <c r="B1860" t="s">
        <v>62</v>
      </c>
      <c r="C1860">
        <v>2022</v>
      </c>
      <c r="D1860" t="s">
        <v>44</v>
      </c>
      <c r="E1860" s="3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34</v>
      </c>
      <c r="N1860">
        <v>5</v>
      </c>
      <c r="O1860" t="s">
        <v>50</v>
      </c>
      <c r="P1860">
        <v>24.7</v>
      </c>
      <c r="Q1860">
        <v>1500</v>
      </c>
      <c r="R1860">
        <v>4</v>
      </c>
      <c r="S1860">
        <v>1</v>
      </c>
      <c r="T1860" t="s">
        <v>29</v>
      </c>
      <c r="U1860" t="s">
        <v>30</v>
      </c>
      <c r="V1860" s="3">
        <v>31832</v>
      </c>
      <c r="W1860">
        <v>4.04</v>
      </c>
      <c r="X1860">
        <v>8</v>
      </c>
      <c r="Y1860" s="1">
        <f>EV_Data4[[#This Row],[range_miles]]/EV_Data4[[#This Row],[battery_capacity_kwh]]</f>
        <v>3.79041248606466</v>
      </c>
      <c r="Z1860" s="4">
        <f>EV_Data4[[#This Row],[price_usd]]/EV_Data4[[#This Row],[range_miles]]</f>
        <v>412.31461764705881</v>
      </c>
      <c r="AA1860" s="2">
        <f>(EV_Data4[[#This Row],[customer_rating]]*EV_Data4[[#This Row],[safety_rating]]*1000)/EV_Data4[[#This Row],[price_usd]]</f>
        <v>0.11527462217066251</v>
      </c>
      <c r="AB1860">
        <f>EV_Data4[[#This Row],[horsepower]]+EV_Data4[[#This Row],[torque_nm]]/EV_Data4[[#This Row],[acceleration_0_60_mph]]</f>
        <v>985.56060606060601</v>
      </c>
      <c r="AC1860" t="str">
        <f>IF(EV_Data4[[#This Row],[price_usd]]&gt;=80000,"Luxury",IF(EV_Data4[[#This Row],[price_usd]]&gt;=40000,"Mid-Range","Budget"))</f>
        <v>Luxury</v>
      </c>
      <c r="AD1860" t="str">
        <f>IF(EV_Data4[[#This Row],[range_miles]]&gt;=350,"Long-Range",IF(EV_Data4[[#This Row],[range_miles]]&gt;=250,"Medium-Range","Short-Range"))</f>
        <v>Medium-Range</v>
      </c>
      <c r="AE1860" t="str">
        <f>IF(EV_Data4[[#This Row],[charging_speed_kw]]&gt;=250,"Ultra-Fast",IF(EV_Data4[[#This Row],[charging_speed_kw]]&gt;=150,"Fast-Charging","Standard-Charging"))</f>
        <v>Standard-Charging</v>
      </c>
      <c r="AF1860" t="str">
        <f>IF(EV_Data4[[#This Row],[acceleration_0_60_mph]]&lt;=3,"SportsPerformance",IF(EV_Data4[[#This Row],[acceleration_0_60_mph]]&lt;=5,"HighPerformance","Standard"))</f>
        <v>Standard</v>
      </c>
      <c r="AG1860" t="str">
        <f>IF(EV_Data4[[#This Row],[customer_rating]]&gt;=4.5,"Excellent",IF(EV_Data4[[#This Row],[customer_rating]]&gt;=3.5,"Good","Average"))</f>
        <v>Good</v>
      </c>
      <c r="AH186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61" spans="1:34" x14ac:dyDescent="0.3">
      <c r="A1861" t="s">
        <v>38</v>
      </c>
      <c r="B1861" t="s">
        <v>118</v>
      </c>
      <c r="C1861">
        <v>2025</v>
      </c>
      <c r="D1861" t="s">
        <v>33</v>
      </c>
      <c r="E1861" s="3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34</v>
      </c>
      <c r="N1861">
        <v>7</v>
      </c>
      <c r="O1861" t="s">
        <v>51</v>
      </c>
      <c r="P1861">
        <v>27.5</v>
      </c>
      <c r="Q1861">
        <v>1500</v>
      </c>
      <c r="R1861">
        <v>4</v>
      </c>
      <c r="S1861">
        <v>0</v>
      </c>
      <c r="T1861" t="s">
        <v>41</v>
      </c>
      <c r="U1861" t="s">
        <v>33</v>
      </c>
      <c r="V1861" s="3">
        <v>11923</v>
      </c>
      <c r="W1861">
        <v>3.61</v>
      </c>
      <c r="X1861">
        <v>4</v>
      </c>
      <c r="Y1861" s="1">
        <f>EV_Data4[[#This Row],[range_miles]]/EV_Data4[[#This Row],[battery_capacity_kwh]]</f>
        <v>3.3373349339735894</v>
      </c>
      <c r="Z1861" s="4">
        <f>EV_Data4[[#This Row],[price_usd]]/EV_Data4[[#This Row],[range_miles]]</f>
        <v>254.52906474820145</v>
      </c>
      <c r="AA1861" s="2">
        <f>(EV_Data4[[#This Row],[customer_rating]]*EV_Data4[[#This Row],[safety_rating]]*1000)/EV_Data4[[#This Row],[price_usd]]</f>
        <v>0.20407274939131487</v>
      </c>
      <c r="AB1861">
        <f>EV_Data4[[#This Row],[horsepower]]+EV_Data4[[#This Row],[torque_nm]]/EV_Data4[[#This Row],[acceleration_0_60_mph]]</f>
        <v>1137.2549019607843</v>
      </c>
      <c r="AC1861" t="str">
        <f>IF(EV_Data4[[#This Row],[price_usd]]&gt;=80000,"Luxury",IF(EV_Data4[[#This Row],[price_usd]]&gt;=40000,"Mid-Range","Budget"))</f>
        <v>Mid-Range</v>
      </c>
      <c r="AD1861" t="str">
        <f>IF(EV_Data4[[#This Row],[range_miles]]&gt;=350,"Long-Range",IF(EV_Data4[[#This Row],[range_miles]]&gt;=250,"Medium-Range","Short-Range"))</f>
        <v>Medium-Range</v>
      </c>
      <c r="AE1861" t="str">
        <f>IF(EV_Data4[[#This Row],[charging_speed_kw]]&gt;=250,"Ultra-Fast",IF(EV_Data4[[#This Row],[charging_speed_kw]]&gt;=150,"Fast-Charging","Standard-Charging"))</f>
        <v>Standard-Charging</v>
      </c>
      <c r="AF1861" t="str">
        <f>IF(EV_Data4[[#This Row],[acceleration_0_60_mph]]&lt;=3,"SportsPerformance",IF(EV_Data4[[#This Row],[acceleration_0_60_mph]]&lt;=5,"HighPerformance","Standard"))</f>
        <v>Standard</v>
      </c>
      <c r="AG1861" t="str">
        <f>IF(EV_Data4[[#This Row],[customer_rating]]&gt;=4.5,"Excellent",IF(EV_Data4[[#This Row],[customer_rating]]&gt;=3.5,"Good","Average"))</f>
        <v>Good</v>
      </c>
      <c r="AH186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62" spans="1:34" x14ac:dyDescent="0.3">
      <c r="A1862" t="s">
        <v>76</v>
      </c>
      <c r="B1862" t="s">
        <v>98</v>
      </c>
      <c r="C1862">
        <v>2025</v>
      </c>
      <c r="D1862" t="s">
        <v>61</v>
      </c>
      <c r="E1862" s="3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34</v>
      </c>
      <c r="N1862">
        <v>5</v>
      </c>
      <c r="O1862" t="s">
        <v>35</v>
      </c>
      <c r="P1862">
        <v>48.4</v>
      </c>
      <c r="Q1862">
        <v>1896</v>
      </c>
      <c r="R1862">
        <v>4</v>
      </c>
      <c r="S1862">
        <v>2</v>
      </c>
      <c r="T1862" t="s">
        <v>41</v>
      </c>
      <c r="U1862" t="s">
        <v>37</v>
      </c>
      <c r="V1862" s="3">
        <v>64630</v>
      </c>
      <c r="W1862">
        <v>3.23</v>
      </c>
      <c r="X1862">
        <v>5</v>
      </c>
      <c r="Y1862" s="1">
        <f>EV_Data4[[#This Row],[range_miles]]/EV_Data4[[#This Row],[battery_capacity_kwh]]</f>
        <v>3.3885819521178639</v>
      </c>
      <c r="Z1862" s="4">
        <f>EV_Data4[[#This Row],[price_usd]]/EV_Data4[[#This Row],[range_miles]]</f>
        <v>312.86369565217393</v>
      </c>
      <c r="AA1862" s="2">
        <f>(EV_Data4[[#This Row],[customer_rating]]*EV_Data4[[#This Row],[safety_rating]]*1000)/EV_Data4[[#This Row],[price_usd]]</f>
        <v>0.22443444950676536</v>
      </c>
      <c r="AB1862">
        <f>EV_Data4[[#This Row],[horsepower]]+EV_Data4[[#This Row],[torque_nm]]/EV_Data4[[#This Row],[acceleration_0_60_mph]]</f>
        <v>688.33707865168537</v>
      </c>
      <c r="AC1862" t="str">
        <f>IF(EV_Data4[[#This Row],[price_usd]]&gt;=80000,"Luxury",IF(EV_Data4[[#This Row],[price_usd]]&gt;=40000,"Mid-Range","Budget"))</f>
        <v>Mid-Range</v>
      </c>
      <c r="AD1862" t="str">
        <f>IF(EV_Data4[[#This Row],[range_miles]]&gt;=350,"Long-Range",IF(EV_Data4[[#This Row],[range_miles]]&gt;=250,"Medium-Range","Short-Range"))</f>
        <v>Short-Range</v>
      </c>
      <c r="AE1862" t="str">
        <f>IF(EV_Data4[[#This Row],[charging_speed_kw]]&gt;=250,"Ultra-Fast",IF(EV_Data4[[#This Row],[charging_speed_kw]]&gt;=150,"Fast-Charging","Standard-Charging"))</f>
        <v>Standard-Charging</v>
      </c>
      <c r="AF1862" t="str">
        <f>IF(EV_Data4[[#This Row],[acceleration_0_60_mph]]&lt;=3,"SportsPerformance",IF(EV_Data4[[#This Row],[acceleration_0_60_mph]]&lt;=5,"HighPerformance","Standard"))</f>
        <v>Standard</v>
      </c>
      <c r="AG1862" t="str">
        <f>IF(EV_Data4[[#This Row],[customer_rating]]&gt;=4.5,"Excellent",IF(EV_Data4[[#This Row],[customer_rating]]&gt;=3.5,"Good","Average"))</f>
        <v>Average</v>
      </c>
      <c r="AH186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63" spans="1:34" x14ac:dyDescent="0.3">
      <c r="A1863" t="s">
        <v>83</v>
      </c>
      <c r="B1863" t="s">
        <v>114</v>
      </c>
      <c r="C1863">
        <v>2026</v>
      </c>
      <c r="D1863" t="s">
        <v>44</v>
      </c>
      <c r="E1863" s="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27</v>
      </c>
      <c r="N1863">
        <v>5</v>
      </c>
      <c r="O1863" t="s">
        <v>28</v>
      </c>
      <c r="P1863">
        <v>65.5</v>
      </c>
      <c r="Q1863">
        <v>2713</v>
      </c>
      <c r="R1863">
        <v>5</v>
      </c>
      <c r="S1863">
        <v>1</v>
      </c>
      <c r="T1863" t="s">
        <v>29</v>
      </c>
      <c r="U1863" t="s">
        <v>30</v>
      </c>
      <c r="V1863" s="3">
        <v>50691</v>
      </c>
      <c r="W1863">
        <v>3.66</v>
      </c>
      <c r="X1863">
        <v>6</v>
      </c>
      <c r="Y1863" s="1">
        <f>EV_Data4[[#This Row],[range_miles]]/EV_Data4[[#This Row],[battery_capacity_kwh]]</f>
        <v>3.6772777167947313</v>
      </c>
      <c r="Z1863" s="4">
        <f>EV_Data4[[#This Row],[price_usd]]/EV_Data4[[#This Row],[range_miles]]</f>
        <v>375.18388059701493</v>
      </c>
      <c r="AA1863" s="2">
        <f>(EV_Data4[[#This Row],[customer_rating]]*EV_Data4[[#This Row],[safety_rating]]*1000)/EV_Data4[[#This Row],[price_usd]]</f>
        <v>0.14560024696347901</v>
      </c>
      <c r="AB1863">
        <f>EV_Data4[[#This Row],[horsepower]]+EV_Data4[[#This Row],[torque_nm]]/EV_Data4[[#This Row],[acceleration_0_60_mph]]</f>
        <v>1152.8301886792453</v>
      </c>
      <c r="AC1863" t="str">
        <f>IF(EV_Data4[[#This Row],[price_usd]]&gt;=80000,"Luxury",IF(EV_Data4[[#This Row],[price_usd]]&gt;=40000,"Mid-Range","Budget"))</f>
        <v>Luxury</v>
      </c>
      <c r="AD1863" t="str">
        <f>IF(EV_Data4[[#This Row],[range_miles]]&gt;=350,"Long-Range",IF(EV_Data4[[#This Row],[range_miles]]&gt;=250,"Medium-Range","Short-Range"))</f>
        <v>Medium-Range</v>
      </c>
      <c r="AE1863" t="str">
        <f>IF(EV_Data4[[#This Row],[charging_speed_kw]]&gt;=250,"Ultra-Fast",IF(EV_Data4[[#This Row],[charging_speed_kw]]&gt;=150,"Fast-Charging","Standard-Charging"))</f>
        <v>Standard-Charging</v>
      </c>
      <c r="AF1863" t="str">
        <f>IF(EV_Data4[[#This Row],[acceleration_0_60_mph]]&lt;=3,"SportsPerformance",IF(EV_Data4[[#This Row],[acceleration_0_60_mph]]&lt;=5,"HighPerformance","Standard"))</f>
        <v>Standard</v>
      </c>
      <c r="AG1863" t="str">
        <f>IF(EV_Data4[[#This Row],[customer_rating]]&gt;=4.5,"Excellent",IF(EV_Data4[[#This Row],[customer_rating]]&gt;=3.5,"Good","Average"))</f>
        <v>Good</v>
      </c>
      <c r="AH186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64" spans="1:34" x14ac:dyDescent="0.3">
      <c r="A1864" t="s">
        <v>46</v>
      </c>
      <c r="B1864" t="s">
        <v>57</v>
      </c>
      <c r="C1864">
        <v>2024</v>
      </c>
      <c r="D1864" t="s">
        <v>26</v>
      </c>
      <c r="E1864" s="3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34</v>
      </c>
      <c r="N1864">
        <v>5</v>
      </c>
      <c r="O1864" t="s">
        <v>50</v>
      </c>
      <c r="P1864">
        <v>18.5</v>
      </c>
      <c r="Q1864">
        <v>1894</v>
      </c>
      <c r="R1864">
        <v>3</v>
      </c>
      <c r="S1864">
        <v>2</v>
      </c>
      <c r="T1864" t="s">
        <v>41</v>
      </c>
      <c r="U1864" t="s">
        <v>37</v>
      </c>
      <c r="V1864" s="3">
        <v>145470</v>
      </c>
      <c r="W1864">
        <v>4.0999999999999996</v>
      </c>
      <c r="X1864">
        <v>5</v>
      </c>
      <c r="Y1864" s="1">
        <f>EV_Data4[[#This Row],[range_miles]]/EV_Data4[[#This Row],[battery_capacity_kwh]]</f>
        <v>3.7103684661525276</v>
      </c>
      <c r="Z1864" s="4">
        <f>EV_Data4[[#This Row],[price_usd]]/EV_Data4[[#This Row],[range_miles]]</f>
        <v>148.40956120092378</v>
      </c>
      <c r="AA1864" s="2">
        <f>(EV_Data4[[#This Row],[customer_rating]]*EV_Data4[[#This Row],[safety_rating]]*1000)/EV_Data4[[#This Row],[price_usd]]</f>
        <v>0.19140590594593887</v>
      </c>
      <c r="AB1864">
        <f>EV_Data4[[#This Row],[horsepower]]+EV_Data4[[#This Row],[torque_nm]]/EV_Data4[[#This Row],[acceleration_0_60_mph]]</f>
        <v>531.02097902097898</v>
      </c>
      <c r="AC1864" t="str">
        <f>IF(EV_Data4[[#This Row],[price_usd]]&gt;=80000,"Luxury",IF(EV_Data4[[#This Row],[price_usd]]&gt;=40000,"Mid-Range","Budget"))</f>
        <v>Mid-Range</v>
      </c>
      <c r="AD1864" t="str">
        <f>IF(EV_Data4[[#This Row],[range_miles]]&gt;=350,"Long-Range",IF(EV_Data4[[#This Row],[range_miles]]&gt;=250,"Medium-Range","Short-Range"))</f>
        <v>Long-Range</v>
      </c>
      <c r="AE1864" t="str">
        <f>IF(EV_Data4[[#This Row],[charging_speed_kw]]&gt;=250,"Ultra-Fast",IF(EV_Data4[[#This Row],[charging_speed_kw]]&gt;=150,"Fast-Charging","Standard-Charging"))</f>
        <v>Ultra-Fast</v>
      </c>
      <c r="AF1864" t="str">
        <f>IF(EV_Data4[[#This Row],[acceleration_0_60_mph]]&lt;=3,"SportsPerformance",IF(EV_Data4[[#This Row],[acceleration_0_60_mph]]&lt;=5,"HighPerformance","Standard"))</f>
        <v>SportsPerformance</v>
      </c>
      <c r="AG1864" t="str">
        <f>IF(EV_Data4[[#This Row],[customer_rating]]&gt;=4.5,"Excellent",IF(EV_Data4[[#This Row],[customer_rating]]&gt;=3.5,"Good","Average"))</f>
        <v>Good</v>
      </c>
      <c r="AH186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65" spans="1:34" x14ac:dyDescent="0.3">
      <c r="A1865" t="s">
        <v>42</v>
      </c>
      <c r="B1865" t="s">
        <v>43</v>
      </c>
      <c r="C1865">
        <v>2023</v>
      </c>
      <c r="D1865" t="s">
        <v>56</v>
      </c>
      <c r="E1865" s="3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27</v>
      </c>
      <c r="N1865">
        <v>5</v>
      </c>
      <c r="O1865" t="s">
        <v>35</v>
      </c>
      <c r="P1865">
        <v>45.5</v>
      </c>
      <c r="Q1865">
        <v>2106</v>
      </c>
      <c r="R1865">
        <v>5</v>
      </c>
      <c r="S1865">
        <v>1</v>
      </c>
      <c r="T1865" t="s">
        <v>45</v>
      </c>
      <c r="U1865" t="s">
        <v>66</v>
      </c>
      <c r="V1865" s="3">
        <v>68930</v>
      </c>
      <c r="W1865">
        <v>3.05</v>
      </c>
      <c r="X1865">
        <v>4</v>
      </c>
      <c r="Y1865" s="1">
        <f>EV_Data4[[#This Row],[range_miles]]/EV_Data4[[#This Row],[battery_capacity_kwh]]</f>
        <v>3.8215102974828374</v>
      </c>
      <c r="Z1865" s="4">
        <f>EV_Data4[[#This Row],[price_usd]]/EV_Data4[[#This Row],[range_miles]]</f>
        <v>185.7151497005988</v>
      </c>
      <c r="AA1865" s="2">
        <f>(EV_Data4[[#This Row],[customer_rating]]*EV_Data4[[#This Row],[safety_rating]]*1000)/EV_Data4[[#This Row],[price_usd]]</f>
        <v>0.49170660237831226</v>
      </c>
      <c r="AB1865">
        <f>EV_Data4[[#This Row],[horsepower]]+EV_Data4[[#This Row],[torque_nm]]/EV_Data4[[#This Row],[acceleration_0_60_mph]]</f>
        <v>229.94011976047904</v>
      </c>
      <c r="AC1865" t="str">
        <f>IF(EV_Data4[[#This Row],[price_usd]]&gt;=80000,"Luxury",IF(EV_Data4[[#This Row],[price_usd]]&gt;=40000,"Mid-Range","Budget"))</f>
        <v>Budget</v>
      </c>
      <c r="AD1865" t="str">
        <f>IF(EV_Data4[[#This Row],[range_miles]]&gt;=350,"Long-Range",IF(EV_Data4[[#This Row],[range_miles]]&gt;=250,"Medium-Range","Short-Range"))</f>
        <v>Short-Range</v>
      </c>
      <c r="AE1865" t="str">
        <f>IF(EV_Data4[[#This Row],[charging_speed_kw]]&gt;=250,"Ultra-Fast",IF(EV_Data4[[#This Row],[charging_speed_kw]]&gt;=150,"Fast-Charging","Standard-Charging"))</f>
        <v>Standard-Charging</v>
      </c>
      <c r="AF1865" t="str">
        <f>IF(EV_Data4[[#This Row],[acceleration_0_60_mph]]&lt;=3,"SportsPerformance",IF(EV_Data4[[#This Row],[acceleration_0_60_mph]]&lt;=5,"HighPerformance","Standard"))</f>
        <v>Standard</v>
      </c>
      <c r="AG1865" t="str">
        <f>IF(EV_Data4[[#This Row],[customer_rating]]&gt;=4.5,"Excellent",IF(EV_Data4[[#This Row],[customer_rating]]&gt;=3.5,"Good","Average"))</f>
        <v>Average</v>
      </c>
      <c r="AH186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66" spans="1:34" x14ac:dyDescent="0.3">
      <c r="A1866" t="s">
        <v>134</v>
      </c>
      <c r="B1866">
        <v>3</v>
      </c>
      <c r="C1866">
        <v>2024</v>
      </c>
      <c r="D1866" t="s">
        <v>61</v>
      </c>
      <c r="E1866" s="3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27</v>
      </c>
      <c r="N1866">
        <v>5</v>
      </c>
      <c r="O1866" t="s">
        <v>28</v>
      </c>
      <c r="P1866">
        <v>76.900000000000006</v>
      </c>
      <c r="Q1866">
        <v>2331</v>
      </c>
      <c r="R1866">
        <v>4</v>
      </c>
      <c r="S1866">
        <v>1</v>
      </c>
      <c r="T1866" t="s">
        <v>123</v>
      </c>
      <c r="U1866" t="s">
        <v>30</v>
      </c>
      <c r="V1866" s="3">
        <v>14704</v>
      </c>
      <c r="W1866">
        <v>3.58</v>
      </c>
      <c r="X1866">
        <v>4</v>
      </c>
      <c r="Y1866" s="1">
        <f>EV_Data4[[#This Row],[range_miles]]/EV_Data4[[#This Row],[battery_capacity_kwh]]</f>
        <v>3.7301587301587302</v>
      </c>
      <c r="Z1866" s="4">
        <f>EV_Data4[[#This Row],[price_usd]]/EV_Data4[[#This Row],[range_miles]]</f>
        <v>413.22067375886525</v>
      </c>
      <c r="AA1866" s="2">
        <f>(EV_Data4[[#This Row],[customer_rating]]*EV_Data4[[#This Row],[safety_rating]]*1000)/EV_Data4[[#This Row],[price_usd]]</f>
        <v>0.12288867684680356</v>
      </c>
      <c r="AB1866">
        <f>EV_Data4[[#This Row],[horsepower]]+EV_Data4[[#This Row],[torque_nm]]/EV_Data4[[#This Row],[acceleration_0_60_mph]]</f>
        <v>1001.6918687589158</v>
      </c>
      <c r="AC1866" t="str">
        <f>IF(EV_Data4[[#This Row],[price_usd]]&gt;=80000,"Luxury",IF(EV_Data4[[#This Row],[price_usd]]&gt;=40000,"Mid-Range","Budget"))</f>
        <v>Luxury</v>
      </c>
      <c r="AD1866" t="str">
        <f>IF(EV_Data4[[#This Row],[range_miles]]&gt;=350,"Long-Range",IF(EV_Data4[[#This Row],[range_miles]]&gt;=250,"Medium-Range","Short-Range"))</f>
        <v>Medium-Range</v>
      </c>
      <c r="AE1866" t="str">
        <f>IF(EV_Data4[[#This Row],[charging_speed_kw]]&gt;=250,"Ultra-Fast",IF(EV_Data4[[#This Row],[charging_speed_kw]]&gt;=150,"Fast-Charging","Standard-Charging"))</f>
        <v>Standard-Charging</v>
      </c>
      <c r="AF1866" t="str">
        <f>IF(EV_Data4[[#This Row],[acceleration_0_60_mph]]&lt;=3,"SportsPerformance",IF(EV_Data4[[#This Row],[acceleration_0_60_mph]]&lt;=5,"HighPerformance","Standard"))</f>
        <v>Standard</v>
      </c>
      <c r="AG1866" t="str">
        <f>IF(EV_Data4[[#This Row],[customer_rating]]&gt;=4.5,"Excellent",IF(EV_Data4[[#This Row],[customer_rating]]&gt;=3.5,"Good","Average"))</f>
        <v>Good</v>
      </c>
      <c r="AH186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67" spans="1:34" x14ac:dyDescent="0.3">
      <c r="A1867" t="s">
        <v>92</v>
      </c>
      <c r="B1867" t="s">
        <v>119</v>
      </c>
      <c r="C1867">
        <v>2024</v>
      </c>
      <c r="D1867" t="s">
        <v>26</v>
      </c>
      <c r="E1867" s="3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27</v>
      </c>
      <c r="N1867">
        <v>5</v>
      </c>
      <c r="O1867" t="s">
        <v>50</v>
      </c>
      <c r="P1867">
        <v>23.3</v>
      </c>
      <c r="Q1867">
        <v>1500</v>
      </c>
      <c r="R1867">
        <v>5</v>
      </c>
      <c r="S1867">
        <v>0</v>
      </c>
      <c r="T1867" t="s">
        <v>65</v>
      </c>
      <c r="U1867" t="s">
        <v>30</v>
      </c>
      <c r="V1867" s="3">
        <v>28598</v>
      </c>
      <c r="W1867">
        <v>3.78</v>
      </c>
      <c r="X1867">
        <v>3</v>
      </c>
      <c r="Y1867" s="1">
        <f>EV_Data4[[#This Row],[range_miles]]/EV_Data4[[#This Row],[battery_capacity_kwh]]</f>
        <v>3.5706580366774539</v>
      </c>
      <c r="Z1867" s="4">
        <f>EV_Data4[[#This Row],[price_usd]]/EV_Data4[[#This Row],[range_miles]]</f>
        <v>435.518670694864</v>
      </c>
      <c r="AA1867" s="2">
        <f>(EV_Data4[[#This Row],[customer_rating]]*EV_Data4[[#This Row],[safety_rating]]*1000)/EV_Data4[[#This Row],[price_usd]]</f>
        <v>0.13110734792171963</v>
      </c>
      <c r="AB1867">
        <f>EV_Data4[[#This Row],[horsepower]]+EV_Data4[[#This Row],[torque_nm]]/EV_Data4[[#This Row],[acceleration_0_60_mph]]</f>
        <v>1300.3546099290779</v>
      </c>
      <c r="AC1867" t="str">
        <f>IF(EV_Data4[[#This Row],[price_usd]]&gt;=80000,"Luxury",IF(EV_Data4[[#This Row],[price_usd]]&gt;=40000,"Mid-Range","Budget"))</f>
        <v>Luxury</v>
      </c>
      <c r="AD1867" t="str">
        <f>IF(EV_Data4[[#This Row],[range_miles]]&gt;=350,"Long-Range",IF(EV_Data4[[#This Row],[range_miles]]&gt;=250,"Medium-Range","Short-Range"))</f>
        <v>Medium-Range</v>
      </c>
      <c r="AE1867" t="str">
        <f>IF(EV_Data4[[#This Row],[charging_speed_kw]]&gt;=250,"Ultra-Fast",IF(EV_Data4[[#This Row],[charging_speed_kw]]&gt;=150,"Fast-Charging","Standard-Charging"))</f>
        <v>Fast-Charging</v>
      </c>
      <c r="AF1867" t="str">
        <f>IF(EV_Data4[[#This Row],[acceleration_0_60_mph]]&lt;=3,"SportsPerformance",IF(EV_Data4[[#This Row],[acceleration_0_60_mph]]&lt;=5,"HighPerformance","Standard"))</f>
        <v>SportsPerformance</v>
      </c>
      <c r="AG1867" t="str">
        <f>IF(EV_Data4[[#This Row],[customer_rating]]&gt;=4.5,"Excellent",IF(EV_Data4[[#This Row],[customer_rating]]&gt;=3.5,"Good","Average"))</f>
        <v>Good</v>
      </c>
      <c r="AH186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68" spans="1:34" x14ac:dyDescent="0.3">
      <c r="A1868" t="s">
        <v>46</v>
      </c>
      <c r="B1868" t="s">
        <v>78</v>
      </c>
      <c r="C1868">
        <v>2024</v>
      </c>
      <c r="D1868" t="s">
        <v>56</v>
      </c>
      <c r="E1868" s="3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34</v>
      </c>
      <c r="N1868">
        <v>7</v>
      </c>
      <c r="O1868" t="s">
        <v>40</v>
      </c>
      <c r="P1868">
        <v>77.3</v>
      </c>
      <c r="Q1868">
        <v>1545</v>
      </c>
      <c r="R1868">
        <v>3</v>
      </c>
      <c r="S1868">
        <v>3</v>
      </c>
      <c r="T1868" t="s">
        <v>41</v>
      </c>
      <c r="U1868" t="s">
        <v>33</v>
      </c>
      <c r="V1868" s="3">
        <v>135420</v>
      </c>
      <c r="W1868">
        <v>3.42</v>
      </c>
      <c r="X1868">
        <v>5</v>
      </c>
      <c r="Y1868" s="1">
        <f>EV_Data4[[#This Row],[range_miles]]/EV_Data4[[#This Row],[battery_capacity_kwh]]</f>
        <v>3.6674816625916873</v>
      </c>
      <c r="Z1868" s="4">
        <f>EV_Data4[[#This Row],[price_usd]]/EV_Data4[[#This Row],[range_miles]]</f>
        <v>648.70113333333336</v>
      </c>
      <c r="AA1868" s="2">
        <f>(EV_Data4[[#This Row],[customer_rating]]*EV_Data4[[#This Row],[safety_rating]]*1000)/EV_Data4[[#This Row],[price_usd]]</f>
        <v>0.10544146832074802</v>
      </c>
      <c r="AB1868">
        <f>EV_Data4[[#This Row],[horsepower]]+EV_Data4[[#This Row],[torque_nm]]/EV_Data4[[#This Row],[acceleration_0_60_mph]]</f>
        <v>836.61049284578701</v>
      </c>
      <c r="AC1868" t="str">
        <f>IF(EV_Data4[[#This Row],[price_usd]]&gt;=80000,"Luxury",IF(EV_Data4[[#This Row],[price_usd]]&gt;=40000,"Mid-Range","Budget"))</f>
        <v>Luxury</v>
      </c>
      <c r="AD1868" t="str">
        <f>IF(EV_Data4[[#This Row],[range_miles]]&gt;=350,"Long-Range",IF(EV_Data4[[#This Row],[range_miles]]&gt;=250,"Medium-Range","Short-Range"))</f>
        <v>Short-Range</v>
      </c>
      <c r="AE1868" t="str">
        <f>IF(EV_Data4[[#This Row],[charging_speed_kw]]&gt;=250,"Ultra-Fast",IF(EV_Data4[[#This Row],[charging_speed_kw]]&gt;=150,"Fast-Charging","Standard-Charging"))</f>
        <v>Ultra-Fast</v>
      </c>
      <c r="AF1868" t="str">
        <f>IF(EV_Data4[[#This Row],[acceleration_0_60_mph]]&lt;=3,"SportsPerformance",IF(EV_Data4[[#This Row],[acceleration_0_60_mph]]&lt;=5,"HighPerformance","Standard"))</f>
        <v>Standard</v>
      </c>
      <c r="AG1868" t="str">
        <f>IF(EV_Data4[[#This Row],[customer_rating]]&gt;=4.5,"Excellent",IF(EV_Data4[[#This Row],[customer_rating]]&gt;=3.5,"Good","Average"))</f>
        <v>Average</v>
      </c>
      <c r="AH1868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869" spans="1:34" x14ac:dyDescent="0.3">
      <c r="A1869" t="s">
        <v>46</v>
      </c>
      <c r="B1869" t="s">
        <v>72</v>
      </c>
      <c r="C1869">
        <v>2021</v>
      </c>
      <c r="D1869" t="s">
        <v>56</v>
      </c>
      <c r="E1869" s="3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48</v>
      </c>
      <c r="N1869">
        <v>5</v>
      </c>
      <c r="O1869" t="s">
        <v>28</v>
      </c>
      <c r="P1869">
        <v>57.4</v>
      </c>
      <c r="Q1869">
        <v>2450</v>
      </c>
      <c r="R1869">
        <v>4</v>
      </c>
      <c r="S1869">
        <v>3</v>
      </c>
      <c r="T1869" t="s">
        <v>41</v>
      </c>
      <c r="U1869" t="s">
        <v>37</v>
      </c>
      <c r="V1869" s="3">
        <v>243316</v>
      </c>
      <c r="W1869">
        <v>3.49</v>
      </c>
      <c r="X1869">
        <v>5</v>
      </c>
      <c r="Y1869" s="1">
        <f>EV_Data4[[#This Row],[range_miles]]/EV_Data4[[#This Row],[battery_capacity_kwh]]</f>
        <v>3.5140562248995986</v>
      </c>
      <c r="Z1869" s="4">
        <f>EV_Data4[[#This Row],[price_usd]]/EV_Data4[[#This Row],[range_miles]]</f>
        <v>369.22034285714284</v>
      </c>
      <c r="AA1869" s="2">
        <f>(EV_Data4[[#This Row],[customer_rating]]*EV_Data4[[#This Row],[safety_rating]]*1000)/EV_Data4[[#This Row],[price_usd]]</f>
        <v>0.21605371999314077</v>
      </c>
      <c r="AB1869">
        <f>EV_Data4[[#This Row],[horsepower]]+EV_Data4[[#This Row],[torque_nm]]/EV_Data4[[#This Row],[acceleration_0_60_mph]]</f>
        <v>476.49679075738123</v>
      </c>
      <c r="AC1869" t="str">
        <f>IF(EV_Data4[[#This Row],[price_usd]]&gt;=80000,"Luxury",IF(EV_Data4[[#This Row],[price_usd]]&gt;=40000,"Mid-Range","Budget"))</f>
        <v>Mid-Range</v>
      </c>
      <c r="AD1869" t="str">
        <f>IF(EV_Data4[[#This Row],[range_miles]]&gt;=350,"Long-Range",IF(EV_Data4[[#This Row],[range_miles]]&gt;=250,"Medium-Range","Short-Range"))</f>
        <v>Short-Range</v>
      </c>
      <c r="AE1869" t="str">
        <f>IF(EV_Data4[[#This Row],[charging_speed_kw]]&gt;=250,"Ultra-Fast",IF(EV_Data4[[#This Row],[charging_speed_kw]]&gt;=150,"Fast-Charging","Standard-Charging"))</f>
        <v>Fast-Charging</v>
      </c>
      <c r="AF1869" t="str">
        <f>IF(EV_Data4[[#This Row],[acceleration_0_60_mph]]&lt;=3,"SportsPerformance",IF(EV_Data4[[#This Row],[acceleration_0_60_mph]]&lt;=5,"HighPerformance","Standard"))</f>
        <v>Standard</v>
      </c>
      <c r="AG1869" t="str">
        <f>IF(EV_Data4[[#This Row],[customer_rating]]&gt;=4.5,"Excellent",IF(EV_Data4[[#This Row],[customer_rating]]&gt;=3.5,"Good","Average"))</f>
        <v>Average</v>
      </c>
      <c r="AH1869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870" spans="1:34" x14ac:dyDescent="0.3">
      <c r="A1870" t="s">
        <v>46</v>
      </c>
      <c r="B1870" t="s">
        <v>49</v>
      </c>
      <c r="C1870">
        <v>2024</v>
      </c>
      <c r="D1870" t="s">
        <v>33</v>
      </c>
      <c r="E1870" s="3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48</v>
      </c>
      <c r="N1870">
        <v>5</v>
      </c>
      <c r="O1870" t="s">
        <v>28</v>
      </c>
      <c r="P1870">
        <v>60.1</v>
      </c>
      <c r="Q1870">
        <v>2813</v>
      </c>
      <c r="R1870">
        <v>5</v>
      </c>
      <c r="S1870">
        <v>2</v>
      </c>
      <c r="T1870" t="s">
        <v>41</v>
      </c>
      <c r="U1870" t="s">
        <v>30</v>
      </c>
      <c r="V1870" s="3">
        <v>461025</v>
      </c>
      <c r="W1870">
        <v>3.45</v>
      </c>
      <c r="X1870">
        <v>6</v>
      </c>
      <c r="Y1870" s="1">
        <f>EV_Data4[[#This Row],[range_miles]]/EV_Data4[[#This Row],[battery_capacity_kwh]]</f>
        <v>3.5853131749460045</v>
      </c>
      <c r="Z1870" s="4">
        <f>EV_Data4[[#This Row],[price_usd]]/EV_Data4[[#This Row],[range_miles]]</f>
        <v>856.8693373493976</v>
      </c>
      <c r="AA1870" s="2">
        <f>(EV_Data4[[#This Row],[customer_rating]]*EV_Data4[[#This Row],[safety_rating]]*1000)/EV_Data4[[#This Row],[price_usd]]</f>
        <v>0.12127363895649552</v>
      </c>
      <c r="AB1870">
        <f>EV_Data4[[#This Row],[horsepower]]+EV_Data4[[#This Row],[torque_nm]]/EV_Data4[[#This Row],[acceleration_0_60_mph]]</f>
        <v>1169.2167577413479</v>
      </c>
      <c r="AC1870" t="str">
        <f>IF(EV_Data4[[#This Row],[price_usd]]&gt;=80000,"Luxury",IF(EV_Data4[[#This Row],[price_usd]]&gt;=40000,"Mid-Range","Budget"))</f>
        <v>Luxury</v>
      </c>
      <c r="AD1870" t="str">
        <f>IF(EV_Data4[[#This Row],[range_miles]]&gt;=350,"Long-Range",IF(EV_Data4[[#This Row],[range_miles]]&gt;=250,"Medium-Range","Short-Range"))</f>
        <v>Short-Range</v>
      </c>
      <c r="AE1870" t="str">
        <f>IF(EV_Data4[[#This Row],[charging_speed_kw]]&gt;=250,"Ultra-Fast",IF(EV_Data4[[#This Row],[charging_speed_kw]]&gt;=150,"Fast-Charging","Standard-Charging"))</f>
        <v>Fast-Charging</v>
      </c>
      <c r="AF1870" t="str">
        <f>IF(EV_Data4[[#This Row],[acceleration_0_60_mph]]&lt;=3,"SportsPerformance",IF(EV_Data4[[#This Row],[acceleration_0_60_mph]]&lt;=5,"HighPerformance","Standard"))</f>
        <v>Standard</v>
      </c>
      <c r="AG1870" t="str">
        <f>IF(EV_Data4[[#This Row],[customer_rating]]&gt;=4.5,"Excellent",IF(EV_Data4[[#This Row],[customer_rating]]&gt;=3.5,"Good","Average"))</f>
        <v>Average</v>
      </c>
      <c r="AH187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71" spans="1:34" x14ac:dyDescent="0.3">
      <c r="A1871" t="s">
        <v>38</v>
      </c>
      <c r="B1871" t="s">
        <v>55</v>
      </c>
      <c r="C1871">
        <v>2023</v>
      </c>
      <c r="D1871" t="s">
        <v>61</v>
      </c>
      <c r="E1871" s="3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27</v>
      </c>
      <c r="N1871">
        <v>7</v>
      </c>
      <c r="O1871" t="s">
        <v>58</v>
      </c>
      <c r="P1871">
        <v>38.9</v>
      </c>
      <c r="Q1871">
        <v>1500</v>
      </c>
      <c r="R1871">
        <v>5</v>
      </c>
      <c r="S1871">
        <v>2</v>
      </c>
      <c r="T1871" t="s">
        <v>41</v>
      </c>
      <c r="U1871" t="s">
        <v>37</v>
      </c>
      <c r="V1871" s="3">
        <v>7422</v>
      </c>
      <c r="W1871">
        <v>3.31</v>
      </c>
      <c r="X1871">
        <v>3</v>
      </c>
      <c r="Y1871" s="1">
        <f>EV_Data4[[#This Row],[range_miles]]/EV_Data4[[#This Row],[battery_capacity_kwh]]</f>
        <v>3.2789559543230018</v>
      </c>
      <c r="Z1871" s="4">
        <f>EV_Data4[[#This Row],[price_usd]]/EV_Data4[[#This Row],[range_miles]]</f>
        <v>226.53995024875621</v>
      </c>
      <c r="AA1871" s="2">
        <f>(EV_Data4[[#This Row],[customer_rating]]*EV_Data4[[#This Row],[safety_rating]]*1000)/EV_Data4[[#This Row],[price_usd]]</f>
        <v>0.36346043321409049</v>
      </c>
      <c r="AB1871">
        <f>EV_Data4[[#This Row],[horsepower]]+EV_Data4[[#This Row],[torque_nm]]/EV_Data4[[#This Row],[acceleration_0_60_mph]]</f>
        <v>528.67275097783568</v>
      </c>
      <c r="AC1871" t="str">
        <f>IF(EV_Data4[[#This Row],[price_usd]]&gt;=80000,"Luxury",IF(EV_Data4[[#This Row],[price_usd]]&gt;=40000,"Mid-Range","Budget"))</f>
        <v>Mid-Range</v>
      </c>
      <c r="AD1871" t="str">
        <f>IF(EV_Data4[[#This Row],[range_miles]]&gt;=350,"Long-Range",IF(EV_Data4[[#This Row],[range_miles]]&gt;=250,"Medium-Range","Short-Range"))</f>
        <v>Short-Range</v>
      </c>
      <c r="AE1871" t="str">
        <f>IF(EV_Data4[[#This Row],[charging_speed_kw]]&gt;=250,"Ultra-Fast",IF(EV_Data4[[#This Row],[charging_speed_kw]]&gt;=150,"Fast-Charging","Standard-Charging"))</f>
        <v>Standard-Charging</v>
      </c>
      <c r="AF1871" t="str">
        <f>IF(EV_Data4[[#This Row],[acceleration_0_60_mph]]&lt;=3,"SportsPerformance",IF(EV_Data4[[#This Row],[acceleration_0_60_mph]]&lt;=5,"HighPerformance","Standard"))</f>
        <v>Standard</v>
      </c>
      <c r="AG1871" t="str">
        <f>IF(EV_Data4[[#This Row],[customer_rating]]&gt;=4.5,"Excellent",IF(EV_Data4[[#This Row],[customer_rating]]&gt;=3.5,"Good","Average"))</f>
        <v>Average</v>
      </c>
      <c r="AH187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72" spans="1:34" x14ac:dyDescent="0.3">
      <c r="A1872" t="s">
        <v>76</v>
      </c>
      <c r="B1872" t="s">
        <v>91</v>
      </c>
      <c r="C1872">
        <v>2024</v>
      </c>
      <c r="D1872" t="s">
        <v>44</v>
      </c>
      <c r="E1872" s="3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34</v>
      </c>
      <c r="N1872">
        <v>2</v>
      </c>
      <c r="O1872" t="s">
        <v>28</v>
      </c>
      <c r="P1872">
        <v>78</v>
      </c>
      <c r="Q1872">
        <v>2611</v>
      </c>
      <c r="R1872">
        <v>5</v>
      </c>
      <c r="S1872">
        <v>0</v>
      </c>
      <c r="T1872" t="s">
        <v>41</v>
      </c>
      <c r="U1872" t="s">
        <v>33</v>
      </c>
      <c r="V1872" s="3">
        <v>63330</v>
      </c>
      <c r="W1872">
        <v>3.64</v>
      </c>
      <c r="X1872">
        <v>4</v>
      </c>
      <c r="Y1872" s="1">
        <f>EV_Data4[[#This Row],[range_miles]]/EV_Data4[[#This Row],[battery_capacity_kwh]]</f>
        <v>3.3083645443196006</v>
      </c>
      <c r="Z1872" s="4">
        <f>EV_Data4[[#This Row],[price_usd]]/EV_Data4[[#This Row],[range_miles]]</f>
        <v>334.88143396226417</v>
      </c>
      <c r="AA1872" s="2">
        <f>(EV_Data4[[#This Row],[customer_rating]]*EV_Data4[[#This Row],[safety_rating]]*1000)/EV_Data4[[#This Row],[price_usd]]</f>
        <v>0.2050852579983814</v>
      </c>
      <c r="AB1872">
        <f>EV_Data4[[#This Row],[horsepower]]+EV_Data4[[#This Row],[torque_nm]]/EV_Data4[[#This Row],[acceleration_0_60_mph]]</f>
        <v>1192.7350427350427</v>
      </c>
      <c r="AC1872" t="str">
        <f>IF(EV_Data4[[#This Row],[price_usd]]&gt;=80000,"Luxury",IF(EV_Data4[[#This Row],[price_usd]]&gt;=40000,"Mid-Range","Budget"))</f>
        <v>Luxury</v>
      </c>
      <c r="AD1872" t="str">
        <f>IF(EV_Data4[[#This Row],[range_miles]]&gt;=350,"Long-Range",IF(EV_Data4[[#This Row],[range_miles]]&gt;=250,"Medium-Range","Short-Range"))</f>
        <v>Medium-Range</v>
      </c>
      <c r="AE1872" t="str">
        <f>IF(EV_Data4[[#This Row],[charging_speed_kw]]&gt;=250,"Ultra-Fast",IF(EV_Data4[[#This Row],[charging_speed_kw]]&gt;=150,"Fast-Charging","Standard-Charging"))</f>
        <v>Standard-Charging</v>
      </c>
      <c r="AF1872" t="str">
        <f>IF(EV_Data4[[#This Row],[acceleration_0_60_mph]]&lt;=3,"SportsPerformance",IF(EV_Data4[[#This Row],[acceleration_0_60_mph]]&lt;=5,"HighPerformance","Standard"))</f>
        <v>HighPerformance</v>
      </c>
      <c r="AG1872" t="str">
        <f>IF(EV_Data4[[#This Row],[customer_rating]]&gt;=4.5,"Excellent",IF(EV_Data4[[#This Row],[customer_rating]]&gt;=3.5,"Good","Average"))</f>
        <v>Good</v>
      </c>
      <c r="AH187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73" spans="1:34" x14ac:dyDescent="0.3">
      <c r="A1873" t="s">
        <v>63</v>
      </c>
      <c r="B1873" t="s">
        <v>96</v>
      </c>
      <c r="C1873">
        <v>2021</v>
      </c>
      <c r="D1873" t="s">
        <v>61</v>
      </c>
      <c r="E1873" s="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34</v>
      </c>
      <c r="N1873">
        <v>7</v>
      </c>
      <c r="O1873" t="s">
        <v>28</v>
      </c>
      <c r="P1873">
        <v>51.5</v>
      </c>
      <c r="Q1873">
        <v>2585</v>
      </c>
      <c r="R1873">
        <v>4</v>
      </c>
      <c r="S1873">
        <v>1</v>
      </c>
      <c r="T1873" t="s">
        <v>65</v>
      </c>
      <c r="U1873" t="s">
        <v>37</v>
      </c>
      <c r="V1873" s="3">
        <v>112221</v>
      </c>
      <c r="W1873">
        <v>3.41</v>
      </c>
      <c r="X1873">
        <v>4</v>
      </c>
      <c r="Y1873" s="1">
        <f>EV_Data4[[#This Row],[range_miles]]/EV_Data4[[#This Row],[battery_capacity_kwh]]</f>
        <v>3.7717601547388782</v>
      </c>
      <c r="Z1873" s="4">
        <f>EV_Data4[[#This Row],[price_usd]]/EV_Data4[[#This Row],[range_miles]]</f>
        <v>188.05953846153847</v>
      </c>
      <c r="AA1873" s="2">
        <f>(EV_Data4[[#This Row],[customer_rating]]*EV_Data4[[#This Row],[safety_rating]]*1000)/EV_Data4[[#This Row],[price_usd]]</f>
        <v>0.37194985439690265</v>
      </c>
      <c r="AB1873">
        <f>EV_Data4[[#This Row],[horsepower]]+EV_Data4[[#This Row],[torque_nm]]/EV_Data4[[#This Row],[acceleration_0_60_mph]]</f>
        <v>438.37099494097811</v>
      </c>
      <c r="AC1873" t="str">
        <f>IF(EV_Data4[[#This Row],[price_usd]]&gt;=80000,"Luxury",IF(EV_Data4[[#This Row],[price_usd]]&gt;=40000,"Mid-Range","Budget"))</f>
        <v>Budget</v>
      </c>
      <c r="AD1873" t="str">
        <f>IF(EV_Data4[[#This Row],[range_miles]]&gt;=350,"Long-Range",IF(EV_Data4[[#This Row],[range_miles]]&gt;=250,"Medium-Range","Short-Range"))</f>
        <v>Short-Range</v>
      </c>
      <c r="AE1873" t="str">
        <f>IF(EV_Data4[[#This Row],[charging_speed_kw]]&gt;=250,"Ultra-Fast",IF(EV_Data4[[#This Row],[charging_speed_kw]]&gt;=150,"Fast-Charging","Standard-Charging"))</f>
        <v>Standard-Charging</v>
      </c>
      <c r="AF1873" t="str">
        <f>IF(EV_Data4[[#This Row],[acceleration_0_60_mph]]&lt;=3,"SportsPerformance",IF(EV_Data4[[#This Row],[acceleration_0_60_mph]]&lt;=5,"HighPerformance","Standard"))</f>
        <v>Standard</v>
      </c>
      <c r="AG1873" t="str">
        <f>IF(EV_Data4[[#This Row],[customer_rating]]&gt;=4.5,"Excellent",IF(EV_Data4[[#This Row],[customer_rating]]&gt;=3.5,"Good","Average"))</f>
        <v>Average</v>
      </c>
      <c r="AH187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74" spans="1:34" x14ac:dyDescent="0.3">
      <c r="A1874" t="s">
        <v>68</v>
      </c>
      <c r="B1874" t="s">
        <v>106</v>
      </c>
      <c r="C1874">
        <v>2025</v>
      </c>
      <c r="D1874" t="s">
        <v>61</v>
      </c>
      <c r="E1874" s="3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27</v>
      </c>
      <c r="N1874">
        <v>7</v>
      </c>
      <c r="O1874" t="s">
        <v>50</v>
      </c>
      <c r="P1874">
        <v>31.6</v>
      </c>
      <c r="Q1874">
        <v>1594</v>
      </c>
      <c r="R1874">
        <v>5</v>
      </c>
      <c r="S1874">
        <v>1</v>
      </c>
      <c r="T1874" t="s">
        <v>45</v>
      </c>
      <c r="U1874" t="s">
        <v>37</v>
      </c>
      <c r="V1874" s="3">
        <v>143597</v>
      </c>
      <c r="W1874">
        <v>3.54</v>
      </c>
      <c r="X1874">
        <v>4</v>
      </c>
      <c r="Y1874" s="1">
        <f>EV_Data4[[#This Row],[range_miles]]/EV_Data4[[#This Row],[battery_capacity_kwh]]</f>
        <v>3.5231788079470197</v>
      </c>
      <c r="Z1874" s="4">
        <f>EV_Data4[[#This Row],[price_usd]]/EV_Data4[[#This Row],[range_miles]]</f>
        <v>139.51251879699248</v>
      </c>
      <c r="AA1874" s="2">
        <f>(EV_Data4[[#This Row],[customer_rating]]*EV_Data4[[#This Row],[safety_rating]]*1000)/EV_Data4[[#This Row],[price_usd]]</f>
        <v>0.47695614671171072</v>
      </c>
      <c r="AB1874">
        <f>EV_Data4[[#This Row],[horsepower]]+EV_Data4[[#This Row],[torque_nm]]/EV_Data4[[#This Row],[acceleration_0_60_mph]]</f>
        <v>303.67843631778055</v>
      </c>
      <c r="AC1874" t="str">
        <f>IF(EV_Data4[[#This Row],[price_usd]]&gt;=80000,"Luxury",IF(EV_Data4[[#This Row],[price_usd]]&gt;=40000,"Mid-Range","Budget"))</f>
        <v>Budget</v>
      </c>
      <c r="AD1874" t="str">
        <f>IF(EV_Data4[[#This Row],[range_miles]]&gt;=350,"Long-Range",IF(EV_Data4[[#This Row],[range_miles]]&gt;=250,"Medium-Range","Short-Range"))</f>
        <v>Medium-Range</v>
      </c>
      <c r="AE1874" t="str">
        <f>IF(EV_Data4[[#This Row],[charging_speed_kw]]&gt;=250,"Ultra-Fast",IF(EV_Data4[[#This Row],[charging_speed_kw]]&gt;=150,"Fast-Charging","Standard-Charging"))</f>
        <v>Standard-Charging</v>
      </c>
      <c r="AF1874" t="str">
        <f>IF(EV_Data4[[#This Row],[acceleration_0_60_mph]]&lt;=3,"SportsPerformance",IF(EV_Data4[[#This Row],[acceleration_0_60_mph]]&lt;=5,"HighPerformance","Standard"))</f>
        <v>Standard</v>
      </c>
      <c r="AG1874" t="str">
        <f>IF(EV_Data4[[#This Row],[customer_rating]]&gt;=4.5,"Excellent",IF(EV_Data4[[#This Row],[customer_rating]]&gt;=3.5,"Good","Average"))</f>
        <v>Good</v>
      </c>
      <c r="AH187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75" spans="1:34" x14ac:dyDescent="0.3">
      <c r="A1875" t="s">
        <v>52</v>
      </c>
      <c r="B1875" t="s">
        <v>126</v>
      </c>
      <c r="C1875">
        <v>2025</v>
      </c>
      <c r="D1875" t="s">
        <v>26</v>
      </c>
      <c r="E1875" s="3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48</v>
      </c>
      <c r="N1875">
        <v>7</v>
      </c>
      <c r="O1875" t="s">
        <v>40</v>
      </c>
      <c r="P1875">
        <v>62.1</v>
      </c>
      <c r="Q1875">
        <v>1865</v>
      </c>
      <c r="R1875">
        <v>4</v>
      </c>
      <c r="S1875">
        <v>2</v>
      </c>
      <c r="T1875" t="s">
        <v>29</v>
      </c>
      <c r="U1875" t="s">
        <v>30</v>
      </c>
      <c r="V1875" s="3">
        <v>54248</v>
      </c>
      <c r="W1875">
        <v>3.94</v>
      </c>
      <c r="X1875">
        <v>8</v>
      </c>
      <c r="Y1875" s="1">
        <f>EV_Data4[[#This Row],[range_miles]]/EV_Data4[[#This Row],[battery_capacity_kwh]]</f>
        <v>3.8567839195979903</v>
      </c>
      <c r="Z1875" s="4">
        <f>EV_Data4[[#This Row],[price_usd]]/EV_Data4[[#This Row],[range_miles]]</f>
        <v>337.63983713355049</v>
      </c>
      <c r="AA1875" s="2">
        <f>(EV_Data4[[#This Row],[customer_rating]]*EV_Data4[[#This Row],[safety_rating]]*1000)/EV_Data4[[#This Row],[price_usd]]</f>
        <v>0.15204220367423107</v>
      </c>
      <c r="AB1875">
        <f>EV_Data4[[#This Row],[horsepower]]+EV_Data4[[#This Row],[torque_nm]]/EV_Data4[[#This Row],[acceleration_0_60_mph]]</f>
        <v>734.92307692307691</v>
      </c>
      <c r="AC1875" t="str">
        <f>IF(EV_Data4[[#This Row],[price_usd]]&gt;=80000,"Luxury",IF(EV_Data4[[#This Row],[price_usd]]&gt;=40000,"Mid-Range","Budget"))</f>
        <v>Luxury</v>
      </c>
      <c r="AD1875" t="str">
        <f>IF(EV_Data4[[#This Row],[range_miles]]&gt;=350,"Long-Range",IF(EV_Data4[[#This Row],[range_miles]]&gt;=250,"Medium-Range","Short-Range"))</f>
        <v>Medium-Range</v>
      </c>
      <c r="AE1875" t="str">
        <f>IF(EV_Data4[[#This Row],[charging_speed_kw]]&gt;=250,"Ultra-Fast",IF(EV_Data4[[#This Row],[charging_speed_kw]]&gt;=150,"Fast-Charging","Standard-Charging"))</f>
        <v>Fast-Charging</v>
      </c>
      <c r="AF1875" t="str">
        <f>IF(EV_Data4[[#This Row],[acceleration_0_60_mph]]&lt;=3,"SportsPerformance",IF(EV_Data4[[#This Row],[acceleration_0_60_mph]]&lt;=5,"HighPerformance","Standard"))</f>
        <v>HighPerformance</v>
      </c>
      <c r="AG1875" t="str">
        <f>IF(EV_Data4[[#This Row],[customer_rating]]&gt;=4.5,"Excellent",IF(EV_Data4[[#This Row],[customer_rating]]&gt;=3.5,"Good","Average"))</f>
        <v>Good</v>
      </c>
      <c r="AH187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76" spans="1:34" x14ac:dyDescent="0.3">
      <c r="A1876" t="s">
        <v>38</v>
      </c>
      <c r="B1876" t="s">
        <v>55</v>
      </c>
      <c r="C1876">
        <v>2024</v>
      </c>
      <c r="D1876" t="s">
        <v>26</v>
      </c>
      <c r="E1876" s="3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48</v>
      </c>
      <c r="N1876">
        <v>5</v>
      </c>
      <c r="O1876" t="s">
        <v>50</v>
      </c>
      <c r="P1876">
        <v>26.7</v>
      </c>
      <c r="Q1876">
        <v>1818</v>
      </c>
      <c r="R1876">
        <v>5</v>
      </c>
      <c r="S1876">
        <v>2</v>
      </c>
      <c r="T1876" t="s">
        <v>41</v>
      </c>
      <c r="U1876" t="s">
        <v>37</v>
      </c>
      <c r="V1876" s="3">
        <v>18258</v>
      </c>
      <c r="W1876">
        <v>3.87</v>
      </c>
      <c r="X1876">
        <v>4</v>
      </c>
      <c r="Y1876" s="1">
        <f>EV_Data4[[#This Row],[range_miles]]/EV_Data4[[#This Row],[battery_capacity_kwh]]</f>
        <v>3.6695278969957079</v>
      </c>
      <c r="Z1876" s="4">
        <f>EV_Data4[[#This Row],[price_usd]]/EV_Data4[[#This Row],[range_miles]]</f>
        <v>120.84356725146199</v>
      </c>
      <c r="AA1876" s="2">
        <f>(EV_Data4[[#This Row],[customer_rating]]*EV_Data4[[#This Row],[safety_rating]]*1000)/EV_Data4[[#This Row],[price_usd]]</f>
        <v>0.46819991047340215</v>
      </c>
      <c r="AB1876">
        <f>EV_Data4[[#This Row],[horsepower]]+EV_Data4[[#This Row],[torque_nm]]/EV_Data4[[#This Row],[acceleration_0_60_mph]]</f>
        <v>529.23569794050343</v>
      </c>
      <c r="AC1876" t="str">
        <f>IF(EV_Data4[[#This Row],[price_usd]]&gt;=80000,"Luxury",IF(EV_Data4[[#This Row],[price_usd]]&gt;=40000,"Mid-Range","Budget"))</f>
        <v>Mid-Range</v>
      </c>
      <c r="AD1876" t="str">
        <f>IF(EV_Data4[[#This Row],[range_miles]]&gt;=350,"Long-Range",IF(EV_Data4[[#This Row],[range_miles]]&gt;=250,"Medium-Range","Short-Range"))</f>
        <v>Medium-Range</v>
      </c>
      <c r="AE1876" t="str">
        <f>IF(EV_Data4[[#This Row],[charging_speed_kw]]&gt;=250,"Ultra-Fast",IF(EV_Data4[[#This Row],[charging_speed_kw]]&gt;=150,"Fast-Charging","Standard-Charging"))</f>
        <v>Fast-Charging</v>
      </c>
      <c r="AF1876" t="str">
        <f>IF(EV_Data4[[#This Row],[acceleration_0_60_mph]]&lt;=3,"SportsPerformance",IF(EV_Data4[[#This Row],[acceleration_0_60_mph]]&lt;=5,"HighPerformance","Standard"))</f>
        <v>HighPerformance</v>
      </c>
      <c r="AG1876" t="str">
        <f>IF(EV_Data4[[#This Row],[customer_rating]]&gt;=4.5,"Excellent",IF(EV_Data4[[#This Row],[customer_rating]]&gt;=3.5,"Good","Average"))</f>
        <v>Good</v>
      </c>
      <c r="AH187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77" spans="1:34" x14ac:dyDescent="0.3">
      <c r="A1877" t="s">
        <v>42</v>
      </c>
      <c r="B1877" t="s">
        <v>71</v>
      </c>
      <c r="C1877">
        <v>2025</v>
      </c>
      <c r="D1877" t="s">
        <v>56</v>
      </c>
      <c r="E1877" s="3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48</v>
      </c>
      <c r="N1877">
        <v>5</v>
      </c>
      <c r="O1877" t="s">
        <v>58</v>
      </c>
      <c r="P1877">
        <v>37.200000000000003</v>
      </c>
      <c r="Q1877">
        <v>1730</v>
      </c>
      <c r="R1877">
        <v>4</v>
      </c>
      <c r="S1877">
        <v>0</v>
      </c>
      <c r="T1877" t="s">
        <v>45</v>
      </c>
      <c r="U1877" t="s">
        <v>66</v>
      </c>
      <c r="V1877" s="3">
        <v>75515</v>
      </c>
      <c r="W1877">
        <v>3.26</v>
      </c>
      <c r="X1877">
        <v>4</v>
      </c>
      <c r="Y1877" s="1">
        <f>EV_Data4[[#This Row],[range_miles]]/EV_Data4[[#This Row],[battery_capacity_kwh]]</f>
        <v>3.2267441860465116</v>
      </c>
      <c r="Z1877" s="4">
        <f>EV_Data4[[#This Row],[price_usd]]/EV_Data4[[#This Row],[range_miles]]</f>
        <v>127.23414414414414</v>
      </c>
      <c r="AA1877" s="2">
        <f>(EV_Data4[[#This Row],[customer_rating]]*EV_Data4[[#This Row],[safety_rating]]*1000)/EV_Data4[[#This Row],[price_usd]]</f>
        <v>0.46165861478341341</v>
      </c>
      <c r="AB1877">
        <f>EV_Data4[[#This Row],[horsepower]]+EV_Data4[[#This Row],[torque_nm]]/EV_Data4[[#This Row],[acceleration_0_60_mph]]</f>
        <v>207.90036900369003</v>
      </c>
      <c r="AC1877" t="str">
        <f>IF(EV_Data4[[#This Row],[price_usd]]&gt;=80000,"Luxury",IF(EV_Data4[[#This Row],[price_usd]]&gt;=40000,"Mid-Range","Budget"))</f>
        <v>Budget</v>
      </c>
      <c r="AD1877" t="str">
        <f>IF(EV_Data4[[#This Row],[range_miles]]&gt;=350,"Long-Range",IF(EV_Data4[[#This Row],[range_miles]]&gt;=250,"Medium-Range","Short-Range"))</f>
        <v>Short-Range</v>
      </c>
      <c r="AE1877" t="str">
        <f>IF(EV_Data4[[#This Row],[charging_speed_kw]]&gt;=250,"Ultra-Fast",IF(EV_Data4[[#This Row],[charging_speed_kw]]&gt;=150,"Fast-Charging","Standard-Charging"))</f>
        <v>Standard-Charging</v>
      </c>
      <c r="AF1877" t="str">
        <f>IF(EV_Data4[[#This Row],[acceleration_0_60_mph]]&lt;=3,"SportsPerformance",IF(EV_Data4[[#This Row],[acceleration_0_60_mph]]&lt;=5,"HighPerformance","Standard"))</f>
        <v>Standard</v>
      </c>
      <c r="AG1877" t="str">
        <f>IF(EV_Data4[[#This Row],[customer_rating]]&gt;=4.5,"Excellent",IF(EV_Data4[[#This Row],[customer_rating]]&gt;=3.5,"Good","Average"))</f>
        <v>Average</v>
      </c>
      <c r="AH187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78" spans="1:34" x14ac:dyDescent="0.3">
      <c r="A1878" t="s">
        <v>42</v>
      </c>
      <c r="B1878" t="s">
        <v>54</v>
      </c>
      <c r="C1878">
        <v>2025</v>
      </c>
      <c r="D1878" t="s">
        <v>56</v>
      </c>
      <c r="E1878" s="3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48</v>
      </c>
      <c r="N1878">
        <v>7</v>
      </c>
      <c r="O1878" t="s">
        <v>51</v>
      </c>
      <c r="P1878">
        <v>20.3</v>
      </c>
      <c r="Q1878">
        <v>1500</v>
      </c>
      <c r="R1878">
        <v>4</v>
      </c>
      <c r="S1878">
        <v>0</v>
      </c>
      <c r="T1878" t="s">
        <v>45</v>
      </c>
      <c r="U1878" t="s">
        <v>37</v>
      </c>
      <c r="V1878" s="3">
        <v>118841</v>
      </c>
      <c r="W1878">
        <v>3.38</v>
      </c>
      <c r="X1878">
        <v>3</v>
      </c>
      <c r="Y1878" s="1">
        <f>EV_Data4[[#This Row],[range_miles]]/EV_Data4[[#This Row],[battery_capacity_kwh]]</f>
        <v>3.382716049382716</v>
      </c>
      <c r="Z1878" s="4">
        <f>EV_Data4[[#This Row],[price_usd]]/EV_Data4[[#This Row],[range_miles]]</f>
        <v>200.9358394160584</v>
      </c>
      <c r="AA1878" s="2">
        <f>(EV_Data4[[#This Row],[customer_rating]]*EV_Data4[[#This Row],[safety_rating]]*1000)/EV_Data4[[#This Row],[price_usd]]</f>
        <v>0.24556627546796542</v>
      </c>
      <c r="AB1878">
        <f>EV_Data4[[#This Row],[horsepower]]+EV_Data4[[#This Row],[torque_nm]]/EV_Data4[[#This Row],[acceleration_0_60_mph]]</f>
        <v>621.06379585326954</v>
      </c>
      <c r="AC1878" t="str">
        <f>IF(EV_Data4[[#This Row],[price_usd]]&gt;=80000,"Luxury",IF(EV_Data4[[#This Row],[price_usd]]&gt;=40000,"Mid-Range","Budget"))</f>
        <v>Mid-Range</v>
      </c>
      <c r="AD1878" t="str">
        <f>IF(EV_Data4[[#This Row],[range_miles]]&gt;=350,"Long-Range",IF(EV_Data4[[#This Row],[range_miles]]&gt;=250,"Medium-Range","Short-Range"))</f>
        <v>Medium-Range</v>
      </c>
      <c r="AE1878" t="str">
        <f>IF(EV_Data4[[#This Row],[charging_speed_kw]]&gt;=250,"Ultra-Fast",IF(EV_Data4[[#This Row],[charging_speed_kw]]&gt;=150,"Fast-Charging","Standard-Charging"))</f>
        <v>Standard-Charging</v>
      </c>
      <c r="AF1878" t="str">
        <f>IF(EV_Data4[[#This Row],[acceleration_0_60_mph]]&lt;=3,"SportsPerformance",IF(EV_Data4[[#This Row],[acceleration_0_60_mph]]&lt;=5,"HighPerformance","Standard"))</f>
        <v>Standard</v>
      </c>
      <c r="AG1878" t="str">
        <f>IF(EV_Data4[[#This Row],[customer_rating]]&gt;=4.5,"Excellent",IF(EV_Data4[[#This Row],[customer_rating]]&gt;=3.5,"Good","Average"))</f>
        <v>Average</v>
      </c>
      <c r="AH187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79" spans="1:34" x14ac:dyDescent="0.3">
      <c r="A1879" t="s">
        <v>68</v>
      </c>
      <c r="B1879" t="s">
        <v>69</v>
      </c>
      <c r="C1879">
        <v>2024</v>
      </c>
      <c r="D1879" t="s">
        <v>33</v>
      </c>
      <c r="E1879" s="3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48</v>
      </c>
      <c r="N1879">
        <v>7</v>
      </c>
      <c r="O1879" t="s">
        <v>50</v>
      </c>
      <c r="P1879">
        <v>18.399999999999999</v>
      </c>
      <c r="Q1879">
        <v>1807</v>
      </c>
      <c r="R1879">
        <v>4</v>
      </c>
      <c r="S1879">
        <v>2</v>
      </c>
      <c r="T1879" t="s">
        <v>45</v>
      </c>
      <c r="U1879" t="s">
        <v>33</v>
      </c>
      <c r="V1879" s="3">
        <v>133082</v>
      </c>
      <c r="W1879">
        <v>3.52</v>
      </c>
      <c r="X1879">
        <v>4</v>
      </c>
      <c r="Y1879" s="1">
        <f>EV_Data4[[#This Row],[range_miles]]/EV_Data4[[#This Row],[battery_capacity_kwh]]</f>
        <v>3.5173299101412066</v>
      </c>
      <c r="Z1879" s="4">
        <f>EV_Data4[[#This Row],[price_usd]]/EV_Data4[[#This Row],[range_miles]]</f>
        <v>253.7342700729927</v>
      </c>
      <c r="AA1879" s="2">
        <f>(EV_Data4[[#This Row],[customer_rating]]*EV_Data4[[#This Row],[safety_rating]]*1000)/EV_Data4[[#This Row],[price_usd]]</f>
        <v>0.20252235261356677</v>
      </c>
      <c r="AB1879">
        <f>EV_Data4[[#This Row],[horsepower]]+EV_Data4[[#This Row],[torque_nm]]/EV_Data4[[#This Row],[acceleration_0_60_mph]]</f>
        <v>962.76696165191743</v>
      </c>
      <c r="AC1879" t="str">
        <f>IF(EV_Data4[[#This Row],[price_usd]]&gt;=80000,"Luxury",IF(EV_Data4[[#This Row],[price_usd]]&gt;=40000,"Mid-Range","Budget"))</f>
        <v>Mid-Range</v>
      </c>
      <c r="AD1879" t="str">
        <f>IF(EV_Data4[[#This Row],[range_miles]]&gt;=350,"Long-Range",IF(EV_Data4[[#This Row],[range_miles]]&gt;=250,"Medium-Range","Short-Range"))</f>
        <v>Medium-Range</v>
      </c>
      <c r="AE1879" t="str">
        <f>IF(EV_Data4[[#This Row],[charging_speed_kw]]&gt;=250,"Ultra-Fast",IF(EV_Data4[[#This Row],[charging_speed_kw]]&gt;=150,"Fast-Charging","Standard-Charging"))</f>
        <v>Standard-Charging</v>
      </c>
      <c r="AF1879" t="str">
        <f>IF(EV_Data4[[#This Row],[acceleration_0_60_mph]]&lt;=3,"SportsPerformance",IF(EV_Data4[[#This Row],[acceleration_0_60_mph]]&lt;=5,"HighPerformance","Standard"))</f>
        <v>Standard</v>
      </c>
      <c r="AG1879" t="str">
        <f>IF(EV_Data4[[#This Row],[customer_rating]]&gt;=4.5,"Excellent",IF(EV_Data4[[#This Row],[customer_rating]]&gt;=3.5,"Good","Average"))</f>
        <v>Good</v>
      </c>
      <c r="AH187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80" spans="1:34" x14ac:dyDescent="0.3">
      <c r="A1880" t="s">
        <v>63</v>
      </c>
      <c r="B1880" t="s">
        <v>67</v>
      </c>
      <c r="C1880">
        <v>2024</v>
      </c>
      <c r="D1880" t="s">
        <v>44</v>
      </c>
      <c r="E1880" s="3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34</v>
      </c>
      <c r="N1880">
        <v>7</v>
      </c>
      <c r="O1880" t="s">
        <v>40</v>
      </c>
      <c r="P1880">
        <v>73.400000000000006</v>
      </c>
      <c r="Q1880">
        <v>1891</v>
      </c>
      <c r="R1880">
        <v>4</v>
      </c>
      <c r="S1880">
        <v>0</v>
      </c>
      <c r="T1880" t="s">
        <v>65</v>
      </c>
      <c r="U1880" t="s">
        <v>66</v>
      </c>
      <c r="V1880" s="3">
        <v>158999</v>
      </c>
      <c r="W1880">
        <v>3.61</v>
      </c>
      <c r="X1880">
        <v>4</v>
      </c>
      <c r="Y1880" s="1">
        <f>EV_Data4[[#This Row],[range_miles]]/EV_Data4[[#This Row],[battery_capacity_kwh]]</f>
        <v>3.5822401614530781</v>
      </c>
      <c r="Z1880" s="4">
        <f>EV_Data4[[#This Row],[price_usd]]/EV_Data4[[#This Row],[range_miles]]</f>
        <v>71.137267605633795</v>
      </c>
      <c r="AA1880" s="2">
        <f>(EV_Data4[[#This Row],[customer_rating]]*EV_Data4[[#This Row],[safety_rating]]*1000)/EV_Data4[[#This Row],[price_usd]]</f>
        <v>0.57179672072204779</v>
      </c>
      <c r="AB1880">
        <f>EV_Data4[[#This Row],[horsepower]]+EV_Data4[[#This Row],[torque_nm]]/EV_Data4[[#This Row],[acceleration_0_60_mph]]</f>
        <v>233.69724770642202</v>
      </c>
      <c r="AC1880" t="str">
        <f>IF(EV_Data4[[#This Row],[price_usd]]&gt;=80000,"Luxury",IF(EV_Data4[[#This Row],[price_usd]]&gt;=40000,"Mid-Range","Budget"))</f>
        <v>Budget</v>
      </c>
      <c r="AD1880" t="str">
        <f>IF(EV_Data4[[#This Row],[range_miles]]&gt;=350,"Long-Range",IF(EV_Data4[[#This Row],[range_miles]]&gt;=250,"Medium-Range","Short-Range"))</f>
        <v>Long-Range</v>
      </c>
      <c r="AE1880" t="str">
        <f>IF(EV_Data4[[#This Row],[charging_speed_kw]]&gt;=250,"Ultra-Fast",IF(EV_Data4[[#This Row],[charging_speed_kw]]&gt;=150,"Fast-Charging","Standard-Charging"))</f>
        <v>Standard-Charging</v>
      </c>
      <c r="AF1880" t="str">
        <f>IF(EV_Data4[[#This Row],[acceleration_0_60_mph]]&lt;=3,"SportsPerformance",IF(EV_Data4[[#This Row],[acceleration_0_60_mph]]&lt;=5,"HighPerformance","Standard"))</f>
        <v>Standard</v>
      </c>
      <c r="AG1880" t="str">
        <f>IF(EV_Data4[[#This Row],[customer_rating]]&gt;=4.5,"Excellent",IF(EV_Data4[[#This Row],[customer_rating]]&gt;=3.5,"Good","Average"))</f>
        <v>Good</v>
      </c>
      <c r="AH188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81" spans="1:34" x14ac:dyDescent="0.3">
      <c r="A1881" t="s">
        <v>42</v>
      </c>
      <c r="B1881" t="s">
        <v>43</v>
      </c>
      <c r="C1881">
        <v>2022</v>
      </c>
      <c r="D1881" t="s">
        <v>44</v>
      </c>
      <c r="E1881" s="3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34</v>
      </c>
      <c r="N1881">
        <v>5</v>
      </c>
      <c r="O1881" t="s">
        <v>35</v>
      </c>
      <c r="P1881">
        <v>69.599999999999994</v>
      </c>
      <c r="Q1881">
        <v>2041</v>
      </c>
      <c r="R1881">
        <v>5</v>
      </c>
      <c r="S1881">
        <v>0</v>
      </c>
      <c r="T1881" t="s">
        <v>45</v>
      </c>
      <c r="U1881" t="s">
        <v>33</v>
      </c>
      <c r="V1881" s="3">
        <v>135902</v>
      </c>
      <c r="W1881">
        <v>3.67</v>
      </c>
      <c r="X1881">
        <v>4</v>
      </c>
      <c r="Y1881" s="1">
        <f>EV_Data4[[#This Row],[range_miles]]/EV_Data4[[#This Row],[battery_capacity_kwh]]</f>
        <v>3.3744855967078187</v>
      </c>
      <c r="Z1881" s="4">
        <f>EV_Data4[[#This Row],[price_usd]]/EV_Data4[[#This Row],[range_miles]]</f>
        <v>272.70661585365855</v>
      </c>
      <c r="AA1881" s="2">
        <f>(EV_Data4[[#This Row],[customer_rating]]*EV_Data4[[#This Row],[safety_rating]]*1000)/EV_Data4[[#This Row],[price_usd]]</f>
        <v>0.20514765208791677</v>
      </c>
      <c r="AB1881">
        <f>EV_Data4[[#This Row],[horsepower]]+EV_Data4[[#This Row],[torque_nm]]/EV_Data4[[#This Row],[acceleration_0_60_mph]]</f>
        <v>1228.5359801488835</v>
      </c>
      <c r="AC1881" t="str">
        <f>IF(EV_Data4[[#This Row],[price_usd]]&gt;=80000,"Luxury",IF(EV_Data4[[#This Row],[price_usd]]&gt;=40000,"Mid-Range","Budget"))</f>
        <v>Luxury</v>
      </c>
      <c r="AD1881" t="str">
        <f>IF(EV_Data4[[#This Row],[range_miles]]&gt;=350,"Long-Range",IF(EV_Data4[[#This Row],[range_miles]]&gt;=250,"Medium-Range","Short-Range"))</f>
        <v>Medium-Range</v>
      </c>
      <c r="AE1881" t="str">
        <f>IF(EV_Data4[[#This Row],[charging_speed_kw]]&gt;=250,"Ultra-Fast",IF(EV_Data4[[#This Row],[charging_speed_kw]]&gt;=150,"Fast-Charging","Standard-Charging"))</f>
        <v>Standard-Charging</v>
      </c>
      <c r="AF1881" t="str">
        <f>IF(EV_Data4[[#This Row],[acceleration_0_60_mph]]&lt;=3,"SportsPerformance",IF(EV_Data4[[#This Row],[acceleration_0_60_mph]]&lt;=5,"HighPerformance","Standard"))</f>
        <v>HighPerformance</v>
      </c>
      <c r="AG1881" t="str">
        <f>IF(EV_Data4[[#This Row],[customer_rating]]&gt;=4.5,"Excellent",IF(EV_Data4[[#This Row],[customer_rating]]&gt;=3.5,"Good","Average"))</f>
        <v>Good</v>
      </c>
      <c r="AH188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82" spans="1:34" x14ac:dyDescent="0.3">
      <c r="A1882" t="s">
        <v>83</v>
      </c>
      <c r="B1882" t="s">
        <v>104</v>
      </c>
      <c r="C1882">
        <v>2025</v>
      </c>
      <c r="D1882" t="s">
        <v>56</v>
      </c>
      <c r="E1882" s="3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34</v>
      </c>
      <c r="N1882">
        <v>5</v>
      </c>
      <c r="O1882" t="s">
        <v>35</v>
      </c>
      <c r="P1882">
        <v>40.4</v>
      </c>
      <c r="Q1882">
        <v>1969</v>
      </c>
      <c r="R1882">
        <v>5</v>
      </c>
      <c r="S1882">
        <v>1</v>
      </c>
      <c r="T1882" t="s">
        <v>29</v>
      </c>
      <c r="U1882" t="s">
        <v>33</v>
      </c>
      <c r="V1882" s="3">
        <v>36766</v>
      </c>
      <c r="W1882">
        <v>3.35</v>
      </c>
      <c r="X1882">
        <v>8</v>
      </c>
      <c r="Y1882" s="1">
        <f>EV_Data4[[#This Row],[range_miles]]/EV_Data4[[#This Row],[battery_capacity_kwh]]</f>
        <v>3.2595870206489677</v>
      </c>
      <c r="Z1882" s="4">
        <f>EV_Data4[[#This Row],[price_usd]]/EV_Data4[[#This Row],[range_miles]]</f>
        <v>344.33891402714931</v>
      </c>
      <c r="AA1882" s="2">
        <f>(EV_Data4[[#This Row],[customer_rating]]*EV_Data4[[#This Row],[safety_rating]]*1000)/EV_Data4[[#This Row],[price_usd]]</f>
        <v>0.2201083064275568</v>
      </c>
      <c r="AB1882">
        <f>EV_Data4[[#This Row],[horsepower]]+EV_Data4[[#This Row],[torque_nm]]/EV_Data4[[#This Row],[acceleration_0_60_mph]]</f>
        <v>603.74051593323213</v>
      </c>
      <c r="AC1882" t="str">
        <f>IF(EV_Data4[[#This Row],[price_usd]]&gt;=80000,"Luxury",IF(EV_Data4[[#This Row],[price_usd]]&gt;=40000,"Mid-Range","Budget"))</f>
        <v>Mid-Range</v>
      </c>
      <c r="AD1882" t="str">
        <f>IF(EV_Data4[[#This Row],[range_miles]]&gt;=350,"Long-Range",IF(EV_Data4[[#This Row],[range_miles]]&gt;=250,"Medium-Range","Short-Range"))</f>
        <v>Short-Range</v>
      </c>
      <c r="AE1882" t="str">
        <f>IF(EV_Data4[[#This Row],[charging_speed_kw]]&gt;=250,"Ultra-Fast",IF(EV_Data4[[#This Row],[charging_speed_kw]]&gt;=150,"Fast-Charging","Standard-Charging"))</f>
        <v>Standard-Charging</v>
      </c>
      <c r="AF1882" t="str">
        <f>IF(EV_Data4[[#This Row],[acceleration_0_60_mph]]&lt;=3,"SportsPerformance",IF(EV_Data4[[#This Row],[acceleration_0_60_mph]]&lt;=5,"HighPerformance","Standard"))</f>
        <v>Standard</v>
      </c>
      <c r="AG1882" t="str">
        <f>IF(EV_Data4[[#This Row],[customer_rating]]&gt;=4.5,"Excellent",IF(EV_Data4[[#This Row],[customer_rating]]&gt;=3.5,"Good","Average"))</f>
        <v>Average</v>
      </c>
      <c r="AH188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83" spans="1:34" x14ac:dyDescent="0.3">
      <c r="A1883" t="s">
        <v>86</v>
      </c>
      <c r="B1883" t="s">
        <v>117</v>
      </c>
      <c r="C1883">
        <v>2024</v>
      </c>
      <c r="D1883" t="s">
        <v>56</v>
      </c>
      <c r="E1883" s="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34</v>
      </c>
      <c r="N1883">
        <v>5</v>
      </c>
      <c r="O1883" t="s">
        <v>28</v>
      </c>
      <c r="P1883">
        <v>64.099999999999994</v>
      </c>
      <c r="Q1883">
        <v>2348</v>
      </c>
      <c r="R1883">
        <v>4</v>
      </c>
      <c r="S1883">
        <v>2</v>
      </c>
      <c r="T1883" t="s">
        <v>29</v>
      </c>
      <c r="U1883" t="s">
        <v>30</v>
      </c>
      <c r="V1883" s="3">
        <v>59232</v>
      </c>
      <c r="W1883">
        <v>3.4</v>
      </c>
      <c r="X1883">
        <v>6</v>
      </c>
      <c r="Y1883" s="1">
        <f>EV_Data4[[#This Row],[range_miles]]/EV_Data4[[#This Row],[battery_capacity_kwh]]</f>
        <v>3.6596385542168672</v>
      </c>
      <c r="Z1883" s="4">
        <f>EV_Data4[[#This Row],[price_usd]]/EV_Data4[[#This Row],[range_miles]]</f>
        <v>426.61152263374487</v>
      </c>
      <c r="AA1883" s="2">
        <f>(EV_Data4[[#This Row],[customer_rating]]*EV_Data4[[#This Row],[safety_rating]]*1000)/EV_Data4[[#This Row],[price_usd]]</f>
        <v>0.13118979497736011</v>
      </c>
      <c r="AB1883">
        <f>EV_Data4[[#This Row],[horsepower]]+EV_Data4[[#This Row],[torque_nm]]/EV_Data4[[#This Row],[acceleration_0_60_mph]]</f>
        <v>832.68767908309451</v>
      </c>
      <c r="AC1883" t="str">
        <f>IF(EV_Data4[[#This Row],[price_usd]]&gt;=80000,"Luxury",IF(EV_Data4[[#This Row],[price_usd]]&gt;=40000,"Mid-Range","Budget"))</f>
        <v>Luxury</v>
      </c>
      <c r="AD1883" t="str">
        <f>IF(EV_Data4[[#This Row],[range_miles]]&gt;=350,"Long-Range",IF(EV_Data4[[#This Row],[range_miles]]&gt;=250,"Medium-Range","Short-Range"))</f>
        <v>Short-Range</v>
      </c>
      <c r="AE1883" t="str">
        <f>IF(EV_Data4[[#This Row],[charging_speed_kw]]&gt;=250,"Ultra-Fast",IF(EV_Data4[[#This Row],[charging_speed_kw]]&gt;=150,"Fast-Charging","Standard-Charging"))</f>
        <v>Standard-Charging</v>
      </c>
      <c r="AF1883" t="str">
        <f>IF(EV_Data4[[#This Row],[acceleration_0_60_mph]]&lt;=3,"SportsPerformance",IF(EV_Data4[[#This Row],[acceleration_0_60_mph]]&lt;=5,"HighPerformance","Standard"))</f>
        <v>Standard</v>
      </c>
      <c r="AG1883" t="str">
        <f>IF(EV_Data4[[#This Row],[customer_rating]]&gt;=4.5,"Excellent",IF(EV_Data4[[#This Row],[customer_rating]]&gt;=3.5,"Good","Average"))</f>
        <v>Average</v>
      </c>
      <c r="AH188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84" spans="1:34" x14ac:dyDescent="0.3">
      <c r="A1884" t="s">
        <v>83</v>
      </c>
      <c r="B1884" t="s">
        <v>116</v>
      </c>
      <c r="C1884">
        <v>2024</v>
      </c>
      <c r="D1884" t="s">
        <v>61</v>
      </c>
      <c r="E1884" s="3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34</v>
      </c>
      <c r="N1884">
        <v>5</v>
      </c>
      <c r="O1884" t="s">
        <v>28</v>
      </c>
      <c r="P1884">
        <v>67.2</v>
      </c>
      <c r="Q1884">
        <v>2345</v>
      </c>
      <c r="R1884">
        <v>4</v>
      </c>
      <c r="S1884">
        <v>2</v>
      </c>
      <c r="T1884" t="s">
        <v>29</v>
      </c>
      <c r="U1884" t="s">
        <v>33</v>
      </c>
      <c r="V1884" s="3">
        <v>72572</v>
      </c>
      <c r="W1884">
        <v>3.35</v>
      </c>
      <c r="X1884">
        <v>8</v>
      </c>
      <c r="Y1884" s="1">
        <f>EV_Data4[[#This Row],[range_miles]]/EV_Data4[[#This Row],[battery_capacity_kwh]]</f>
        <v>3.2692307692307692</v>
      </c>
      <c r="Z1884" s="4">
        <f>EV_Data4[[#This Row],[price_usd]]/EV_Data4[[#This Row],[range_miles]]</f>
        <v>424.8788725490196</v>
      </c>
      <c r="AA1884" s="2">
        <f>(EV_Data4[[#This Row],[customer_rating]]*EV_Data4[[#This Row],[safety_rating]]*1000)/EV_Data4[[#This Row],[price_usd]]</f>
        <v>0.15460000191519407</v>
      </c>
      <c r="AB1884">
        <f>EV_Data4[[#This Row],[horsepower]]+EV_Data4[[#This Row],[torque_nm]]/EV_Data4[[#This Row],[acceleration_0_60_mph]]</f>
        <v>753.33333333333337</v>
      </c>
      <c r="AC1884" t="str">
        <f>IF(EV_Data4[[#This Row],[price_usd]]&gt;=80000,"Luxury",IF(EV_Data4[[#This Row],[price_usd]]&gt;=40000,"Mid-Range","Budget"))</f>
        <v>Luxury</v>
      </c>
      <c r="AD1884" t="str">
        <f>IF(EV_Data4[[#This Row],[range_miles]]&gt;=350,"Long-Range",IF(EV_Data4[[#This Row],[range_miles]]&gt;=250,"Medium-Range","Short-Range"))</f>
        <v>Short-Range</v>
      </c>
      <c r="AE1884" t="str">
        <f>IF(EV_Data4[[#This Row],[charging_speed_kw]]&gt;=250,"Ultra-Fast",IF(EV_Data4[[#This Row],[charging_speed_kw]]&gt;=150,"Fast-Charging","Standard-Charging"))</f>
        <v>Standard-Charging</v>
      </c>
      <c r="AF1884" t="str">
        <f>IF(EV_Data4[[#This Row],[acceleration_0_60_mph]]&lt;=3,"SportsPerformance",IF(EV_Data4[[#This Row],[acceleration_0_60_mph]]&lt;=5,"HighPerformance","Standard"))</f>
        <v>Standard</v>
      </c>
      <c r="AG1884" t="str">
        <f>IF(EV_Data4[[#This Row],[customer_rating]]&gt;=4.5,"Excellent",IF(EV_Data4[[#This Row],[customer_rating]]&gt;=3.5,"Good","Average"))</f>
        <v>Average</v>
      </c>
      <c r="AH188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85" spans="1:34" x14ac:dyDescent="0.3">
      <c r="A1885" t="s">
        <v>38</v>
      </c>
      <c r="B1885" t="s">
        <v>101</v>
      </c>
      <c r="C1885">
        <v>2021</v>
      </c>
      <c r="D1885" t="s">
        <v>61</v>
      </c>
      <c r="E1885" s="3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34</v>
      </c>
      <c r="N1885">
        <v>5</v>
      </c>
      <c r="O1885" t="s">
        <v>28</v>
      </c>
      <c r="P1885">
        <v>66</v>
      </c>
      <c r="Q1885">
        <v>2241</v>
      </c>
      <c r="R1885">
        <v>4</v>
      </c>
      <c r="S1885">
        <v>0</v>
      </c>
      <c r="T1885" t="s">
        <v>41</v>
      </c>
      <c r="U1885" t="s">
        <v>37</v>
      </c>
      <c r="V1885" s="3">
        <v>9147</v>
      </c>
      <c r="W1885">
        <v>3.72</v>
      </c>
      <c r="X1885">
        <v>4</v>
      </c>
      <c r="Y1885" s="1">
        <f>EV_Data4[[#This Row],[range_miles]]/EV_Data4[[#This Row],[battery_capacity_kwh]]</f>
        <v>3.775773195876289</v>
      </c>
      <c r="Z1885" s="4">
        <f>EV_Data4[[#This Row],[price_usd]]/EV_Data4[[#This Row],[range_miles]]</f>
        <v>220.04699658703072</v>
      </c>
      <c r="AA1885" s="2">
        <f>(EV_Data4[[#This Row],[customer_rating]]*EV_Data4[[#This Row],[safety_rating]]*1000)/EV_Data4[[#This Row],[price_usd]]</f>
        <v>0.23079152964065852</v>
      </c>
      <c r="AB1885">
        <f>EV_Data4[[#This Row],[horsepower]]+EV_Data4[[#This Row],[torque_nm]]/EV_Data4[[#This Row],[acceleration_0_60_mph]]</f>
        <v>946.09912536443153</v>
      </c>
      <c r="AC1885" t="str">
        <f>IF(EV_Data4[[#This Row],[price_usd]]&gt;=80000,"Luxury",IF(EV_Data4[[#This Row],[price_usd]]&gt;=40000,"Mid-Range","Budget"))</f>
        <v>Mid-Range</v>
      </c>
      <c r="AD1885" t="str">
        <f>IF(EV_Data4[[#This Row],[range_miles]]&gt;=350,"Long-Range",IF(EV_Data4[[#This Row],[range_miles]]&gt;=250,"Medium-Range","Short-Range"))</f>
        <v>Medium-Range</v>
      </c>
      <c r="AE1885" t="str">
        <f>IF(EV_Data4[[#This Row],[charging_speed_kw]]&gt;=250,"Ultra-Fast",IF(EV_Data4[[#This Row],[charging_speed_kw]]&gt;=150,"Fast-Charging","Standard-Charging"))</f>
        <v>Standard-Charging</v>
      </c>
      <c r="AF1885" t="str">
        <f>IF(EV_Data4[[#This Row],[acceleration_0_60_mph]]&lt;=3,"SportsPerformance",IF(EV_Data4[[#This Row],[acceleration_0_60_mph]]&lt;=5,"HighPerformance","Standard"))</f>
        <v>Standard</v>
      </c>
      <c r="AG1885" t="str">
        <f>IF(EV_Data4[[#This Row],[customer_rating]]&gt;=4.5,"Excellent",IF(EV_Data4[[#This Row],[customer_rating]]&gt;=3.5,"Good","Average"))</f>
        <v>Good</v>
      </c>
      <c r="AH188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86" spans="1:34" x14ac:dyDescent="0.3">
      <c r="A1886" t="s">
        <v>46</v>
      </c>
      <c r="B1886" t="s">
        <v>72</v>
      </c>
      <c r="C1886">
        <v>2025</v>
      </c>
      <c r="D1886" t="s">
        <v>56</v>
      </c>
      <c r="E1886" s="3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27</v>
      </c>
      <c r="N1886">
        <v>5</v>
      </c>
      <c r="O1886" t="s">
        <v>28</v>
      </c>
      <c r="P1886">
        <v>52.1</v>
      </c>
      <c r="Q1886">
        <v>2748</v>
      </c>
      <c r="R1886">
        <v>4</v>
      </c>
      <c r="S1886">
        <v>2</v>
      </c>
      <c r="T1886" t="s">
        <v>41</v>
      </c>
      <c r="U1886" t="s">
        <v>37</v>
      </c>
      <c r="V1886" s="3">
        <v>237895</v>
      </c>
      <c r="W1886">
        <v>3.33</v>
      </c>
      <c r="X1886">
        <v>5</v>
      </c>
      <c r="Y1886" s="1">
        <f>EV_Data4[[#This Row],[range_miles]]/EV_Data4[[#This Row],[battery_capacity_kwh]]</f>
        <v>3.9102564102564106</v>
      </c>
      <c r="Z1886" s="4">
        <f>EV_Data4[[#This Row],[price_usd]]/EV_Data4[[#This Row],[range_miles]]</f>
        <v>304.61027322404374</v>
      </c>
      <c r="AA1886" s="2">
        <f>(EV_Data4[[#This Row],[customer_rating]]*EV_Data4[[#This Row],[safety_rating]]*1000)/EV_Data4[[#This Row],[price_usd]]</f>
        <v>0.23895085505657324</v>
      </c>
      <c r="AB1886">
        <f>EV_Data4[[#This Row],[horsepower]]+EV_Data4[[#This Row],[torque_nm]]/EV_Data4[[#This Row],[acceleration_0_60_mph]]</f>
        <v>456.85416666666669</v>
      </c>
      <c r="AC1886" t="str">
        <f>IF(EV_Data4[[#This Row],[price_usd]]&gt;=80000,"Luxury",IF(EV_Data4[[#This Row],[price_usd]]&gt;=40000,"Mid-Range","Budget"))</f>
        <v>Mid-Range</v>
      </c>
      <c r="AD1886" t="str">
        <f>IF(EV_Data4[[#This Row],[range_miles]]&gt;=350,"Long-Range",IF(EV_Data4[[#This Row],[range_miles]]&gt;=250,"Medium-Range","Short-Range"))</f>
        <v>Short-Range</v>
      </c>
      <c r="AE1886" t="str">
        <f>IF(EV_Data4[[#This Row],[charging_speed_kw]]&gt;=250,"Ultra-Fast",IF(EV_Data4[[#This Row],[charging_speed_kw]]&gt;=150,"Fast-Charging","Standard-Charging"))</f>
        <v>Fast-Charging</v>
      </c>
      <c r="AF1886" t="str">
        <f>IF(EV_Data4[[#This Row],[acceleration_0_60_mph]]&lt;=3,"SportsPerformance",IF(EV_Data4[[#This Row],[acceleration_0_60_mph]]&lt;=5,"HighPerformance","Standard"))</f>
        <v>Standard</v>
      </c>
      <c r="AG1886" t="str">
        <f>IF(EV_Data4[[#This Row],[customer_rating]]&gt;=4.5,"Excellent",IF(EV_Data4[[#This Row],[customer_rating]]&gt;=3.5,"Good","Average"))</f>
        <v>Average</v>
      </c>
      <c r="AH188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87" spans="1:34" x14ac:dyDescent="0.3">
      <c r="A1887" t="s">
        <v>68</v>
      </c>
      <c r="B1887" t="s">
        <v>109</v>
      </c>
      <c r="C1887">
        <v>2025</v>
      </c>
      <c r="D1887" t="s">
        <v>26</v>
      </c>
      <c r="E1887" s="3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48</v>
      </c>
      <c r="N1887">
        <v>5</v>
      </c>
      <c r="O1887" t="s">
        <v>40</v>
      </c>
      <c r="P1887">
        <v>63.6</v>
      </c>
      <c r="Q1887">
        <v>1868</v>
      </c>
      <c r="R1887">
        <v>3</v>
      </c>
      <c r="S1887">
        <v>0</v>
      </c>
      <c r="T1887" t="s">
        <v>45</v>
      </c>
      <c r="U1887" t="s">
        <v>33</v>
      </c>
      <c r="V1887" s="3">
        <v>107166</v>
      </c>
      <c r="W1887">
        <v>3.51</v>
      </c>
      <c r="X1887">
        <v>4</v>
      </c>
      <c r="Y1887" s="1">
        <f>EV_Data4[[#This Row],[range_miles]]/EV_Data4[[#This Row],[battery_capacity_kwh]]</f>
        <v>3.3371824480369519</v>
      </c>
      <c r="Z1887" s="4">
        <f>EV_Data4[[#This Row],[price_usd]]/EV_Data4[[#This Row],[range_miles]]</f>
        <v>250.35629757785466</v>
      </c>
      <c r="AA1887" s="2">
        <f>(EV_Data4[[#This Row],[customer_rating]]*EV_Data4[[#This Row],[safety_rating]]*1000)/EV_Data4[[#This Row],[price_usd]]</f>
        <v>0.14553652738788747</v>
      </c>
      <c r="AB1887">
        <f>EV_Data4[[#This Row],[horsepower]]+EV_Data4[[#This Row],[torque_nm]]/EV_Data4[[#This Row],[acceleration_0_60_mph]]</f>
        <v>1178.4603174603176</v>
      </c>
      <c r="AC1887" t="str">
        <f>IF(EV_Data4[[#This Row],[price_usd]]&gt;=80000,"Luxury",IF(EV_Data4[[#This Row],[price_usd]]&gt;=40000,"Mid-Range","Budget"))</f>
        <v>Mid-Range</v>
      </c>
      <c r="AD1887" t="str">
        <f>IF(EV_Data4[[#This Row],[range_miles]]&gt;=350,"Long-Range",IF(EV_Data4[[#This Row],[range_miles]]&gt;=250,"Medium-Range","Short-Range"))</f>
        <v>Medium-Range</v>
      </c>
      <c r="AE1887" t="str">
        <f>IF(EV_Data4[[#This Row],[charging_speed_kw]]&gt;=250,"Ultra-Fast",IF(EV_Data4[[#This Row],[charging_speed_kw]]&gt;=150,"Fast-Charging","Standard-Charging"))</f>
        <v>Fast-Charging</v>
      </c>
      <c r="AF1887" t="str">
        <f>IF(EV_Data4[[#This Row],[acceleration_0_60_mph]]&lt;=3,"SportsPerformance",IF(EV_Data4[[#This Row],[acceleration_0_60_mph]]&lt;=5,"HighPerformance","Standard"))</f>
        <v>HighPerformance</v>
      </c>
      <c r="AG1887" t="str">
        <f>IF(EV_Data4[[#This Row],[customer_rating]]&gt;=4.5,"Excellent",IF(EV_Data4[[#This Row],[customer_rating]]&gt;=3.5,"Good","Average"))</f>
        <v>Good</v>
      </c>
      <c r="AH188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88" spans="1:34" x14ac:dyDescent="0.3">
      <c r="A1888" t="s">
        <v>46</v>
      </c>
      <c r="B1888" t="s">
        <v>47</v>
      </c>
      <c r="C1888">
        <v>2024</v>
      </c>
      <c r="D1888" t="s">
        <v>26</v>
      </c>
      <c r="E1888" s="3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48</v>
      </c>
      <c r="N1888">
        <v>5</v>
      </c>
      <c r="O1888" t="s">
        <v>58</v>
      </c>
      <c r="P1888">
        <v>21.8</v>
      </c>
      <c r="Q1888">
        <v>1500</v>
      </c>
      <c r="R1888">
        <v>3</v>
      </c>
      <c r="S1888">
        <v>2</v>
      </c>
      <c r="T1888" t="s">
        <v>41</v>
      </c>
      <c r="U1888" t="s">
        <v>33</v>
      </c>
      <c r="V1888" s="3">
        <v>187727</v>
      </c>
      <c r="W1888">
        <v>3.9</v>
      </c>
      <c r="X1888">
        <v>4</v>
      </c>
      <c r="Y1888" s="1">
        <f>EV_Data4[[#This Row],[range_miles]]/EV_Data4[[#This Row],[battery_capacity_kwh]]</f>
        <v>3.5192563081009296</v>
      </c>
      <c r="Z1888" s="4">
        <f>EV_Data4[[#This Row],[price_usd]]/EV_Data4[[#This Row],[range_miles]]</f>
        <v>350.36573584905659</v>
      </c>
      <c r="AA1888" s="2">
        <f>(EV_Data4[[#This Row],[customer_rating]]*EV_Data4[[#This Row],[safety_rating]]*1000)/EV_Data4[[#This Row],[price_usd]]</f>
        <v>0.12601387315809723</v>
      </c>
      <c r="AB1888">
        <f>EV_Data4[[#This Row],[horsepower]]+EV_Data4[[#This Row],[torque_nm]]/EV_Data4[[#This Row],[acceleration_0_60_mph]]</f>
        <v>797.39252336448601</v>
      </c>
      <c r="AC1888" t="str">
        <f>IF(EV_Data4[[#This Row],[price_usd]]&gt;=80000,"Luxury",IF(EV_Data4[[#This Row],[price_usd]]&gt;=40000,"Mid-Range","Budget"))</f>
        <v>Luxury</v>
      </c>
      <c r="AD1888" t="str">
        <f>IF(EV_Data4[[#This Row],[range_miles]]&gt;=350,"Long-Range",IF(EV_Data4[[#This Row],[range_miles]]&gt;=250,"Medium-Range","Short-Range"))</f>
        <v>Medium-Range</v>
      </c>
      <c r="AE1888" t="str">
        <f>IF(EV_Data4[[#This Row],[charging_speed_kw]]&gt;=250,"Ultra-Fast",IF(EV_Data4[[#This Row],[charging_speed_kw]]&gt;=150,"Fast-Charging","Standard-Charging"))</f>
        <v>Fast-Charging</v>
      </c>
      <c r="AF1888" t="str">
        <f>IF(EV_Data4[[#This Row],[acceleration_0_60_mph]]&lt;=3,"SportsPerformance",IF(EV_Data4[[#This Row],[acceleration_0_60_mph]]&lt;=5,"HighPerformance","Standard"))</f>
        <v>HighPerformance</v>
      </c>
      <c r="AG1888" t="str">
        <f>IF(EV_Data4[[#This Row],[customer_rating]]&gt;=4.5,"Excellent",IF(EV_Data4[[#This Row],[customer_rating]]&gt;=3.5,"Good","Average"))</f>
        <v>Good</v>
      </c>
      <c r="AH188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89" spans="1:34" x14ac:dyDescent="0.3">
      <c r="A1889" t="s">
        <v>63</v>
      </c>
      <c r="B1889" t="s">
        <v>96</v>
      </c>
      <c r="C1889">
        <v>2025</v>
      </c>
      <c r="D1889" t="s">
        <v>56</v>
      </c>
      <c r="E1889" s="3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27</v>
      </c>
      <c r="N1889">
        <v>7</v>
      </c>
      <c r="O1889" t="s">
        <v>51</v>
      </c>
      <c r="P1889">
        <v>35</v>
      </c>
      <c r="Q1889">
        <v>1563</v>
      </c>
      <c r="R1889">
        <v>5</v>
      </c>
      <c r="S1889">
        <v>2</v>
      </c>
      <c r="T1889" t="s">
        <v>65</v>
      </c>
      <c r="U1889" t="s">
        <v>37</v>
      </c>
      <c r="V1889" s="3">
        <v>246706</v>
      </c>
      <c r="W1889">
        <v>3.79</v>
      </c>
      <c r="X1889">
        <v>4</v>
      </c>
      <c r="Y1889" s="1">
        <f>EV_Data4[[#This Row],[range_miles]]/EV_Data4[[#This Row],[battery_capacity_kwh]]</f>
        <v>3.7752525252525251</v>
      </c>
      <c r="Z1889" s="4">
        <f>EV_Data4[[#This Row],[price_usd]]/EV_Data4[[#This Row],[range_miles]]</f>
        <v>217.2328093645485</v>
      </c>
      <c r="AA1889" s="2">
        <f>(EV_Data4[[#This Row],[customer_rating]]*EV_Data4[[#This Row],[safety_rating]]*1000)/EV_Data4[[#This Row],[price_usd]]</f>
        <v>0.29175117058421518</v>
      </c>
      <c r="AB1889">
        <f>EV_Data4[[#This Row],[horsepower]]+EV_Data4[[#This Row],[torque_nm]]/EV_Data4[[#This Row],[acceleration_0_60_mph]]</f>
        <v>859.16172506738542</v>
      </c>
      <c r="AC1889" t="str">
        <f>IF(EV_Data4[[#This Row],[price_usd]]&gt;=80000,"Luxury",IF(EV_Data4[[#This Row],[price_usd]]&gt;=40000,"Mid-Range","Budget"))</f>
        <v>Mid-Range</v>
      </c>
      <c r="AD1889" t="str">
        <f>IF(EV_Data4[[#This Row],[range_miles]]&gt;=350,"Long-Range",IF(EV_Data4[[#This Row],[range_miles]]&gt;=250,"Medium-Range","Short-Range"))</f>
        <v>Medium-Range</v>
      </c>
      <c r="AE1889" t="str">
        <f>IF(EV_Data4[[#This Row],[charging_speed_kw]]&gt;=250,"Ultra-Fast",IF(EV_Data4[[#This Row],[charging_speed_kw]]&gt;=150,"Fast-Charging","Standard-Charging"))</f>
        <v>Standard-Charging</v>
      </c>
      <c r="AF1889" t="str">
        <f>IF(EV_Data4[[#This Row],[acceleration_0_60_mph]]&lt;=3,"SportsPerformance",IF(EV_Data4[[#This Row],[acceleration_0_60_mph]]&lt;=5,"HighPerformance","Standard"))</f>
        <v>Standard</v>
      </c>
      <c r="AG1889" t="str">
        <f>IF(EV_Data4[[#This Row],[customer_rating]]&gt;=4.5,"Excellent",IF(EV_Data4[[#This Row],[customer_rating]]&gt;=3.5,"Good","Average"))</f>
        <v>Good</v>
      </c>
      <c r="AH188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90" spans="1:34" x14ac:dyDescent="0.3">
      <c r="A1890" t="s">
        <v>38</v>
      </c>
      <c r="B1890" t="s">
        <v>102</v>
      </c>
      <c r="C1890">
        <v>2024</v>
      </c>
      <c r="D1890" t="s">
        <v>56</v>
      </c>
      <c r="E1890" s="3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34</v>
      </c>
      <c r="N1890">
        <v>5</v>
      </c>
      <c r="O1890" t="s">
        <v>35</v>
      </c>
      <c r="P1890">
        <v>40</v>
      </c>
      <c r="Q1890">
        <v>2125</v>
      </c>
      <c r="R1890">
        <v>3</v>
      </c>
      <c r="S1890">
        <v>0</v>
      </c>
      <c r="T1890" t="s">
        <v>41</v>
      </c>
      <c r="U1890" t="s">
        <v>66</v>
      </c>
      <c r="V1890" s="3">
        <v>10258</v>
      </c>
      <c r="W1890">
        <v>3.6</v>
      </c>
      <c r="X1890">
        <v>4</v>
      </c>
      <c r="Y1890" s="1">
        <f>EV_Data4[[#This Row],[range_miles]]/EV_Data4[[#This Row],[battery_capacity_kwh]]</f>
        <v>3.7398373983739841</v>
      </c>
      <c r="Z1890" s="4">
        <f>EV_Data4[[#This Row],[price_usd]]/EV_Data4[[#This Row],[range_miles]]</f>
        <v>119.09210144927536</v>
      </c>
      <c r="AA1890" s="2">
        <f>(EV_Data4[[#This Row],[customer_rating]]*EV_Data4[[#This Row],[safety_rating]]*1000)/EV_Data4[[#This Row],[price_usd]]</f>
        <v>0.32857288020293635</v>
      </c>
      <c r="AB1890">
        <f>EV_Data4[[#This Row],[horsepower]]+EV_Data4[[#This Row],[torque_nm]]/EV_Data4[[#This Row],[acceleration_0_60_mph]]</f>
        <v>331.06303236797277</v>
      </c>
      <c r="AC1890" t="str">
        <f>IF(EV_Data4[[#This Row],[price_usd]]&gt;=80000,"Luxury",IF(EV_Data4[[#This Row],[price_usd]]&gt;=40000,"Mid-Range","Budget"))</f>
        <v>Budget</v>
      </c>
      <c r="AD1890" t="str">
        <f>IF(EV_Data4[[#This Row],[range_miles]]&gt;=350,"Long-Range",IF(EV_Data4[[#This Row],[range_miles]]&gt;=250,"Medium-Range","Short-Range"))</f>
        <v>Medium-Range</v>
      </c>
      <c r="AE1890" t="str">
        <f>IF(EV_Data4[[#This Row],[charging_speed_kw]]&gt;=250,"Ultra-Fast",IF(EV_Data4[[#This Row],[charging_speed_kw]]&gt;=150,"Fast-Charging","Standard-Charging"))</f>
        <v>Standard-Charging</v>
      </c>
      <c r="AF1890" t="str">
        <f>IF(EV_Data4[[#This Row],[acceleration_0_60_mph]]&lt;=3,"SportsPerformance",IF(EV_Data4[[#This Row],[acceleration_0_60_mph]]&lt;=5,"HighPerformance","Standard"))</f>
        <v>Standard</v>
      </c>
      <c r="AG1890" t="str">
        <f>IF(EV_Data4[[#This Row],[customer_rating]]&gt;=4.5,"Excellent",IF(EV_Data4[[#This Row],[customer_rating]]&gt;=3.5,"Good","Average"))</f>
        <v>Good</v>
      </c>
      <c r="AH189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91" spans="1:34" x14ac:dyDescent="0.3">
      <c r="A1891" t="s">
        <v>121</v>
      </c>
      <c r="B1891" t="s">
        <v>135</v>
      </c>
      <c r="C1891">
        <v>2022</v>
      </c>
      <c r="D1891" t="s">
        <v>56</v>
      </c>
      <c r="E1891" s="3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34</v>
      </c>
      <c r="N1891">
        <v>5</v>
      </c>
      <c r="O1891" t="s">
        <v>50</v>
      </c>
      <c r="P1891">
        <v>20.7</v>
      </c>
      <c r="Q1891">
        <v>1790</v>
      </c>
      <c r="R1891">
        <v>5</v>
      </c>
      <c r="S1891">
        <v>1</v>
      </c>
      <c r="T1891" t="s">
        <v>123</v>
      </c>
      <c r="U1891" t="s">
        <v>37</v>
      </c>
      <c r="V1891" s="3">
        <v>17974</v>
      </c>
      <c r="W1891">
        <v>3.32</v>
      </c>
      <c r="X1891">
        <v>3</v>
      </c>
      <c r="Y1891" s="1">
        <f>EV_Data4[[#This Row],[range_miles]]/EV_Data4[[#This Row],[battery_capacity_kwh]]</f>
        <v>3.2679738562091503</v>
      </c>
      <c r="Z1891" s="4">
        <f>EV_Data4[[#This Row],[price_usd]]/EV_Data4[[#This Row],[range_miles]]</f>
        <v>308.10006666666669</v>
      </c>
      <c r="AA1891" s="2">
        <f>(EV_Data4[[#This Row],[customer_rating]]*EV_Data4[[#This Row],[safety_rating]]*1000)/EV_Data4[[#This Row],[price_usd]]</f>
        <v>0.3591906612159122</v>
      </c>
      <c r="AB1891">
        <f>EV_Data4[[#This Row],[horsepower]]+EV_Data4[[#This Row],[torque_nm]]/EV_Data4[[#This Row],[acceleration_0_60_mph]]</f>
        <v>251.83241252302025</v>
      </c>
      <c r="AC1891" t="str">
        <f>IF(EV_Data4[[#This Row],[price_usd]]&gt;=80000,"Luxury",IF(EV_Data4[[#This Row],[price_usd]]&gt;=40000,"Mid-Range","Budget"))</f>
        <v>Mid-Range</v>
      </c>
      <c r="AD1891" t="str">
        <f>IF(EV_Data4[[#This Row],[range_miles]]&gt;=350,"Long-Range",IF(EV_Data4[[#This Row],[range_miles]]&gt;=250,"Medium-Range","Short-Range"))</f>
        <v>Short-Range</v>
      </c>
      <c r="AE1891" t="str">
        <f>IF(EV_Data4[[#This Row],[charging_speed_kw]]&gt;=250,"Ultra-Fast",IF(EV_Data4[[#This Row],[charging_speed_kw]]&gt;=150,"Fast-Charging","Standard-Charging"))</f>
        <v>Standard-Charging</v>
      </c>
      <c r="AF1891" t="str">
        <f>IF(EV_Data4[[#This Row],[acceleration_0_60_mph]]&lt;=3,"SportsPerformance",IF(EV_Data4[[#This Row],[acceleration_0_60_mph]]&lt;=5,"HighPerformance","Standard"))</f>
        <v>Standard</v>
      </c>
      <c r="AG1891" t="str">
        <f>IF(EV_Data4[[#This Row],[customer_rating]]&gt;=4.5,"Excellent",IF(EV_Data4[[#This Row],[customer_rating]]&gt;=3.5,"Good","Average"))</f>
        <v>Average</v>
      </c>
      <c r="AH189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92" spans="1:34" x14ac:dyDescent="0.3">
      <c r="A1892" t="s">
        <v>46</v>
      </c>
      <c r="B1892" t="s">
        <v>47</v>
      </c>
      <c r="C1892">
        <v>2025</v>
      </c>
      <c r="D1892" t="s">
        <v>33</v>
      </c>
      <c r="E1892" s="3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27</v>
      </c>
      <c r="N1892">
        <v>7</v>
      </c>
      <c r="O1892" t="s">
        <v>28</v>
      </c>
      <c r="P1892">
        <v>75.7</v>
      </c>
      <c r="Q1892">
        <v>2588</v>
      </c>
      <c r="R1892">
        <v>5</v>
      </c>
      <c r="S1892">
        <v>2</v>
      </c>
      <c r="T1892" t="s">
        <v>41</v>
      </c>
      <c r="U1892" t="s">
        <v>30</v>
      </c>
      <c r="V1892" s="3">
        <v>176733</v>
      </c>
      <c r="W1892">
        <v>3.77</v>
      </c>
      <c r="X1892">
        <v>4</v>
      </c>
      <c r="Y1892" s="1">
        <f>EV_Data4[[#This Row],[range_miles]]/EV_Data4[[#This Row],[battery_capacity_kwh]]</f>
        <v>3.484224965706447</v>
      </c>
      <c r="Z1892" s="4">
        <f>EV_Data4[[#This Row],[price_usd]]/EV_Data4[[#This Row],[range_miles]]</f>
        <v>431.95421259842516</v>
      </c>
      <c r="AA1892" s="2">
        <f>(EV_Data4[[#This Row],[customer_rating]]*EV_Data4[[#This Row],[safety_rating]]*1000)/EV_Data4[[#This Row],[price_usd]]</f>
        <v>0.1718066319547393</v>
      </c>
      <c r="AB1892">
        <f>EV_Data4[[#This Row],[horsepower]]+EV_Data4[[#This Row],[torque_nm]]/EV_Data4[[#This Row],[acceleration_0_60_mph]]</f>
        <v>854.04812834224595</v>
      </c>
      <c r="AC1892" t="str">
        <f>IF(EV_Data4[[#This Row],[price_usd]]&gt;=80000,"Luxury",IF(EV_Data4[[#This Row],[price_usd]]&gt;=40000,"Mid-Range","Budget"))</f>
        <v>Luxury</v>
      </c>
      <c r="AD1892" t="str">
        <f>IF(EV_Data4[[#This Row],[range_miles]]&gt;=350,"Long-Range",IF(EV_Data4[[#This Row],[range_miles]]&gt;=250,"Medium-Range","Short-Range"))</f>
        <v>Medium-Range</v>
      </c>
      <c r="AE1892" t="str">
        <f>IF(EV_Data4[[#This Row],[charging_speed_kw]]&gt;=250,"Ultra-Fast",IF(EV_Data4[[#This Row],[charging_speed_kw]]&gt;=150,"Fast-Charging","Standard-Charging"))</f>
        <v>Ultra-Fast</v>
      </c>
      <c r="AF1892" t="str">
        <f>IF(EV_Data4[[#This Row],[acceleration_0_60_mph]]&lt;=3,"SportsPerformance",IF(EV_Data4[[#This Row],[acceleration_0_60_mph]]&lt;=5,"HighPerformance","Standard"))</f>
        <v>Standard</v>
      </c>
      <c r="AG1892" t="str">
        <f>IF(EV_Data4[[#This Row],[customer_rating]]&gt;=4.5,"Excellent",IF(EV_Data4[[#This Row],[customer_rating]]&gt;=3.5,"Good","Average"))</f>
        <v>Good</v>
      </c>
      <c r="AH189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93" spans="1:34" x14ac:dyDescent="0.3">
      <c r="A1893" t="s">
        <v>24</v>
      </c>
      <c r="B1893" t="s">
        <v>70</v>
      </c>
      <c r="C1893">
        <v>2022</v>
      </c>
      <c r="D1893" t="s">
        <v>44</v>
      </c>
      <c r="E1893" s="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27</v>
      </c>
      <c r="N1893">
        <v>7</v>
      </c>
      <c r="O1893" t="s">
        <v>51</v>
      </c>
      <c r="P1893">
        <v>20.5</v>
      </c>
      <c r="Q1893">
        <v>1581</v>
      </c>
      <c r="R1893">
        <v>4</v>
      </c>
      <c r="S1893">
        <v>0</v>
      </c>
      <c r="T1893" t="s">
        <v>29</v>
      </c>
      <c r="U1893" t="s">
        <v>33</v>
      </c>
      <c r="V1893" s="3">
        <v>263434</v>
      </c>
      <c r="W1893">
        <v>3.53</v>
      </c>
      <c r="X1893">
        <v>5</v>
      </c>
      <c r="Y1893" s="1">
        <f>EV_Data4[[#This Row],[range_miles]]/EV_Data4[[#This Row],[battery_capacity_kwh]]</f>
        <v>3.3430232558139532</v>
      </c>
      <c r="Z1893" s="4">
        <f>EV_Data4[[#This Row],[price_usd]]/EV_Data4[[#This Row],[range_miles]]</f>
        <v>239.98576811594202</v>
      </c>
      <c r="AA1893" s="2">
        <f>(EV_Data4[[#This Row],[customer_rating]]*EV_Data4[[#This Row],[safety_rating]]*1000)/EV_Data4[[#This Row],[price_usd]]</f>
        <v>0.17054151399557632</v>
      </c>
      <c r="AB1893">
        <f>EV_Data4[[#This Row],[horsepower]]+EV_Data4[[#This Row],[torque_nm]]/EV_Data4[[#This Row],[acceleration_0_60_mph]]</f>
        <v>1115.763948497854</v>
      </c>
      <c r="AC1893" t="str">
        <f>IF(EV_Data4[[#This Row],[price_usd]]&gt;=80000,"Luxury",IF(EV_Data4[[#This Row],[price_usd]]&gt;=40000,"Mid-Range","Budget"))</f>
        <v>Luxury</v>
      </c>
      <c r="AD1893" t="str">
        <f>IF(EV_Data4[[#This Row],[range_miles]]&gt;=350,"Long-Range",IF(EV_Data4[[#This Row],[range_miles]]&gt;=250,"Medium-Range","Short-Range"))</f>
        <v>Medium-Range</v>
      </c>
      <c r="AE1893" t="str">
        <f>IF(EV_Data4[[#This Row],[charging_speed_kw]]&gt;=250,"Ultra-Fast",IF(EV_Data4[[#This Row],[charging_speed_kw]]&gt;=150,"Fast-Charging","Standard-Charging"))</f>
        <v>Standard-Charging</v>
      </c>
      <c r="AF1893" t="str">
        <f>IF(EV_Data4[[#This Row],[acceleration_0_60_mph]]&lt;=3,"SportsPerformance",IF(EV_Data4[[#This Row],[acceleration_0_60_mph]]&lt;=5,"HighPerformance","Standard"))</f>
        <v>HighPerformance</v>
      </c>
      <c r="AG1893" t="str">
        <f>IF(EV_Data4[[#This Row],[customer_rating]]&gt;=4.5,"Excellent",IF(EV_Data4[[#This Row],[customer_rating]]&gt;=3.5,"Good","Average"))</f>
        <v>Good</v>
      </c>
      <c r="AH189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94" spans="1:34" x14ac:dyDescent="0.3">
      <c r="A1894" t="s">
        <v>76</v>
      </c>
      <c r="B1894" t="s">
        <v>77</v>
      </c>
      <c r="C1894">
        <v>2026</v>
      </c>
      <c r="D1894" t="s">
        <v>44</v>
      </c>
      <c r="E1894" s="3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34</v>
      </c>
      <c r="N1894">
        <v>7</v>
      </c>
      <c r="O1894" t="s">
        <v>40</v>
      </c>
      <c r="P1894">
        <v>68.3</v>
      </c>
      <c r="Q1894">
        <v>1684</v>
      </c>
      <c r="R1894">
        <v>4</v>
      </c>
      <c r="S1894">
        <v>1</v>
      </c>
      <c r="T1894" t="s">
        <v>41</v>
      </c>
      <c r="U1894" t="s">
        <v>37</v>
      </c>
      <c r="V1894" s="3">
        <v>37462</v>
      </c>
      <c r="W1894">
        <v>3.75</v>
      </c>
      <c r="X1894">
        <v>5</v>
      </c>
      <c r="Y1894" s="1">
        <f>EV_Data4[[#This Row],[range_miles]]/EV_Data4[[#This Row],[battery_capacity_kwh]]</f>
        <v>3.2717190388170057</v>
      </c>
      <c r="Z1894" s="4">
        <f>EV_Data4[[#This Row],[price_usd]]/EV_Data4[[#This Row],[range_miles]]</f>
        <v>174.92915254237289</v>
      </c>
      <c r="AA1894" s="2">
        <f>(EV_Data4[[#This Row],[customer_rating]]*EV_Data4[[#This Row],[safety_rating]]*1000)/EV_Data4[[#This Row],[price_usd]]</f>
        <v>0.24222881515228442</v>
      </c>
      <c r="AB1894">
        <f>EV_Data4[[#This Row],[horsepower]]+EV_Data4[[#This Row],[torque_nm]]/EV_Data4[[#This Row],[acceleration_0_60_mph]]</f>
        <v>765.42495126705649</v>
      </c>
      <c r="AC1894" t="str">
        <f>IF(EV_Data4[[#This Row],[price_usd]]&gt;=80000,"Luxury",IF(EV_Data4[[#This Row],[price_usd]]&gt;=40000,"Mid-Range","Budget"))</f>
        <v>Mid-Range</v>
      </c>
      <c r="AD1894" t="str">
        <f>IF(EV_Data4[[#This Row],[range_miles]]&gt;=350,"Long-Range",IF(EV_Data4[[#This Row],[range_miles]]&gt;=250,"Medium-Range","Short-Range"))</f>
        <v>Long-Range</v>
      </c>
      <c r="AE1894" t="str">
        <f>IF(EV_Data4[[#This Row],[charging_speed_kw]]&gt;=250,"Ultra-Fast",IF(EV_Data4[[#This Row],[charging_speed_kw]]&gt;=150,"Fast-Charging","Standard-Charging"))</f>
        <v>Standard-Charging</v>
      </c>
      <c r="AF1894" t="str">
        <f>IF(EV_Data4[[#This Row],[acceleration_0_60_mph]]&lt;=3,"SportsPerformance",IF(EV_Data4[[#This Row],[acceleration_0_60_mph]]&lt;=5,"HighPerformance","Standard"))</f>
        <v>Standard</v>
      </c>
      <c r="AG1894" t="str">
        <f>IF(EV_Data4[[#This Row],[customer_rating]]&gt;=4.5,"Excellent",IF(EV_Data4[[#This Row],[customer_rating]]&gt;=3.5,"Good","Average"))</f>
        <v>Good</v>
      </c>
      <c r="AH189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895" spans="1:34" x14ac:dyDescent="0.3">
      <c r="A1895" t="s">
        <v>63</v>
      </c>
      <c r="B1895" t="s">
        <v>82</v>
      </c>
      <c r="C1895">
        <v>2025</v>
      </c>
      <c r="D1895" t="s">
        <v>44</v>
      </c>
      <c r="E1895" s="3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27</v>
      </c>
      <c r="N1895">
        <v>5</v>
      </c>
      <c r="O1895" t="s">
        <v>50</v>
      </c>
      <c r="P1895">
        <v>21.7</v>
      </c>
      <c r="Q1895">
        <v>1730</v>
      </c>
      <c r="R1895">
        <v>5</v>
      </c>
      <c r="S1895">
        <v>0</v>
      </c>
      <c r="T1895" t="s">
        <v>65</v>
      </c>
      <c r="U1895" t="s">
        <v>37</v>
      </c>
      <c r="V1895" s="3">
        <v>132415</v>
      </c>
      <c r="W1895">
        <v>3.44</v>
      </c>
      <c r="X1895">
        <v>5</v>
      </c>
      <c r="Y1895" s="1">
        <f>EV_Data4[[#This Row],[range_miles]]/EV_Data4[[#This Row],[battery_capacity_kwh]]</f>
        <v>3.778040141676505</v>
      </c>
      <c r="Z1895" s="4">
        <f>EV_Data4[[#This Row],[price_usd]]/EV_Data4[[#This Row],[range_miles]]</f>
        <v>160.87565624999999</v>
      </c>
      <c r="AA1895" s="2">
        <f>(EV_Data4[[#This Row],[customer_rating]]*EV_Data4[[#This Row],[safety_rating]]*1000)/EV_Data4[[#This Row],[price_usd]]</f>
        <v>0.33410897119495048</v>
      </c>
      <c r="AB1895">
        <f>EV_Data4[[#This Row],[horsepower]]+EV_Data4[[#This Row],[torque_nm]]/EV_Data4[[#This Row],[acceleration_0_60_mph]]</f>
        <v>680.64106844741241</v>
      </c>
      <c r="AC1895" t="str">
        <f>IF(EV_Data4[[#This Row],[price_usd]]&gt;=80000,"Luxury",IF(EV_Data4[[#This Row],[price_usd]]&gt;=40000,"Mid-Range","Budget"))</f>
        <v>Mid-Range</v>
      </c>
      <c r="AD1895" t="str">
        <f>IF(EV_Data4[[#This Row],[range_miles]]&gt;=350,"Long-Range",IF(EV_Data4[[#This Row],[range_miles]]&gt;=250,"Medium-Range","Short-Range"))</f>
        <v>Medium-Range</v>
      </c>
      <c r="AE1895" t="str">
        <f>IF(EV_Data4[[#This Row],[charging_speed_kw]]&gt;=250,"Ultra-Fast",IF(EV_Data4[[#This Row],[charging_speed_kw]]&gt;=150,"Fast-Charging","Standard-Charging"))</f>
        <v>Standard-Charging</v>
      </c>
      <c r="AF1895" t="str">
        <f>IF(EV_Data4[[#This Row],[acceleration_0_60_mph]]&lt;=3,"SportsPerformance",IF(EV_Data4[[#This Row],[acceleration_0_60_mph]]&lt;=5,"HighPerformance","Standard"))</f>
        <v>Standard</v>
      </c>
      <c r="AG1895" t="str">
        <f>IF(EV_Data4[[#This Row],[customer_rating]]&gt;=4.5,"Excellent",IF(EV_Data4[[#This Row],[customer_rating]]&gt;=3.5,"Good","Average"))</f>
        <v>Average</v>
      </c>
      <c r="AH189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96" spans="1:34" x14ac:dyDescent="0.3">
      <c r="A1896" t="s">
        <v>42</v>
      </c>
      <c r="B1896" t="s">
        <v>43</v>
      </c>
      <c r="C1896">
        <v>2026</v>
      </c>
      <c r="D1896" t="s">
        <v>61</v>
      </c>
      <c r="E1896" s="3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27</v>
      </c>
      <c r="N1896">
        <v>5</v>
      </c>
      <c r="O1896" t="s">
        <v>35</v>
      </c>
      <c r="P1896">
        <v>56.3</v>
      </c>
      <c r="Q1896">
        <v>1910</v>
      </c>
      <c r="R1896">
        <v>4</v>
      </c>
      <c r="S1896">
        <v>2</v>
      </c>
      <c r="T1896" t="s">
        <v>45</v>
      </c>
      <c r="U1896" t="s">
        <v>33</v>
      </c>
      <c r="V1896" s="3">
        <v>99994</v>
      </c>
      <c r="W1896">
        <v>3.36</v>
      </c>
      <c r="X1896">
        <v>4</v>
      </c>
      <c r="Y1896" s="1">
        <f>EV_Data4[[#This Row],[range_miles]]/EV_Data4[[#This Row],[battery_capacity_kwh]]</f>
        <v>3.5800344234079171</v>
      </c>
      <c r="Z1896" s="4">
        <f>EV_Data4[[#This Row],[price_usd]]/EV_Data4[[#This Row],[range_miles]]</f>
        <v>363.92110576923073</v>
      </c>
      <c r="AA1896" s="2">
        <f>(EV_Data4[[#This Row],[customer_rating]]*EV_Data4[[#This Row],[safety_rating]]*1000)/EV_Data4[[#This Row],[price_usd]]</f>
        <v>0.17755327622124353</v>
      </c>
      <c r="AB1896">
        <f>EV_Data4[[#This Row],[horsepower]]+EV_Data4[[#This Row],[torque_nm]]/EV_Data4[[#This Row],[acceleration_0_60_mph]]</f>
        <v>1032.9808917197452</v>
      </c>
      <c r="AC1896" t="str">
        <f>IF(EV_Data4[[#This Row],[price_usd]]&gt;=80000,"Luxury",IF(EV_Data4[[#This Row],[price_usd]]&gt;=40000,"Mid-Range","Budget"))</f>
        <v>Mid-Range</v>
      </c>
      <c r="AD1896" t="str">
        <f>IF(EV_Data4[[#This Row],[range_miles]]&gt;=350,"Long-Range",IF(EV_Data4[[#This Row],[range_miles]]&gt;=250,"Medium-Range","Short-Range"))</f>
        <v>Short-Range</v>
      </c>
      <c r="AE1896" t="str">
        <f>IF(EV_Data4[[#This Row],[charging_speed_kw]]&gt;=250,"Ultra-Fast",IF(EV_Data4[[#This Row],[charging_speed_kw]]&gt;=150,"Fast-Charging","Standard-Charging"))</f>
        <v>Standard-Charging</v>
      </c>
      <c r="AF1896" t="str">
        <f>IF(EV_Data4[[#This Row],[acceleration_0_60_mph]]&lt;=3,"SportsPerformance",IF(EV_Data4[[#This Row],[acceleration_0_60_mph]]&lt;=5,"HighPerformance","Standard"))</f>
        <v>Standard</v>
      </c>
      <c r="AG1896" t="str">
        <f>IF(EV_Data4[[#This Row],[customer_rating]]&gt;=4.5,"Excellent",IF(EV_Data4[[#This Row],[customer_rating]]&gt;=3.5,"Good","Average"))</f>
        <v>Average</v>
      </c>
      <c r="AH189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897" spans="1:34" x14ac:dyDescent="0.3">
      <c r="A1897" t="s">
        <v>38</v>
      </c>
      <c r="B1897" t="s">
        <v>55</v>
      </c>
      <c r="C1897">
        <v>2023</v>
      </c>
      <c r="D1897" t="s">
        <v>56</v>
      </c>
      <c r="E1897" s="3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27</v>
      </c>
      <c r="N1897">
        <v>7</v>
      </c>
      <c r="O1897" t="s">
        <v>51</v>
      </c>
      <c r="P1897">
        <v>34.1</v>
      </c>
      <c r="Q1897">
        <v>1561</v>
      </c>
      <c r="R1897">
        <v>4</v>
      </c>
      <c r="S1897">
        <v>0</v>
      </c>
      <c r="T1897" t="s">
        <v>41</v>
      </c>
      <c r="U1897" t="s">
        <v>66</v>
      </c>
      <c r="V1897" s="3">
        <v>13459</v>
      </c>
      <c r="W1897">
        <v>3.31</v>
      </c>
      <c r="X1897">
        <v>4</v>
      </c>
      <c r="Y1897" s="1">
        <f>EV_Data4[[#This Row],[range_miles]]/EV_Data4[[#This Row],[battery_capacity_kwh]]</f>
        <v>3.7681159420289854</v>
      </c>
      <c r="Z1897" s="4">
        <f>EV_Data4[[#This Row],[price_usd]]/EV_Data4[[#This Row],[range_miles]]</f>
        <v>146.98427884615384</v>
      </c>
      <c r="AA1897" s="2">
        <f>(EV_Data4[[#This Row],[customer_rating]]*EV_Data4[[#This Row],[safety_rating]]*1000)/EV_Data4[[#This Row],[price_usd]]</f>
        <v>0.43306567650321054</v>
      </c>
      <c r="AB1897">
        <f>EV_Data4[[#This Row],[horsepower]]+EV_Data4[[#This Row],[torque_nm]]/EV_Data4[[#This Row],[acceleration_0_60_mph]]</f>
        <v>248.72634271099744</v>
      </c>
      <c r="AC1897" t="str">
        <f>IF(EV_Data4[[#This Row],[price_usd]]&gt;=80000,"Luxury",IF(EV_Data4[[#This Row],[price_usd]]&gt;=40000,"Mid-Range","Budget"))</f>
        <v>Budget</v>
      </c>
      <c r="AD1897" t="str">
        <f>IF(EV_Data4[[#This Row],[range_miles]]&gt;=350,"Long-Range",IF(EV_Data4[[#This Row],[range_miles]]&gt;=250,"Medium-Range","Short-Range"))</f>
        <v>Short-Range</v>
      </c>
      <c r="AE1897" t="str">
        <f>IF(EV_Data4[[#This Row],[charging_speed_kw]]&gt;=250,"Ultra-Fast",IF(EV_Data4[[#This Row],[charging_speed_kw]]&gt;=150,"Fast-Charging","Standard-Charging"))</f>
        <v>Standard-Charging</v>
      </c>
      <c r="AF1897" t="str">
        <f>IF(EV_Data4[[#This Row],[acceleration_0_60_mph]]&lt;=3,"SportsPerformance",IF(EV_Data4[[#This Row],[acceleration_0_60_mph]]&lt;=5,"HighPerformance","Standard"))</f>
        <v>Standard</v>
      </c>
      <c r="AG1897" t="str">
        <f>IF(EV_Data4[[#This Row],[customer_rating]]&gt;=4.5,"Excellent",IF(EV_Data4[[#This Row],[customer_rating]]&gt;=3.5,"Good","Average"))</f>
        <v>Average</v>
      </c>
      <c r="AH189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98" spans="1:34" x14ac:dyDescent="0.3">
      <c r="A1898" t="s">
        <v>42</v>
      </c>
      <c r="B1898" t="s">
        <v>43</v>
      </c>
      <c r="C1898">
        <v>2021</v>
      </c>
      <c r="D1898" t="s">
        <v>26</v>
      </c>
      <c r="E1898" s="3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48</v>
      </c>
      <c r="N1898">
        <v>5</v>
      </c>
      <c r="O1898" t="s">
        <v>35</v>
      </c>
      <c r="P1898">
        <v>49.7</v>
      </c>
      <c r="Q1898">
        <v>2329</v>
      </c>
      <c r="R1898">
        <v>5</v>
      </c>
      <c r="S1898">
        <v>0</v>
      </c>
      <c r="T1898" t="s">
        <v>45</v>
      </c>
      <c r="U1898" t="s">
        <v>33</v>
      </c>
      <c r="V1898" s="3">
        <v>79309</v>
      </c>
      <c r="W1898">
        <v>3.97</v>
      </c>
      <c r="X1898">
        <v>4</v>
      </c>
      <c r="Y1898" s="1">
        <f>EV_Data4[[#This Row],[range_miles]]/EV_Data4[[#This Row],[battery_capacity_kwh]]</f>
        <v>3.3922558922558923</v>
      </c>
      <c r="Z1898" s="4">
        <f>EV_Data4[[#This Row],[price_usd]]/EV_Data4[[#This Row],[range_miles]]</f>
        <v>229.02369727047147</v>
      </c>
      <c r="AA1898" s="2">
        <f>(EV_Data4[[#This Row],[customer_rating]]*EV_Data4[[#This Row],[safety_rating]]*1000)/EV_Data4[[#This Row],[price_usd]]</f>
        <v>0.21506762712149044</v>
      </c>
      <c r="AB1898">
        <f>EV_Data4[[#This Row],[horsepower]]+EV_Data4[[#This Row],[torque_nm]]/EV_Data4[[#This Row],[acceleration_0_60_mph]]</f>
        <v>1258.8571428571429</v>
      </c>
      <c r="AC1898" t="str">
        <f>IF(EV_Data4[[#This Row],[price_usd]]&gt;=80000,"Luxury",IF(EV_Data4[[#This Row],[price_usd]]&gt;=40000,"Mid-Range","Budget"))</f>
        <v>Luxury</v>
      </c>
      <c r="AD1898" t="str">
        <f>IF(EV_Data4[[#This Row],[range_miles]]&gt;=350,"Long-Range",IF(EV_Data4[[#This Row],[range_miles]]&gt;=250,"Medium-Range","Short-Range"))</f>
        <v>Long-Range</v>
      </c>
      <c r="AE1898" t="str">
        <f>IF(EV_Data4[[#This Row],[charging_speed_kw]]&gt;=250,"Ultra-Fast",IF(EV_Data4[[#This Row],[charging_speed_kw]]&gt;=150,"Fast-Charging","Standard-Charging"))</f>
        <v>Fast-Charging</v>
      </c>
      <c r="AF1898" t="str">
        <f>IF(EV_Data4[[#This Row],[acceleration_0_60_mph]]&lt;=3,"SportsPerformance",IF(EV_Data4[[#This Row],[acceleration_0_60_mph]]&lt;=5,"HighPerformance","Standard"))</f>
        <v>HighPerformance</v>
      </c>
      <c r="AG1898" t="str">
        <f>IF(EV_Data4[[#This Row],[customer_rating]]&gt;=4.5,"Excellent",IF(EV_Data4[[#This Row],[customer_rating]]&gt;=3.5,"Good","Average"))</f>
        <v>Good</v>
      </c>
      <c r="AH189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899" spans="1:34" x14ac:dyDescent="0.3">
      <c r="A1899" t="s">
        <v>46</v>
      </c>
      <c r="B1899" t="s">
        <v>57</v>
      </c>
      <c r="C1899">
        <v>2023</v>
      </c>
      <c r="D1899" t="s">
        <v>56</v>
      </c>
      <c r="E1899" s="3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48</v>
      </c>
      <c r="N1899">
        <v>5</v>
      </c>
      <c r="O1899" t="s">
        <v>40</v>
      </c>
      <c r="P1899">
        <v>78.400000000000006</v>
      </c>
      <c r="Q1899">
        <v>1500</v>
      </c>
      <c r="R1899">
        <v>4</v>
      </c>
      <c r="S1899">
        <v>2</v>
      </c>
      <c r="T1899" t="s">
        <v>41</v>
      </c>
      <c r="U1899" t="s">
        <v>37</v>
      </c>
      <c r="V1899" s="3">
        <v>119951</v>
      </c>
      <c r="W1899">
        <v>3.56</v>
      </c>
      <c r="X1899">
        <v>4</v>
      </c>
      <c r="Y1899" s="1">
        <f>EV_Data4[[#This Row],[range_miles]]/EV_Data4[[#This Row],[battery_capacity_kwh]]</f>
        <v>3.550185873605948</v>
      </c>
      <c r="Z1899" s="4">
        <f>EV_Data4[[#This Row],[price_usd]]/EV_Data4[[#This Row],[range_miles]]</f>
        <v>217.06947643979055</v>
      </c>
      <c r="AA1899" s="2">
        <f>(EV_Data4[[#This Row],[customer_rating]]*EV_Data4[[#This Row],[safety_rating]]*1000)/EV_Data4[[#This Row],[price_usd]]</f>
        <v>0.34346134262994432</v>
      </c>
      <c r="AB1899">
        <f>EV_Data4[[#This Row],[horsepower]]+EV_Data4[[#This Row],[torque_nm]]/EV_Data4[[#This Row],[acceleration_0_60_mph]]</f>
        <v>320.4375</v>
      </c>
      <c r="AC1899" t="str">
        <f>IF(EV_Data4[[#This Row],[price_usd]]&gt;=80000,"Luxury",IF(EV_Data4[[#This Row],[price_usd]]&gt;=40000,"Mid-Range","Budget"))</f>
        <v>Mid-Range</v>
      </c>
      <c r="AD1899" t="str">
        <f>IF(EV_Data4[[#This Row],[range_miles]]&gt;=350,"Long-Range",IF(EV_Data4[[#This Row],[range_miles]]&gt;=250,"Medium-Range","Short-Range"))</f>
        <v>Short-Range</v>
      </c>
      <c r="AE1899" t="str">
        <f>IF(EV_Data4[[#This Row],[charging_speed_kw]]&gt;=250,"Ultra-Fast",IF(EV_Data4[[#This Row],[charging_speed_kw]]&gt;=150,"Fast-Charging","Standard-Charging"))</f>
        <v>Ultra-Fast</v>
      </c>
      <c r="AF1899" t="str">
        <f>IF(EV_Data4[[#This Row],[acceleration_0_60_mph]]&lt;=3,"SportsPerformance",IF(EV_Data4[[#This Row],[acceleration_0_60_mph]]&lt;=5,"HighPerformance","Standard"))</f>
        <v>Standard</v>
      </c>
      <c r="AG1899" t="str">
        <f>IF(EV_Data4[[#This Row],[customer_rating]]&gt;=4.5,"Excellent",IF(EV_Data4[[#This Row],[customer_rating]]&gt;=3.5,"Good","Average"))</f>
        <v>Good</v>
      </c>
      <c r="AH189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00" spans="1:34" x14ac:dyDescent="0.3">
      <c r="A1900" t="s">
        <v>24</v>
      </c>
      <c r="B1900" t="s">
        <v>85</v>
      </c>
      <c r="C1900">
        <v>2025</v>
      </c>
      <c r="D1900" t="s">
        <v>61</v>
      </c>
      <c r="E1900" s="3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34</v>
      </c>
      <c r="N1900">
        <v>7</v>
      </c>
      <c r="O1900" t="s">
        <v>58</v>
      </c>
      <c r="P1900">
        <v>33.700000000000003</v>
      </c>
      <c r="Q1900">
        <v>1763</v>
      </c>
      <c r="R1900">
        <v>5</v>
      </c>
      <c r="S1900">
        <v>1</v>
      </c>
      <c r="T1900" t="s">
        <v>29</v>
      </c>
      <c r="U1900" t="s">
        <v>37</v>
      </c>
      <c r="V1900" s="3">
        <v>220093</v>
      </c>
      <c r="W1900">
        <v>3.36</v>
      </c>
      <c r="X1900">
        <v>3</v>
      </c>
      <c r="Y1900" s="1">
        <f>EV_Data4[[#This Row],[range_miles]]/EV_Data4[[#This Row],[battery_capacity_kwh]]</f>
        <v>3.4311926605504586</v>
      </c>
      <c r="Z1900" s="4">
        <f>EV_Data4[[#This Row],[price_usd]]/EV_Data4[[#This Row],[range_miles]]</f>
        <v>288.41775401069521</v>
      </c>
      <c r="AA1900" s="2">
        <f>(EV_Data4[[#This Row],[customer_rating]]*EV_Data4[[#This Row],[safety_rating]]*1000)/EV_Data4[[#This Row],[price_usd]]</f>
        <v>0.31149113029006498</v>
      </c>
      <c r="AB1900">
        <f>EV_Data4[[#This Row],[horsepower]]+EV_Data4[[#This Row],[torque_nm]]/EV_Data4[[#This Row],[acceleration_0_60_mph]]</f>
        <v>607.30173775671403</v>
      </c>
      <c r="AC1900" t="str">
        <f>IF(EV_Data4[[#This Row],[price_usd]]&gt;=80000,"Luxury",IF(EV_Data4[[#This Row],[price_usd]]&gt;=40000,"Mid-Range","Budget"))</f>
        <v>Mid-Range</v>
      </c>
      <c r="AD1900" t="str">
        <f>IF(EV_Data4[[#This Row],[range_miles]]&gt;=350,"Long-Range",IF(EV_Data4[[#This Row],[range_miles]]&gt;=250,"Medium-Range","Short-Range"))</f>
        <v>Short-Range</v>
      </c>
      <c r="AE1900" t="str">
        <f>IF(EV_Data4[[#This Row],[charging_speed_kw]]&gt;=250,"Ultra-Fast",IF(EV_Data4[[#This Row],[charging_speed_kw]]&gt;=150,"Fast-Charging","Standard-Charging"))</f>
        <v>Standard-Charging</v>
      </c>
      <c r="AF1900" t="str">
        <f>IF(EV_Data4[[#This Row],[acceleration_0_60_mph]]&lt;=3,"SportsPerformance",IF(EV_Data4[[#This Row],[acceleration_0_60_mph]]&lt;=5,"HighPerformance","Standard"))</f>
        <v>Standard</v>
      </c>
      <c r="AG1900" t="str">
        <f>IF(EV_Data4[[#This Row],[customer_rating]]&gt;=4.5,"Excellent",IF(EV_Data4[[#This Row],[customer_rating]]&gt;=3.5,"Good","Average"))</f>
        <v>Average</v>
      </c>
      <c r="AH190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01" spans="1:34" x14ac:dyDescent="0.3">
      <c r="A1901" t="s">
        <v>76</v>
      </c>
      <c r="B1901" t="s">
        <v>98</v>
      </c>
      <c r="C1901">
        <v>2024</v>
      </c>
      <c r="D1901" t="s">
        <v>33</v>
      </c>
      <c r="E1901" s="3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27</v>
      </c>
      <c r="N1901">
        <v>7</v>
      </c>
      <c r="O1901" t="s">
        <v>28</v>
      </c>
      <c r="P1901">
        <v>78.599999999999994</v>
      </c>
      <c r="Q1901">
        <v>2676</v>
      </c>
      <c r="R1901">
        <v>4</v>
      </c>
      <c r="S1901">
        <v>2</v>
      </c>
      <c r="T1901" t="s">
        <v>41</v>
      </c>
      <c r="U1901" t="s">
        <v>33</v>
      </c>
      <c r="V1901" s="3">
        <v>40976</v>
      </c>
      <c r="W1901">
        <v>3</v>
      </c>
      <c r="X1901">
        <v>3</v>
      </c>
      <c r="Y1901" s="1">
        <f>EV_Data4[[#This Row],[range_miles]]/EV_Data4[[#This Row],[battery_capacity_kwh]]</f>
        <v>3.140625</v>
      </c>
      <c r="Z1901" s="4">
        <f>EV_Data4[[#This Row],[price_usd]]/EV_Data4[[#This Row],[range_miles]]</f>
        <v>431.88945273631839</v>
      </c>
      <c r="AA1901" s="2">
        <f>(EV_Data4[[#This Row],[customer_rating]]*EV_Data4[[#This Row],[safety_rating]]*1000)/EV_Data4[[#This Row],[price_usd]]</f>
        <v>0.13823327279483949</v>
      </c>
      <c r="AB1901">
        <f>EV_Data4[[#This Row],[horsepower]]+EV_Data4[[#This Row],[torque_nm]]/EV_Data4[[#This Row],[acceleration_0_60_mph]]</f>
        <v>1122.8232189973614</v>
      </c>
      <c r="AC1901" t="str">
        <f>IF(EV_Data4[[#This Row],[price_usd]]&gt;=80000,"Luxury",IF(EV_Data4[[#This Row],[price_usd]]&gt;=40000,"Mid-Range","Budget"))</f>
        <v>Luxury</v>
      </c>
      <c r="AD1901" t="str">
        <f>IF(EV_Data4[[#This Row],[range_miles]]&gt;=350,"Long-Range",IF(EV_Data4[[#This Row],[range_miles]]&gt;=250,"Medium-Range","Short-Range"))</f>
        <v>Short-Range</v>
      </c>
      <c r="AE1901" t="str">
        <f>IF(EV_Data4[[#This Row],[charging_speed_kw]]&gt;=250,"Ultra-Fast",IF(EV_Data4[[#This Row],[charging_speed_kw]]&gt;=150,"Fast-Charging","Standard-Charging"))</f>
        <v>Standard-Charging</v>
      </c>
      <c r="AF1901" t="str">
        <f>IF(EV_Data4[[#This Row],[acceleration_0_60_mph]]&lt;=3,"SportsPerformance",IF(EV_Data4[[#This Row],[acceleration_0_60_mph]]&lt;=5,"HighPerformance","Standard"))</f>
        <v>Standard</v>
      </c>
      <c r="AG1901" t="str">
        <f>IF(EV_Data4[[#This Row],[customer_rating]]&gt;=4.5,"Excellent",IF(EV_Data4[[#This Row],[customer_rating]]&gt;=3.5,"Good","Average"))</f>
        <v>Average</v>
      </c>
      <c r="AH190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02" spans="1:34" x14ac:dyDescent="0.3">
      <c r="A1902" t="s">
        <v>42</v>
      </c>
      <c r="B1902" t="s">
        <v>80</v>
      </c>
      <c r="C1902">
        <v>2024</v>
      </c>
      <c r="D1902" t="s">
        <v>26</v>
      </c>
      <c r="E1902" s="3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27</v>
      </c>
      <c r="N1902">
        <v>7</v>
      </c>
      <c r="O1902" t="s">
        <v>35</v>
      </c>
      <c r="P1902">
        <v>42.4</v>
      </c>
      <c r="Q1902">
        <v>1870</v>
      </c>
      <c r="R1902">
        <v>5</v>
      </c>
      <c r="S1902">
        <v>0</v>
      </c>
      <c r="T1902" t="s">
        <v>45</v>
      </c>
      <c r="U1902" t="s">
        <v>30</v>
      </c>
      <c r="V1902" s="3">
        <v>128063</v>
      </c>
      <c r="W1902">
        <v>4.17</v>
      </c>
      <c r="X1902">
        <v>4</v>
      </c>
      <c r="Y1902" s="1">
        <f>EV_Data4[[#This Row],[range_miles]]/EV_Data4[[#This Row],[battery_capacity_kwh]]</f>
        <v>3.4023668639053253</v>
      </c>
      <c r="Z1902" s="4">
        <f>EV_Data4[[#This Row],[price_usd]]/EV_Data4[[#This Row],[range_miles]]</f>
        <v>312.08652173913043</v>
      </c>
      <c r="AA1902" s="2">
        <f>(EV_Data4[[#This Row],[customer_rating]]*EV_Data4[[#This Row],[safety_rating]]*1000)/EV_Data4[[#This Row],[price_usd]]</f>
        <v>0.19364752528214721</v>
      </c>
      <c r="AB1902">
        <f>EV_Data4[[#This Row],[horsepower]]+EV_Data4[[#This Row],[torque_nm]]/EV_Data4[[#This Row],[acceleration_0_60_mph]]</f>
        <v>1346.7432950191571</v>
      </c>
      <c r="AC1902" t="str">
        <f>IF(EV_Data4[[#This Row],[price_usd]]&gt;=80000,"Luxury",IF(EV_Data4[[#This Row],[price_usd]]&gt;=40000,"Mid-Range","Budget"))</f>
        <v>Luxury</v>
      </c>
      <c r="AD1902" t="str">
        <f>IF(EV_Data4[[#This Row],[range_miles]]&gt;=350,"Long-Range",IF(EV_Data4[[#This Row],[range_miles]]&gt;=250,"Medium-Range","Short-Range"))</f>
        <v>Medium-Range</v>
      </c>
      <c r="AE1902" t="str">
        <f>IF(EV_Data4[[#This Row],[charging_speed_kw]]&gt;=250,"Ultra-Fast",IF(EV_Data4[[#This Row],[charging_speed_kw]]&gt;=150,"Fast-Charging","Standard-Charging"))</f>
        <v>Fast-Charging</v>
      </c>
      <c r="AF1902" t="str">
        <f>IF(EV_Data4[[#This Row],[acceleration_0_60_mph]]&lt;=3,"SportsPerformance",IF(EV_Data4[[#This Row],[acceleration_0_60_mph]]&lt;=5,"HighPerformance","Standard"))</f>
        <v>SportsPerformance</v>
      </c>
      <c r="AG1902" t="str">
        <f>IF(EV_Data4[[#This Row],[customer_rating]]&gt;=4.5,"Excellent",IF(EV_Data4[[#This Row],[customer_rating]]&gt;=3.5,"Good","Average"))</f>
        <v>Good</v>
      </c>
      <c r="AH190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03" spans="1:34" x14ac:dyDescent="0.3">
      <c r="A1903" t="s">
        <v>46</v>
      </c>
      <c r="B1903" t="s">
        <v>72</v>
      </c>
      <c r="C1903">
        <v>2025</v>
      </c>
      <c r="D1903" t="s">
        <v>33</v>
      </c>
      <c r="E1903" s="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48</v>
      </c>
      <c r="N1903">
        <v>5</v>
      </c>
      <c r="O1903" t="s">
        <v>28</v>
      </c>
      <c r="P1903">
        <v>51.4</v>
      </c>
      <c r="Q1903">
        <v>2737</v>
      </c>
      <c r="R1903">
        <v>4</v>
      </c>
      <c r="S1903">
        <v>3</v>
      </c>
      <c r="T1903" t="s">
        <v>41</v>
      </c>
      <c r="U1903" t="s">
        <v>30</v>
      </c>
      <c r="V1903" s="3">
        <v>162101</v>
      </c>
      <c r="W1903">
        <v>3.9</v>
      </c>
      <c r="X1903">
        <v>5</v>
      </c>
      <c r="Y1903" s="1">
        <f>EV_Data4[[#This Row],[range_miles]]/EV_Data4[[#This Row],[battery_capacity_kwh]]</f>
        <v>3.5439900867410161</v>
      </c>
      <c r="Z1903" s="4">
        <f>EV_Data4[[#This Row],[price_usd]]/EV_Data4[[#This Row],[range_miles]]</f>
        <v>396.87339160839161</v>
      </c>
      <c r="AA1903" s="2">
        <f>(EV_Data4[[#This Row],[customer_rating]]*EV_Data4[[#This Row],[safety_rating]]*1000)/EV_Data4[[#This Row],[price_usd]]</f>
        <v>0.13743792277028336</v>
      </c>
      <c r="AB1903">
        <f>EV_Data4[[#This Row],[horsepower]]+EV_Data4[[#This Row],[torque_nm]]/EV_Data4[[#This Row],[acceleration_0_60_mph]]</f>
        <v>970.56441717791415</v>
      </c>
      <c r="AC1903" t="str">
        <f>IF(EV_Data4[[#This Row],[price_usd]]&gt;=80000,"Luxury",IF(EV_Data4[[#This Row],[price_usd]]&gt;=40000,"Mid-Range","Budget"))</f>
        <v>Luxury</v>
      </c>
      <c r="AD1903" t="str">
        <f>IF(EV_Data4[[#This Row],[range_miles]]&gt;=350,"Long-Range",IF(EV_Data4[[#This Row],[range_miles]]&gt;=250,"Medium-Range","Short-Range"))</f>
        <v>Medium-Range</v>
      </c>
      <c r="AE1903" t="str">
        <f>IF(EV_Data4[[#This Row],[charging_speed_kw]]&gt;=250,"Ultra-Fast",IF(EV_Data4[[#This Row],[charging_speed_kw]]&gt;=150,"Fast-Charging","Standard-Charging"))</f>
        <v>Ultra-Fast</v>
      </c>
      <c r="AF1903" t="str">
        <f>IF(EV_Data4[[#This Row],[acceleration_0_60_mph]]&lt;=3,"SportsPerformance",IF(EV_Data4[[#This Row],[acceleration_0_60_mph]]&lt;=5,"HighPerformance","Standard"))</f>
        <v>Standard</v>
      </c>
      <c r="AG1903" t="str">
        <f>IF(EV_Data4[[#This Row],[customer_rating]]&gt;=4.5,"Excellent",IF(EV_Data4[[#This Row],[customer_rating]]&gt;=3.5,"Good","Average"))</f>
        <v>Good</v>
      </c>
      <c r="AH1903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904" spans="1:34" x14ac:dyDescent="0.3">
      <c r="A1904" t="s">
        <v>38</v>
      </c>
      <c r="B1904" t="s">
        <v>39</v>
      </c>
      <c r="C1904">
        <v>2024</v>
      </c>
      <c r="D1904" t="s">
        <v>61</v>
      </c>
      <c r="E1904" s="3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27</v>
      </c>
      <c r="N1904">
        <v>7</v>
      </c>
      <c r="O1904" t="s">
        <v>58</v>
      </c>
      <c r="P1904">
        <v>29.7</v>
      </c>
      <c r="Q1904">
        <v>1500</v>
      </c>
      <c r="R1904">
        <v>5</v>
      </c>
      <c r="S1904">
        <v>0</v>
      </c>
      <c r="T1904" t="s">
        <v>41</v>
      </c>
      <c r="U1904" t="s">
        <v>37</v>
      </c>
      <c r="V1904" s="3">
        <v>14766</v>
      </c>
      <c r="W1904">
        <v>3.22</v>
      </c>
      <c r="X1904">
        <v>4</v>
      </c>
      <c r="Y1904" s="1">
        <f>EV_Data4[[#This Row],[range_miles]]/EV_Data4[[#This Row],[battery_capacity_kwh]]</f>
        <v>3.1558935361216731</v>
      </c>
      <c r="Z1904" s="4">
        <f>EV_Data4[[#This Row],[price_usd]]/EV_Data4[[#This Row],[range_miles]]</f>
        <v>226.86355421686747</v>
      </c>
      <c r="AA1904" s="2">
        <f>(EV_Data4[[#This Row],[customer_rating]]*EV_Data4[[#This Row],[safety_rating]]*1000)/EV_Data4[[#This Row],[price_usd]]</f>
        <v>0.42751667248638126</v>
      </c>
      <c r="AB1904">
        <f>EV_Data4[[#This Row],[horsepower]]+EV_Data4[[#This Row],[torque_nm]]/EV_Data4[[#This Row],[acceleration_0_60_mph]]</f>
        <v>481.2706270627063</v>
      </c>
      <c r="AC1904" t="str">
        <f>IF(EV_Data4[[#This Row],[price_usd]]&gt;=80000,"Luxury",IF(EV_Data4[[#This Row],[price_usd]]&gt;=40000,"Mid-Range","Budget"))</f>
        <v>Budget</v>
      </c>
      <c r="AD1904" t="str">
        <f>IF(EV_Data4[[#This Row],[range_miles]]&gt;=350,"Long-Range",IF(EV_Data4[[#This Row],[range_miles]]&gt;=250,"Medium-Range","Short-Range"))</f>
        <v>Short-Range</v>
      </c>
      <c r="AE1904" t="str">
        <f>IF(EV_Data4[[#This Row],[charging_speed_kw]]&gt;=250,"Ultra-Fast",IF(EV_Data4[[#This Row],[charging_speed_kw]]&gt;=150,"Fast-Charging","Standard-Charging"))</f>
        <v>Standard-Charging</v>
      </c>
      <c r="AF1904" t="str">
        <f>IF(EV_Data4[[#This Row],[acceleration_0_60_mph]]&lt;=3,"SportsPerformance",IF(EV_Data4[[#This Row],[acceleration_0_60_mph]]&lt;=5,"HighPerformance","Standard"))</f>
        <v>Standard</v>
      </c>
      <c r="AG1904" t="str">
        <f>IF(EV_Data4[[#This Row],[customer_rating]]&gt;=4.5,"Excellent",IF(EV_Data4[[#This Row],[customer_rating]]&gt;=3.5,"Good","Average"))</f>
        <v>Average</v>
      </c>
      <c r="AH190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05" spans="1:34" x14ac:dyDescent="0.3">
      <c r="A1905" t="s">
        <v>46</v>
      </c>
      <c r="B1905" t="s">
        <v>72</v>
      </c>
      <c r="C1905">
        <v>2025</v>
      </c>
      <c r="D1905" t="s">
        <v>44</v>
      </c>
      <c r="E1905" s="3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34</v>
      </c>
      <c r="N1905">
        <v>5</v>
      </c>
      <c r="O1905" t="s">
        <v>28</v>
      </c>
      <c r="P1905">
        <v>62.8</v>
      </c>
      <c r="Q1905">
        <v>2731</v>
      </c>
      <c r="R1905">
        <v>5</v>
      </c>
      <c r="S1905">
        <v>2</v>
      </c>
      <c r="T1905" t="s">
        <v>41</v>
      </c>
      <c r="U1905" t="s">
        <v>30</v>
      </c>
      <c r="V1905" s="3">
        <v>209669</v>
      </c>
      <c r="W1905">
        <v>3.98</v>
      </c>
      <c r="X1905">
        <v>5</v>
      </c>
      <c r="Y1905" s="1">
        <f>EV_Data4[[#This Row],[range_miles]]/EV_Data4[[#This Row],[battery_capacity_kwh]]</f>
        <v>3.4522439585730722</v>
      </c>
      <c r="Z1905" s="4">
        <f>EV_Data4[[#This Row],[price_usd]]/EV_Data4[[#This Row],[range_miles]]</f>
        <v>395.44156666666669</v>
      </c>
      <c r="AA1905" s="2">
        <f>(EV_Data4[[#This Row],[customer_rating]]*EV_Data4[[#This Row],[safety_rating]]*1000)/EV_Data4[[#This Row],[price_usd]]</f>
        <v>0.16774496897856042</v>
      </c>
      <c r="AB1905">
        <f>EV_Data4[[#This Row],[horsepower]]+EV_Data4[[#This Row],[torque_nm]]/EV_Data4[[#This Row],[acceleration_0_60_mph]]</f>
        <v>1032.0526315789473</v>
      </c>
      <c r="AC1905" t="str">
        <f>IF(EV_Data4[[#This Row],[price_usd]]&gt;=80000,"Luxury",IF(EV_Data4[[#This Row],[price_usd]]&gt;=40000,"Mid-Range","Budget"))</f>
        <v>Luxury</v>
      </c>
      <c r="AD1905" t="str">
        <f>IF(EV_Data4[[#This Row],[range_miles]]&gt;=350,"Long-Range",IF(EV_Data4[[#This Row],[range_miles]]&gt;=250,"Medium-Range","Short-Range"))</f>
        <v>Medium-Range</v>
      </c>
      <c r="AE1905" t="str">
        <f>IF(EV_Data4[[#This Row],[charging_speed_kw]]&gt;=250,"Ultra-Fast",IF(EV_Data4[[#This Row],[charging_speed_kw]]&gt;=150,"Fast-Charging","Standard-Charging"))</f>
        <v>Fast-Charging</v>
      </c>
      <c r="AF1905" t="str">
        <f>IF(EV_Data4[[#This Row],[acceleration_0_60_mph]]&lt;=3,"SportsPerformance",IF(EV_Data4[[#This Row],[acceleration_0_60_mph]]&lt;=5,"HighPerformance","Standard"))</f>
        <v>HighPerformance</v>
      </c>
      <c r="AG1905" t="str">
        <f>IF(EV_Data4[[#This Row],[customer_rating]]&gt;=4.5,"Excellent",IF(EV_Data4[[#This Row],[customer_rating]]&gt;=3.5,"Good","Average"))</f>
        <v>Good</v>
      </c>
      <c r="AH190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06" spans="1:34" x14ac:dyDescent="0.3">
      <c r="A1906" t="s">
        <v>38</v>
      </c>
      <c r="B1906" t="s">
        <v>101</v>
      </c>
      <c r="C1906">
        <v>2026</v>
      </c>
      <c r="D1906" t="s">
        <v>33</v>
      </c>
      <c r="E1906" s="3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27</v>
      </c>
      <c r="N1906">
        <v>7</v>
      </c>
      <c r="O1906" t="s">
        <v>40</v>
      </c>
      <c r="P1906">
        <v>71.5</v>
      </c>
      <c r="Q1906">
        <v>1633</v>
      </c>
      <c r="R1906">
        <v>5</v>
      </c>
      <c r="S1906">
        <v>0</v>
      </c>
      <c r="T1906" t="s">
        <v>41</v>
      </c>
      <c r="U1906" t="s">
        <v>33</v>
      </c>
      <c r="V1906" s="3">
        <v>1367</v>
      </c>
      <c r="W1906">
        <v>3.49</v>
      </c>
      <c r="X1906">
        <v>3</v>
      </c>
      <c r="Y1906" s="1">
        <f>EV_Data4[[#This Row],[range_miles]]/EV_Data4[[#This Row],[battery_capacity_kwh]]</f>
        <v>3.4675324675324677</v>
      </c>
      <c r="Z1906" s="4">
        <f>EV_Data4[[#This Row],[price_usd]]/EV_Data4[[#This Row],[range_miles]]</f>
        <v>267.60737827715354</v>
      </c>
      <c r="AA1906" s="2">
        <f>(EV_Data4[[#This Row],[customer_rating]]*EV_Data4[[#This Row],[safety_rating]]*1000)/EV_Data4[[#This Row],[price_usd]]</f>
        <v>0.24422273281179308</v>
      </c>
      <c r="AB1906">
        <f>EV_Data4[[#This Row],[horsepower]]+EV_Data4[[#This Row],[torque_nm]]/EV_Data4[[#This Row],[acceleration_0_60_mph]]</f>
        <v>1092.0779392338177</v>
      </c>
      <c r="AC1906" t="str">
        <f>IF(EV_Data4[[#This Row],[price_usd]]&gt;=80000,"Luxury",IF(EV_Data4[[#This Row],[price_usd]]&gt;=40000,"Mid-Range","Budget"))</f>
        <v>Mid-Range</v>
      </c>
      <c r="AD1906" t="str">
        <f>IF(EV_Data4[[#This Row],[range_miles]]&gt;=350,"Long-Range",IF(EV_Data4[[#This Row],[range_miles]]&gt;=250,"Medium-Range","Short-Range"))</f>
        <v>Medium-Range</v>
      </c>
      <c r="AE1906" t="str">
        <f>IF(EV_Data4[[#This Row],[charging_speed_kw]]&gt;=250,"Ultra-Fast",IF(EV_Data4[[#This Row],[charging_speed_kw]]&gt;=150,"Fast-Charging","Standard-Charging"))</f>
        <v>Standard-Charging</v>
      </c>
      <c r="AF1906" t="str">
        <f>IF(EV_Data4[[#This Row],[acceleration_0_60_mph]]&lt;=3,"SportsPerformance",IF(EV_Data4[[#This Row],[acceleration_0_60_mph]]&lt;=5,"HighPerformance","Standard"))</f>
        <v>Standard</v>
      </c>
      <c r="AG1906" t="str">
        <f>IF(EV_Data4[[#This Row],[customer_rating]]&gt;=4.5,"Excellent",IF(EV_Data4[[#This Row],[customer_rating]]&gt;=3.5,"Good","Average"))</f>
        <v>Average</v>
      </c>
      <c r="AH190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07" spans="1:34" x14ac:dyDescent="0.3">
      <c r="A1907" t="s">
        <v>46</v>
      </c>
      <c r="B1907" t="s">
        <v>57</v>
      </c>
      <c r="C1907">
        <v>2025</v>
      </c>
      <c r="D1907" t="s">
        <v>56</v>
      </c>
      <c r="E1907" s="3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48</v>
      </c>
      <c r="N1907">
        <v>7</v>
      </c>
      <c r="O1907" t="s">
        <v>58</v>
      </c>
      <c r="P1907">
        <v>34</v>
      </c>
      <c r="Q1907">
        <v>1665</v>
      </c>
      <c r="R1907">
        <v>4</v>
      </c>
      <c r="S1907">
        <v>2</v>
      </c>
      <c r="T1907" t="s">
        <v>41</v>
      </c>
      <c r="U1907" t="s">
        <v>33</v>
      </c>
      <c r="V1907" s="3">
        <v>185813</v>
      </c>
      <c r="W1907">
        <v>3.27</v>
      </c>
      <c r="X1907">
        <v>5</v>
      </c>
      <c r="Y1907" s="1">
        <f>EV_Data4[[#This Row],[range_miles]]/EV_Data4[[#This Row],[battery_capacity_kwh]]</f>
        <v>3.943661971830986</v>
      </c>
      <c r="Z1907" s="4">
        <f>EV_Data4[[#This Row],[price_usd]]/EV_Data4[[#This Row],[range_miles]]</f>
        <v>393.53428571428566</v>
      </c>
      <c r="AA1907" s="2">
        <f>(EV_Data4[[#This Row],[customer_rating]]*EV_Data4[[#This Row],[safety_rating]]*1000)/EV_Data4[[#This Row],[price_usd]]</f>
        <v>0.19784081256307312</v>
      </c>
      <c r="AB1907">
        <f>EV_Data4[[#This Row],[horsepower]]+EV_Data4[[#This Row],[torque_nm]]/EV_Data4[[#This Row],[acceleration_0_60_mph]]</f>
        <v>534.62073669849929</v>
      </c>
      <c r="AC1907" t="str">
        <f>IF(EV_Data4[[#This Row],[price_usd]]&gt;=80000,"Luxury",IF(EV_Data4[[#This Row],[price_usd]]&gt;=40000,"Mid-Range","Budget"))</f>
        <v>Mid-Range</v>
      </c>
      <c r="AD1907" t="str">
        <f>IF(EV_Data4[[#This Row],[range_miles]]&gt;=350,"Long-Range",IF(EV_Data4[[#This Row],[range_miles]]&gt;=250,"Medium-Range","Short-Range"))</f>
        <v>Short-Range</v>
      </c>
      <c r="AE1907" t="str">
        <f>IF(EV_Data4[[#This Row],[charging_speed_kw]]&gt;=250,"Ultra-Fast",IF(EV_Data4[[#This Row],[charging_speed_kw]]&gt;=150,"Fast-Charging","Standard-Charging"))</f>
        <v>Ultra-Fast</v>
      </c>
      <c r="AF1907" t="str">
        <f>IF(EV_Data4[[#This Row],[acceleration_0_60_mph]]&lt;=3,"SportsPerformance",IF(EV_Data4[[#This Row],[acceleration_0_60_mph]]&lt;=5,"HighPerformance","Standard"))</f>
        <v>Standard</v>
      </c>
      <c r="AG1907" t="str">
        <f>IF(EV_Data4[[#This Row],[customer_rating]]&gt;=4.5,"Excellent",IF(EV_Data4[[#This Row],[customer_rating]]&gt;=3.5,"Good","Average"))</f>
        <v>Average</v>
      </c>
      <c r="AH190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08" spans="1:34" x14ac:dyDescent="0.3">
      <c r="A1908" t="s">
        <v>31</v>
      </c>
      <c r="B1908" t="s">
        <v>112</v>
      </c>
      <c r="C1908">
        <v>2022</v>
      </c>
      <c r="D1908" t="s">
        <v>33</v>
      </c>
      <c r="E1908" s="3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27</v>
      </c>
      <c r="N1908">
        <v>7</v>
      </c>
      <c r="O1908" t="s">
        <v>58</v>
      </c>
      <c r="P1908">
        <v>26.9</v>
      </c>
      <c r="Q1908">
        <v>1614</v>
      </c>
      <c r="R1908">
        <v>5</v>
      </c>
      <c r="S1908">
        <v>0</v>
      </c>
      <c r="T1908" t="s">
        <v>36</v>
      </c>
      <c r="U1908" t="s">
        <v>37</v>
      </c>
      <c r="V1908" s="3">
        <v>1920</v>
      </c>
      <c r="W1908">
        <v>3.39</v>
      </c>
      <c r="X1908">
        <v>4</v>
      </c>
      <c r="Y1908" s="1">
        <f>EV_Data4[[#This Row],[range_miles]]/EV_Data4[[#This Row],[battery_capacity_kwh]]</f>
        <v>3.3911671924290223</v>
      </c>
      <c r="Z1908" s="4">
        <f>EV_Data4[[#This Row],[price_usd]]/EV_Data4[[#This Row],[range_miles]]</f>
        <v>217.96641860465115</v>
      </c>
      <c r="AA1908" s="2">
        <f>(EV_Data4[[#This Row],[customer_rating]]*EV_Data4[[#This Row],[safety_rating]]*1000)/EV_Data4[[#This Row],[price_usd]]</f>
        <v>0.36169429129044417</v>
      </c>
      <c r="AB1908">
        <f>EV_Data4[[#This Row],[horsepower]]+EV_Data4[[#This Row],[torque_nm]]/EV_Data4[[#This Row],[acceleration_0_60_mph]]</f>
        <v>442.27272727272725</v>
      </c>
      <c r="AC1908" t="str">
        <f>IF(EV_Data4[[#This Row],[price_usd]]&gt;=80000,"Luxury",IF(EV_Data4[[#This Row],[price_usd]]&gt;=40000,"Mid-Range","Budget"))</f>
        <v>Mid-Range</v>
      </c>
      <c r="AD1908" t="str">
        <f>IF(EV_Data4[[#This Row],[range_miles]]&gt;=350,"Long-Range",IF(EV_Data4[[#This Row],[range_miles]]&gt;=250,"Medium-Range","Short-Range"))</f>
        <v>Short-Range</v>
      </c>
      <c r="AE1908" t="str">
        <f>IF(EV_Data4[[#This Row],[charging_speed_kw]]&gt;=250,"Ultra-Fast",IF(EV_Data4[[#This Row],[charging_speed_kw]]&gt;=150,"Fast-Charging","Standard-Charging"))</f>
        <v>Standard-Charging</v>
      </c>
      <c r="AF1908" t="str">
        <f>IF(EV_Data4[[#This Row],[acceleration_0_60_mph]]&lt;=3,"SportsPerformance",IF(EV_Data4[[#This Row],[acceleration_0_60_mph]]&lt;=5,"HighPerformance","Standard"))</f>
        <v>Standard</v>
      </c>
      <c r="AG1908" t="str">
        <f>IF(EV_Data4[[#This Row],[customer_rating]]&gt;=4.5,"Excellent",IF(EV_Data4[[#This Row],[customer_rating]]&gt;=3.5,"Good","Average"))</f>
        <v>Average</v>
      </c>
      <c r="AH190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09" spans="1:34" x14ac:dyDescent="0.3">
      <c r="A1909" t="s">
        <v>24</v>
      </c>
      <c r="B1909" t="s">
        <v>85</v>
      </c>
      <c r="C1909">
        <v>2023</v>
      </c>
      <c r="D1909" t="s">
        <v>26</v>
      </c>
      <c r="E1909" s="3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34</v>
      </c>
      <c r="N1909">
        <v>7</v>
      </c>
      <c r="O1909" t="s">
        <v>28</v>
      </c>
      <c r="P1909">
        <v>67.099999999999994</v>
      </c>
      <c r="Q1909">
        <v>2184</v>
      </c>
      <c r="R1909">
        <v>4</v>
      </c>
      <c r="S1909">
        <v>2</v>
      </c>
      <c r="T1909" t="s">
        <v>29</v>
      </c>
      <c r="U1909" t="s">
        <v>33</v>
      </c>
      <c r="V1909" s="3">
        <v>214221</v>
      </c>
      <c r="W1909">
        <v>3.69</v>
      </c>
      <c r="X1909">
        <v>4</v>
      </c>
      <c r="Y1909" s="1">
        <f>EV_Data4[[#This Row],[range_miles]]/EV_Data4[[#This Row],[battery_capacity_kwh]]</f>
        <v>3.7348066298342539</v>
      </c>
      <c r="Z1909" s="4">
        <f>EV_Data4[[#This Row],[price_usd]]/EV_Data4[[#This Row],[range_miles]]</f>
        <v>208.4163905325444</v>
      </c>
      <c r="AA1909" s="2">
        <f>(EV_Data4[[#This Row],[customer_rating]]*EV_Data4[[#This Row],[safety_rating]]*1000)/EV_Data4[[#This Row],[price_usd]]</f>
        <v>0.20952593479655116</v>
      </c>
      <c r="AB1909">
        <f>EV_Data4[[#This Row],[horsepower]]+EV_Data4[[#This Row],[torque_nm]]/EV_Data4[[#This Row],[acceleration_0_60_mph]]</f>
        <v>935.27397260273972</v>
      </c>
      <c r="AC1909" t="str">
        <f>IF(EV_Data4[[#This Row],[price_usd]]&gt;=80000,"Luxury",IF(EV_Data4[[#This Row],[price_usd]]&gt;=40000,"Mid-Range","Budget"))</f>
        <v>Mid-Range</v>
      </c>
      <c r="AD1909" t="str">
        <f>IF(EV_Data4[[#This Row],[range_miles]]&gt;=350,"Long-Range",IF(EV_Data4[[#This Row],[range_miles]]&gt;=250,"Medium-Range","Short-Range"))</f>
        <v>Medium-Range</v>
      </c>
      <c r="AE1909" t="str">
        <f>IF(EV_Data4[[#This Row],[charging_speed_kw]]&gt;=250,"Ultra-Fast",IF(EV_Data4[[#This Row],[charging_speed_kw]]&gt;=150,"Fast-Charging","Standard-Charging"))</f>
        <v>Fast-Charging</v>
      </c>
      <c r="AF1909" t="str">
        <f>IF(EV_Data4[[#This Row],[acceleration_0_60_mph]]&lt;=3,"SportsPerformance",IF(EV_Data4[[#This Row],[acceleration_0_60_mph]]&lt;=5,"HighPerformance","Standard"))</f>
        <v>HighPerformance</v>
      </c>
      <c r="AG1909" t="str">
        <f>IF(EV_Data4[[#This Row],[customer_rating]]&gt;=4.5,"Excellent",IF(EV_Data4[[#This Row],[customer_rating]]&gt;=3.5,"Good","Average"))</f>
        <v>Good</v>
      </c>
      <c r="AH190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10" spans="1:34" x14ac:dyDescent="0.3">
      <c r="A1910" t="s">
        <v>63</v>
      </c>
      <c r="B1910" t="s">
        <v>107</v>
      </c>
      <c r="C1910">
        <v>2022</v>
      </c>
      <c r="D1910" t="s">
        <v>44</v>
      </c>
      <c r="E1910" s="3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34</v>
      </c>
      <c r="N1910">
        <v>5</v>
      </c>
      <c r="O1910" t="s">
        <v>40</v>
      </c>
      <c r="P1910">
        <v>74.400000000000006</v>
      </c>
      <c r="Q1910">
        <v>1500</v>
      </c>
      <c r="R1910">
        <v>5</v>
      </c>
      <c r="S1910">
        <v>1</v>
      </c>
      <c r="T1910" t="s">
        <v>65</v>
      </c>
      <c r="U1910" t="s">
        <v>33</v>
      </c>
      <c r="V1910" s="3">
        <v>167490</v>
      </c>
      <c r="W1910">
        <v>3.58</v>
      </c>
      <c r="X1910">
        <v>4</v>
      </c>
      <c r="Y1910" s="1">
        <f>EV_Data4[[#This Row],[range_miles]]/EV_Data4[[#This Row],[battery_capacity_kwh]]</f>
        <v>3.8452655889145499</v>
      </c>
      <c r="Z1910" s="4">
        <f>EV_Data4[[#This Row],[price_usd]]/EV_Data4[[#This Row],[range_miles]]</f>
        <v>231.29171171171171</v>
      </c>
      <c r="AA1910" s="2">
        <f>(EV_Data4[[#This Row],[customer_rating]]*EV_Data4[[#This Row],[safety_rating]]*1000)/EV_Data4[[#This Row],[price_usd]]</f>
        <v>0.23240674452162771</v>
      </c>
      <c r="AB1910">
        <f>EV_Data4[[#This Row],[horsepower]]+EV_Data4[[#This Row],[torque_nm]]/EV_Data4[[#This Row],[acceleration_0_60_mph]]</f>
        <v>922.89285714285711</v>
      </c>
      <c r="AC1910" t="str">
        <f>IF(EV_Data4[[#This Row],[price_usd]]&gt;=80000,"Luxury",IF(EV_Data4[[#This Row],[price_usd]]&gt;=40000,"Mid-Range","Budget"))</f>
        <v>Mid-Range</v>
      </c>
      <c r="AD1910" t="str">
        <f>IF(EV_Data4[[#This Row],[range_miles]]&gt;=350,"Long-Range",IF(EV_Data4[[#This Row],[range_miles]]&gt;=250,"Medium-Range","Short-Range"))</f>
        <v>Medium-Range</v>
      </c>
      <c r="AE1910" t="str">
        <f>IF(EV_Data4[[#This Row],[charging_speed_kw]]&gt;=250,"Ultra-Fast",IF(EV_Data4[[#This Row],[charging_speed_kw]]&gt;=150,"Fast-Charging","Standard-Charging"))</f>
        <v>Standard-Charging</v>
      </c>
      <c r="AF1910" t="str">
        <f>IF(EV_Data4[[#This Row],[acceleration_0_60_mph]]&lt;=3,"SportsPerformance",IF(EV_Data4[[#This Row],[acceleration_0_60_mph]]&lt;=5,"HighPerformance","Standard"))</f>
        <v>Standard</v>
      </c>
      <c r="AG1910" t="str">
        <f>IF(EV_Data4[[#This Row],[customer_rating]]&gt;=4.5,"Excellent",IF(EV_Data4[[#This Row],[customer_rating]]&gt;=3.5,"Good","Average"))</f>
        <v>Good</v>
      </c>
      <c r="AH191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11" spans="1:34" x14ac:dyDescent="0.3">
      <c r="A1911" t="s">
        <v>46</v>
      </c>
      <c r="B1911" t="s">
        <v>57</v>
      </c>
      <c r="C1911">
        <v>2025</v>
      </c>
      <c r="D1911" t="s">
        <v>26</v>
      </c>
      <c r="E1911" s="3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48</v>
      </c>
      <c r="N1911">
        <v>7</v>
      </c>
      <c r="O1911" t="s">
        <v>35</v>
      </c>
      <c r="P1911">
        <v>66.8</v>
      </c>
      <c r="Q1911">
        <v>2131</v>
      </c>
      <c r="R1911">
        <v>4</v>
      </c>
      <c r="S1911">
        <v>3</v>
      </c>
      <c r="T1911" t="s">
        <v>41</v>
      </c>
      <c r="U1911" t="s">
        <v>30</v>
      </c>
      <c r="V1911" s="3">
        <v>130032</v>
      </c>
      <c r="W1911">
        <v>3.68</v>
      </c>
      <c r="X1911">
        <v>6</v>
      </c>
      <c r="Y1911" s="1">
        <f>EV_Data4[[#This Row],[range_miles]]/EV_Data4[[#This Row],[battery_capacity_kwh]]</f>
        <v>3.3704115684093434</v>
      </c>
      <c r="Z1911" s="4">
        <f>EV_Data4[[#This Row],[price_usd]]/EV_Data4[[#This Row],[range_miles]]</f>
        <v>558.34115511551158</v>
      </c>
      <c r="AA1911" s="2">
        <f>(EV_Data4[[#This Row],[customer_rating]]*EV_Data4[[#This Row],[safety_rating]]*1000)/EV_Data4[[#This Row],[price_usd]]</f>
        <v>8.7009273166972628E-2</v>
      </c>
      <c r="AB1911">
        <f>EV_Data4[[#This Row],[horsepower]]+EV_Data4[[#This Row],[torque_nm]]/EV_Data4[[#This Row],[acceleration_0_60_mph]]</f>
        <v>1254.3909348441925</v>
      </c>
      <c r="AC1911" t="str">
        <f>IF(EV_Data4[[#This Row],[price_usd]]&gt;=80000,"Luxury",IF(EV_Data4[[#This Row],[price_usd]]&gt;=40000,"Mid-Range","Budget"))</f>
        <v>Luxury</v>
      </c>
      <c r="AD1911" t="str">
        <f>IF(EV_Data4[[#This Row],[range_miles]]&gt;=350,"Long-Range",IF(EV_Data4[[#This Row],[range_miles]]&gt;=250,"Medium-Range","Short-Range"))</f>
        <v>Medium-Range</v>
      </c>
      <c r="AE1911" t="str">
        <f>IF(EV_Data4[[#This Row],[charging_speed_kw]]&gt;=250,"Ultra-Fast",IF(EV_Data4[[#This Row],[charging_speed_kw]]&gt;=150,"Fast-Charging","Standard-Charging"))</f>
        <v>Ultra-Fast</v>
      </c>
      <c r="AF1911" t="str">
        <f>IF(EV_Data4[[#This Row],[acceleration_0_60_mph]]&lt;=3,"SportsPerformance",IF(EV_Data4[[#This Row],[acceleration_0_60_mph]]&lt;=5,"HighPerformance","Standard"))</f>
        <v>HighPerformance</v>
      </c>
      <c r="AG1911" t="str">
        <f>IF(EV_Data4[[#This Row],[customer_rating]]&gt;=4.5,"Excellent",IF(EV_Data4[[#This Row],[customer_rating]]&gt;=3.5,"Good","Average"))</f>
        <v>Good</v>
      </c>
      <c r="AH1911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912" spans="1:34" x14ac:dyDescent="0.3">
      <c r="A1912" t="s">
        <v>63</v>
      </c>
      <c r="B1912" t="s">
        <v>67</v>
      </c>
      <c r="C1912">
        <v>2025</v>
      </c>
      <c r="D1912" t="s">
        <v>56</v>
      </c>
      <c r="E1912" s="3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27</v>
      </c>
      <c r="N1912">
        <v>5</v>
      </c>
      <c r="O1912" t="s">
        <v>40</v>
      </c>
      <c r="P1912">
        <v>76.7</v>
      </c>
      <c r="Q1912">
        <v>1754</v>
      </c>
      <c r="R1912">
        <v>5</v>
      </c>
      <c r="S1912">
        <v>0</v>
      </c>
      <c r="T1912" t="s">
        <v>65</v>
      </c>
      <c r="U1912" t="s">
        <v>37</v>
      </c>
      <c r="V1912" s="3">
        <v>195375</v>
      </c>
      <c r="W1912">
        <v>3.46</v>
      </c>
      <c r="X1912">
        <v>4</v>
      </c>
      <c r="Y1912" s="1">
        <f>EV_Data4[[#This Row],[range_miles]]/EV_Data4[[#This Row],[battery_capacity_kwh]]</f>
        <v>3.5419440745672439</v>
      </c>
      <c r="Z1912" s="4">
        <f>EV_Data4[[#This Row],[price_usd]]/EV_Data4[[#This Row],[range_miles]]</f>
        <v>148.88672932330829</v>
      </c>
      <c r="AA1912" s="2">
        <f>(EV_Data4[[#This Row],[customer_rating]]*EV_Data4[[#This Row],[safety_rating]]*1000)/EV_Data4[[#This Row],[price_usd]]</f>
        <v>0.43682599705533826</v>
      </c>
      <c r="AB1912">
        <f>EV_Data4[[#This Row],[horsepower]]+EV_Data4[[#This Row],[torque_nm]]/EV_Data4[[#This Row],[acceleration_0_60_mph]]</f>
        <v>597.849915682968</v>
      </c>
      <c r="AC1912" t="str">
        <f>IF(EV_Data4[[#This Row],[price_usd]]&gt;=80000,"Luxury",IF(EV_Data4[[#This Row],[price_usd]]&gt;=40000,"Mid-Range","Budget"))</f>
        <v>Budget</v>
      </c>
      <c r="AD1912" t="str">
        <f>IF(EV_Data4[[#This Row],[range_miles]]&gt;=350,"Long-Range",IF(EV_Data4[[#This Row],[range_miles]]&gt;=250,"Medium-Range","Short-Range"))</f>
        <v>Medium-Range</v>
      </c>
      <c r="AE1912" t="str">
        <f>IF(EV_Data4[[#This Row],[charging_speed_kw]]&gt;=250,"Ultra-Fast",IF(EV_Data4[[#This Row],[charging_speed_kw]]&gt;=150,"Fast-Charging","Standard-Charging"))</f>
        <v>Standard-Charging</v>
      </c>
      <c r="AF1912" t="str">
        <f>IF(EV_Data4[[#This Row],[acceleration_0_60_mph]]&lt;=3,"SportsPerformance",IF(EV_Data4[[#This Row],[acceleration_0_60_mph]]&lt;=5,"HighPerformance","Standard"))</f>
        <v>Standard</v>
      </c>
      <c r="AG1912" t="str">
        <f>IF(EV_Data4[[#This Row],[customer_rating]]&gt;=4.5,"Excellent",IF(EV_Data4[[#This Row],[customer_rating]]&gt;=3.5,"Good","Average"))</f>
        <v>Average</v>
      </c>
      <c r="AH1912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13" spans="1:34" x14ac:dyDescent="0.3">
      <c r="A1913" t="s">
        <v>86</v>
      </c>
      <c r="B1913" t="s">
        <v>117</v>
      </c>
      <c r="C1913">
        <v>2023</v>
      </c>
      <c r="D1913" t="s">
        <v>56</v>
      </c>
      <c r="E1913" s="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27</v>
      </c>
      <c r="N1913">
        <v>5</v>
      </c>
      <c r="O1913" t="s">
        <v>35</v>
      </c>
      <c r="P1913">
        <v>55.9</v>
      </c>
      <c r="Q1913">
        <v>2208</v>
      </c>
      <c r="R1913">
        <v>5</v>
      </c>
      <c r="S1913">
        <v>2</v>
      </c>
      <c r="T1913" t="s">
        <v>29</v>
      </c>
      <c r="U1913" t="s">
        <v>37</v>
      </c>
      <c r="V1913" s="3">
        <v>57366</v>
      </c>
      <c r="W1913">
        <v>3.57</v>
      </c>
      <c r="X1913">
        <v>6</v>
      </c>
      <c r="Y1913" s="1">
        <f>EV_Data4[[#This Row],[range_miles]]/EV_Data4[[#This Row],[battery_capacity_kwh]]</f>
        <v>3.4261501210653758</v>
      </c>
      <c r="Z1913" s="4">
        <f>EV_Data4[[#This Row],[price_usd]]/EV_Data4[[#This Row],[range_miles]]</f>
        <v>171.46049469964663</v>
      </c>
      <c r="AA1913" s="2">
        <f>(EV_Data4[[#This Row],[customer_rating]]*EV_Data4[[#This Row],[safety_rating]]*1000)/EV_Data4[[#This Row],[price_usd]]</f>
        <v>0.36786435882787899</v>
      </c>
      <c r="AB1913">
        <f>EV_Data4[[#This Row],[horsepower]]+EV_Data4[[#This Row],[torque_nm]]/EV_Data4[[#This Row],[acceleration_0_60_mph]]</f>
        <v>184.81641168289292</v>
      </c>
      <c r="AC1913" t="str">
        <f>IF(EV_Data4[[#This Row],[price_usd]]&gt;=80000,"Luxury",IF(EV_Data4[[#This Row],[price_usd]]&gt;=40000,"Mid-Range","Budget"))</f>
        <v>Mid-Range</v>
      </c>
      <c r="AD1913" t="str">
        <f>IF(EV_Data4[[#This Row],[range_miles]]&gt;=350,"Long-Range",IF(EV_Data4[[#This Row],[range_miles]]&gt;=250,"Medium-Range","Short-Range"))</f>
        <v>Medium-Range</v>
      </c>
      <c r="AE1913" t="str">
        <f>IF(EV_Data4[[#This Row],[charging_speed_kw]]&gt;=250,"Ultra-Fast",IF(EV_Data4[[#This Row],[charging_speed_kw]]&gt;=150,"Fast-Charging","Standard-Charging"))</f>
        <v>Standard-Charging</v>
      </c>
      <c r="AF1913" t="str">
        <f>IF(EV_Data4[[#This Row],[acceleration_0_60_mph]]&lt;=3,"SportsPerformance",IF(EV_Data4[[#This Row],[acceleration_0_60_mph]]&lt;=5,"HighPerformance","Standard"))</f>
        <v>Standard</v>
      </c>
      <c r="AG1913" t="str">
        <f>IF(EV_Data4[[#This Row],[customer_rating]]&gt;=4.5,"Excellent",IF(EV_Data4[[#This Row],[customer_rating]]&gt;=3.5,"Good","Average"))</f>
        <v>Good</v>
      </c>
      <c r="AH191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14" spans="1:34" x14ac:dyDescent="0.3">
      <c r="A1914" t="s">
        <v>131</v>
      </c>
      <c r="B1914" t="s">
        <v>132</v>
      </c>
      <c r="C1914">
        <v>2021</v>
      </c>
      <c r="D1914" t="s">
        <v>44</v>
      </c>
      <c r="E1914" s="3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27</v>
      </c>
      <c r="N1914">
        <v>5</v>
      </c>
      <c r="O1914" t="s">
        <v>50</v>
      </c>
      <c r="P1914">
        <v>28.7</v>
      </c>
      <c r="Q1914">
        <v>1717</v>
      </c>
      <c r="R1914">
        <v>5</v>
      </c>
      <c r="S1914">
        <v>2</v>
      </c>
      <c r="T1914" t="s">
        <v>65</v>
      </c>
      <c r="U1914" t="s">
        <v>37</v>
      </c>
      <c r="V1914" s="3">
        <v>23659</v>
      </c>
      <c r="W1914">
        <v>3.6</v>
      </c>
      <c r="X1914">
        <v>3</v>
      </c>
      <c r="Y1914" s="1">
        <f>EV_Data4[[#This Row],[range_miles]]/EV_Data4[[#This Row],[battery_capacity_kwh]]</f>
        <v>3.3084577114427858</v>
      </c>
      <c r="Z1914" s="4">
        <f>EV_Data4[[#This Row],[price_usd]]/EV_Data4[[#This Row],[range_miles]]</f>
        <v>185.04428571428571</v>
      </c>
      <c r="AA1914" s="2">
        <f>(EV_Data4[[#This Row],[customer_rating]]*EV_Data4[[#This Row],[safety_rating]]*1000)/EV_Data4[[#This Row],[price_usd]]</f>
        <v>0.36569177303218209</v>
      </c>
      <c r="AB1914">
        <f>EV_Data4[[#This Row],[horsepower]]+EV_Data4[[#This Row],[torque_nm]]/EV_Data4[[#This Row],[acceleration_0_60_mph]]</f>
        <v>420.52688172043008</v>
      </c>
      <c r="AC1914" t="str">
        <f>IF(EV_Data4[[#This Row],[price_usd]]&gt;=80000,"Luxury",IF(EV_Data4[[#This Row],[price_usd]]&gt;=40000,"Mid-Range","Budget"))</f>
        <v>Mid-Range</v>
      </c>
      <c r="AD1914" t="str">
        <f>IF(EV_Data4[[#This Row],[range_miles]]&gt;=350,"Long-Range",IF(EV_Data4[[#This Row],[range_miles]]&gt;=250,"Medium-Range","Short-Range"))</f>
        <v>Medium-Range</v>
      </c>
      <c r="AE1914" t="str">
        <f>IF(EV_Data4[[#This Row],[charging_speed_kw]]&gt;=250,"Ultra-Fast",IF(EV_Data4[[#This Row],[charging_speed_kw]]&gt;=150,"Fast-Charging","Standard-Charging"))</f>
        <v>Standard-Charging</v>
      </c>
      <c r="AF1914" t="str">
        <f>IF(EV_Data4[[#This Row],[acceleration_0_60_mph]]&lt;=3,"SportsPerformance",IF(EV_Data4[[#This Row],[acceleration_0_60_mph]]&lt;=5,"HighPerformance","Standard"))</f>
        <v>HighPerformance</v>
      </c>
      <c r="AG1914" t="str">
        <f>IF(EV_Data4[[#This Row],[customer_rating]]&gt;=4.5,"Excellent",IF(EV_Data4[[#This Row],[customer_rating]]&gt;=3.5,"Good","Average"))</f>
        <v>Good</v>
      </c>
      <c r="AH191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15" spans="1:34" x14ac:dyDescent="0.3">
      <c r="A1915" t="s">
        <v>24</v>
      </c>
      <c r="B1915" t="s">
        <v>85</v>
      </c>
      <c r="C1915">
        <v>2023</v>
      </c>
      <c r="D1915" t="s">
        <v>33</v>
      </c>
      <c r="E1915" s="3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27</v>
      </c>
      <c r="N1915">
        <v>5</v>
      </c>
      <c r="O1915" t="s">
        <v>28</v>
      </c>
      <c r="P1915">
        <v>70.7</v>
      </c>
      <c r="Q1915">
        <v>2281</v>
      </c>
      <c r="R1915">
        <v>5</v>
      </c>
      <c r="S1915">
        <v>1</v>
      </c>
      <c r="T1915" t="s">
        <v>29</v>
      </c>
      <c r="U1915" t="s">
        <v>37</v>
      </c>
      <c r="V1915" s="3">
        <v>227778</v>
      </c>
      <c r="W1915">
        <v>3.41</v>
      </c>
      <c r="X1915">
        <v>3</v>
      </c>
      <c r="Y1915" s="1">
        <f>EV_Data4[[#This Row],[range_miles]]/EV_Data4[[#This Row],[battery_capacity_kwh]]</f>
        <v>4.1336633663366342</v>
      </c>
      <c r="Z1915" s="4">
        <f>EV_Data4[[#This Row],[price_usd]]/EV_Data4[[#This Row],[range_miles]]</f>
        <v>346.21197604790422</v>
      </c>
      <c r="AA1915" s="2">
        <f>(EV_Data4[[#This Row],[customer_rating]]*EV_Data4[[#This Row],[safety_rating]]*1000)/EV_Data4[[#This Row],[price_usd]]</f>
        <v>0.29489392466627695</v>
      </c>
      <c r="AB1915">
        <f>EV_Data4[[#This Row],[horsepower]]+EV_Data4[[#This Row],[torque_nm]]/EV_Data4[[#This Row],[acceleration_0_60_mph]]</f>
        <v>624.4083044982699</v>
      </c>
      <c r="AC1915" t="str">
        <f>IF(EV_Data4[[#This Row],[price_usd]]&gt;=80000,"Luxury",IF(EV_Data4[[#This Row],[price_usd]]&gt;=40000,"Mid-Range","Budget"))</f>
        <v>Mid-Range</v>
      </c>
      <c r="AD1915" t="str">
        <f>IF(EV_Data4[[#This Row],[range_miles]]&gt;=350,"Long-Range",IF(EV_Data4[[#This Row],[range_miles]]&gt;=250,"Medium-Range","Short-Range"))</f>
        <v>Short-Range</v>
      </c>
      <c r="AE1915" t="str">
        <f>IF(EV_Data4[[#This Row],[charging_speed_kw]]&gt;=250,"Ultra-Fast",IF(EV_Data4[[#This Row],[charging_speed_kw]]&gt;=150,"Fast-Charging","Standard-Charging"))</f>
        <v>Standard-Charging</v>
      </c>
      <c r="AF1915" t="str">
        <f>IF(EV_Data4[[#This Row],[acceleration_0_60_mph]]&lt;=3,"SportsPerformance",IF(EV_Data4[[#This Row],[acceleration_0_60_mph]]&lt;=5,"HighPerformance","Standard"))</f>
        <v>Standard</v>
      </c>
      <c r="AG1915" t="str">
        <f>IF(EV_Data4[[#This Row],[customer_rating]]&gt;=4.5,"Excellent",IF(EV_Data4[[#This Row],[customer_rating]]&gt;=3.5,"Good","Average"))</f>
        <v>Average</v>
      </c>
      <c r="AH191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16" spans="1:34" x14ac:dyDescent="0.3">
      <c r="A1916" t="s">
        <v>24</v>
      </c>
      <c r="B1916" t="s">
        <v>25</v>
      </c>
      <c r="C1916">
        <v>2020</v>
      </c>
      <c r="D1916" t="s">
        <v>61</v>
      </c>
      <c r="E1916" s="3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34</v>
      </c>
      <c r="N1916">
        <v>5</v>
      </c>
      <c r="O1916" t="s">
        <v>58</v>
      </c>
      <c r="P1916">
        <v>34.799999999999997</v>
      </c>
      <c r="Q1916">
        <v>1734</v>
      </c>
      <c r="R1916">
        <v>4</v>
      </c>
      <c r="S1916">
        <v>1</v>
      </c>
      <c r="T1916" t="s">
        <v>29</v>
      </c>
      <c r="U1916" t="s">
        <v>33</v>
      </c>
      <c r="V1916" s="3">
        <v>255858</v>
      </c>
      <c r="W1916">
        <v>3.29</v>
      </c>
      <c r="X1916">
        <v>3</v>
      </c>
      <c r="Y1916" s="1">
        <f>EV_Data4[[#This Row],[range_miles]]/EV_Data4[[#This Row],[battery_capacity_kwh]]</f>
        <v>2.9865771812080535</v>
      </c>
      <c r="Z1916" s="4">
        <f>EV_Data4[[#This Row],[price_usd]]/EV_Data4[[#This Row],[range_miles]]</f>
        <v>405.8465730337079</v>
      </c>
      <c r="AA1916" s="2">
        <f>(EV_Data4[[#This Row],[customer_rating]]*EV_Data4[[#This Row],[safety_rating]]*1000)/EV_Data4[[#This Row],[price_usd]]</f>
        <v>0.18216880265124821</v>
      </c>
      <c r="AB1916">
        <f>EV_Data4[[#This Row],[horsepower]]+EV_Data4[[#This Row],[torque_nm]]/EV_Data4[[#This Row],[acceleration_0_60_mph]]</f>
        <v>849.27953890489914</v>
      </c>
      <c r="AC1916" t="str">
        <f>IF(EV_Data4[[#This Row],[price_usd]]&gt;=80000,"Luxury",IF(EV_Data4[[#This Row],[price_usd]]&gt;=40000,"Mid-Range","Budget"))</f>
        <v>Mid-Range</v>
      </c>
      <c r="AD1916" t="str">
        <f>IF(EV_Data4[[#This Row],[range_miles]]&gt;=350,"Long-Range",IF(EV_Data4[[#This Row],[range_miles]]&gt;=250,"Medium-Range","Short-Range"))</f>
        <v>Short-Range</v>
      </c>
      <c r="AE1916" t="str">
        <f>IF(EV_Data4[[#This Row],[charging_speed_kw]]&gt;=250,"Ultra-Fast",IF(EV_Data4[[#This Row],[charging_speed_kw]]&gt;=150,"Fast-Charging","Standard-Charging"))</f>
        <v>Standard-Charging</v>
      </c>
      <c r="AF1916" t="str">
        <f>IF(EV_Data4[[#This Row],[acceleration_0_60_mph]]&lt;=3,"SportsPerformance",IF(EV_Data4[[#This Row],[acceleration_0_60_mph]]&lt;=5,"HighPerformance","Standard"))</f>
        <v>Standard</v>
      </c>
      <c r="AG1916" t="str">
        <f>IF(EV_Data4[[#This Row],[customer_rating]]&gt;=4.5,"Excellent",IF(EV_Data4[[#This Row],[customer_rating]]&gt;=3.5,"Good","Average"))</f>
        <v>Average</v>
      </c>
      <c r="AH191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17" spans="1:34" x14ac:dyDescent="0.3">
      <c r="A1917" t="s">
        <v>38</v>
      </c>
      <c r="B1917" t="s">
        <v>102</v>
      </c>
      <c r="C1917">
        <v>2022</v>
      </c>
      <c r="D1917" t="s">
        <v>33</v>
      </c>
      <c r="E1917" s="3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27</v>
      </c>
      <c r="N1917">
        <v>7</v>
      </c>
      <c r="O1917" t="s">
        <v>35</v>
      </c>
      <c r="P1917">
        <v>36.1</v>
      </c>
      <c r="Q1917">
        <v>2053</v>
      </c>
      <c r="R1917">
        <v>4</v>
      </c>
      <c r="S1917">
        <v>0</v>
      </c>
      <c r="T1917" t="s">
        <v>41</v>
      </c>
      <c r="U1917" t="s">
        <v>33</v>
      </c>
      <c r="V1917" s="3">
        <v>7825</v>
      </c>
      <c r="W1917">
        <v>3.4</v>
      </c>
      <c r="X1917">
        <v>4</v>
      </c>
      <c r="Y1917" s="1">
        <f>EV_Data4[[#This Row],[range_miles]]/EV_Data4[[#This Row],[battery_capacity_kwh]]</f>
        <v>3.3554376657824929</v>
      </c>
      <c r="Z1917" s="4">
        <f>EV_Data4[[#This Row],[price_usd]]/EV_Data4[[#This Row],[range_miles]]</f>
        <v>327.9369960474308</v>
      </c>
      <c r="AA1917" s="2">
        <f>(EV_Data4[[#This Row],[customer_rating]]*EV_Data4[[#This Row],[safety_rating]]*1000)/EV_Data4[[#This Row],[price_usd]]</f>
        <v>0.16391850068568556</v>
      </c>
      <c r="AB1917">
        <f>EV_Data4[[#This Row],[horsepower]]+EV_Data4[[#This Row],[torque_nm]]/EV_Data4[[#This Row],[acceleration_0_60_mph]]</f>
        <v>1154.2229729729729</v>
      </c>
      <c r="AC1917" t="str">
        <f>IF(EV_Data4[[#This Row],[price_usd]]&gt;=80000,"Luxury",IF(EV_Data4[[#This Row],[price_usd]]&gt;=40000,"Mid-Range","Budget"))</f>
        <v>Luxury</v>
      </c>
      <c r="AD1917" t="str">
        <f>IF(EV_Data4[[#This Row],[range_miles]]&gt;=350,"Long-Range",IF(EV_Data4[[#This Row],[range_miles]]&gt;=250,"Medium-Range","Short-Range"))</f>
        <v>Medium-Range</v>
      </c>
      <c r="AE1917" t="str">
        <f>IF(EV_Data4[[#This Row],[charging_speed_kw]]&gt;=250,"Ultra-Fast",IF(EV_Data4[[#This Row],[charging_speed_kw]]&gt;=150,"Fast-Charging","Standard-Charging"))</f>
        <v>Standard-Charging</v>
      </c>
      <c r="AF1917" t="str">
        <f>IF(EV_Data4[[#This Row],[acceleration_0_60_mph]]&lt;=3,"SportsPerformance",IF(EV_Data4[[#This Row],[acceleration_0_60_mph]]&lt;=5,"HighPerformance","Standard"))</f>
        <v>Standard</v>
      </c>
      <c r="AG1917" t="str">
        <f>IF(EV_Data4[[#This Row],[customer_rating]]&gt;=4.5,"Excellent",IF(EV_Data4[[#This Row],[customer_rating]]&gt;=3.5,"Good","Average"))</f>
        <v>Average</v>
      </c>
      <c r="AH191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18" spans="1:34" x14ac:dyDescent="0.3">
      <c r="A1918" t="s">
        <v>86</v>
      </c>
      <c r="B1918" t="s">
        <v>108</v>
      </c>
      <c r="C1918">
        <v>2023</v>
      </c>
      <c r="D1918" t="s">
        <v>44</v>
      </c>
      <c r="E1918" s="3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27</v>
      </c>
      <c r="N1918">
        <v>5</v>
      </c>
      <c r="O1918" t="s">
        <v>58</v>
      </c>
      <c r="P1918">
        <v>35.799999999999997</v>
      </c>
      <c r="Q1918">
        <v>1600</v>
      </c>
      <c r="R1918">
        <v>4</v>
      </c>
      <c r="S1918">
        <v>1</v>
      </c>
      <c r="T1918" t="s">
        <v>29</v>
      </c>
      <c r="U1918" t="s">
        <v>33</v>
      </c>
      <c r="V1918" s="3">
        <v>56851</v>
      </c>
      <c r="W1918">
        <v>3.65</v>
      </c>
      <c r="X1918">
        <v>6</v>
      </c>
      <c r="Y1918" s="1">
        <f>EV_Data4[[#This Row],[range_miles]]/EV_Data4[[#This Row],[battery_capacity_kwh]]</f>
        <v>3.4738186462324396</v>
      </c>
      <c r="Z1918" s="4">
        <f>EV_Data4[[#This Row],[price_usd]]/EV_Data4[[#This Row],[range_miles]]</f>
        <v>301.97055147058825</v>
      </c>
      <c r="AA1918" s="2">
        <f>(EV_Data4[[#This Row],[customer_rating]]*EV_Data4[[#This Row],[safety_rating]]*1000)/EV_Data4[[#This Row],[price_usd]]</f>
        <v>0.17775399066840247</v>
      </c>
      <c r="AB1918">
        <f>EV_Data4[[#This Row],[horsepower]]+EV_Data4[[#This Row],[torque_nm]]/EV_Data4[[#This Row],[acceleration_0_60_mph]]</f>
        <v>544.86509635974301</v>
      </c>
      <c r="AC1918" t="str">
        <f>IF(EV_Data4[[#This Row],[price_usd]]&gt;=80000,"Luxury",IF(EV_Data4[[#This Row],[price_usd]]&gt;=40000,"Mid-Range","Budget"))</f>
        <v>Luxury</v>
      </c>
      <c r="AD1918" t="str">
        <f>IF(EV_Data4[[#This Row],[range_miles]]&gt;=350,"Long-Range",IF(EV_Data4[[#This Row],[range_miles]]&gt;=250,"Medium-Range","Short-Range"))</f>
        <v>Medium-Range</v>
      </c>
      <c r="AE1918" t="str">
        <f>IF(EV_Data4[[#This Row],[charging_speed_kw]]&gt;=250,"Ultra-Fast",IF(EV_Data4[[#This Row],[charging_speed_kw]]&gt;=150,"Fast-Charging","Standard-Charging"))</f>
        <v>Standard-Charging</v>
      </c>
      <c r="AF1918" t="str">
        <f>IF(EV_Data4[[#This Row],[acceleration_0_60_mph]]&lt;=3,"SportsPerformance",IF(EV_Data4[[#This Row],[acceleration_0_60_mph]]&lt;=5,"HighPerformance","Standard"))</f>
        <v>HighPerformance</v>
      </c>
      <c r="AG1918" t="str">
        <f>IF(EV_Data4[[#This Row],[customer_rating]]&gt;=4.5,"Excellent",IF(EV_Data4[[#This Row],[customer_rating]]&gt;=3.5,"Good","Average"))</f>
        <v>Good</v>
      </c>
      <c r="AH191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19" spans="1:34" x14ac:dyDescent="0.3">
      <c r="A1919" t="s">
        <v>42</v>
      </c>
      <c r="B1919" t="s">
        <v>80</v>
      </c>
      <c r="C1919">
        <v>2020</v>
      </c>
      <c r="D1919" t="s">
        <v>56</v>
      </c>
      <c r="E1919" s="3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27</v>
      </c>
      <c r="N1919">
        <v>7</v>
      </c>
      <c r="O1919" t="s">
        <v>35</v>
      </c>
      <c r="P1919">
        <v>55.5</v>
      </c>
      <c r="Q1919">
        <v>2035</v>
      </c>
      <c r="R1919">
        <v>4</v>
      </c>
      <c r="S1919">
        <v>0</v>
      </c>
      <c r="T1919" t="s">
        <v>45</v>
      </c>
      <c r="U1919" t="s">
        <v>66</v>
      </c>
      <c r="V1919" s="3">
        <v>139463</v>
      </c>
      <c r="W1919">
        <v>3.31</v>
      </c>
      <c r="X1919">
        <v>3</v>
      </c>
      <c r="Y1919" s="1">
        <f>EV_Data4[[#This Row],[range_miles]]/EV_Data4[[#This Row],[battery_capacity_kwh]]</f>
        <v>3.4364261168384878</v>
      </c>
      <c r="Z1919" s="4">
        <f>EV_Data4[[#This Row],[price_usd]]/EV_Data4[[#This Row],[range_miles]]</f>
        <v>165.27584999999999</v>
      </c>
      <c r="AA1919" s="2">
        <f>(EV_Data4[[#This Row],[customer_rating]]*EV_Data4[[#This Row],[safety_rating]]*1000)/EV_Data4[[#This Row],[price_usd]]</f>
        <v>0.40054248699976436</v>
      </c>
      <c r="AB1919">
        <f>EV_Data4[[#This Row],[horsepower]]+EV_Data4[[#This Row],[torque_nm]]/EV_Data4[[#This Row],[acceleration_0_60_mph]]</f>
        <v>208.73322422258593</v>
      </c>
      <c r="AC1919" t="str">
        <f>IF(EV_Data4[[#This Row],[price_usd]]&gt;=80000,"Luxury",IF(EV_Data4[[#This Row],[price_usd]]&gt;=40000,"Mid-Range","Budget"))</f>
        <v>Budget</v>
      </c>
      <c r="AD1919" t="str">
        <f>IF(EV_Data4[[#This Row],[range_miles]]&gt;=350,"Long-Range",IF(EV_Data4[[#This Row],[range_miles]]&gt;=250,"Medium-Range","Short-Range"))</f>
        <v>Short-Range</v>
      </c>
      <c r="AE1919" t="str">
        <f>IF(EV_Data4[[#This Row],[charging_speed_kw]]&gt;=250,"Ultra-Fast",IF(EV_Data4[[#This Row],[charging_speed_kw]]&gt;=150,"Fast-Charging","Standard-Charging"))</f>
        <v>Standard-Charging</v>
      </c>
      <c r="AF1919" t="str">
        <f>IF(EV_Data4[[#This Row],[acceleration_0_60_mph]]&lt;=3,"SportsPerformance",IF(EV_Data4[[#This Row],[acceleration_0_60_mph]]&lt;=5,"HighPerformance","Standard"))</f>
        <v>Standard</v>
      </c>
      <c r="AG1919" t="str">
        <f>IF(EV_Data4[[#This Row],[customer_rating]]&gt;=4.5,"Excellent",IF(EV_Data4[[#This Row],[customer_rating]]&gt;=3.5,"Good","Average"))</f>
        <v>Average</v>
      </c>
      <c r="AH191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20" spans="1:34" x14ac:dyDescent="0.3">
      <c r="A1920" t="s">
        <v>24</v>
      </c>
      <c r="B1920" t="s">
        <v>70</v>
      </c>
      <c r="C1920">
        <v>2022</v>
      </c>
      <c r="D1920" t="s">
        <v>26</v>
      </c>
      <c r="E1920" s="3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27</v>
      </c>
      <c r="N1920">
        <v>5</v>
      </c>
      <c r="O1920" t="s">
        <v>58</v>
      </c>
      <c r="P1920">
        <v>26</v>
      </c>
      <c r="Q1920">
        <v>1616</v>
      </c>
      <c r="R1920">
        <v>4</v>
      </c>
      <c r="S1920">
        <v>0</v>
      </c>
      <c r="T1920" t="s">
        <v>29</v>
      </c>
      <c r="U1920" t="s">
        <v>33</v>
      </c>
      <c r="V1920" s="3">
        <v>246097</v>
      </c>
      <c r="W1920">
        <v>3.31</v>
      </c>
      <c r="X1920">
        <v>4</v>
      </c>
      <c r="Y1920" s="1">
        <f>EV_Data4[[#This Row],[range_miles]]/EV_Data4[[#This Row],[battery_capacity_kwh]]</f>
        <v>3.238866396761134</v>
      </c>
      <c r="Z1920" s="4">
        <f>EV_Data4[[#This Row],[price_usd]]/EV_Data4[[#This Row],[range_miles]]</f>
        <v>405.72079166666668</v>
      </c>
      <c r="AA1920" s="2">
        <f>(EV_Data4[[#This Row],[customer_rating]]*EV_Data4[[#This Row],[safety_rating]]*1000)/EV_Data4[[#This Row],[price_usd]]</f>
        <v>0.13597199798424592</v>
      </c>
      <c r="AB1920">
        <f>EV_Data4[[#This Row],[horsepower]]+EV_Data4[[#This Row],[torque_nm]]/EV_Data4[[#This Row],[acceleration_0_60_mph]]</f>
        <v>1351.2</v>
      </c>
      <c r="AC1920" t="str">
        <f>IF(EV_Data4[[#This Row],[price_usd]]&gt;=80000,"Luxury",IF(EV_Data4[[#This Row],[price_usd]]&gt;=40000,"Mid-Range","Budget"))</f>
        <v>Luxury</v>
      </c>
      <c r="AD1920" t="str">
        <f>IF(EV_Data4[[#This Row],[range_miles]]&gt;=350,"Long-Range",IF(EV_Data4[[#This Row],[range_miles]]&gt;=250,"Medium-Range","Short-Range"))</f>
        <v>Short-Range</v>
      </c>
      <c r="AE1920" t="str">
        <f>IF(EV_Data4[[#This Row],[charging_speed_kw]]&gt;=250,"Ultra-Fast",IF(EV_Data4[[#This Row],[charging_speed_kw]]&gt;=150,"Fast-Charging","Standard-Charging"))</f>
        <v>Fast-Charging</v>
      </c>
      <c r="AF1920" t="str">
        <f>IF(EV_Data4[[#This Row],[acceleration_0_60_mph]]&lt;=3,"SportsPerformance",IF(EV_Data4[[#This Row],[acceleration_0_60_mph]]&lt;=5,"HighPerformance","Standard"))</f>
        <v>SportsPerformance</v>
      </c>
      <c r="AG1920" t="str">
        <f>IF(EV_Data4[[#This Row],[customer_rating]]&gt;=4.5,"Excellent",IF(EV_Data4[[#This Row],[customer_rating]]&gt;=3.5,"Good","Average"))</f>
        <v>Average</v>
      </c>
      <c r="AH192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21" spans="1:34" x14ac:dyDescent="0.3">
      <c r="A1921" t="s">
        <v>24</v>
      </c>
      <c r="B1921" t="s">
        <v>85</v>
      </c>
      <c r="C1921">
        <v>2024</v>
      </c>
      <c r="D1921" t="s">
        <v>44</v>
      </c>
      <c r="E1921" s="3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48</v>
      </c>
      <c r="N1921">
        <v>5</v>
      </c>
      <c r="O1921" t="s">
        <v>51</v>
      </c>
      <c r="P1921">
        <v>27.3</v>
      </c>
      <c r="Q1921">
        <v>1892</v>
      </c>
      <c r="R1921">
        <v>4</v>
      </c>
      <c r="S1921">
        <v>0</v>
      </c>
      <c r="T1921" t="s">
        <v>29</v>
      </c>
      <c r="U1921" t="s">
        <v>37</v>
      </c>
      <c r="V1921" s="3">
        <v>233529</v>
      </c>
      <c r="W1921">
        <v>3.84</v>
      </c>
      <c r="X1921">
        <v>3</v>
      </c>
      <c r="Y1921" s="1">
        <f>EV_Data4[[#This Row],[range_miles]]/EV_Data4[[#This Row],[battery_capacity_kwh]]</f>
        <v>3.6561264822134385</v>
      </c>
      <c r="Z1921" s="4">
        <f>EV_Data4[[#This Row],[price_usd]]/EV_Data4[[#This Row],[range_miles]]</f>
        <v>169.20632432432433</v>
      </c>
      <c r="AA1921" s="2">
        <f>(EV_Data4[[#This Row],[customer_rating]]*EV_Data4[[#This Row],[safety_rating]]*1000)/EV_Data4[[#This Row],[price_usd]]</f>
        <v>0.24534256434731691</v>
      </c>
      <c r="AB1921">
        <f>EV_Data4[[#This Row],[horsepower]]+EV_Data4[[#This Row],[torque_nm]]/EV_Data4[[#This Row],[acceleration_0_60_mph]]</f>
        <v>775.69794050343251</v>
      </c>
      <c r="AC1921" t="str">
        <f>IF(EV_Data4[[#This Row],[price_usd]]&gt;=80000,"Luxury",IF(EV_Data4[[#This Row],[price_usd]]&gt;=40000,"Mid-Range","Budget"))</f>
        <v>Mid-Range</v>
      </c>
      <c r="AD1921" t="str">
        <f>IF(EV_Data4[[#This Row],[range_miles]]&gt;=350,"Long-Range",IF(EV_Data4[[#This Row],[range_miles]]&gt;=250,"Medium-Range","Short-Range"))</f>
        <v>Long-Range</v>
      </c>
      <c r="AE1921" t="str">
        <f>IF(EV_Data4[[#This Row],[charging_speed_kw]]&gt;=250,"Ultra-Fast",IF(EV_Data4[[#This Row],[charging_speed_kw]]&gt;=150,"Fast-Charging","Standard-Charging"))</f>
        <v>Standard-Charging</v>
      </c>
      <c r="AF1921" t="str">
        <f>IF(EV_Data4[[#This Row],[acceleration_0_60_mph]]&lt;=3,"SportsPerformance",IF(EV_Data4[[#This Row],[acceleration_0_60_mph]]&lt;=5,"HighPerformance","Standard"))</f>
        <v>HighPerformance</v>
      </c>
      <c r="AG1921" t="str">
        <f>IF(EV_Data4[[#This Row],[customer_rating]]&gt;=4.5,"Excellent",IF(EV_Data4[[#This Row],[customer_rating]]&gt;=3.5,"Good","Average"))</f>
        <v>Good</v>
      </c>
      <c r="AH192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22" spans="1:34" x14ac:dyDescent="0.3">
      <c r="A1922" t="s">
        <v>38</v>
      </c>
      <c r="B1922" t="s">
        <v>118</v>
      </c>
      <c r="C1922">
        <v>2024</v>
      </c>
      <c r="D1922" t="s">
        <v>33</v>
      </c>
      <c r="E1922" s="3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27</v>
      </c>
      <c r="N1922">
        <v>5</v>
      </c>
      <c r="O1922" t="s">
        <v>50</v>
      </c>
      <c r="P1922">
        <v>15.1</v>
      </c>
      <c r="Q1922">
        <v>1778</v>
      </c>
      <c r="R1922">
        <v>3</v>
      </c>
      <c r="S1922">
        <v>1</v>
      </c>
      <c r="T1922" t="s">
        <v>41</v>
      </c>
      <c r="U1922" t="s">
        <v>33</v>
      </c>
      <c r="V1922" s="3">
        <v>24840</v>
      </c>
      <c r="W1922">
        <v>3.52</v>
      </c>
      <c r="X1922">
        <v>3</v>
      </c>
      <c r="Y1922" s="1">
        <f>EV_Data4[[#This Row],[range_miles]]/EV_Data4[[#This Row],[battery_capacity_kwh]]</f>
        <v>3.1309904153354631</v>
      </c>
      <c r="Z1922" s="4">
        <f>EV_Data4[[#This Row],[price_usd]]/EV_Data4[[#This Row],[range_miles]]</f>
        <v>412.61015306122448</v>
      </c>
      <c r="AA1922" s="2">
        <f>(EV_Data4[[#This Row],[customer_rating]]*EV_Data4[[#This Row],[safety_rating]]*1000)/EV_Data4[[#This Row],[price_usd]]</f>
        <v>0.13057737581269269</v>
      </c>
      <c r="AB1922">
        <f>EV_Data4[[#This Row],[horsepower]]+EV_Data4[[#This Row],[torque_nm]]/EV_Data4[[#This Row],[acceleration_0_60_mph]]</f>
        <v>1172.8652751423151</v>
      </c>
      <c r="AC1922" t="str">
        <f>IF(EV_Data4[[#This Row],[price_usd]]&gt;=80000,"Luxury",IF(EV_Data4[[#This Row],[price_usd]]&gt;=40000,"Mid-Range","Budget"))</f>
        <v>Luxury</v>
      </c>
      <c r="AD1922" t="str">
        <f>IF(EV_Data4[[#This Row],[range_miles]]&gt;=350,"Long-Range",IF(EV_Data4[[#This Row],[range_miles]]&gt;=250,"Medium-Range","Short-Range"))</f>
        <v>Short-Range</v>
      </c>
      <c r="AE1922" t="str">
        <f>IF(EV_Data4[[#This Row],[charging_speed_kw]]&gt;=250,"Ultra-Fast",IF(EV_Data4[[#This Row],[charging_speed_kw]]&gt;=150,"Fast-Charging","Standard-Charging"))</f>
        <v>Standard-Charging</v>
      </c>
      <c r="AF1922" t="str">
        <f>IF(EV_Data4[[#This Row],[acceleration_0_60_mph]]&lt;=3,"SportsPerformance",IF(EV_Data4[[#This Row],[acceleration_0_60_mph]]&lt;=5,"HighPerformance","Standard"))</f>
        <v>Standard</v>
      </c>
      <c r="AG1922" t="str">
        <f>IF(EV_Data4[[#This Row],[customer_rating]]&gt;=4.5,"Excellent",IF(EV_Data4[[#This Row],[customer_rating]]&gt;=3.5,"Good","Average"))</f>
        <v>Good</v>
      </c>
      <c r="AH192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23" spans="1:34" x14ac:dyDescent="0.3">
      <c r="A1923" t="s">
        <v>46</v>
      </c>
      <c r="B1923" t="s">
        <v>47</v>
      </c>
      <c r="C1923">
        <v>2025</v>
      </c>
      <c r="D1923" t="s">
        <v>61</v>
      </c>
      <c r="E1923" s="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48</v>
      </c>
      <c r="N1923">
        <v>7</v>
      </c>
      <c r="O1923" t="s">
        <v>40</v>
      </c>
      <c r="P1923">
        <v>65.900000000000006</v>
      </c>
      <c r="Q1923">
        <v>1500</v>
      </c>
      <c r="R1923">
        <v>4</v>
      </c>
      <c r="S1923">
        <v>2</v>
      </c>
      <c r="T1923" t="s">
        <v>41</v>
      </c>
      <c r="U1923" t="s">
        <v>66</v>
      </c>
      <c r="V1923" s="3">
        <v>110913</v>
      </c>
      <c r="W1923">
        <v>3.78</v>
      </c>
      <c r="X1923">
        <v>6</v>
      </c>
      <c r="Y1923" s="1">
        <f>EV_Data4[[#This Row],[range_miles]]/EV_Data4[[#This Row],[battery_capacity_kwh]]</f>
        <v>3.4156378600823043</v>
      </c>
      <c r="Z1923" s="4">
        <f>EV_Data4[[#This Row],[price_usd]]/EV_Data4[[#This Row],[range_miles]]</f>
        <v>111.76538152610442</v>
      </c>
      <c r="AA1923" s="2">
        <f>(EV_Data4[[#This Row],[customer_rating]]*EV_Data4[[#This Row],[safety_rating]]*1000)/EV_Data4[[#This Row],[price_usd]]</f>
        <v>0.54330679801851123</v>
      </c>
      <c r="AB1923">
        <f>EV_Data4[[#This Row],[horsepower]]+EV_Data4[[#This Row],[torque_nm]]/EV_Data4[[#This Row],[acceleration_0_60_mph]]</f>
        <v>204.58718861209965</v>
      </c>
      <c r="AC1923" t="str">
        <f>IF(EV_Data4[[#This Row],[price_usd]]&gt;=80000,"Luxury",IF(EV_Data4[[#This Row],[price_usd]]&gt;=40000,"Mid-Range","Budget"))</f>
        <v>Budget</v>
      </c>
      <c r="AD1923" t="str">
        <f>IF(EV_Data4[[#This Row],[range_miles]]&gt;=350,"Long-Range",IF(EV_Data4[[#This Row],[range_miles]]&gt;=250,"Medium-Range","Short-Range"))</f>
        <v>Short-Range</v>
      </c>
      <c r="AE1923" t="str">
        <f>IF(EV_Data4[[#This Row],[charging_speed_kw]]&gt;=250,"Ultra-Fast",IF(EV_Data4[[#This Row],[charging_speed_kw]]&gt;=150,"Fast-Charging","Standard-Charging"))</f>
        <v>Fast-Charging</v>
      </c>
      <c r="AF1923" t="str">
        <f>IF(EV_Data4[[#This Row],[acceleration_0_60_mph]]&lt;=3,"SportsPerformance",IF(EV_Data4[[#This Row],[acceleration_0_60_mph]]&lt;=5,"HighPerformance","Standard"))</f>
        <v>Standard</v>
      </c>
      <c r="AG1923" t="str">
        <f>IF(EV_Data4[[#This Row],[customer_rating]]&gt;=4.5,"Excellent",IF(EV_Data4[[#This Row],[customer_rating]]&gt;=3.5,"Good","Average"))</f>
        <v>Good</v>
      </c>
      <c r="AH1923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24" spans="1:34" x14ac:dyDescent="0.3">
      <c r="A1924" t="s">
        <v>83</v>
      </c>
      <c r="B1924" t="s">
        <v>89</v>
      </c>
      <c r="C1924">
        <v>2025</v>
      </c>
      <c r="D1924" t="s">
        <v>61</v>
      </c>
      <c r="E1924" s="3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48</v>
      </c>
      <c r="N1924">
        <v>5</v>
      </c>
      <c r="O1924" t="s">
        <v>51</v>
      </c>
      <c r="P1924">
        <v>38.9</v>
      </c>
      <c r="Q1924">
        <v>1612</v>
      </c>
      <c r="R1924">
        <v>5</v>
      </c>
      <c r="S1924">
        <v>1</v>
      </c>
      <c r="T1924" t="s">
        <v>29</v>
      </c>
      <c r="U1924" t="s">
        <v>30</v>
      </c>
      <c r="V1924" s="3">
        <v>64517</v>
      </c>
      <c r="W1924">
        <v>3.56</v>
      </c>
      <c r="X1924">
        <v>5</v>
      </c>
      <c r="Y1924" s="1">
        <f>EV_Data4[[#This Row],[range_miles]]/EV_Data4[[#This Row],[battery_capacity_kwh]]</f>
        <v>3.4106412005457027</v>
      </c>
      <c r="Z1924" s="4">
        <f>EV_Data4[[#This Row],[price_usd]]/EV_Data4[[#This Row],[range_miles]]</f>
        <v>417.60735999999997</v>
      </c>
      <c r="AA1924" s="2">
        <f>(EV_Data4[[#This Row],[customer_rating]]*EV_Data4[[#This Row],[safety_rating]]*1000)/EV_Data4[[#This Row],[price_usd]]</f>
        <v>0.17049507939706809</v>
      </c>
      <c r="AB1924">
        <f>EV_Data4[[#This Row],[horsepower]]+EV_Data4[[#This Row],[torque_nm]]/EV_Data4[[#This Row],[acceleration_0_60_mph]]</f>
        <v>1028.810606060606</v>
      </c>
      <c r="AC1924" t="str">
        <f>IF(EV_Data4[[#This Row],[price_usd]]&gt;=80000,"Luxury",IF(EV_Data4[[#This Row],[price_usd]]&gt;=40000,"Mid-Range","Budget"))</f>
        <v>Luxury</v>
      </c>
      <c r="AD1924" t="str">
        <f>IF(EV_Data4[[#This Row],[range_miles]]&gt;=350,"Long-Range",IF(EV_Data4[[#This Row],[range_miles]]&gt;=250,"Medium-Range","Short-Range"))</f>
        <v>Medium-Range</v>
      </c>
      <c r="AE1924" t="str">
        <f>IF(EV_Data4[[#This Row],[charging_speed_kw]]&gt;=250,"Ultra-Fast",IF(EV_Data4[[#This Row],[charging_speed_kw]]&gt;=150,"Fast-Charging","Standard-Charging"))</f>
        <v>Standard-Charging</v>
      </c>
      <c r="AF1924" t="str">
        <f>IF(EV_Data4[[#This Row],[acceleration_0_60_mph]]&lt;=3,"SportsPerformance",IF(EV_Data4[[#This Row],[acceleration_0_60_mph]]&lt;=5,"HighPerformance","Standard"))</f>
        <v>Standard</v>
      </c>
      <c r="AG1924" t="str">
        <f>IF(EV_Data4[[#This Row],[customer_rating]]&gt;=4.5,"Excellent",IF(EV_Data4[[#This Row],[customer_rating]]&gt;=3.5,"Good","Average"))</f>
        <v>Good</v>
      </c>
      <c r="AH192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25" spans="1:34" x14ac:dyDescent="0.3">
      <c r="A1925" t="s">
        <v>24</v>
      </c>
      <c r="B1925" t="s">
        <v>85</v>
      </c>
      <c r="C1925">
        <v>2026</v>
      </c>
      <c r="D1925" t="s">
        <v>26</v>
      </c>
      <c r="E1925" s="3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48</v>
      </c>
      <c r="N1925">
        <v>5</v>
      </c>
      <c r="O1925" t="s">
        <v>58</v>
      </c>
      <c r="P1925">
        <v>33.6</v>
      </c>
      <c r="Q1925">
        <v>1972</v>
      </c>
      <c r="R1925">
        <v>5</v>
      </c>
      <c r="S1925">
        <v>1</v>
      </c>
      <c r="T1925" t="s">
        <v>29</v>
      </c>
      <c r="U1925" t="s">
        <v>33</v>
      </c>
      <c r="V1925" s="3">
        <v>250773</v>
      </c>
      <c r="W1925">
        <v>3.82</v>
      </c>
      <c r="X1925">
        <v>3</v>
      </c>
      <c r="Y1925" s="1">
        <f>EV_Data4[[#This Row],[range_miles]]/EV_Data4[[#This Row],[battery_capacity_kwh]]</f>
        <v>3.3866666666666667</v>
      </c>
      <c r="Z1925" s="4">
        <f>EV_Data4[[#This Row],[price_usd]]/EV_Data4[[#This Row],[range_miles]]</f>
        <v>203.24125984251967</v>
      </c>
      <c r="AA1925" s="2">
        <f>(EV_Data4[[#This Row],[customer_rating]]*EV_Data4[[#This Row],[safety_rating]]*1000)/EV_Data4[[#This Row],[price_usd]]</f>
        <v>0.24665874259313494</v>
      </c>
      <c r="AB1925">
        <f>EV_Data4[[#This Row],[horsepower]]+EV_Data4[[#This Row],[torque_nm]]/EV_Data4[[#This Row],[acceleration_0_60_mph]]</f>
        <v>997.38287153652391</v>
      </c>
      <c r="AC1925" t="str">
        <f>IF(EV_Data4[[#This Row],[price_usd]]&gt;=80000,"Luxury",IF(EV_Data4[[#This Row],[price_usd]]&gt;=40000,"Mid-Range","Budget"))</f>
        <v>Mid-Range</v>
      </c>
      <c r="AD1925" t="str">
        <f>IF(EV_Data4[[#This Row],[range_miles]]&gt;=350,"Long-Range",IF(EV_Data4[[#This Row],[range_miles]]&gt;=250,"Medium-Range","Short-Range"))</f>
        <v>Long-Range</v>
      </c>
      <c r="AE1925" t="str">
        <f>IF(EV_Data4[[#This Row],[charging_speed_kw]]&gt;=250,"Ultra-Fast",IF(EV_Data4[[#This Row],[charging_speed_kw]]&gt;=150,"Fast-Charging","Standard-Charging"))</f>
        <v>Fast-Charging</v>
      </c>
      <c r="AF1925" t="str">
        <f>IF(EV_Data4[[#This Row],[acceleration_0_60_mph]]&lt;=3,"SportsPerformance",IF(EV_Data4[[#This Row],[acceleration_0_60_mph]]&lt;=5,"HighPerformance","Standard"))</f>
        <v>HighPerformance</v>
      </c>
      <c r="AG1925" t="str">
        <f>IF(EV_Data4[[#This Row],[customer_rating]]&gt;=4.5,"Excellent",IF(EV_Data4[[#This Row],[customer_rating]]&gt;=3.5,"Good","Average"))</f>
        <v>Good</v>
      </c>
      <c r="AH192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26" spans="1:34" x14ac:dyDescent="0.3">
      <c r="A1926" t="s">
        <v>76</v>
      </c>
      <c r="B1926" t="s">
        <v>91</v>
      </c>
      <c r="C1926">
        <v>2025</v>
      </c>
      <c r="D1926" t="s">
        <v>26</v>
      </c>
      <c r="E1926" s="3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27</v>
      </c>
      <c r="N1926">
        <v>2</v>
      </c>
      <c r="O1926" t="s">
        <v>28</v>
      </c>
      <c r="P1926">
        <v>57.8</v>
      </c>
      <c r="Q1926">
        <v>2494</v>
      </c>
      <c r="R1926">
        <v>3</v>
      </c>
      <c r="S1926">
        <v>0</v>
      </c>
      <c r="T1926" t="s">
        <v>41</v>
      </c>
      <c r="U1926" t="s">
        <v>37</v>
      </c>
      <c r="V1926" s="3">
        <v>58686</v>
      </c>
      <c r="W1926">
        <v>4</v>
      </c>
      <c r="X1926">
        <v>4</v>
      </c>
      <c r="Y1926" s="1">
        <f>EV_Data4[[#This Row],[range_miles]]/EV_Data4[[#This Row],[battery_capacity_kwh]]</f>
        <v>3.4432589718719693</v>
      </c>
      <c r="Z1926" s="4">
        <f>EV_Data4[[#This Row],[price_usd]]/EV_Data4[[#This Row],[range_miles]]</f>
        <v>157.15442253521127</v>
      </c>
      <c r="AA1926" s="2">
        <f>(EV_Data4[[#This Row],[customer_rating]]*EV_Data4[[#This Row],[safety_rating]]*1000)/EV_Data4[[#This Row],[price_usd]]</f>
        <v>0.21509300442267065</v>
      </c>
      <c r="AB1926">
        <f>EV_Data4[[#This Row],[horsepower]]+EV_Data4[[#This Row],[torque_nm]]/EV_Data4[[#This Row],[acceleration_0_60_mph]]</f>
        <v>699.72549019607845</v>
      </c>
      <c r="AC1926" t="str">
        <f>IF(EV_Data4[[#This Row],[price_usd]]&gt;=80000,"Luxury",IF(EV_Data4[[#This Row],[price_usd]]&gt;=40000,"Mid-Range","Budget"))</f>
        <v>Mid-Range</v>
      </c>
      <c r="AD1926" t="str">
        <f>IF(EV_Data4[[#This Row],[range_miles]]&gt;=350,"Long-Range",IF(EV_Data4[[#This Row],[range_miles]]&gt;=250,"Medium-Range","Short-Range"))</f>
        <v>Long-Range</v>
      </c>
      <c r="AE1926" t="str">
        <f>IF(EV_Data4[[#This Row],[charging_speed_kw]]&gt;=250,"Ultra-Fast",IF(EV_Data4[[#This Row],[charging_speed_kw]]&gt;=150,"Fast-Charging","Standard-Charging"))</f>
        <v>Fast-Charging</v>
      </c>
      <c r="AF1926" t="str">
        <f>IF(EV_Data4[[#This Row],[acceleration_0_60_mph]]&lt;=3,"SportsPerformance",IF(EV_Data4[[#This Row],[acceleration_0_60_mph]]&lt;=5,"HighPerformance","Standard"))</f>
        <v>SportsPerformance</v>
      </c>
      <c r="AG1926" t="str">
        <f>IF(EV_Data4[[#This Row],[customer_rating]]&gt;=4.5,"Excellent",IF(EV_Data4[[#This Row],[customer_rating]]&gt;=3.5,"Good","Average"))</f>
        <v>Good</v>
      </c>
      <c r="AH192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27" spans="1:34" x14ac:dyDescent="0.3">
      <c r="A1927" t="s">
        <v>46</v>
      </c>
      <c r="B1927" t="s">
        <v>49</v>
      </c>
      <c r="C1927">
        <v>2026</v>
      </c>
      <c r="D1927" t="s">
        <v>44</v>
      </c>
      <c r="E1927" s="3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34</v>
      </c>
      <c r="N1927">
        <v>7</v>
      </c>
      <c r="O1927" t="s">
        <v>50</v>
      </c>
      <c r="P1927">
        <v>28.1</v>
      </c>
      <c r="Q1927">
        <v>1575</v>
      </c>
      <c r="R1927">
        <v>4</v>
      </c>
      <c r="S1927">
        <v>2</v>
      </c>
      <c r="T1927" t="s">
        <v>41</v>
      </c>
      <c r="U1927" t="s">
        <v>37</v>
      </c>
      <c r="V1927" s="3">
        <v>417203</v>
      </c>
      <c r="W1927">
        <v>3.88</v>
      </c>
      <c r="X1927">
        <v>6</v>
      </c>
      <c r="Y1927" s="1">
        <f>EV_Data4[[#This Row],[range_miles]]/EV_Data4[[#This Row],[battery_capacity_kwh]]</f>
        <v>3.5613463626492945</v>
      </c>
      <c r="Z1927" s="4">
        <f>EV_Data4[[#This Row],[price_usd]]/EV_Data4[[#This Row],[range_miles]]</f>
        <v>132.62521341463415</v>
      </c>
      <c r="AA1927" s="2">
        <f>(EV_Data4[[#This Row],[customer_rating]]*EV_Data4[[#This Row],[safety_rating]]*1000)/EV_Data4[[#This Row],[price_usd]]</f>
        <v>0.35677283340386801</v>
      </c>
      <c r="AB1927">
        <f>EV_Data4[[#This Row],[horsepower]]+EV_Data4[[#This Row],[torque_nm]]/EV_Data4[[#This Row],[acceleration_0_60_mph]]</f>
        <v>331.79253112033194</v>
      </c>
      <c r="AC1927" t="str">
        <f>IF(EV_Data4[[#This Row],[price_usd]]&gt;=80000,"Luxury",IF(EV_Data4[[#This Row],[price_usd]]&gt;=40000,"Mid-Range","Budget"))</f>
        <v>Mid-Range</v>
      </c>
      <c r="AD1927" t="str">
        <f>IF(EV_Data4[[#This Row],[range_miles]]&gt;=350,"Long-Range",IF(EV_Data4[[#This Row],[range_miles]]&gt;=250,"Medium-Range","Short-Range"))</f>
        <v>Medium-Range</v>
      </c>
      <c r="AE1927" t="str">
        <f>IF(EV_Data4[[#This Row],[charging_speed_kw]]&gt;=250,"Ultra-Fast",IF(EV_Data4[[#This Row],[charging_speed_kw]]&gt;=150,"Fast-Charging","Standard-Charging"))</f>
        <v>Ultra-Fast</v>
      </c>
      <c r="AF1927" t="str">
        <f>IF(EV_Data4[[#This Row],[acceleration_0_60_mph]]&lt;=3,"SportsPerformance",IF(EV_Data4[[#This Row],[acceleration_0_60_mph]]&lt;=5,"HighPerformance","Standard"))</f>
        <v>HighPerformance</v>
      </c>
      <c r="AG1927" t="str">
        <f>IF(EV_Data4[[#This Row],[customer_rating]]&gt;=4.5,"Excellent",IF(EV_Data4[[#This Row],[customer_rating]]&gt;=3.5,"Good","Average"))</f>
        <v>Good</v>
      </c>
      <c r="AH192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28" spans="1:34" x14ac:dyDescent="0.3">
      <c r="A1928" t="s">
        <v>42</v>
      </c>
      <c r="B1928" t="s">
        <v>80</v>
      </c>
      <c r="C1928">
        <v>2024</v>
      </c>
      <c r="D1928" t="s">
        <v>33</v>
      </c>
      <c r="E1928" s="3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48</v>
      </c>
      <c r="N1928">
        <v>7</v>
      </c>
      <c r="O1928" t="s">
        <v>35</v>
      </c>
      <c r="P1928">
        <v>46.4</v>
      </c>
      <c r="Q1928">
        <v>1899</v>
      </c>
      <c r="R1928">
        <v>5</v>
      </c>
      <c r="S1928">
        <v>0</v>
      </c>
      <c r="T1928" t="s">
        <v>45</v>
      </c>
      <c r="U1928" t="s">
        <v>33</v>
      </c>
      <c r="V1928" s="3">
        <v>143775</v>
      </c>
      <c r="W1928">
        <v>3.53</v>
      </c>
      <c r="X1928">
        <v>4</v>
      </c>
      <c r="Y1928" s="1">
        <f>EV_Data4[[#This Row],[range_miles]]/EV_Data4[[#This Row],[battery_capacity_kwh]]</f>
        <v>3.1941923774954626</v>
      </c>
      <c r="Z1928" s="4">
        <f>EV_Data4[[#This Row],[price_usd]]/EV_Data4[[#This Row],[range_miles]]</f>
        <v>415.13221590909092</v>
      </c>
      <c r="AA1928" s="2">
        <f>(EV_Data4[[#This Row],[customer_rating]]*EV_Data4[[#This Row],[safety_rating]]*1000)/EV_Data4[[#This Row],[price_usd]]</f>
        <v>0.24157144896471236</v>
      </c>
      <c r="AB1928">
        <f>EV_Data4[[#This Row],[horsepower]]+EV_Data4[[#This Row],[torque_nm]]/EV_Data4[[#This Row],[acceleration_0_60_mph]]</f>
        <v>926.63532401524776</v>
      </c>
      <c r="AC1928" t="str">
        <f>IF(EV_Data4[[#This Row],[price_usd]]&gt;=80000,"Luxury",IF(EV_Data4[[#This Row],[price_usd]]&gt;=40000,"Mid-Range","Budget"))</f>
        <v>Mid-Range</v>
      </c>
      <c r="AD1928" t="str">
        <f>IF(EV_Data4[[#This Row],[range_miles]]&gt;=350,"Long-Range",IF(EV_Data4[[#This Row],[range_miles]]&gt;=250,"Medium-Range","Short-Range"))</f>
        <v>Short-Range</v>
      </c>
      <c r="AE1928" t="str">
        <f>IF(EV_Data4[[#This Row],[charging_speed_kw]]&gt;=250,"Ultra-Fast",IF(EV_Data4[[#This Row],[charging_speed_kw]]&gt;=150,"Fast-Charging","Standard-Charging"))</f>
        <v>Standard-Charging</v>
      </c>
      <c r="AF1928" t="str">
        <f>IF(EV_Data4[[#This Row],[acceleration_0_60_mph]]&lt;=3,"SportsPerformance",IF(EV_Data4[[#This Row],[acceleration_0_60_mph]]&lt;=5,"HighPerformance","Standard"))</f>
        <v>Standard</v>
      </c>
      <c r="AG1928" t="str">
        <f>IF(EV_Data4[[#This Row],[customer_rating]]&gt;=4.5,"Excellent",IF(EV_Data4[[#This Row],[customer_rating]]&gt;=3.5,"Good","Average"))</f>
        <v>Good</v>
      </c>
      <c r="AH192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29" spans="1:34" x14ac:dyDescent="0.3">
      <c r="A1929" t="s">
        <v>68</v>
      </c>
      <c r="B1929" t="s">
        <v>106</v>
      </c>
      <c r="C1929">
        <v>2022</v>
      </c>
      <c r="D1929" t="s">
        <v>61</v>
      </c>
      <c r="E1929" s="3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27</v>
      </c>
      <c r="N1929">
        <v>5</v>
      </c>
      <c r="O1929" t="s">
        <v>40</v>
      </c>
      <c r="P1929">
        <v>72</v>
      </c>
      <c r="Q1929">
        <v>1606</v>
      </c>
      <c r="R1929">
        <v>5</v>
      </c>
      <c r="S1929">
        <v>1</v>
      </c>
      <c r="T1929" t="s">
        <v>45</v>
      </c>
      <c r="U1929" t="s">
        <v>66</v>
      </c>
      <c r="V1929" s="3">
        <v>120724</v>
      </c>
      <c r="W1929">
        <v>3.13</v>
      </c>
      <c r="X1929">
        <v>5</v>
      </c>
      <c r="Y1929" s="1">
        <f>EV_Data4[[#This Row],[range_miles]]/EV_Data4[[#This Row],[battery_capacity_kwh]]</f>
        <v>3.4802784222737819</v>
      </c>
      <c r="Z1929" s="4">
        <f>EV_Data4[[#This Row],[price_usd]]/EV_Data4[[#This Row],[range_miles]]</f>
        <v>229.70059999999998</v>
      </c>
      <c r="AA1929" s="2">
        <f>(EV_Data4[[#This Row],[customer_rating]]*EV_Data4[[#This Row],[safety_rating]]*1000)/EV_Data4[[#This Row],[price_usd]]</f>
        <v>0.45421445713826314</v>
      </c>
      <c r="AB1929">
        <f>EV_Data4[[#This Row],[horsepower]]+EV_Data4[[#This Row],[torque_nm]]/EV_Data4[[#This Row],[acceleration_0_60_mph]]</f>
        <v>269.06349206349205</v>
      </c>
      <c r="AC1929" t="str">
        <f>IF(EV_Data4[[#This Row],[price_usd]]&gt;=80000,"Luxury",IF(EV_Data4[[#This Row],[price_usd]]&gt;=40000,"Mid-Range","Budget"))</f>
        <v>Budget</v>
      </c>
      <c r="AD1929" t="str">
        <f>IF(EV_Data4[[#This Row],[range_miles]]&gt;=350,"Long-Range",IF(EV_Data4[[#This Row],[range_miles]]&gt;=250,"Medium-Range","Short-Range"))</f>
        <v>Short-Range</v>
      </c>
      <c r="AE1929" t="str">
        <f>IF(EV_Data4[[#This Row],[charging_speed_kw]]&gt;=250,"Ultra-Fast",IF(EV_Data4[[#This Row],[charging_speed_kw]]&gt;=150,"Fast-Charging","Standard-Charging"))</f>
        <v>Standard-Charging</v>
      </c>
      <c r="AF1929" t="str">
        <f>IF(EV_Data4[[#This Row],[acceleration_0_60_mph]]&lt;=3,"SportsPerformance",IF(EV_Data4[[#This Row],[acceleration_0_60_mph]]&lt;=5,"HighPerformance","Standard"))</f>
        <v>Standard</v>
      </c>
      <c r="AG1929" t="str">
        <f>IF(EV_Data4[[#This Row],[customer_rating]]&gt;=4.5,"Excellent",IF(EV_Data4[[#This Row],[customer_rating]]&gt;=3.5,"Good","Average"))</f>
        <v>Average</v>
      </c>
      <c r="AH192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30" spans="1:34" x14ac:dyDescent="0.3">
      <c r="A1930" t="s">
        <v>83</v>
      </c>
      <c r="B1930" t="s">
        <v>89</v>
      </c>
      <c r="C1930">
        <v>2024</v>
      </c>
      <c r="D1930" t="s">
        <v>26</v>
      </c>
      <c r="E1930" s="3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27</v>
      </c>
      <c r="N1930">
        <v>7</v>
      </c>
      <c r="O1930" t="s">
        <v>28</v>
      </c>
      <c r="P1930">
        <v>54</v>
      </c>
      <c r="Q1930">
        <v>2571</v>
      </c>
      <c r="R1930">
        <v>5</v>
      </c>
      <c r="S1930">
        <v>1</v>
      </c>
      <c r="T1930" t="s">
        <v>29</v>
      </c>
      <c r="U1930" t="s">
        <v>30</v>
      </c>
      <c r="V1930" s="3">
        <v>49531</v>
      </c>
      <c r="W1930">
        <v>3.97</v>
      </c>
      <c r="X1930">
        <v>6</v>
      </c>
      <c r="Y1930" s="1">
        <f>EV_Data4[[#This Row],[range_miles]]/EV_Data4[[#This Row],[battery_capacity_kwh]]</f>
        <v>3.6487638533674338</v>
      </c>
      <c r="Z1930" s="4">
        <f>EV_Data4[[#This Row],[price_usd]]/EV_Data4[[#This Row],[range_miles]]</f>
        <v>287.93397196261685</v>
      </c>
      <c r="AA1930" s="2">
        <f>(EV_Data4[[#This Row],[customer_rating]]*EV_Data4[[#This Row],[safety_rating]]*1000)/EV_Data4[[#This Row],[price_usd]]</f>
        <v>0.1610734028943227</v>
      </c>
      <c r="AB1930">
        <f>EV_Data4[[#This Row],[horsepower]]+EV_Data4[[#This Row],[torque_nm]]/EV_Data4[[#This Row],[acceleration_0_60_mph]]</f>
        <v>1256.824512534819</v>
      </c>
      <c r="AC1930" t="str">
        <f>IF(EV_Data4[[#This Row],[price_usd]]&gt;=80000,"Luxury",IF(EV_Data4[[#This Row],[price_usd]]&gt;=40000,"Mid-Range","Budget"))</f>
        <v>Luxury</v>
      </c>
      <c r="AD1930" t="str">
        <f>IF(EV_Data4[[#This Row],[range_miles]]&gt;=350,"Long-Range",IF(EV_Data4[[#This Row],[range_miles]]&gt;=250,"Medium-Range","Short-Range"))</f>
        <v>Long-Range</v>
      </c>
      <c r="AE1930" t="str">
        <f>IF(EV_Data4[[#This Row],[charging_speed_kw]]&gt;=250,"Ultra-Fast",IF(EV_Data4[[#This Row],[charging_speed_kw]]&gt;=150,"Fast-Charging","Standard-Charging"))</f>
        <v>Fast-Charging</v>
      </c>
      <c r="AF1930" t="str">
        <f>IF(EV_Data4[[#This Row],[acceleration_0_60_mph]]&lt;=3,"SportsPerformance",IF(EV_Data4[[#This Row],[acceleration_0_60_mph]]&lt;=5,"HighPerformance","Standard"))</f>
        <v>HighPerformance</v>
      </c>
      <c r="AG1930" t="str">
        <f>IF(EV_Data4[[#This Row],[customer_rating]]&gt;=4.5,"Excellent",IF(EV_Data4[[#This Row],[customer_rating]]&gt;=3.5,"Good","Average"))</f>
        <v>Good</v>
      </c>
      <c r="AH193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31" spans="1:34" x14ac:dyDescent="0.3">
      <c r="A1931" t="s">
        <v>46</v>
      </c>
      <c r="B1931" t="s">
        <v>72</v>
      </c>
      <c r="C1931">
        <v>2024</v>
      </c>
      <c r="D1931" t="s">
        <v>33</v>
      </c>
      <c r="E1931" s="3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34</v>
      </c>
      <c r="N1931">
        <v>5</v>
      </c>
      <c r="O1931" t="s">
        <v>28</v>
      </c>
      <c r="P1931">
        <v>57.5</v>
      </c>
      <c r="Q1931">
        <v>2492</v>
      </c>
      <c r="R1931">
        <v>4</v>
      </c>
      <c r="S1931">
        <v>2</v>
      </c>
      <c r="T1931" t="s">
        <v>41</v>
      </c>
      <c r="U1931" t="s">
        <v>30</v>
      </c>
      <c r="V1931" s="3">
        <v>117423</v>
      </c>
      <c r="W1931">
        <v>3.81</v>
      </c>
      <c r="X1931">
        <v>5</v>
      </c>
      <c r="Y1931" s="1">
        <f>EV_Data4[[#This Row],[range_miles]]/EV_Data4[[#This Row],[battery_capacity_kwh]]</f>
        <v>3.8343558282208585</v>
      </c>
      <c r="Z1931" s="4">
        <f>EV_Data4[[#This Row],[price_usd]]/EV_Data4[[#This Row],[range_miles]]</f>
        <v>471.95400000000001</v>
      </c>
      <c r="AA1931" s="2">
        <f>(EV_Data4[[#This Row],[customer_rating]]*EV_Data4[[#This Row],[safety_rating]]*1000)/EV_Data4[[#This Row],[price_usd]]</f>
        <v>0.12916513050000636</v>
      </c>
      <c r="AB1931">
        <f>EV_Data4[[#This Row],[horsepower]]+EV_Data4[[#This Row],[torque_nm]]/EV_Data4[[#This Row],[acceleration_0_60_mph]]</f>
        <v>987.44981412639402</v>
      </c>
      <c r="AC1931" t="str">
        <f>IF(EV_Data4[[#This Row],[price_usd]]&gt;=80000,"Luxury",IF(EV_Data4[[#This Row],[price_usd]]&gt;=40000,"Mid-Range","Budget"))</f>
        <v>Luxury</v>
      </c>
      <c r="AD1931" t="str">
        <f>IF(EV_Data4[[#This Row],[range_miles]]&gt;=350,"Long-Range",IF(EV_Data4[[#This Row],[range_miles]]&gt;=250,"Medium-Range","Short-Range"))</f>
        <v>Medium-Range</v>
      </c>
      <c r="AE1931" t="str">
        <f>IF(EV_Data4[[#This Row],[charging_speed_kw]]&gt;=250,"Ultra-Fast",IF(EV_Data4[[#This Row],[charging_speed_kw]]&gt;=150,"Fast-Charging","Standard-Charging"))</f>
        <v>Ultra-Fast</v>
      </c>
      <c r="AF1931" t="str">
        <f>IF(EV_Data4[[#This Row],[acceleration_0_60_mph]]&lt;=3,"SportsPerformance",IF(EV_Data4[[#This Row],[acceleration_0_60_mph]]&lt;=5,"HighPerformance","Standard"))</f>
        <v>Standard</v>
      </c>
      <c r="AG1931" t="str">
        <f>IF(EV_Data4[[#This Row],[customer_rating]]&gt;=4.5,"Excellent",IF(EV_Data4[[#This Row],[customer_rating]]&gt;=3.5,"Good","Average"))</f>
        <v>Good</v>
      </c>
      <c r="AH193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32" spans="1:34" x14ac:dyDescent="0.3">
      <c r="A1932" t="s">
        <v>42</v>
      </c>
      <c r="B1932" t="s">
        <v>54</v>
      </c>
      <c r="C1932">
        <v>2024</v>
      </c>
      <c r="D1932" t="s">
        <v>61</v>
      </c>
      <c r="E1932" s="3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48</v>
      </c>
      <c r="N1932">
        <v>7</v>
      </c>
      <c r="O1932" t="s">
        <v>40</v>
      </c>
      <c r="P1932">
        <v>60.9</v>
      </c>
      <c r="Q1932">
        <v>1500</v>
      </c>
      <c r="R1932">
        <v>4</v>
      </c>
      <c r="S1932">
        <v>1</v>
      </c>
      <c r="T1932" t="s">
        <v>45</v>
      </c>
      <c r="U1932" t="s">
        <v>37</v>
      </c>
      <c r="V1932" s="3">
        <v>124150</v>
      </c>
      <c r="W1932">
        <v>3.57</v>
      </c>
      <c r="X1932">
        <v>4</v>
      </c>
      <c r="Y1932" s="1">
        <f>EV_Data4[[#This Row],[range_miles]]/EV_Data4[[#This Row],[battery_capacity_kwh]]</f>
        <v>3.4918276374442794</v>
      </c>
      <c r="Z1932" s="4">
        <f>EV_Data4[[#This Row],[price_usd]]/EV_Data4[[#This Row],[range_miles]]</f>
        <v>166.01485106382978</v>
      </c>
      <c r="AA1932" s="2">
        <f>(EV_Data4[[#This Row],[customer_rating]]*EV_Data4[[#This Row],[safety_rating]]*1000)/EV_Data4[[#This Row],[price_usd]]</f>
        <v>0.36602723827065975</v>
      </c>
      <c r="AB1932">
        <f>EV_Data4[[#This Row],[horsepower]]+EV_Data4[[#This Row],[torque_nm]]/EV_Data4[[#This Row],[acceleration_0_60_mph]]</f>
        <v>310.89272030651341</v>
      </c>
      <c r="AC1932" t="str">
        <f>IF(EV_Data4[[#This Row],[price_usd]]&gt;=80000,"Luxury",IF(EV_Data4[[#This Row],[price_usd]]&gt;=40000,"Mid-Range","Budget"))</f>
        <v>Budget</v>
      </c>
      <c r="AD1932" t="str">
        <f>IF(EV_Data4[[#This Row],[range_miles]]&gt;=350,"Long-Range",IF(EV_Data4[[#This Row],[range_miles]]&gt;=250,"Medium-Range","Short-Range"))</f>
        <v>Short-Range</v>
      </c>
      <c r="AE1932" t="str">
        <f>IF(EV_Data4[[#This Row],[charging_speed_kw]]&gt;=250,"Ultra-Fast",IF(EV_Data4[[#This Row],[charging_speed_kw]]&gt;=150,"Fast-Charging","Standard-Charging"))</f>
        <v>Standard-Charging</v>
      </c>
      <c r="AF1932" t="str">
        <f>IF(EV_Data4[[#This Row],[acceleration_0_60_mph]]&lt;=3,"SportsPerformance",IF(EV_Data4[[#This Row],[acceleration_0_60_mph]]&lt;=5,"HighPerformance","Standard"))</f>
        <v>Standard</v>
      </c>
      <c r="AG1932" t="str">
        <f>IF(EV_Data4[[#This Row],[customer_rating]]&gt;=4.5,"Excellent",IF(EV_Data4[[#This Row],[customer_rating]]&gt;=3.5,"Good","Average"))</f>
        <v>Good</v>
      </c>
      <c r="AH1932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33" spans="1:34" x14ac:dyDescent="0.3">
      <c r="A1933" t="s">
        <v>42</v>
      </c>
      <c r="B1933" t="s">
        <v>71</v>
      </c>
      <c r="C1933">
        <v>2024</v>
      </c>
      <c r="D1933" t="s">
        <v>44</v>
      </c>
      <c r="E1933" s="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48</v>
      </c>
      <c r="N1933">
        <v>5</v>
      </c>
      <c r="O1933" t="s">
        <v>50</v>
      </c>
      <c r="P1933">
        <v>22.9</v>
      </c>
      <c r="Q1933">
        <v>1655</v>
      </c>
      <c r="R1933">
        <v>4</v>
      </c>
      <c r="S1933">
        <v>0</v>
      </c>
      <c r="T1933" t="s">
        <v>45</v>
      </c>
      <c r="U1933" t="s">
        <v>37</v>
      </c>
      <c r="V1933" s="3">
        <v>79174</v>
      </c>
      <c r="W1933">
        <v>3.94</v>
      </c>
      <c r="X1933">
        <v>3</v>
      </c>
      <c r="Y1933" s="1">
        <f>EV_Data4[[#This Row],[range_miles]]/EV_Data4[[#This Row],[battery_capacity_kwh]]</f>
        <v>3.6457357075913777</v>
      </c>
      <c r="Z1933" s="4">
        <f>EV_Data4[[#This Row],[price_usd]]/EV_Data4[[#This Row],[range_miles]]</f>
        <v>129.37804627249358</v>
      </c>
      <c r="AA1933" s="2">
        <f>(EV_Data4[[#This Row],[customer_rating]]*EV_Data4[[#This Row],[safety_rating]]*1000)/EV_Data4[[#This Row],[price_usd]]</f>
        <v>0.31314539046408707</v>
      </c>
      <c r="AB1933">
        <f>EV_Data4[[#This Row],[horsepower]]+EV_Data4[[#This Row],[torque_nm]]/EV_Data4[[#This Row],[acceleration_0_60_mph]]</f>
        <v>577.66666666666663</v>
      </c>
      <c r="AC1933" t="str">
        <f>IF(EV_Data4[[#This Row],[price_usd]]&gt;=80000,"Luxury",IF(EV_Data4[[#This Row],[price_usd]]&gt;=40000,"Mid-Range","Budget"))</f>
        <v>Mid-Range</v>
      </c>
      <c r="AD1933" t="str">
        <f>IF(EV_Data4[[#This Row],[range_miles]]&gt;=350,"Long-Range",IF(EV_Data4[[#This Row],[range_miles]]&gt;=250,"Medium-Range","Short-Range"))</f>
        <v>Long-Range</v>
      </c>
      <c r="AE1933" t="str">
        <f>IF(EV_Data4[[#This Row],[charging_speed_kw]]&gt;=250,"Ultra-Fast",IF(EV_Data4[[#This Row],[charging_speed_kw]]&gt;=150,"Fast-Charging","Standard-Charging"))</f>
        <v>Standard-Charging</v>
      </c>
      <c r="AF1933" t="str">
        <f>IF(EV_Data4[[#This Row],[acceleration_0_60_mph]]&lt;=3,"SportsPerformance",IF(EV_Data4[[#This Row],[acceleration_0_60_mph]]&lt;=5,"HighPerformance","Standard"))</f>
        <v>Standard</v>
      </c>
      <c r="AG1933" t="str">
        <f>IF(EV_Data4[[#This Row],[customer_rating]]&gt;=4.5,"Excellent",IF(EV_Data4[[#This Row],[customer_rating]]&gt;=3.5,"Good","Average"))</f>
        <v>Good</v>
      </c>
      <c r="AH193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34" spans="1:34" x14ac:dyDescent="0.3">
      <c r="A1934" t="s">
        <v>42</v>
      </c>
      <c r="B1934" t="s">
        <v>71</v>
      </c>
      <c r="C1934">
        <v>2025</v>
      </c>
      <c r="D1934" t="s">
        <v>56</v>
      </c>
      <c r="E1934" s="3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34</v>
      </c>
      <c r="N1934">
        <v>7</v>
      </c>
      <c r="O1934" t="s">
        <v>51</v>
      </c>
      <c r="P1934">
        <v>17.899999999999999</v>
      </c>
      <c r="Q1934">
        <v>1500</v>
      </c>
      <c r="R1934">
        <v>5</v>
      </c>
      <c r="S1934">
        <v>1</v>
      </c>
      <c r="T1934" t="s">
        <v>45</v>
      </c>
      <c r="U1934" t="s">
        <v>37</v>
      </c>
      <c r="V1934" s="3">
        <v>106640</v>
      </c>
      <c r="W1934">
        <v>3.38</v>
      </c>
      <c r="X1934">
        <v>4</v>
      </c>
      <c r="Y1934" s="1">
        <f>EV_Data4[[#This Row],[range_miles]]/EV_Data4[[#This Row],[battery_capacity_kwh]]</f>
        <v>3.4029850746268657</v>
      </c>
      <c r="Z1934" s="4">
        <f>EV_Data4[[#This Row],[price_usd]]/EV_Data4[[#This Row],[range_miles]]</f>
        <v>214.62710526315792</v>
      </c>
      <c r="AA1934" s="2">
        <f>(EV_Data4[[#This Row],[customer_rating]]*EV_Data4[[#This Row],[safety_rating]]*1000)/EV_Data4[[#This Row],[price_usd]]</f>
        <v>0.34535622575098629</v>
      </c>
      <c r="AB1934">
        <f>EV_Data4[[#This Row],[horsepower]]+EV_Data4[[#This Row],[torque_nm]]/EV_Data4[[#This Row],[acceleration_0_60_mph]]</f>
        <v>501.23316912972086</v>
      </c>
      <c r="AC1934" t="str">
        <f>IF(EV_Data4[[#This Row],[price_usd]]&gt;=80000,"Luxury",IF(EV_Data4[[#This Row],[price_usd]]&gt;=40000,"Mid-Range","Budget"))</f>
        <v>Mid-Range</v>
      </c>
      <c r="AD1934" t="str">
        <f>IF(EV_Data4[[#This Row],[range_miles]]&gt;=350,"Long-Range",IF(EV_Data4[[#This Row],[range_miles]]&gt;=250,"Medium-Range","Short-Range"))</f>
        <v>Short-Range</v>
      </c>
      <c r="AE1934" t="str">
        <f>IF(EV_Data4[[#This Row],[charging_speed_kw]]&gt;=250,"Ultra-Fast",IF(EV_Data4[[#This Row],[charging_speed_kw]]&gt;=150,"Fast-Charging","Standard-Charging"))</f>
        <v>Standard-Charging</v>
      </c>
      <c r="AF1934" t="str">
        <f>IF(EV_Data4[[#This Row],[acceleration_0_60_mph]]&lt;=3,"SportsPerformance",IF(EV_Data4[[#This Row],[acceleration_0_60_mph]]&lt;=5,"HighPerformance","Standard"))</f>
        <v>Standard</v>
      </c>
      <c r="AG1934" t="str">
        <f>IF(EV_Data4[[#This Row],[customer_rating]]&gt;=4.5,"Excellent",IF(EV_Data4[[#This Row],[customer_rating]]&gt;=3.5,"Good","Average"))</f>
        <v>Average</v>
      </c>
      <c r="AH1934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35" spans="1:34" x14ac:dyDescent="0.3">
      <c r="A1935" t="s">
        <v>42</v>
      </c>
      <c r="B1935" t="s">
        <v>43</v>
      </c>
      <c r="C1935">
        <v>2025</v>
      </c>
      <c r="D1935" t="s">
        <v>33</v>
      </c>
      <c r="E1935" s="3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27</v>
      </c>
      <c r="N1935">
        <v>7</v>
      </c>
      <c r="O1935" t="s">
        <v>35</v>
      </c>
      <c r="P1935">
        <v>37.1</v>
      </c>
      <c r="Q1935">
        <v>2168</v>
      </c>
      <c r="R1935">
        <v>4</v>
      </c>
      <c r="S1935">
        <v>1</v>
      </c>
      <c r="T1935" t="s">
        <v>45</v>
      </c>
      <c r="U1935" t="s">
        <v>33</v>
      </c>
      <c r="V1935" s="3">
        <v>55676</v>
      </c>
      <c r="W1935">
        <v>3</v>
      </c>
      <c r="X1935">
        <v>5</v>
      </c>
      <c r="Y1935" s="1">
        <f>EV_Data4[[#This Row],[range_miles]]/EV_Data4[[#This Row],[battery_capacity_kwh]]</f>
        <v>3.3922829581993565</v>
      </c>
      <c r="Z1935" s="4">
        <f>EV_Data4[[#This Row],[price_usd]]/EV_Data4[[#This Row],[range_miles]]</f>
        <v>422.75146919431279</v>
      </c>
      <c r="AA1935" s="2">
        <f>(EV_Data4[[#This Row],[customer_rating]]*EV_Data4[[#This Row],[safety_rating]]*1000)/EV_Data4[[#This Row],[price_usd]]</f>
        <v>0.13452830340975439</v>
      </c>
      <c r="AB1935">
        <f>EV_Data4[[#This Row],[horsepower]]+EV_Data4[[#This Row],[torque_nm]]/EV_Data4[[#This Row],[acceleration_0_60_mph]]</f>
        <v>1131.9054652880354</v>
      </c>
      <c r="AC1935" t="str">
        <f>IF(EV_Data4[[#This Row],[price_usd]]&gt;=80000,"Luxury",IF(EV_Data4[[#This Row],[price_usd]]&gt;=40000,"Mid-Range","Budget"))</f>
        <v>Luxury</v>
      </c>
      <c r="AD1935" t="str">
        <f>IF(EV_Data4[[#This Row],[range_miles]]&gt;=350,"Long-Range",IF(EV_Data4[[#This Row],[range_miles]]&gt;=250,"Medium-Range","Short-Range"))</f>
        <v>Short-Range</v>
      </c>
      <c r="AE1935" t="str">
        <f>IF(EV_Data4[[#This Row],[charging_speed_kw]]&gt;=250,"Ultra-Fast",IF(EV_Data4[[#This Row],[charging_speed_kw]]&gt;=150,"Fast-Charging","Standard-Charging"))</f>
        <v>Standard-Charging</v>
      </c>
      <c r="AF1935" t="str">
        <f>IF(EV_Data4[[#This Row],[acceleration_0_60_mph]]&lt;=3,"SportsPerformance",IF(EV_Data4[[#This Row],[acceleration_0_60_mph]]&lt;=5,"HighPerformance","Standard"))</f>
        <v>Standard</v>
      </c>
      <c r="AG1935" t="str">
        <f>IF(EV_Data4[[#This Row],[customer_rating]]&gt;=4.5,"Excellent",IF(EV_Data4[[#This Row],[customer_rating]]&gt;=3.5,"Good","Average"))</f>
        <v>Average</v>
      </c>
      <c r="AH193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36" spans="1:34" x14ac:dyDescent="0.3">
      <c r="A1936" t="s">
        <v>83</v>
      </c>
      <c r="B1936" t="s">
        <v>104</v>
      </c>
      <c r="C1936">
        <v>2025</v>
      </c>
      <c r="D1936" t="s">
        <v>44</v>
      </c>
      <c r="E1936" s="3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48</v>
      </c>
      <c r="N1936">
        <v>7</v>
      </c>
      <c r="O1936" t="s">
        <v>40</v>
      </c>
      <c r="P1936">
        <v>73.3</v>
      </c>
      <c r="Q1936">
        <v>1852</v>
      </c>
      <c r="R1936">
        <v>4</v>
      </c>
      <c r="S1936">
        <v>1</v>
      </c>
      <c r="T1936" t="s">
        <v>29</v>
      </c>
      <c r="U1936" t="s">
        <v>30</v>
      </c>
      <c r="V1936" s="3">
        <v>53580</v>
      </c>
      <c r="W1936">
        <v>3.85</v>
      </c>
      <c r="X1936">
        <v>8</v>
      </c>
      <c r="Y1936" s="1">
        <f>EV_Data4[[#This Row],[range_miles]]/EV_Data4[[#This Row],[battery_capacity_kwh]]</f>
        <v>3.4939759036144582</v>
      </c>
      <c r="Z1936" s="4">
        <f>EV_Data4[[#This Row],[price_usd]]/EV_Data4[[#This Row],[range_miles]]</f>
        <v>383.38238505747131</v>
      </c>
      <c r="AA1936" s="2">
        <f>(EV_Data4[[#This Row],[customer_rating]]*EV_Data4[[#This Row],[safety_rating]]*1000)/EV_Data4[[#This Row],[price_usd]]</f>
        <v>0.11542750863888705</v>
      </c>
      <c r="AB1936">
        <f>EV_Data4[[#This Row],[horsepower]]+EV_Data4[[#This Row],[torque_nm]]/EV_Data4[[#This Row],[acceleration_0_60_mph]]</f>
        <v>1186.9565217391305</v>
      </c>
      <c r="AC1936" t="str">
        <f>IF(EV_Data4[[#This Row],[price_usd]]&gt;=80000,"Luxury",IF(EV_Data4[[#This Row],[price_usd]]&gt;=40000,"Mid-Range","Budget"))</f>
        <v>Luxury</v>
      </c>
      <c r="AD1936" t="str">
        <f>IF(EV_Data4[[#This Row],[range_miles]]&gt;=350,"Long-Range",IF(EV_Data4[[#This Row],[range_miles]]&gt;=250,"Medium-Range","Short-Range"))</f>
        <v>Medium-Range</v>
      </c>
      <c r="AE1936" t="str">
        <f>IF(EV_Data4[[#This Row],[charging_speed_kw]]&gt;=250,"Ultra-Fast",IF(EV_Data4[[#This Row],[charging_speed_kw]]&gt;=150,"Fast-Charging","Standard-Charging"))</f>
        <v>Standard-Charging</v>
      </c>
      <c r="AF1936" t="str">
        <f>IF(EV_Data4[[#This Row],[acceleration_0_60_mph]]&lt;=3,"SportsPerformance",IF(EV_Data4[[#This Row],[acceleration_0_60_mph]]&lt;=5,"HighPerformance","Standard"))</f>
        <v>Standard</v>
      </c>
      <c r="AG1936" t="str">
        <f>IF(EV_Data4[[#This Row],[customer_rating]]&gt;=4.5,"Excellent",IF(EV_Data4[[#This Row],[customer_rating]]&gt;=3.5,"Good","Average"))</f>
        <v>Good</v>
      </c>
      <c r="AH193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37" spans="1:34" x14ac:dyDescent="0.3">
      <c r="A1937" t="s">
        <v>76</v>
      </c>
      <c r="B1937" t="s">
        <v>98</v>
      </c>
      <c r="C1937">
        <v>2025</v>
      </c>
      <c r="D1937" t="s">
        <v>26</v>
      </c>
      <c r="E1937" s="3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48</v>
      </c>
      <c r="N1937">
        <v>5</v>
      </c>
      <c r="O1937" t="s">
        <v>58</v>
      </c>
      <c r="P1937">
        <v>32.299999999999997</v>
      </c>
      <c r="Q1937">
        <v>1500</v>
      </c>
      <c r="R1937">
        <v>4</v>
      </c>
      <c r="S1937">
        <v>0</v>
      </c>
      <c r="T1937" t="s">
        <v>41</v>
      </c>
      <c r="U1937" t="s">
        <v>37</v>
      </c>
      <c r="V1937" s="3">
        <v>37708</v>
      </c>
      <c r="W1937">
        <v>3.81</v>
      </c>
      <c r="X1937">
        <v>4</v>
      </c>
      <c r="Y1937" s="1">
        <f>EV_Data4[[#This Row],[range_miles]]/EV_Data4[[#This Row],[battery_capacity_kwh]]</f>
        <v>3.425925925925926</v>
      </c>
      <c r="Z1937" s="4">
        <f>EV_Data4[[#This Row],[price_usd]]/EV_Data4[[#This Row],[range_miles]]</f>
        <v>171.59664864864865</v>
      </c>
      <c r="AA1937" s="2">
        <f>(EV_Data4[[#This Row],[customer_rating]]*EV_Data4[[#This Row],[safety_rating]]*1000)/EV_Data4[[#This Row],[price_usd]]</f>
        <v>0.24003492791707012</v>
      </c>
      <c r="AB1937">
        <f>EV_Data4[[#This Row],[horsepower]]+EV_Data4[[#This Row],[torque_nm]]/EV_Data4[[#This Row],[acceleration_0_60_mph]]</f>
        <v>894.01058201058208</v>
      </c>
      <c r="AC1937" t="str">
        <f>IF(EV_Data4[[#This Row],[price_usd]]&gt;=80000,"Luxury",IF(EV_Data4[[#This Row],[price_usd]]&gt;=40000,"Mid-Range","Budget"))</f>
        <v>Mid-Range</v>
      </c>
      <c r="AD1937" t="str">
        <f>IF(EV_Data4[[#This Row],[range_miles]]&gt;=350,"Long-Range",IF(EV_Data4[[#This Row],[range_miles]]&gt;=250,"Medium-Range","Short-Range"))</f>
        <v>Long-Range</v>
      </c>
      <c r="AE1937" t="str">
        <f>IF(EV_Data4[[#This Row],[charging_speed_kw]]&gt;=250,"Ultra-Fast",IF(EV_Data4[[#This Row],[charging_speed_kw]]&gt;=150,"Fast-Charging","Standard-Charging"))</f>
        <v>Fast-Charging</v>
      </c>
      <c r="AF1937" t="str">
        <f>IF(EV_Data4[[#This Row],[acceleration_0_60_mph]]&lt;=3,"SportsPerformance",IF(EV_Data4[[#This Row],[acceleration_0_60_mph]]&lt;=5,"HighPerformance","Standard"))</f>
        <v>HighPerformance</v>
      </c>
      <c r="AG1937" t="str">
        <f>IF(EV_Data4[[#This Row],[customer_rating]]&gt;=4.5,"Excellent",IF(EV_Data4[[#This Row],[customer_rating]]&gt;=3.5,"Good","Average"))</f>
        <v>Good</v>
      </c>
      <c r="AH193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38" spans="1:34" x14ac:dyDescent="0.3">
      <c r="A1938" t="s">
        <v>63</v>
      </c>
      <c r="B1938" t="s">
        <v>82</v>
      </c>
      <c r="C1938">
        <v>2025</v>
      </c>
      <c r="D1938" t="s">
        <v>33</v>
      </c>
      <c r="E1938" s="3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48</v>
      </c>
      <c r="N1938">
        <v>7</v>
      </c>
      <c r="O1938" t="s">
        <v>50</v>
      </c>
      <c r="P1938">
        <v>29.5</v>
      </c>
      <c r="Q1938">
        <v>1641</v>
      </c>
      <c r="R1938">
        <v>4</v>
      </c>
      <c r="S1938">
        <v>0</v>
      </c>
      <c r="T1938" t="s">
        <v>65</v>
      </c>
      <c r="U1938" t="s">
        <v>30</v>
      </c>
      <c r="V1938" s="3">
        <v>180168</v>
      </c>
      <c r="W1938">
        <v>3.53</v>
      </c>
      <c r="X1938">
        <v>4</v>
      </c>
      <c r="Y1938" s="1">
        <f>EV_Data4[[#This Row],[range_miles]]/EV_Data4[[#This Row],[battery_capacity_kwh]]</f>
        <v>3.3547351524879616</v>
      </c>
      <c r="Z1938" s="4">
        <f>EV_Data4[[#This Row],[price_usd]]/EV_Data4[[#This Row],[range_miles]]</f>
        <v>523.9023444976076</v>
      </c>
      <c r="AA1938" s="2">
        <f>(EV_Data4[[#This Row],[customer_rating]]*EV_Data4[[#This Row],[safety_rating]]*1000)/EV_Data4[[#This Row],[price_usd]]</f>
        <v>0.12895496521823391</v>
      </c>
      <c r="AB1938">
        <f>EV_Data4[[#This Row],[horsepower]]+EV_Data4[[#This Row],[torque_nm]]/EV_Data4[[#This Row],[acceleration_0_60_mph]]</f>
        <v>1133.0396475770926</v>
      </c>
      <c r="AC1938" t="str">
        <f>IF(EV_Data4[[#This Row],[price_usd]]&gt;=80000,"Luxury",IF(EV_Data4[[#This Row],[price_usd]]&gt;=40000,"Mid-Range","Budget"))</f>
        <v>Luxury</v>
      </c>
      <c r="AD1938" t="str">
        <f>IF(EV_Data4[[#This Row],[range_miles]]&gt;=350,"Long-Range",IF(EV_Data4[[#This Row],[range_miles]]&gt;=250,"Medium-Range","Short-Range"))</f>
        <v>Short-Range</v>
      </c>
      <c r="AE1938" t="str">
        <f>IF(EV_Data4[[#This Row],[charging_speed_kw]]&gt;=250,"Ultra-Fast",IF(EV_Data4[[#This Row],[charging_speed_kw]]&gt;=150,"Fast-Charging","Standard-Charging"))</f>
        <v>Standard-Charging</v>
      </c>
      <c r="AF1938" t="str">
        <f>IF(EV_Data4[[#This Row],[acceleration_0_60_mph]]&lt;=3,"SportsPerformance",IF(EV_Data4[[#This Row],[acceleration_0_60_mph]]&lt;=5,"HighPerformance","Standard"))</f>
        <v>Standard</v>
      </c>
      <c r="AG1938" t="str">
        <f>IF(EV_Data4[[#This Row],[customer_rating]]&gt;=4.5,"Excellent",IF(EV_Data4[[#This Row],[customer_rating]]&gt;=3.5,"Good","Average"))</f>
        <v>Good</v>
      </c>
      <c r="AH193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39" spans="1:34" x14ac:dyDescent="0.3">
      <c r="A1939" t="s">
        <v>52</v>
      </c>
      <c r="B1939" t="s">
        <v>126</v>
      </c>
      <c r="C1939">
        <v>2023</v>
      </c>
      <c r="D1939" t="s">
        <v>61</v>
      </c>
      <c r="E1939" s="3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48</v>
      </c>
      <c r="N1939">
        <v>7</v>
      </c>
      <c r="O1939" t="s">
        <v>40</v>
      </c>
      <c r="P1939">
        <v>76.5</v>
      </c>
      <c r="Q1939">
        <v>1500</v>
      </c>
      <c r="R1939">
        <v>4</v>
      </c>
      <c r="S1939">
        <v>1</v>
      </c>
      <c r="T1939" t="s">
        <v>29</v>
      </c>
      <c r="U1939" t="s">
        <v>30</v>
      </c>
      <c r="V1939" s="3">
        <v>38676</v>
      </c>
      <c r="W1939">
        <v>3.75</v>
      </c>
      <c r="X1939">
        <v>6</v>
      </c>
      <c r="Y1939" s="1">
        <f>EV_Data4[[#This Row],[range_miles]]/EV_Data4[[#This Row],[battery_capacity_kwh]]</f>
        <v>3.4962962962962965</v>
      </c>
      <c r="Z1939" s="4">
        <f>EV_Data4[[#This Row],[price_usd]]/EV_Data4[[#This Row],[range_miles]]</f>
        <v>475.32855932203387</v>
      </c>
      <c r="AA1939" s="2">
        <f>(EV_Data4[[#This Row],[customer_rating]]*EV_Data4[[#This Row],[safety_rating]]*1000)/EV_Data4[[#This Row],[price_usd]]</f>
        <v>0.13371660672894059</v>
      </c>
      <c r="AB1939">
        <f>EV_Data4[[#This Row],[horsepower]]+EV_Data4[[#This Row],[torque_nm]]/EV_Data4[[#This Row],[acceleration_0_60_mph]]</f>
        <v>662.59390862944167</v>
      </c>
      <c r="AC1939" t="str">
        <f>IF(EV_Data4[[#This Row],[price_usd]]&gt;=80000,"Luxury",IF(EV_Data4[[#This Row],[price_usd]]&gt;=40000,"Mid-Range","Budget"))</f>
        <v>Luxury</v>
      </c>
      <c r="AD1939" t="str">
        <f>IF(EV_Data4[[#This Row],[range_miles]]&gt;=350,"Long-Range",IF(EV_Data4[[#This Row],[range_miles]]&gt;=250,"Medium-Range","Short-Range"))</f>
        <v>Short-Range</v>
      </c>
      <c r="AE1939" t="str">
        <f>IF(EV_Data4[[#This Row],[charging_speed_kw]]&gt;=250,"Ultra-Fast",IF(EV_Data4[[#This Row],[charging_speed_kw]]&gt;=150,"Fast-Charging","Standard-Charging"))</f>
        <v>Standard-Charging</v>
      </c>
      <c r="AF1939" t="str">
        <f>IF(EV_Data4[[#This Row],[acceleration_0_60_mph]]&lt;=3,"SportsPerformance",IF(EV_Data4[[#This Row],[acceleration_0_60_mph]]&lt;=5,"HighPerformance","Standard"))</f>
        <v>Standard</v>
      </c>
      <c r="AG1939" t="str">
        <f>IF(EV_Data4[[#This Row],[customer_rating]]&gt;=4.5,"Excellent",IF(EV_Data4[[#This Row],[customer_rating]]&gt;=3.5,"Good","Average"))</f>
        <v>Good</v>
      </c>
      <c r="AH193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40" spans="1:34" x14ac:dyDescent="0.3">
      <c r="A1940" t="s">
        <v>68</v>
      </c>
      <c r="B1940" t="s">
        <v>79</v>
      </c>
      <c r="C1940">
        <v>2022</v>
      </c>
      <c r="D1940" t="s">
        <v>33</v>
      </c>
      <c r="E1940" s="3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27</v>
      </c>
      <c r="N1940">
        <v>5</v>
      </c>
      <c r="O1940" t="s">
        <v>28</v>
      </c>
      <c r="P1940">
        <v>75.2</v>
      </c>
      <c r="Q1940">
        <v>2462</v>
      </c>
      <c r="R1940">
        <v>4</v>
      </c>
      <c r="S1940">
        <v>1</v>
      </c>
      <c r="T1940" t="s">
        <v>45</v>
      </c>
      <c r="U1940" t="s">
        <v>37</v>
      </c>
      <c r="V1940" s="3">
        <v>103603</v>
      </c>
      <c r="W1940">
        <v>3.49</v>
      </c>
      <c r="X1940">
        <v>4</v>
      </c>
      <c r="Y1940" s="1">
        <f>EV_Data4[[#This Row],[range_miles]]/EV_Data4[[#This Row],[battery_capacity_kwh]]</f>
        <v>3.2527881040892197</v>
      </c>
      <c r="Z1940" s="4">
        <f>EV_Data4[[#This Row],[price_usd]]/EV_Data4[[#This Row],[range_miles]]</f>
        <v>260.50291428571433</v>
      </c>
      <c r="AA1940" s="2">
        <f>(EV_Data4[[#This Row],[customer_rating]]*EV_Data4[[#This Row],[safety_rating]]*1000)/EV_Data4[[#This Row],[price_usd]]</f>
        <v>0.30622086816248395</v>
      </c>
      <c r="AB1940">
        <f>EV_Data4[[#This Row],[horsepower]]+EV_Data4[[#This Row],[torque_nm]]/EV_Data4[[#This Row],[acceleration_0_60_mph]]</f>
        <v>519.4729493891798</v>
      </c>
      <c r="AC1940" t="str">
        <f>IF(EV_Data4[[#This Row],[price_usd]]&gt;=80000,"Luxury",IF(EV_Data4[[#This Row],[price_usd]]&gt;=40000,"Mid-Range","Budget"))</f>
        <v>Mid-Range</v>
      </c>
      <c r="AD1940" t="str">
        <f>IF(EV_Data4[[#This Row],[range_miles]]&gt;=350,"Long-Range",IF(EV_Data4[[#This Row],[range_miles]]&gt;=250,"Medium-Range","Short-Range"))</f>
        <v>Short-Range</v>
      </c>
      <c r="AE1940" t="str">
        <f>IF(EV_Data4[[#This Row],[charging_speed_kw]]&gt;=250,"Ultra-Fast",IF(EV_Data4[[#This Row],[charging_speed_kw]]&gt;=150,"Fast-Charging","Standard-Charging"))</f>
        <v>Standard-Charging</v>
      </c>
      <c r="AF1940" t="str">
        <f>IF(EV_Data4[[#This Row],[acceleration_0_60_mph]]&lt;=3,"SportsPerformance",IF(EV_Data4[[#This Row],[acceleration_0_60_mph]]&lt;=5,"HighPerformance","Standard"))</f>
        <v>Standard</v>
      </c>
      <c r="AG1940" t="str">
        <f>IF(EV_Data4[[#This Row],[customer_rating]]&gt;=4.5,"Excellent",IF(EV_Data4[[#This Row],[customer_rating]]&gt;=3.5,"Good","Average"))</f>
        <v>Average</v>
      </c>
      <c r="AH194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41" spans="1:34" x14ac:dyDescent="0.3">
      <c r="A1941" t="s">
        <v>46</v>
      </c>
      <c r="B1941" t="s">
        <v>49</v>
      </c>
      <c r="C1941">
        <v>2022</v>
      </c>
      <c r="D1941" t="s">
        <v>44</v>
      </c>
      <c r="E1941" s="3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34</v>
      </c>
      <c r="N1941">
        <v>5</v>
      </c>
      <c r="O1941" t="s">
        <v>28</v>
      </c>
      <c r="P1941">
        <v>51.9</v>
      </c>
      <c r="Q1941">
        <v>2482</v>
      </c>
      <c r="R1941">
        <v>3</v>
      </c>
      <c r="S1941">
        <v>2</v>
      </c>
      <c r="T1941" t="s">
        <v>41</v>
      </c>
      <c r="U1941" t="s">
        <v>33</v>
      </c>
      <c r="V1941" s="3">
        <v>488350</v>
      </c>
      <c r="W1941">
        <v>4</v>
      </c>
      <c r="X1941">
        <v>4</v>
      </c>
      <c r="Y1941" s="1">
        <f>EV_Data4[[#This Row],[range_miles]]/EV_Data4[[#This Row],[battery_capacity_kwh]]</f>
        <v>3.513227513227513</v>
      </c>
      <c r="Z1941" s="4">
        <f>EV_Data4[[#This Row],[price_usd]]/EV_Data4[[#This Row],[range_miles]]</f>
        <v>240.29027108433735</v>
      </c>
      <c r="AA1941" s="2">
        <f>(EV_Data4[[#This Row],[customer_rating]]*EV_Data4[[#This Row],[safety_rating]]*1000)/EV_Data4[[#This Row],[price_usd]]</f>
        <v>0.15042048165390329</v>
      </c>
      <c r="AB1941">
        <f>EV_Data4[[#This Row],[horsepower]]+EV_Data4[[#This Row],[torque_nm]]/EV_Data4[[#This Row],[acceleration_0_60_mph]]</f>
        <v>680.7552447552448</v>
      </c>
      <c r="AC1941" t="str">
        <f>IF(EV_Data4[[#This Row],[price_usd]]&gt;=80000,"Luxury",IF(EV_Data4[[#This Row],[price_usd]]&gt;=40000,"Mid-Range","Budget"))</f>
        <v>Mid-Range</v>
      </c>
      <c r="AD1941" t="str">
        <f>IF(EV_Data4[[#This Row],[range_miles]]&gt;=350,"Long-Range",IF(EV_Data4[[#This Row],[range_miles]]&gt;=250,"Medium-Range","Short-Range"))</f>
        <v>Medium-Range</v>
      </c>
      <c r="AE1941" t="str">
        <f>IF(EV_Data4[[#This Row],[charging_speed_kw]]&gt;=250,"Ultra-Fast",IF(EV_Data4[[#This Row],[charging_speed_kw]]&gt;=150,"Fast-Charging","Standard-Charging"))</f>
        <v>Ultra-Fast</v>
      </c>
      <c r="AF1941" t="str">
        <f>IF(EV_Data4[[#This Row],[acceleration_0_60_mph]]&lt;=3,"SportsPerformance",IF(EV_Data4[[#This Row],[acceleration_0_60_mph]]&lt;=5,"HighPerformance","Standard"))</f>
        <v>Standard</v>
      </c>
      <c r="AG1941" t="str">
        <f>IF(EV_Data4[[#This Row],[customer_rating]]&gt;=4.5,"Excellent",IF(EV_Data4[[#This Row],[customer_rating]]&gt;=3.5,"Good","Average"))</f>
        <v>Good</v>
      </c>
      <c r="AH194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42" spans="1:34" x14ac:dyDescent="0.3">
      <c r="A1942" t="s">
        <v>46</v>
      </c>
      <c r="B1942" t="s">
        <v>78</v>
      </c>
      <c r="C1942">
        <v>2024</v>
      </c>
      <c r="D1942" t="s">
        <v>26</v>
      </c>
      <c r="E1942" s="3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27</v>
      </c>
      <c r="N1942">
        <v>5</v>
      </c>
      <c r="O1942" t="s">
        <v>58</v>
      </c>
      <c r="P1942">
        <v>29.3</v>
      </c>
      <c r="Q1942">
        <v>1500</v>
      </c>
      <c r="R1942">
        <v>4</v>
      </c>
      <c r="S1942">
        <v>2</v>
      </c>
      <c r="T1942" t="s">
        <v>41</v>
      </c>
      <c r="U1942" t="s">
        <v>30</v>
      </c>
      <c r="V1942" s="3">
        <v>187901</v>
      </c>
      <c r="W1942">
        <v>4.2300000000000004</v>
      </c>
      <c r="X1942">
        <v>5</v>
      </c>
      <c r="Y1942" s="1">
        <f>EV_Data4[[#This Row],[range_miles]]/EV_Data4[[#This Row],[battery_capacity_kwh]]</f>
        <v>3.4995112414467253</v>
      </c>
      <c r="Z1942" s="4">
        <f>EV_Data4[[#This Row],[price_usd]]/EV_Data4[[#This Row],[range_miles]]</f>
        <v>387.93053072625702</v>
      </c>
      <c r="AA1942" s="2">
        <f>(EV_Data4[[#This Row],[customer_rating]]*EV_Data4[[#This Row],[safety_rating]]*1000)/EV_Data4[[#This Row],[price_usd]]</f>
        <v>0.12183256044302697</v>
      </c>
      <c r="AB1942">
        <f>EV_Data4[[#This Row],[horsepower]]+EV_Data4[[#This Row],[torque_nm]]/EV_Data4[[#This Row],[acceleration_0_60_mph]]</f>
        <v>1249.0304709141274</v>
      </c>
      <c r="AC1942" t="str">
        <f>IF(EV_Data4[[#This Row],[price_usd]]&gt;=80000,"Luxury",IF(EV_Data4[[#This Row],[price_usd]]&gt;=40000,"Mid-Range","Budget"))</f>
        <v>Luxury</v>
      </c>
      <c r="AD1942" t="str">
        <f>IF(EV_Data4[[#This Row],[range_miles]]&gt;=350,"Long-Range",IF(EV_Data4[[#This Row],[range_miles]]&gt;=250,"Medium-Range","Short-Range"))</f>
        <v>Long-Range</v>
      </c>
      <c r="AE1942" t="str">
        <f>IF(EV_Data4[[#This Row],[charging_speed_kw]]&gt;=250,"Ultra-Fast",IF(EV_Data4[[#This Row],[charging_speed_kw]]&gt;=150,"Fast-Charging","Standard-Charging"))</f>
        <v>Ultra-Fast</v>
      </c>
      <c r="AF1942" t="str">
        <f>IF(EV_Data4[[#This Row],[acceleration_0_60_mph]]&lt;=3,"SportsPerformance",IF(EV_Data4[[#This Row],[acceleration_0_60_mph]]&lt;=5,"HighPerformance","Standard"))</f>
        <v>HighPerformance</v>
      </c>
      <c r="AG1942" t="str">
        <f>IF(EV_Data4[[#This Row],[customer_rating]]&gt;=4.5,"Excellent",IF(EV_Data4[[#This Row],[customer_rating]]&gt;=3.5,"Good","Average"))</f>
        <v>Good</v>
      </c>
      <c r="AH194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43" spans="1:34" x14ac:dyDescent="0.3">
      <c r="A1943" t="s">
        <v>63</v>
      </c>
      <c r="B1943" t="s">
        <v>107</v>
      </c>
      <c r="C1943">
        <v>2021</v>
      </c>
      <c r="D1943" t="s">
        <v>33</v>
      </c>
      <c r="E1943" s="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27</v>
      </c>
      <c r="N1943">
        <v>5</v>
      </c>
      <c r="O1943" t="s">
        <v>58</v>
      </c>
      <c r="P1943">
        <v>25.7</v>
      </c>
      <c r="Q1943">
        <v>1856</v>
      </c>
      <c r="R1943">
        <v>4</v>
      </c>
      <c r="S1943">
        <v>0</v>
      </c>
      <c r="T1943" t="s">
        <v>65</v>
      </c>
      <c r="U1943" t="s">
        <v>33</v>
      </c>
      <c r="V1943" s="3">
        <v>235914</v>
      </c>
      <c r="W1943">
        <v>3.5</v>
      </c>
      <c r="X1943">
        <v>4</v>
      </c>
      <c r="Y1943" s="1">
        <f>EV_Data4[[#This Row],[range_miles]]/EV_Data4[[#This Row],[battery_capacity_kwh]]</f>
        <v>3.5479632063074904</v>
      </c>
      <c r="Z1943" s="4">
        <f>EV_Data4[[#This Row],[price_usd]]/EV_Data4[[#This Row],[range_miles]]</f>
        <v>290.05174074074074</v>
      </c>
      <c r="AA1943" s="2">
        <f>(EV_Data4[[#This Row],[customer_rating]]*EV_Data4[[#This Row],[safety_rating]]*1000)/EV_Data4[[#This Row],[price_usd]]</f>
        <v>0.17876759408315016</v>
      </c>
      <c r="AB1943">
        <f>EV_Data4[[#This Row],[horsepower]]+EV_Data4[[#This Row],[torque_nm]]/EV_Data4[[#This Row],[acceleration_0_60_mph]]</f>
        <v>1074.8421052631579</v>
      </c>
      <c r="AC1943" t="str">
        <f>IF(EV_Data4[[#This Row],[price_usd]]&gt;=80000,"Luxury",IF(EV_Data4[[#This Row],[price_usd]]&gt;=40000,"Mid-Range","Budget"))</f>
        <v>Mid-Range</v>
      </c>
      <c r="AD1943" t="str">
        <f>IF(EV_Data4[[#This Row],[range_miles]]&gt;=350,"Long-Range",IF(EV_Data4[[#This Row],[range_miles]]&gt;=250,"Medium-Range","Short-Range"))</f>
        <v>Medium-Range</v>
      </c>
      <c r="AE1943" t="str">
        <f>IF(EV_Data4[[#This Row],[charging_speed_kw]]&gt;=250,"Ultra-Fast",IF(EV_Data4[[#This Row],[charging_speed_kw]]&gt;=150,"Fast-Charging","Standard-Charging"))</f>
        <v>Standard-Charging</v>
      </c>
      <c r="AF1943" t="str">
        <f>IF(EV_Data4[[#This Row],[acceleration_0_60_mph]]&lt;=3,"SportsPerformance",IF(EV_Data4[[#This Row],[acceleration_0_60_mph]]&lt;=5,"HighPerformance","Standard"))</f>
        <v>Standard</v>
      </c>
      <c r="AG1943" t="str">
        <f>IF(EV_Data4[[#This Row],[customer_rating]]&gt;=4.5,"Excellent",IF(EV_Data4[[#This Row],[customer_rating]]&gt;=3.5,"Good","Average"))</f>
        <v>Good</v>
      </c>
      <c r="AH194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44" spans="1:34" x14ac:dyDescent="0.3">
      <c r="A1944" t="s">
        <v>76</v>
      </c>
      <c r="B1944" t="s">
        <v>81</v>
      </c>
      <c r="C1944">
        <v>2024</v>
      </c>
      <c r="D1944" t="s">
        <v>61</v>
      </c>
      <c r="E1944" s="3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27</v>
      </c>
      <c r="N1944">
        <v>5</v>
      </c>
      <c r="O1944" t="s">
        <v>40</v>
      </c>
      <c r="P1944">
        <v>70</v>
      </c>
      <c r="Q1944">
        <v>1521</v>
      </c>
      <c r="R1944">
        <v>5</v>
      </c>
      <c r="S1944">
        <v>0</v>
      </c>
      <c r="T1944" t="s">
        <v>41</v>
      </c>
      <c r="U1944" t="s">
        <v>33</v>
      </c>
      <c r="V1944" s="3">
        <v>70445</v>
      </c>
      <c r="W1944">
        <v>3.48</v>
      </c>
      <c r="X1944">
        <v>3</v>
      </c>
      <c r="Y1944" s="1">
        <f>EV_Data4[[#This Row],[range_miles]]/EV_Data4[[#This Row],[battery_capacity_kwh]]</f>
        <v>3.5722964763061968</v>
      </c>
      <c r="Z1944" s="4">
        <f>EV_Data4[[#This Row],[price_usd]]/EV_Data4[[#This Row],[range_miles]]</f>
        <v>277.42897959183671</v>
      </c>
      <c r="AA1944" s="2">
        <f>(EV_Data4[[#This Row],[customer_rating]]*EV_Data4[[#This Row],[safety_rating]]*1000)/EV_Data4[[#This Row],[price_usd]]</f>
        <v>0.21332909617611273</v>
      </c>
      <c r="AB1944">
        <f>EV_Data4[[#This Row],[horsepower]]+EV_Data4[[#This Row],[torque_nm]]/EV_Data4[[#This Row],[acceleration_0_60_mph]]</f>
        <v>1068.0057471264367</v>
      </c>
      <c r="AC1944" t="str">
        <f>IF(EV_Data4[[#This Row],[price_usd]]&gt;=80000,"Luxury",IF(EV_Data4[[#This Row],[price_usd]]&gt;=40000,"Mid-Range","Budget"))</f>
        <v>Luxury</v>
      </c>
      <c r="AD1944" t="str">
        <f>IF(EV_Data4[[#This Row],[range_miles]]&gt;=350,"Long-Range",IF(EV_Data4[[#This Row],[range_miles]]&gt;=250,"Medium-Range","Short-Range"))</f>
        <v>Medium-Range</v>
      </c>
      <c r="AE1944" t="str">
        <f>IF(EV_Data4[[#This Row],[charging_speed_kw]]&gt;=250,"Ultra-Fast",IF(EV_Data4[[#This Row],[charging_speed_kw]]&gt;=150,"Fast-Charging","Standard-Charging"))</f>
        <v>Standard-Charging</v>
      </c>
      <c r="AF1944" t="str">
        <f>IF(EV_Data4[[#This Row],[acceleration_0_60_mph]]&lt;=3,"SportsPerformance",IF(EV_Data4[[#This Row],[acceleration_0_60_mph]]&lt;=5,"HighPerformance","Standard"))</f>
        <v>Standard</v>
      </c>
      <c r="AG1944" t="str">
        <f>IF(EV_Data4[[#This Row],[customer_rating]]&gt;=4.5,"Excellent",IF(EV_Data4[[#This Row],[customer_rating]]&gt;=3.5,"Good","Average"))</f>
        <v>Average</v>
      </c>
      <c r="AH194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45" spans="1:34" x14ac:dyDescent="0.3">
      <c r="A1945" t="s">
        <v>38</v>
      </c>
      <c r="B1945" t="s">
        <v>118</v>
      </c>
      <c r="C1945">
        <v>2025</v>
      </c>
      <c r="D1945" t="s">
        <v>56</v>
      </c>
      <c r="E1945" s="3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48</v>
      </c>
      <c r="N1945">
        <v>7</v>
      </c>
      <c r="O1945" t="s">
        <v>50</v>
      </c>
      <c r="P1945">
        <v>22.9</v>
      </c>
      <c r="Q1945">
        <v>1500</v>
      </c>
      <c r="R1945">
        <v>5</v>
      </c>
      <c r="S1945">
        <v>0</v>
      </c>
      <c r="T1945" t="s">
        <v>41</v>
      </c>
      <c r="U1945" t="s">
        <v>37</v>
      </c>
      <c r="V1945" s="3">
        <v>4921</v>
      </c>
      <c r="W1945">
        <v>3.66</v>
      </c>
      <c r="X1945">
        <v>4</v>
      </c>
      <c r="Y1945" s="1">
        <f>EV_Data4[[#This Row],[range_miles]]/EV_Data4[[#This Row],[battery_capacity_kwh]]</f>
        <v>3.831521739130435</v>
      </c>
      <c r="Z1945" s="4">
        <f>EV_Data4[[#This Row],[price_usd]]/EV_Data4[[#This Row],[range_miles]]</f>
        <v>222.75886524822695</v>
      </c>
      <c r="AA1945" s="2">
        <f>(EV_Data4[[#This Row],[customer_rating]]*EV_Data4[[#This Row],[safety_rating]]*1000)/EV_Data4[[#This Row],[price_usd]]</f>
        <v>0.29131777515998597</v>
      </c>
      <c r="AB1945">
        <f>EV_Data4[[#This Row],[horsepower]]+EV_Data4[[#This Row],[torque_nm]]/EV_Data4[[#This Row],[acceleration_0_60_mph]]</f>
        <v>931.85185185185185</v>
      </c>
      <c r="AC1945" t="str">
        <f>IF(EV_Data4[[#This Row],[price_usd]]&gt;=80000,"Luxury",IF(EV_Data4[[#This Row],[price_usd]]&gt;=40000,"Mid-Range","Budget"))</f>
        <v>Mid-Range</v>
      </c>
      <c r="AD1945" t="str">
        <f>IF(EV_Data4[[#This Row],[range_miles]]&gt;=350,"Long-Range",IF(EV_Data4[[#This Row],[range_miles]]&gt;=250,"Medium-Range","Short-Range"))</f>
        <v>Medium-Range</v>
      </c>
      <c r="AE1945" t="str">
        <f>IF(EV_Data4[[#This Row],[charging_speed_kw]]&gt;=250,"Ultra-Fast",IF(EV_Data4[[#This Row],[charging_speed_kw]]&gt;=150,"Fast-Charging","Standard-Charging"))</f>
        <v>Standard-Charging</v>
      </c>
      <c r="AF1945" t="str">
        <f>IF(EV_Data4[[#This Row],[acceleration_0_60_mph]]&lt;=3,"SportsPerformance",IF(EV_Data4[[#This Row],[acceleration_0_60_mph]]&lt;=5,"HighPerformance","Standard"))</f>
        <v>Standard</v>
      </c>
      <c r="AG1945" t="str">
        <f>IF(EV_Data4[[#This Row],[customer_rating]]&gt;=4.5,"Excellent",IF(EV_Data4[[#This Row],[customer_rating]]&gt;=3.5,"Good","Average"))</f>
        <v>Good</v>
      </c>
      <c r="AH194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46" spans="1:34" x14ac:dyDescent="0.3">
      <c r="A1946" t="s">
        <v>76</v>
      </c>
      <c r="B1946" t="s">
        <v>98</v>
      </c>
      <c r="C1946">
        <v>2026</v>
      </c>
      <c r="D1946" t="s">
        <v>33</v>
      </c>
      <c r="E1946" s="3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48</v>
      </c>
      <c r="N1946">
        <v>5</v>
      </c>
      <c r="O1946" t="s">
        <v>58</v>
      </c>
      <c r="P1946">
        <v>24.7</v>
      </c>
      <c r="Q1946">
        <v>1528</v>
      </c>
      <c r="R1946">
        <v>5</v>
      </c>
      <c r="S1946">
        <v>0</v>
      </c>
      <c r="T1946" t="s">
        <v>41</v>
      </c>
      <c r="U1946" t="s">
        <v>33</v>
      </c>
      <c r="V1946" s="3">
        <v>21835</v>
      </c>
      <c r="W1946">
        <v>3.4</v>
      </c>
      <c r="X1946">
        <v>3</v>
      </c>
      <c r="Y1946" s="1">
        <f>EV_Data4[[#This Row],[range_miles]]/EV_Data4[[#This Row],[battery_capacity_kwh]]</f>
        <v>3.5256410256410255</v>
      </c>
      <c r="Z1946" s="4">
        <f>EV_Data4[[#This Row],[price_usd]]/EV_Data4[[#This Row],[range_miles]]</f>
        <v>453.03627272727272</v>
      </c>
      <c r="AA1946" s="2">
        <f>(EV_Data4[[#This Row],[customer_rating]]*EV_Data4[[#This Row],[safety_rating]]*1000)/EV_Data4[[#This Row],[price_usd]]</f>
        <v>0.17056631427666138</v>
      </c>
      <c r="AB1946">
        <f>EV_Data4[[#This Row],[horsepower]]+EV_Data4[[#This Row],[torque_nm]]/EV_Data4[[#This Row],[acceleration_0_60_mph]]</f>
        <v>1194.6534653465346</v>
      </c>
      <c r="AC1946" t="str">
        <f>IF(EV_Data4[[#This Row],[price_usd]]&gt;=80000,"Luxury",IF(EV_Data4[[#This Row],[price_usd]]&gt;=40000,"Mid-Range","Budget"))</f>
        <v>Luxury</v>
      </c>
      <c r="AD1946" t="str">
        <f>IF(EV_Data4[[#This Row],[range_miles]]&gt;=350,"Long-Range",IF(EV_Data4[[#This Row],[range_miles]]&gt;=250,"Medium-Range","Short-Range"))</f>
        <v>Short-Range</v>
      </c>
      <c r="AE1946" t="str">
        <f>IF(EV_Data4[[#This Row],[charging_speed_kw]]&gt;=250,"Ultra-Fast",IF(EV_Data4[[#This Row],[charging_speed_kw]]&gt;=150,"Fast-Charging","Standard-Charging"))</f>
        <v>Standard-Charging</v>
      </c>
      <c r="AF1946" t="str">
        <f>IF(EV_Data4[[#This Row],[acceleration_0_60_mph]]&lt;=3,"SportsPerformance",IF(EV_Data4[[#This Row],[acceleration_0_60_mph]]&lt;=5,"HighPerformance","Standard"))</f>
        <v>Standard</v>
      </c>
      <c r="AG1946" t="str">
        <f>IF(EV_Data4[[#This Row],[customer_rating]]&gt;=4.5,"Excellent",IF(EV_Data4[[#This Row],[customer_rating]]&gt;=3.5,"Good","Average"))</f>
        <v>Average</v>
      </c>
      <c r="AH194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47" spans="1:34" x14ac:dyDescent="0.3">
      <c r="A1947" t="s">
        <v>68</v>
      </c>
      <c r="B1947" t="s">
        <v>109</v>
      </c>
      <c r="C1947">
        <v>2023</v>
      </c>
      <c r="D1947" t="s">
        <v>61</v>
      </c>
      <c r="E1947" s="3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27</v>
      </c>
      <c r="N1947">
        <v>5</v>
      </c>
      <c r="O1947" t="s">
        <v>40</v>
      </c>
      <c r="P1947">
        <v>72.599999999999994</v>
      </c>
      <c r="Q1947">
        <v>1627</v>
      </c>
      <c r="R1947">
        <v>5</v>
      </c>
      <c r="S1947">
        <v>0</v>
      </c>
      <c r="T1947" t="s">
        <v>45</v>
      </c>
      <c r="U1947" t="s">
        <v>66</v>
      </c>
      <c r="V1947" s="3">
        <v>88310</v>
      </c>
      <c r="W1947">
        <v>3.39</v>
      </c>
      <c r="X1947">
        <v>4</v>
      </c>
      <c r="Y1947" s="1">
        <f>EV_Data4[[#This Row],[range_miles]]/EV_Data4[[#This Row],[battery_capacity_kwh]]</f>
        <v>3.3885350318471339</v>
      </c>
      <c r="Z1947" s="4">
        <f>EV_Data4[[#This Row],[price_usd]]/EV_Data4[[#This Row],[range_miles]]</f>
        <v>124.29421052631579</v>
      </c>
      <c r="AA1947" s="2">
        <f>(EV_Data4[[#This Row],[customer_rating]]*EV_Data4[[#This Row],[safety_rating]]*1000)/EV_Data4[[#This Row],[price_usd]]</f>
        <v>0.51266912788176</v>
      </c>
      <c r="AB1947">
        <f>EV_Data4[[#This Row],[horsepower]]+EV_Data4[[#This Row],[torque_nm]]/EV_Data4[[#This Row],[acceleration_0_60_mph]]</f>
        <v>293.67609254498711</v>
      </c>
      <c r="AC1947" t="str">
        <f>IF(EV_Data4[[#This Row],[price_usd]]&gt;=80000,"Luxury",IF(EV_Data4[[#This Row],[price_usd]]&gt;=40000,"Mid-Range","Budget"))</f>
        <v>Budget</v>
      </c>
      <c r="AD1947" t="str">
        <f>IF(EV_Data4[[#This Row],[range_miles]]&gt;=350,"Long-Range",IF(EV_Data4[[#This Row],[range_miles]]&gt;=250,"Medium-Range","Short-Range"))</f>
        <v>Medium-Range</v>
      </c>
      <c r="AE1947" t="str">
        <f>IF(EV_Data4[[#This Row],[charging_speed_kw]]&gt;=250,"Ultra-Fast",IF(EV_Data4[[#This Row],[charging_speed_kw]]&gt;=150,"Fast-Charging","Standard-Charging"))</f>
        <v>Standard-Charging</v>
      </c>
      <c r="AF1947" t="str">
        <f>IF(EV_Data4[[#This Row],[acceleration_0_60_mph]]&lt;=3,"SportsPerformance",IF(EV_Data4[[#This Row],[acceleration_0_60_mph]]&lt;=5,"HighPerformance","Standard"))</f>
        <v>Standard</v>
      </c>
      <c r="AG1947" t="str">
        <f>IF(EV_Data4[[#This Row],[customer_rating]]&gt;=4.5,"Excellent",IF(EV_Data4[[#This Row],[customer_rating]]&gt;=3.5,"Good","Average"))</f>
        <v>Average</v>
      </c>
      <c r="AH194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48" spans="1:34" x14ac:dyDescent="0.3">
      <c r="A1948" t="s">
        <v>24</v>
      </c>
      <c r="B1948" t="s">
        <v>85</v>
      </c>
      <c r="C1948">
        <v>2025</v>
      </c>
      <c r="D1948" t="s">
        <v>26</v>
      </c>
      <c r="E1948" s="3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48</v>
      </c>
      <c r="N1948">
        <v>5</v>
      </c>
      <c r="O1948" t="s">
        <v>28</v>
      </c>
      <c r="P1948">
        <v>54.2</v>
      </c>
      <c r="Q1948">
        <v>2545</v>
      </c>
      <c r="R1948">
        <v>5</v>
      </c>
      <c r="S1948">
        <v>2</v>
      </c>
      <c r="T1948" t="s">
        <v>29</v>
      </c>
      <c r="U1948" t="s">
        <v>37</v>
      </c>
      <c r="V1948" s="3">
        <v>268903</v>
      </c>
      <c r="W1948">
        <v>3.86</v>
      </c>
      <c r="X1948">
        <v>5</v>
      </c>
      <c r="Y1948" s="1">
        <f>EV_Data4[[#This Row],[range_miles]]/EV_Data4[[#This Row],[battery_capacity_kwh]]</f>
        <v>3.4292972057578326</v>
      </c>
      <c r="Z1948" s="4">
        <f>EV_Data4[[#This Row],[price_usd]]/EV_Data4[[#This Row],[range_miles]]</f>
        <v>115.51012345679013</v>
      </c>
      <c r="AA1948" s="2">
        <f>(EV_Data4[[#This Row],[customer_rating]]*EV_Data4[[#This Row],[safety_rating]]*1000)/EV_Data4[[#This Row],[price_usd]]</f>
        <v>0.41255536364724593</v>
      </c>
      <c r="AB1948">
        <f>EV_Data4[[#This Row],[horsepower]]+EV_Data4[[#This Row],[torque_nm]]/EV_Data4[[#This Row],[acceleration_0_60_mph]]</f>
        <v>533.42965779467681</v>
      </c>
      <c r="AC1948" t="str">
        <f>IF(EV_Data4[[#This Row],[price_usd]]&gt;=80000,"Luxury",IF(EV_Data4[[#This Row],[price_usd]]&gt;=40000,"Mid-Range","Budget"))</f>
        <v>Mid-Range</v>
      </c>
      <c r="AD1948" t="str">
        <f>IF(EV_Data4[[#This Row],[range_miles]]&gt;=350,"Long-Range",IF(EV_Data4[[#This Row],[range_miles]]&gt;=250,"Medium-Range","Short-Range"))</f>
        <v>Long-Range</v>
      </c>
      <c r="AE1948" t="str">
        <f>IF(EV_Data4[[#This Row],[charging_speed_kw]]&gt;=250,"Ultra-Fast",IF(EV_Data4[[#This Row],[charging_speed_kw]]&gt;=150,"Fast-Charging","Standard-Charging"))</f>
        <v>Fast-Charging</v>
      </c>
      <c r="AF1948" t="str">
        <f>IF(EV_Data4[[#This Row],[acceleration_0_60_mph]]&lt;=3,"SportsPerformance",IF(EV_Data4[[#This Row],[acceleration_0_60_mph]]&lt;=5,"HighPerformance","Standard"))</f>
        <v>SportsPerformance</v>
      </c>
      <c r="AG1948" t="str">
        <f>IF(EV_Data4[[#This Row],[customer_rating]]&gt;=4.5,"Excellent",IF(EV_Data4[[#This Row],[customer_rating]]&gt;=3.5,"Good","Average"))</f>
        <v>Good</v>
      </c>
      <c r="AH194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49" spans="1:34" x14ac:dyDescent="0.3">
      <c r="A1949" t="s">
        <v>46</v>
      </c>
      <c r="B1949" t="s">
        <v>57</v>
      </c>
      <c r="C1949">
        <v>2022</v>
      </c>
      <c r="D1949" t="s">
        <v>61</v>
      </c>
      <c r="E1949" s="3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48</v>
      </c>
      <c r="N1949">
        <v>5</v>
      </c>
      <c r="O1949" t="s">
        <v>51</v>
      </c>
      <c r="P1949">
        <v>33.299999999999997</v>
      </c>
      <c r="Q1949">
        <v>1500</v>
      </c>
      <c r="R1949">
        <v>3</v>
      </c>
      <c r="S1949">
        <v>2</v>
      </c>
      <c r="T1949" t="s">
        <v>41</v>
      </c>
      <c r="U1949" t="s">
        <v>30</v>
      </c>
      <c r="V1949" s="3">
        <v>136670</v>
      </c>
      <c r="W1949">
        <v>3.54</v>
      </c>
      <c r="X1949">
        <v>5</v>
      </c>
      <c r="Y1949" s="1">
        <f>EV_Data4[[#This Row],[range_miles]]/EV_Data4[[#This Row],[battery_capacity_kwh]]</f>
        <v>3.7881873727087574</v>
      </c>
      <c r="Z1949" s="4">
        <f>EV_Data4[[#This Row],[price_usd]]/EV_Data4[[#This Row],[range_miles]]</f>
        <v>685.70365591397854</v>
      </c>
      <c r="AA1949" s="2">
        <f>(EV_Data4[[#This Row],[customer_rating]]*EV_Data4[[#This Row],[safety_rating]]*1000)/EV_Data4[[#This Row],[price_usd]]</f>
        <v>8.3267419826490149E-2</v>
      </c>
      <c r="AB1949">
        <f>EV_Data4[[#This Row],[horsepower]]+EV_Data4[[#This Row],[torque_nm]]/EV_Data4[[#This Row],[acceleration_0_60_mph]]</f>
        <v>1053.0769230769231</v>
      </c>
      <c r="AC1949" t="str">
        <f>IF(EV_Data4[[#This Row],[price_usd]]&gt;=80000,"Luxury",IF(EV_Data4[[#This Row],[price_usd]]&gt;=40000,"Mid-Range","Budget"))</f>
        <v>Luxury</v>
      </c>
      <c r="AD1949" t="str">
        <f>IF(EV_Data4[[#This Row],[range_miles]]&gt;=350,"Long-Range",IF(EV_Data4[[#This Row],[range_miles]]&gt;=250,"Medium-Range","Short-Range"))</f>
        <v>Short-Range</v>
      </c>
      <c r="AE1949" t="str">
        <f>IF(EV_Data4[[#This Row],[charging_speed_kw]]&gt;=250,"Ultra-Fast",IF(EV_Data4[[#This Row],[charging_speed_kw]]&gt;=150,"Fast-Charging","Standard-Charging"))</f>
        <v>Ultra-Fast</v>
      </c>
      <c r="AF1949" t="str">
        <f>IF(EV_Data4[[#This Row],[acceleration_0_60_mph]]&lt;=3,"SportsPerformance",IF(EV_Data4[[#This Row],[acceleration_0_60_mph]]&lt;=5,"HighPerformance","Standard"))</f>
        <v>Standard</v>
      </c>
      <c r="AG1949" t="str">
        <f>IF(EV_Data4[[#This Row],[customer_rating]]&gt;=4.5,"Excellent",IF(EV_Data4[[#This Row],[customer_rating]]&gt;=3.5,"Good","Average"))</f>
        <v>Good</v>
      </c>
      <c r="AH1949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50" spans="1:34" x14ac:dyDescent="0.3">
      <c r="A1950" t="s">
        <v>63</v>
      </c>
      <c r="B1950" t="s">
        <v>64</v>
      </c>
      <c r="C1950">
        <v>2024</v>
      </c>
      <c r="D1950" t="s">
        <v>61</v>
      </c>
      <c r="E1950" s="3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48</v>
      </c>
      <c r="N1950">
        <v>5</v>
      </c>
      <c r="O1950" t="s">
        <v>35</v>
      </c>
      <c r="P1950">
        <v>58.7</v>
      </c>
      <c r="Q1950">
        <v>1740</v>
      </c>
      <c r="R1950">
        <v>4</v>
      </c>
      <c r="S1950">
        <v>0</v>
      </c>
      <c r="T1950" t="s">
        <v>65</v>
      </c>
      <c r="U1950" t="s">
        <v>37</v>
      </c>
      <c r="V1950" s="3">
        <v>246202</v>
      </c>
      <c r="W1950">
        <v>3.6</v>
      </c>
      <c r="X1950">
        <v>5</v>
      </c>
      <c r="Y1950" s="1">
        <f>EV_Data4[[#This Row],[range_miles]]/EV_Data4[[#This Row],[battery_capacity_kwh]]</f>
        <v>3.9207650273224042</v>
      </c>
      <c r="Z1950" s="4">
        <f>EV_Data4[[#This Row],[price_usd]]/EV_Data4[[#This Row],[range_miles]]</f>
        <v>187.43090592334494</v>
      </c>
      <c r="AA1950" s="2">
        <f>(EV_Data4[[#This Row],[customer_rating]]*EV_Data4[[#This Row],[safety_rating]]*1000)/EV_Data4[[#This Row],[price_usd]]</f>
        <v>0.26769446469193664</v>
      </c>
      <c r="AB1950">
        <f>EV_Data4[[#This Row],[horsepower]]+EV_Data4[[#This Row],[torque_nm]]/EV_Data4[[#This Row],[acceleration_0_60_mph]]</f>
        <v>578.7228260869565</v>
      </c>
      <c r="AC1950" t="str">
        <f>IF(EV_Data4[[#This Row],[price_usd]]&gt;=80000,"Luxury",IF(EV_Data4[[#This Row],[price_usd]]&gt;=40000,"Mid-Range","Budget"))</f>
        <v>Mid-Range</v>
      </c>
      <c r="AD1950" t="str">
        <f>IF(EV_Data4[[#This Row],[range_miles]]&gt;=350,"Long-Range",IF(EV_Data4[[#This Row],[range_miles]]&gt;=250,"Medium-Range","Short-Range"))</f>
        <v>Medium-Range</v>
      </c>
      <c r="AE1950" t="str">
        <f>IF(EV_Data4[[#This Row],[charging_speed_kw]]&gt;=250,"Ultra-Fast",IF(EV_Data4[[#This Row],[charging_speed_kw]]&gt;=150,"Fast-Charging","Standard-Charging"))</f>
        <v>Standard-Charging</v>
      </c>
      <c r="AF1950" t="str">
        <f>IF(EV_Data4[[#This Row],[acceleration_0_60_mph]]&lt;=3,"SportsPerformance",IF(EV_Data4[[#This Row],[acceleration_0_60_mph]]&lt;=5,"HighPerformance","Standard"))</f>
        <v>Standard</v>
      </c>
      <c r="AG1950" t="str">
        <f>IF(EV_Data4[[#This Row],[customer_rating]]&gt;=4.5,"Excellent",IF(EV_Data4[[#This Row],[customer_rating]]&gt;=3.5,"Good","Average"))</f>
        <v>Good</v>
      </c>
      <c r="AH195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51" spans="1:34" x14ac:dyDescent="0.3">
      <c r="A1951" t="s">
        <v>24</v>
      </c>
      <c r="B1951" t="s">
        <v>25</v>
      </c>
      <c r="C1951">
        <v>2023</v>
      </c>
      <c r="D1951" t="s">
        <v>26</v>
      </c>
      <c r="E1951" s="3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48</v>
      </c>
      <c r="N1951">
        <v>5</v>
      </c>
      <c r="O1951" t="s">
        <v>35</v>
      </c>
      <c r="P1951">
        <v>64.599999999999994</v>
      </c>
      <c r="Q1951">
        <v>2041</v>
      </c>
      <c r="R1951">
        <v>5</v>
      </c>
      <c r="S1951">
        <v>2</v>
      </c>
      <c r="T1951" t="s">
        <v>29</v>
      </c>
      <c r="U1951" t="s">
        <v>30</v>
      </c>
      <c r="V1951" s="3">
        <v>225518</v>
      </c>
      <c r="W1951">
        <v>3.24</v>
      </c>
      <c r="X1951">
        <v>4</v>
      </c>
      <c r="Y1951" s="1">
        <f>EV_Data4[[#This Row],[range_miles]]/EV_Data4[[#This Row],[battery_capacity_kwh]]</f>
        <v>3.2552083333333335</v>
      </c>
      <c r="Z1951" s="4">
        <f>EV_Data4[[#This Row],[price_usd]]/EV_Data4[[#This Row],[range_miles]]</f>
        <v>443.9796</v>
      </c>
      <c r="AA1951" s="2">
        <f>(EV_Data4[[#This Row],[customer_rating]]*EV_Data4[[#This Row],[safety_rating]]*1000)/EV_Data4[[#This Row],[price_usd]]</f>
        <v>0.14595265187859988</v>
      </c>
      <c r="AB1951">
        <f>EV_Data4[[#This Row],[horsepower]]+EV_Data4[[#This Row],[torque_nm]]/EV_Data4[[#This Row],[acceleration_0_60_mph]]</f>
        <v>1270.253164556962</v>
      </c>
      <c r="AC1951" t="str">
        <f>IF(EV_Data4[[#This Row],[price_usd]]&gt;=80000,"Luxury",IF(EV_Data4[[#This Row],[price_usd]]&gt;=40000,"Mid-Range","Budget"))</f>
        <v>Luxury</v>
      </c>
      <c r="AD1951" t="str">
        <f>IF(EV_Data4[[#This Row],[range_miles]]&gt;=350,"Long-Range",IF(EV_Data4[[#This Row],[range_miles]]&gt;=250,"Medium-Range","Short-Range"))</f>
        <v>Medium-Range</v>
      </c>
      <c r="AE1951" t="str">
        <f>IF(EV_Data4[[#This Row],[charging_speed_kw]]&gt;=250,"Ultra-Fast",IF(EV_Data4[[#This Row],[charging_speed_kw]]&gt;=150,"Fast-Charging","Standard-Charging"))</f>
        <v>Fast-Charging</v>
      </c>
      <c r="AF1951" t="str">
        <f>IF(EV_Data4[[#This Row],[acceleration_0_60_mph]]&lt;=3,"SportsPerformance",IF(EV_Data4[[#This Row],[acceleration_0_60_mph]]&lt;=5,"HighPerformance","Standard"))</f>
        <v>HighPerformance</v>
      </c>
      <c r="AG1951" t="str">
        <f>IF(EV_Data4[[#This Row],[customer_rating]]&gt;=4.5,"Excellent",IF(EV_Data4[[#This Row],[customer_rating]]&gt;=3.5,"Good","Average"))</f>
        <v>Average</v>
      </c>
      <c r="AH195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52" spans="1:34" x14ac:dyDescent="0.3">
      <c r="A1952" t="s">
        <v>46</v>
      </c>
      <c r="B1952" t="s">
        <v>78</v>
      </c>
      <c r="C1952">
        <v>2022</v>
      </c>
      <c r="D1952" t="s">
        <v>44</v>
      </c>
      <c r="E1952" s="3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34</v>
      </c>
      <c r="N1952">
        <v>7</v>
      </c>
      <c r="O1952" t="s">
        <v>40</v>
      </c>
      <c r="P1952">
        <v>72.400000000000006</v>
      </c>
      <c r="Q1952">
        <v>1585</v>
      </c>
      <c r="R1952">
        <v>5</v>
      </c>
      <c r="S1952">
        <v>3</v>
      </c>
      <c r="T1952" t="s">
        <v>41</v>
      </c>
      <c r="U1952" t="s">
        <v>33</v>
      </c>
      <c r="V1952" s="3">
        <v>146415</v>
      </c>
      <c r="W1952">
        <v>3.95</v>
      </c>
      <c r="X1952">
        <v>4</v>
      </c>
      <c r="Y1952" s="1">
        <f>EV_Data4[[#This Row],[range_miles]]/EV_Data4[[#This Row],[battery_capacity_kwh]]</f>
        <v>3.2485322896281801</v>
      </c>
      <c r="Z1952" s="4">
        <f>EV_Data4[[#This Row],[price_usd]]/EV_Data4[[#This Row],[range_miles]]</f>
        <v>256.90271084337348</v>
      </c>
      <c r="AA1952" s="2">
        <f>(EV_Data4[[#This Row],[customer_rating]]*EV_Data4[[#This Row],[safety_rating]]*1000)/EV_Data4[[#This Row],[price_usd]]</f>
        <v>0.23155828761766972</v>
      </c>
      <c r="AB1952">
        <f>EV_Data4[[#This Row],[horsepower]]+EV_Data4[[#This Row],[torque_nm]]/EV_Data4[[#This Row],[acceleration_0_60_mph]]</f>
        <v>666.4034229828851</v>
      </c>
      <c r="AC1952" t="str">
        <f>IF(EV_Data4[[#This Row],[price_usd]]&gt;=80000,"Luxury",IF(EV_Data4[[#This Row],[price_usd]]&gt;=40000,"Mid-Range","Budget"))</f>
        <v>Luxury</v>
      </c>
      <c r="AD1952" t="str">
        <f>IF(EV_Data4[[#This Row],[range_miles]]&gt;=350,"Long-Range",IF(EV_Data4[[#This Row],[range_miles]]&gt;=250,"Medium-Range","Short-Range"))</f>
        <v>Medium-Range</v>
      </c>
      <c r="AE1952" t="str">
        <f>IF(EV_Data4[[#This Row],[charging_speed_kw]]&gt;=250,"Ultra-Fast",IF(EV_Data4[[#This Row],[charging_speed_kw]]&gt;=150,"Fast-Charging","Standard-Charging"))</f>
        <v>Fast-Charging</v>
      </c>
      <c r="AF1952" t="str">
        <f>IF(EV_Data4[[#This Row],[acceleration_0_60_mph]]&lt;=3,"SportsPerformance",IF(EV_Data4[[#This Row],[acceleration_0_60_mph]]&lt;=5,"HighPerformance","Standard"))</f>
        <v>HighPerformance</v>
      </c>
      <c r="AG1952" t="str">
        <f>IF(EV_Data4[[#This Row],[customer_rating]]&gt;=4.5,"Excellent",IF(EV_Data4[[#This Row],[customer_rating]]&gt;=3.5,"Good","Average"))</f>
        <v>Good</v>
      </c>
      <c r="AH1952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953" spans="1:34" x14ac:dyDescent="0.3">
      <c r="A1953" t="s">
        <v>63</v>
      </c>
      <c r="B1953" t="s">
        <v>64</v>
      </c>
      <c r="C1953">
        <v>2024</v>
      </c>
      <c r="D1953" t="s">
        <v>61</v>
      </c>
      <c r="E1953" s="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34</v>
      </c>
      <c r="N1953">
        <v>5</v>
      </c>
      <c r="O1953" t="s">
        <v>40</v>
      </c>
      <c r="P1953">
        <v>62.2</v>
      </c>
      <c r="Q1953">
        <v>1686</v>
      </c>
      <c r="R1953">
        <v>5</v>
      </c>
      <c r="S1953">
        <v>0</v>
      </c>
      <c r="T1953" t="s">
        <v>65</v>
      </c>
      <c r="U1953" t="s">
        <v>33</v>
      </c>
      <c r="V1953" s="3">
        <v>218991</v>
      </c>
      <c r="W1953">
        <v>3.84</v>
      </c>
      <c r="X1953">
        <v>4</v>
      </c>
      <c r="Y1953" s="1">
        <f>EV_Data4[[#This Row],[range_miles]]/EV_Data4[[#This Row],[battery_capacity_kwh]]</f>
        <v>3.7254901960784315</v>
      </c>
      <c r="Z1953" s="4">
        <f>EV_Data4[[#This Row],[price_usd]]/EV_Data4[[#This Row],[range_miles]]</f>
        <v>293.4874736842105</v>
      </c>
      <c r="AA1953" s="2">
        <f>(EV_Data4[[#This Row],[customer_rating]]*EV_Data4[[#This Row],[safety_rating]]*1000)/EV_Data4[[#This Row],[price_usd]]</f>
        <v>0.22954445110362465</v>
      </c>
      <c r="AB1953">
        <f>EV_Data4[[#This Row],[horsepower]]+EV_Data4[[#This Row],[torque_nm]]/EV_Data4[[#This Row],[acceleration_0_60_mph]]</f>
        <v>1052.1430700447095</v>
      </c>
      <c r="AC1953" t="str">
        <f>IF(EV_Data4[[#This Row],[price_usd]]&gt;=80000,"Luxury",IF(EV_Data4[[#This Row],[price_usd]]&gt;=40000,"Mid-Range","Budget"))</f>
        <v>Luxury</v>
      </c>
      <c r="AD1953" t="str">
        <f>IF(EV_Data4[[#This Row],[range_miles]]&gt;=350,"Long-Range",IF(EV_Data4[[#This Row],[range_miles]]&gt;=250,"Medium-Range","Short-Range"))</f>
        <v>Medium-Range</v>
      </c>
      <c r="AE1953" t="str">
        <f>IF(EV_Data4[[#This Row],[charging_speed_kw]]&gt;=250,"Ultra-Fast",IF(EV_Data4[[#This Row],[charging_speed_kw]]&gt;=150,"Fast-Charging","Standard-Charging"))</f>
        <v>Standard-Charging</v>
      </c>
      <c r="AF1953" t="str">
        <f>IF(EV_Data4[[#This Row],[acceleration_0_60_mph]]&lt;=3,"SportsPerformance",IF(EV_Data4[[#This Row],[acceleration_0_60_mph]]&lt;=5,"HighPerformance","Standard"))</f>
        <v>Standard</v>
      </c>
      <c r="AG1953" t="str">
        <f>IF(EV_Data4[[#This Row],[customer_rating]]&gt;=4.5,"Excellent",IF(EV_Data4[[#This Row],[customer_rating]]&gt;=3.5,"Good","Average"))</f>
        <v>Good</v>
      </c>
      <c r="AH195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54" spans="1:34" x14ac:dyDescent="0.3">
      <c r="A1954" t="s">
        <v>42</v>
      </c>
      <c r="B1954" t="s">
        <v>115</v>
      </c>
      <c r="C1954">
        <v>2025</v>
      </c>
      <c r="D1954" t="s">
        <v>26</v>
      </c>
      <c r="E1954" s="3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27</v>
      </c>
      <c r="N1954">
        <v>5</v>
      </c>
      <c r="O1954" t="s">
        <v>51</v>
      </c>
      <c r="P1954">
        <v>17.899999999999999</v>
      </c>
      <c r="Q1954">
        <v>1599</v>
      </c>
      <c r="R1954">
        <v>4</v>
      </c>
      <c r="S1954">
        <v>2</v>
      </c>
      <c r="T1954" t="s">
        <v>45</v>
      </c>
      <c r="U1954" t="s">
        <v>30</v>
      </c>
      <c r="V1954" s="3">
        <v>136386</v>
      </c>
      <c r="W1954">
        <v>3.73</v>
      </c>
      <c r="X1954">
        <v>4</v>
      </c>
      <c r="Y1954" s="1">
        <f>EV_Data4[[#This Row],[range_miles]]/EV_Data4[[#This Row],[battery_capacity_kwh]]</f>
        <v>3.6156351791530947</v>
      </c>
      <c r="Z1954" s="4">
        <f>EV_Data4[[#This Row],[price_usd]]/EV_Data4[[#This Row],[range_miles]]</f>
        <v>352.41993993993992</v>
      </c>
      <c r="AA1954" s="2">
        <f>(EV_Data4[[#This Row],[customer_rating]]*EV_Data4[[#This Row],[safety_rating]]*1000)/EV_Data4[[#This Row],[price_usd]]</f>
        <v>0.12713470416129269</v>
      </c>
      <c r="AB1954">
        <f>EV_Data4[[#This Row],[horsepower]]+EV_Data4[[#This Row],[torque_nm]]/EV_Data4[[#This Row],[acceleration_0_60_mph]]</f>
        <v>1194.8888888888889</v>
      </c>
      <c r="AC1954" t="str">
        <f>IF(EV_Data4[[#This Row],[price_usd]]&gt;=80000,"Luxury",IF(EV_Data4[[#This Row],[price_usd]]&gt;=40000,"Mid-Range","Budget"))</f>
        <v>Luxury</v>
      </c>
      <c r="AD1954" t="str">
        <f>IF(EV_Data4[[#This Row],[range_miles]]&gt;=350,"Long-Range",IF(EV_Data4[[#This Row],[range_miles]]&gt;=250,"Medium-Range","Short-Range"))</f>
        <v>Medium-Range</v>
      </c>
      <c r="AE1954" t="str">
        <f>IF(EV_Data4[[#This Row],[charging_speed_kw]]&gt;=250,"Ultra-Fast",IF(EV_Data4[[#This Row],[charging_speed_kw]]&gt;=150,"Fast-Charging","Standard-Charging"))</f>
        <v>Fast-Charging</v>
      </c>
      <c r="AF1954" t="str">
        <f>IF(EV_Data4[[#This Row],[acceleration_0_60_mph]]&lt;=3,"SportsPerformance",IF(EV_Data4[[#This Row],[acceleration_0_60_mph]]&lt;=5,"HighPerformance","Standard"))</f>
        <v>HighPerformance</v>
      </c>
      <c r="AG1954" t="str">
        <f>IF(EV_Data4[[#This Row],[customer_rating]]&gt;=4.5,"Excellent",IF(EV_Data4[[#This Row],[customer_rating]]&gt;=3.5,"Good","Average"))</f>
        <v>Good</v>
      </c>
      <c r="AH195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55" spans="1:34" x14ac:dyDescent="0.3">
      <c r="A1955" t="s">
        <v>38</v>
      </c>
      <c r="B1955" t="s">
        <v>118</v>
      </c>
      <c r="C1955">
        <v>2023</v>
      </c>
      <c r="D1955" t="s">
        <v>26</v>
      </c>
      <c r="E1955" s="3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48</v>
      </c>
      <c r="N1955">
        <v>5</v>
      </c>
      <c r="O1955" t="s">
        <v>28</v>
      </c>
      <c r="P1955">
        <v>61.7</v>
      </c>
      <c r="Q1955">
        <v>2567</v>
      </c>
      <c r="R1955">
        <v>4</v>
      </c>
      <c r="S1955">
        <v>0</v>
      </c>
      <c r="T1955" t="s">
        <v>41</v>
      </c>
      <c r="U1955" t="s">
        <v>33</v>
      </c>
      <c r="V1955" s="3">
        <v>20948</v>
      </c>
      <c r="W1955">
        <v>3.66</v>
      </c>
      <c r="X1955">
        <v>5</v>
      </c>
      <c r="Y1955" s="1">
        <f>EV_Data4[[#This Row],[range_miles]]/EV_Data4[[#This Row],[battery_capacity_kwh]]</f>
        <v>3.6452762923351156</v>
      </c>
      <c r="Z1955" s="4">
        <f>EV_Data4[[#This Row],[price_usd]]/EV_Data4[[#This Row],[range_miles]]</f>
        <v>233.85831295843522</v>
      </c>
      <c r="AA1955" s="2">
        <f>(EV_Data4[[#This Row],[customer_rating]]*EV_Data4[[#This Row],[safety_rating]]*1000)/EV_Data4[[#This Row],[price_usd]]</f>
        <v>0.15306114447706984</v>
      </c>
      <c r="AB1955">
        <f>EV_Data4[[#This Row],[horsepower]]+EV_Data4[[#This Row],[torque_nm]]/EV_Data4[[#This Row],[acceleration_0_60_mph]]</f>
        <v>1310.8108108108108</v>
      </c>
      <c r="AC1955" t="str">
        <f>IF(EV_Data4[[#This Row],[price_usd]]&gt;=80000,"Luxury",IF(EV_Data4[[#This Row],[price_usd]]&gt;=40000,"Mid-Range","Budget"))</f>
        <v>Luxury</v>
      </c>
      <c r="AD1955" t="str">
        <f>IF(EV_Data4[[#This Row],[range_miles]]&gt;=350,"Long-Range",IF(EV_Data4[[#This Row],[range_miles]]&gt;=250,"Medium-Range","Short-Range"))</f>
        <v>Long-Range</v>
      </c>
      <c r="AE1955" t="str">
        <f>IF(EV_Data4[[#This Row],[charging_speed_kw]]&gt;=250,"Ultra-Fast",IF(EV_Data4[[#This Row],[charging_speed_kw]]&gt;=150,"Fast-Charging","Standard-Charging"))</f>
        <v>Fast-Charging</v>
      </c>
      <c r="AF1955" t="str">
        <f>IF(EV_Data4[[#This Row],[acceleration_0_60_mph]]&lt;=3,"SportsPerformance",IF(EV_Data4[[#This Row],[acceleration_0_60_mph]]&lt;=5,"HighPerformance","Standard"))</f>
        <v>SportsPerformance</v>
      </c>
      <c r="AG1955" t="str">
        <f>IF(EV_Data4[[#This Row],[customer_rating]]&gt;=4.5,"Excellent",IF(EV_Data4[[#This Row],[customer_rating]]&gt;=3.5,"Good","Average"))</f>
        <v>Good</v>
      </c>
      <c r="AH1955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56" spans="1:34" x14ac:dyDescent="0.3">
      <c r="A1956" t="s">
        <v>131</v>
      </c>
      <c r="B1956" t="s">
        <v>132</v>
      </c>
      <c r="C1956">
        <v>2025</v>
      </c>
      <c r="D1956" t="s">
        <v>56</v>
      </c>
      <c r="E1956" s="3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27</v>
      </c>
      <c r="N1956">
        <v>5</v>
      </c>
      <c r="O1956" t="s">
        <v>35</v>
      </c>
      <c r="P1956">
        <v>64.3</v>
      </c>
      <c r="Q1956">
        <v>2092</v>
      </c>
      <c r="R1956">
        <v>4</v>
      </c>
      <c r="S1956">
        <v>1</v>
      </c>
      <c r="T1956" t="s">
        <v>65</v>
      </c>
      <c r="U1956" t="s">
        <v>37</v>
      </c>
      <c r="V1956" s="3">
        <v>22178</v>
      </c>
      <c r="W1956">
        <v>3.55</v>
      </c>
      <c r="X1956">
        <v>5</v>
      </c>
      <c r="Y1956" s="1">
        <f>EV_Data4[[#This Row],[range_miles]]/EV_Data4[[#This Row],[battery_capacity_kwh]]</f>
        <v>3.3766233766233769</v>
      </c>
      <c r="Z1956" s="4">
        <f>EV_Data4[[#This Row],[price_usd]]/EV_Data4[[#This Row],[range_miles]]</f>
        <v>306.79274725274723</v>
      </c>
      <c r="AA1956" s="2">
        <f>(EV_Data4[[#This Row],[customer_rating]]*EV_Data4[[#This Row],[safety_rating]]*1000)/EV_Data4[[#This Row],[price_usd]]</f>
        <v>0.254314936453503</v>
      </c>
      <c r="AB1956">
        <f>EV_Data4[[#This Row],[horsepower]]+EV_Data4[[#This Row],[torque_nm]]/EV_Data4[[#This Row],[acceleration_0_60_mph]]</f>
        <v>536.95567867036016</v>
      </c>
      <c r="AC1956" t="str">
        <f>IF(EV_Data4[[#This Row],[price_usd]]&gt;=80000,"Luxury",IF(EV_Data4[[#This Row],[price_usd]]&gt;=40000,"Mid-Range","Budget"))</f>
        <v>Mid-Range</v>
      </c>
      <c r="AD1956" t="str">
        <f>IF(EV_Data4[[#This Row],[range_miles]]&gt;=350,"Long-Range",IF(EV_Data4[[#This Row],[range_miles]]&gt;=250,"Medium-Range","Short-Range"))</f>
        <v>Short-Range</v>
      </c>
      <c r="AE1956" t="str">
        <f>IF(EV_Data4[[#This Row],[charging_speed_kw]]&gt;=250,"Ultra-Fast",IF(EV_Data4[[#This Row],[charging_speed_kw]]&gt;=150,"Fast-Charging","Standard-Charging"))</f>
        <v>Standard-Charging</v>
      </c>
      <c r="AF1956" t="str">
        <f>IF(EV_Data4[[#This Row],[acceleration_0_60_mph]]&lt;=3,"SportsPerformance",IF(EV_Data4[[#This Row],[acceleration_0_60_mph]]&lt;=5,"HighPerformance","Standard"))</f>
        <v>Standard</v>
      </c>
      <c r="AG1956" t="str">
        <f>IF(EV_Data4[[#This Row],[customer_rating]]&gt;=4.5,"Excellent",IF(EV_Data4[[#This Row],[customer_rating]]&gt;=3.5,"Good","Average"))</f>
        <v>Good</v>
      </c>
      <c r="AH195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57" spans="1:34" x14ac:dyDescent="0.3">
      <c r="A1957" t="s">
        <v>94</v>
      </c>
      <c r="B1957" t="s">
        <v>120</v>
      </c>
      <c r="C1957">
        <v>2025</v>
      </c>
      <c r="D1957" t="s">
        <v>44</v>
      </c>
      <c r="E1957" s="3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48</v>
      </c>
      <c r="N1957">
        <v>5</v>
      </c>
      <c r="O1957" t="s">
        <v>50</v>
      </c>
      <c r="P1957">
        <v>30.2</v>
      </c>
      <c r="Q1957">
        <v>1603</v>
      </c>
      <c r="R1957">
        <v>5</v>
      </c>
      <c r="S1957">
        <v>0</v>
      </c>
      <c r="T1957" t="s">
        <v>41</v>
      </c>
      <c r="U1957" t="s">
        <v>30</v>
      </c>
      <c r="V1957" s="3">
        <v>2112</v>
      </c>
      <c r="W1957">
        <v>3.37</v>
      </c>
      <c r="X1957">
        <v>4</v>
      </c>
      <c r="Y1957" s="1">
        <f>EV_Data4[[#This Row],[range_miles]]/EV_Data4[[#This Row],[battery_capacity_kwh]]</f>
        <v>3.6049382716049383</v>
      </c>
      <c r="Z1957" s="4">
        <f>EV_Data4[[#This Row],[price_usd]]/EV_Data4[[#This Row],[range_miles]]</f>
        <v>349.95496575342469</v>
      </c>
      <c r="AA1957" s="2">
        <f>(EV_Data4[[#This Row],[customer_rating]]*EV_Data4[[#This Row],[safety_rating]]*1000)/EV_Data4[[#This Row],[price_usd]]</f>
        <v>0.16489401522798677</v>
      </c>
      <c r="AB1957">
        <f>EV_Data4[[#This Row],[horsepower]]+EV_Data4[[#This Row],[torque_nm]]/EV_Data4[[#This Row],[acceleration_0_60_mph]]</f>
        <v>1198.2222222222222</v>
      </c>
      <c r="AC1957" t="str">
        <f>IF(EV_Data4[[#This Row],[price_usd]]&gt;=80000,"Luxury",IF(EV_Data4[[#This Row],[price_usd]]&gt;=40000,"Mid-Range","Budget"))</f>
        <v>Luxury</v>
      </c>
      <c r="AD1957" t="str">
        <f>IF(EV_Data4[[#This Row],[range_miles]]&gt;=350,"Long-Range",IF(EV_Data4[[#This Row],[range_miles]]&gt;=250,"Medium-Range","Short-Range"))</f>
        <v>Medium-Range</v>
      </c>
      <c r="AE1957" t="str">
        <f>IF(EV_Data4[[#This Row],[charging_speed_kw]]&gt;=250,"Ultra-Fast",IF(EV_Data4[[#This Row],[charging_speed_kw]]&gt;=150,"Fast-Charging","Standard-Charging"))</f>
        <v>Standard-Charging</v>
      </c>
      <c r="AF1957" t="str">
        <f>IF(EV_Data4[[#This Row],[acceleration_0_60_mph]]&lt;=3,"SportsPerformance",IF(EV_Data4[[#This Row],[acceleration_0_60_mph]]&lt;=5,"HighPerformance","Standard"))</f>
        <v>HighPerformance</v>
      </c>
      <c r="AG1957" t="str">
        <f>IF(EV_Data4[[#This Row],[customer_rating]]&gt;=4.5,"Excellent",IF(EV_Data4[[#This Row],[customer_rating]]&gt;=3.5,"Good","Average"))</f>
        <v>Average</v>
      </c>
      <c r="AH195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58" spans="1:34" x14ac:dyDescent="0.3">
      <c r="A1958" t="s">
        <v>83</v>
      </c>
      <c r="B1958" t="s">
        <v>116</v>
      </c>
      <c r="C1958">
        <v>2025</v>
      </c>
      <c r="D1958" t="s">
        <v>44</v>
      </c>
      <c r="E1958" s="3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34</v>
      </c>
      <c r="N1958">
        <v>5</v>
      </c>
      <c r="O1958" t="s">
        <v>28</v>
      </c>
      <c r="P1958">
        <v>55.2</v>
      </c>
      <c r="Q1958">
        <v>2234</v>
      </c>
      <c r="R1958">
        <v>4</v>
      </c>
      <c r="S1958">
        <v>1</v>
      </c>
      <c r="T1958" t="s">
        <v>29</v>
      </c>
      <c r="U1958" t="s">
        <v>30</v>
      </c>
      <c r="V1958" s="3">
        <v>41594</v>
      </c>
      <c r="W1958">
        <v>3.71</v>
      </c>
      <c r="X1958">
        <v>7</v>
      </c>
      <c r="Y1958" s="1">
        <f>EV_Data4[[#This Row],[range_miles]]/EV_Data4[[#This Row],[battery_capacity_kwh]]</f>
        <v>3.6511156186612577</v>
      </c>
      <c r="Z1958" s="4">
        <f>EV_Data4[[#This Row],[price_usd]]/EV_Data4[[#This Row],[range_miles]]</f>
        <v>282.58766666666668</v>
      </c>
      <c r="AA1958" s="2">
        <f>(EV_Data4[[#This Row],[customer_rating]]*EV_Data4[[#This Row],[safety_rating]]*1000)/EV_Data4[[#This Row],[price_usd]]</f>
        <v>0.14587410239261051</v>
      </c>
      <c r="AB1958">
        <f>EV_Data4[[#This Row],[horsepower]]+EV_Data4[[#This Row],[torque_nm]]/EV_Data4[[#This Row],[acceleration_0_60_mph]]</f>
        <v>1011.59375</v>
      </c>
      <c r="AC1958" t="str">
        <f>IF(EV_Data4[[#This Row],[price_usd]]&gt;=80000,"Luxury",IF(EV_Data4[[#This Row],[price_usd]]&gt;=40000,"Mid-Range","Budget"))</f>
        <v>Luxury</v>
      </c>
      <c r="AD1958" t="str">
        <f>IF(EV_Data4[[#This Row],[range_miles]]&gt;=350,"Long-Range",IF(EV_Data4[[#This Row],[range_miles]]&gt;=250,"Medium-Range","Short-Range"))</f>
        <v>Long-Range</v>
      </c>
      <c r="AE1958" t="str">
        <f>IF(EV_Data4[[#This Row],[charging_speed_kw]]&gt;=250,"Ultra-Fast",IF(EV_Data4[[#This Row],[charging_speed_kw]]&gt;=150,"Fast-Charging","Standard-Charging"))</f>
        <v>Standard-Charging</v>
      </c>
      <c r="AF1958" t="str">
        <f>IF(EV_Data4[[#This Row],[acceleration_0_60_mph]]&lt;=3,"SportsPerformance",IF(EV_Data4[[#This Row],[acceleration_0_60_mph]]&lt;=5,"HighPerformance","Standard"))</f>
        <v>Standard</v>
      </c>
      <c r="AG1958" t="str">
        <f>IF(EV_Data4[[#This Row],[customer_rating]]&gt;=4.5,"Excellent",IF(EV_Data4[[#This Row],[customer_rating]]&gt;=3.5,"Good","Average"))</f>
        <v>Good</v>
      </c>
      <c r="AH1958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59" spans="1:34" x14ac:dyDescent="0.3">
      <c r="A1959" t="s">
        <v>24</v>
      </c>
      <c r="B1959" t="s">
        <v>75</v>
      </c>
      <c r="C1959">
        <v>2023</v>
      </c>
      <c r="D1959" t="s">
        <v>56</v>
      </c>
      <c r="E1959" s="3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34</v>
      </c>
      <c r="N1959">
        <v>5</v>
      </c>
      <c r="O1959" t="s">
        <v>58</v>
      </c>
      <c r="P1959">
        <v>27.4</v>
      </c>
      <c r="Q1959">
        <v>1726</v>
      </c>
      <c r="R1959">
        <v>5</v>
      </c>
      <c r="S1959">
        <v>1</v>
      </c>
      <c r="T1959" t="s">
        <v>29</v>
      </c>
      <c r="U1959" t="s">
        <v>37</v>
      </c>
      <c r="V1959" s="3">
        <v>256210</v>
      </c>
      <c r="W1959">
        <v>3.39</v>
      </c>
      <c r="X1959">
        <v>5</v>
      </c>
      <c r="Y1959" s="1">
        <f>EV_Data4[[#This Row],[range_miles]]/EV_Data4[[#This Row],[battery_capacity_kwh]]</f>
        <v>2.9918032786885247</v>
      </c>
      <c r="Z1959" s="4">
        <f>EV_Data4[[#This Row],[price_usd]]/EV_Data4[[#This Row],[range_miles]]</f>
        <v>203.92086757990867</v>
      </c>
      <c r="AA1959" s="2">
        <f>(EV_Data4[[#This Row],[customer_rating]]*EV_Data4[[#This Row],[safety_rating]]*1000)/EV_Data4[[#This Row],[price_usd]]</f>
        <v>0.37954556192560146</v>
      </c>
      <c r="AB1959">
        <f>EV_Data4[[#This Row],[horsepower]]+EV_Data4[[#This Row],[torque_nm]]/EV_Data4[[#This Row],[acceleration_0_60_mph]]</f>
        <v>365.63494132985659</v>
      </c>
      <c r="AC1959" t="str">
        <f>IF(EV_Data4[[#This Row],[price_usd]]&gt;=80000,"Luxury",IF(EV_Data4[[#This Row],[price_usd]]&gt;=40000,"Mid-Range","Budget"))</f>
        <v>Mid-Range</v>
      </c>
      <c r="AD1959" t="str">
        <f>IF(EV_Data4[[#This Row],[range_miles]]&gt;=350,"Long-Range",IF(EV_Data4[[#This Row],[range_miles]]&gt;=250,"Medium-Range","Short-Range"))</f>
        <v>Short-Range</v>
      </c>
      <c r="AE1959" t="str">
        <f>IF(EV_Data4[[#This Row],[charging_speed_kw]]&gt;=250,"Ultra-Fast",IF(EV_Data4[[#This Row],[charging_speed_kw]]&gt;=150,"Fast-Charging","Standard-Charging"))</f>
        <v>Standard-Charging</v>
      </c>
      <c r="AF1959" t="str">
        <f>IF(EV_Data4[[#This Row],[acceleration_0_60_mph]]&lt;=3,"SportsPerformance",IF(EV_Data4[[#This Row],[acceleration_0_60_mph]]&lt;=5,"HighPerformance","Standard"))</f>
        <v>Standard</v>
      </c>
      <c r="AG1959" t="str">
        <f>IF(EV_Data4[[#This Row],[customer_rating]]&gt;=4.5,"Excellent",IF(EV_Data4[[#This Row],[customer_rating]]&gt;=3.5,"Good","Average"))</f>
        <v>Average</v>
      </c>
      <c r="AH195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60" spans="1:34" x14ac:dyDescent="0.3">
      <c r="A1960" t="s">
        <v>83</v>
      </c>
      <c r="B1960" t="s">
        <v>89</v>
      </c>
      <c r="C1960">
        <v>2024</v>
      </c>
      <c r="D1960" t="s">
        <v>33</v>
      </c>
      <c r="E1960" s="3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27</v>
      </c>
      <c r="N1960">
        <v>7</v>
      </c>
      <c r="O1960" t="s">
        <v>50</v>
      </c>
      <c r="P1960">
        <v>17.2</v>
      </c>
      <c r="Q1960">
        <v>1658</v>
      </c>
      <c r="R1960">
        <v>5</v>
      </c>
      <c r="S1960">
        <v>2</v>
      </c>
      <c r="T1960" t="s">
        <v>29</v>
      </c>
      <c r="U1960" t="s">
        <v>30</v>
      </c>
      <c r="V1960" s="3">
        <v>26942</v>
      </c>
      <c r="W1960">
        <v>3.17</v>
      </c>
      <c r="X1960">
        <v>7</v>
      </c>
      <c r="Y1960" s="1">
        <f>EV_Data4[[#This Row],[range_miles]]/EV_Data4[[#This Row],[battery_capacity_kwh]]</f>
        <v>3.4838709677419355</v>
      </c>
      <c r="Z1960" s="4">
        <f>EV_Data4[[#This Row],[price_usd]]/EV_Data4[[#This Row],[range_miles]]</f>
        <v>646.90055555555557</v>
      </c>
      <c r="AA1960" s="2">
        <f>(EV_Data4[[#This Row],[customer_rating]]*EV_Data4[[#This Row],[safety_rating]]*1000)/EV_Data4[[#This Row],[price_usd]]</f>
        <v>0.15124350308961373</v>
      </c>
      <c r="AB1960">
        <f>EV_Data4[[#This Row],[horsepower]]+EV_Data4[[#This Row],[torque_nm]]/EV_Data4[[#This Row],[acceleration_0_60_mph]]</f>
        <v>1054.2608695652175</v>
      </c>
      <c r="AC1960" t="str">
        <f>IF(EV_Data4[[#This Row],[price_usd]]&gt;=80000,"Luxury",IF(EV_Data4[[#This Row],[price_usd]]&gt;=40000,"Mid-Range","Budget"))</f>
        <v>Luxury</v>
      </c>
      <c r="AD1960" t="str">
        <f>IF(EV_Data4[[#This Row],[range_miles]]&gt;=350,"Long-Range",IF(EV_Data4[[#This Row],[range_miles]]&gt;=250,"Medium-Range","Short-Range"))</f>
        <v>Short-Range</v>
      </c>
      <c r="AE1960" t="str">
        <f>IF(EV_Data4[[#This Row],[charging_speed_kw]]&gt;=250,"Ultra-Fast",IF(EV_Data4[[#This Row],[charging_speed_kw]]&gt;=150,"Fast-Charging","Standard-Charging"))</f>
        <v>Standard-Charging</v>
      </c>
      <c r="AF1960" t="str">
        <f>IF(EV_Data4[[#This Row],[acceleration_0_60_mph]]&lt;=3,"SportsPerformance",IF(EV_Data4[[#This Row],[acceleration_0_60_mph]]&lt;=5,"HighPerformance","Standard"))</f>
        <v>Standard</v>
      </c>
      <c r="AG1960" t="str">
        <f>IF(EV_Data4[[#This Row],[customer_rating]]&gt;=4.5,"Excellent",IF(EV_Data4[[#This Row],[customer_rating]]&gt;=3.5,"Good","Average"))</f>
        <v>Average</v>
      </c>
      <c r="AH196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61" spans="1:34" x14ac:dyDescent="0.3">
      <c r="A1961" t="s">
        <v>76</v>
      </c>
      <c r="B1961" t="s">
        <v>91</v>
      </c>
      <c r="C1961">
        <v>2025</v>
      </c>
      <c r="D1961" t="s">
        <v>33</v>
      </c>
      <c r="E1961" s="3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48</v>
      </c>
      <c r="N1961">
        <v>2</v>
      </c>
      <c r="O1961" t="s">
        <v>28</v>
      </c>
      <c r="P1961">
        <v>66.599999999999994</v>
      </c>
      <c r="Q1961">
        <v>2253</v>
      </c>
      <c r="R1961">
        <v>4</v>
      </c>
      <c r="S1961">
        <v>2</v>
      </c>
      <c r="T1961" t="s">
        <v>41</v>
      </c>
      <c r="U1961" t="s">
        <v>37</v>
      </c>
      <c r="V1961" s="3">
        <v>30016</v>
      </c>
      <c r="W1961">
        <v>3.29</v>
      </c>
      <c r="X1961">
        <v>3</v>
      </c>
      <c r="Y1961" s="1">
        <f>EV_Data4[[#This Row],[range_miles]]/EV_Data4[[#This Row],[battery_capacity_kwh]]</f>
        <v>3.9860139860139863</v>
      </c>
      <c r="Z1961" s="4">
        <f>EV_Data4[[#This Row],[price_usd]]/EV_Data4[[#This Row],[range_miles]]</f>
        <v>311.3827485380117</v>
      </c>
      <c r="AA1961" s="2">
        <f>(EV_Data4[[#This Row],[customer_rating]]*EV_Data4[[#This Row],[safety_rating]]*1000)/EV_Data4[[#This Row],[price_usd]]</f>
        <v>0.24715262707654689</v>
      </c>
      <c r="AB1961">
        <f>EV_Data4[[#This Row],[horsepower]]+EV_Data4[[#This Row],[torque_nm]]/EV_Data4[[#This Row],[acceleration_0_60_mph]]</f>
        <v>603.125</v>
      </c>
      <c r="AC1961" t="str">
        <f>IF(EV_Data4[[#This Row],[price_usd]]&gt;=80000,"Luxury",IF(EV_Data4[[#This Row],[price_usd]]&gt;=40000,"Mid-Range","Budget"))</f>
        <v>Mid-Range</v>
      </c>
      <c r="AD1961" t="str">
        <f>IF(EV_Data4[[#This Row],[range_miles]]&gt;=350,"Long-Range",IF(EV_Data4[[#This Row],[range_miles]]&gt;=250,"Medium-Range","Short-Range"))</f>
        <v>Short-Range</v>
      </c>
      <c r="AE1961" t="str">
        <f>IF(EV_Data4[[#This Row],[charging_speed_kw]]&gt;=250,"Ultra-Fast",IF(EV_Data4[[#This Row],[charging_speed_kw]]&gt;=150,"Fast-Charging","Standard-Charging"))</f>
        <v>Standard-Charging</v>
      </c>
      <c r="AF1961" t="str">
        <f>IF(EV_Data4[[#This Row],[acceleration_0_60_mph]]&lt;=3,"SportsPerformance",IF(EV_Data4[[#This Row],[acceleration_0_60_mph]]&lt;=5,"HighPerformance","Standard"))</f>
        <v>Standard</v>
      </c>
      <c r="AG1961" t="str">
        <f>IF(EV_Data4[[#This Row],[customer_rating]]&gt;=4.5,"Excellent",IF(EV_Data4[[#This Row],[customer_rating]]&gt;=3.5,"Good","Average"))</f>
        <v>Average</v>
      </c>
      <c r="AH196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62" spans="1:34" x14ac:dyDescent="0.3">
      <c r="A1962" t="s">
        <v>46</v>
      </c>
      <c r="B1962" t="s">
        <v>57</v>
      </c>
      <c r="C1962">
        <v>2025</v>
      </c>
      <c r="D1962" t="s">
        <v>33</v>
      </c>
      <c r="E1962" s="3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48</v>
      </c>
      <c r="N1962">
        <v>5</v>
      </c>
      <c r="O1962" t="s">
        <v>35</v>
      </c>
      <c r="P1962">
        <v>49.2</v>
      </c>
      <c r="Q1962">
        <v>1951</v>
      </c>
      <c r="R1962">
        <v>4</v>
      </c>
      <c r="S1962">
        <v>2</v>
      </c>
      <c r="T1962" t="s">
        <v>41</v>
      </c>
      <c r="U1962" t="s">
        <v>30</v>
      </c>
      <c r="V1962" s="3">
        <v>199834</v>
      </c>
      <c r="W1962">
        <v>3.74</v>
      </c>
      <c r="X1962">
        <v>4</v>
      </c>
      <c r="Y1962" s="1">
        <f>EV_Data4[[#This Row],[range_miles]]/EV_Data4[[#This Row],[battery_capacity_kwh]]</f>
        <v>3.7301587301587302</v>
      </c>
      <c r="Z1962" s="4">
        <f>EV_Data4[[#This Row],[price_usd]]/EV_Data4[[#This Row],[range_miles]]</f>
        <v>939.26867021276598</v>
      </c>
      <c r="AA1962" s="2">
        <f>(EV_Data4[[#This Row],[customer_rating]]*EV_Data4[[#This Row],[safety_rating]]*1000)/EV_Data4[[#This Row],[price_usd]]</f>
        <v>8.4719602184836984E-2</v>
      </c>
      <c r="AB1962">
        <f>EV_Data4[[#This Row],[horsepower]]+EV_Data4[[#This Row],[torque_nm]]/EV_Data4[[#This Row],[acceleration_0_60_mph]]</f>
        <v>1145.5573505654281</v>
      </c>
      <c r="AC1962" t="str">
        <f>IF(EV_Data4[[#This Row],[price_usd]]&gt;=80000,"Luxury",IF(EV_Data4[[#This Row],[price_usd]]&gt;=40000,"Mid-Range","Budget"))</f>
        <v>Luxury</v>
      </c>
      <c r="AD1962" t="str">
        <f>IF(EV_Data4[[#This Row],[range_miles]]&gt;=350,"Long-Range",IF(EV_Data4[[#This Row],[range_miles]]&gt;=250,"Medium-Range","Short-Range"))</f>
        <v>Short-Range</v>
      </c>
      <c r="AE1962" t="str">
        <f>IF(EV_Data4[[#This Row],[charging_speed_kw]]&gt;=250,"Ultra-Fast",IF(EV_Data4[[#This Row],[charging_speed_kw]]&gt;=150,"Fast-Charging","Standard-Charging"))</f>
        <v>Fast-Charging</v>
      </c>
      <c r="AF1962" t="str">
        <f>IF(EV_Data4[[#This Row],[acceleration_0_60_mph]]&lt;=3,"SportsPerformance",IF(EV_Data4[[#This Row],[acceleration_0_60_mph]]&lt;=5,"HighPerformance","Standard"))</f>
        <v>Standard</v>
      </c>
      <c r="AG1962" t="str">
        <f>IF(EV_Data4[[#This Row],[customer_rating]]&gt;=4.5,"Excellent",IF(EV_Data4[[#This Row],[customer_rating]]&gt;=3.5,"Good","Average"))</f>
        <v>Good</v>
      </c>
      <c r="AH196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63" spans="1:34" x14ac:dyDescent="0.3">
      <c r="A1963" t="s">
        <v>24</v>
      </c>
      <c r="B1963" t="s">
        <v>70</v>
      </c>
      <c r="C1963">
        <v>2023</v>
      </c>
      <c r="D1963" t="s">
        <v>44</v>
      </c>
      <c r="E1963" s="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34</v>
      </c>
      <c r="N1963">
        <v>7</v>
      </c>
      <c r="O1963" t="s">
        <v>51</v>
      </c>
      <c r="P1963">
        <v>25</v>
      </c>
      <c r="Q1963">
        <v>1665</v>
      </c>
      <c r="R1963">
        <v>5</v>
      </c>
      <c r="S1963">
        <v>0</v>
      </c>
      <c r="T1963" t="s">
        <v>29</v>
      </c>
      <c r="U1963" t="s">
        <v>33</v>
      </c>
      <c r="V1963" s="3">
        <v>204287</v>
      </c>
      <c r="W1963">
        <v>3.97</v>
      </c>
      <c r="X1963">
        <v>4</v>
      </c>
      <c r="Y1963" s="1">
        <f>EV_Data4[[#This Row],[range_miles]]/EV_Data4[[#This Row],[battery_capacity_kwh]]</f>
        <v>3.7076271186440675</v>
      </c>
      <c r="Z1963" s="4">
        <f>EV_Data4[[#This Row],[price_usd]]/EV_Data4[[#This Row],[range_miles]]</f>
        <v>224.72522857142857</v>
      </c>
      <c r="AA1963" s="2">
        <f>(EV_Data4[[#This Row],[customer_rating]]*EV_Data4[[#This Row],[safety_rating]]*1000)/EV_Data4[[#This Row],[price_usd]]</f>
        <v>0.25237168997364784</v>
      </c>
      <c r="AB1963">
        <f>EV_Data4[[#This Row],[horsepower]]+EV_Data4[[#This Row],[torque_nm]]/EV_Data4[[#This Row],[acceleration_0_60_mph]]</f>
        <v>977.46547884187078</v>
      </c>
      <c r="AC1963" t="str">
        <f>IF(EV_Data4[[#This Row],[price_usd]]&gt;=80000,"Luxury",IF(EV_Data4[[#This Row],[price_usd]]&gt;=40000,"Mid-Range","Budget"))</f>
        <v>Mid-Range</v>
      </c>
      <c r="AD1963" t="str">
        <f>IF(EV_Data4[[#This Row],[range_miles]]&gt;=350,"Long-Range",IF(EV_Data4[[#This Row],[range_miles]]&gt;=250,"Medium-Range","Short-Range"))</f>
        <v>Long-Range</v>
      </c>
      <c r="AE1963" t="str">
        <f>IF(EV_Data4[[#This Row],[charging_speed_kw]]&gt;=250,"Ultra-Fast",IF(EV_Data4[[#This Row],[charging_speed_kw]]&gt;=150,"Fast-Charging","Standard-Charging"))</f>
        <v>Standard-Charging</v>
      </c>
      <c r="AF1963" t="str">
        <f>IF(EV_Data4[[#This Row],[acceleration_0_60_mph]]&lt;=3,"SportsPerformance",IF(EV_Data4[[#This Row],[acceleration_0_60_mph]]&lt;=5,"HighPerformance","Standard"))</f>
        <v>HighPerformance</v>
      </c>
      <c r="AG1963" t="str">
        <f>IF(EV_Data4[[#This Row],[customer_rating]]&gt;=4.5,"Excellent",IF(EV_Data4[[#This Row],[customer_rating]]&gt;=3.5,"Good","Average"))</f>
        <v>Good</v>
      </c>
      <c r="AH1963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64" spans="1:34" x14ac:dyDescent="0.3">
      <c r="A1964" t="s">
        <v>52</v>
      </c>
      <c r="B1964" t="s">
        <v>97</v>
      </c>
      <c r="C1964">
        <v>2024</v>
      </c>
      <c r="D1964" t="s">
        <v>61</v>
      </c>
      <c r="E1964" s="3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34</v>
      </c>
      <c r="N1964">
        <v>7</v>
      </c>
      <c r="O1964" t="s">
        <v>40</v>
      </c>
      <c r="P1964">
        <v>60.8</v>
      </c>
      <c r="Q1964">
        <v>1500</v>
      </c>
      <c r="R1964">
        <v>4</v>
      </c>
      <c r="S1964">
        <v>2</v>
      </c>
      <c r="T1964" t="s">
        <v>29</v>
      </c>
      <c r="U1964" t="s">
        <v>30</v>
      </c>
      <c r="V1964" s="3">
        <v>59376</v>
      </c>
      <c r="W1964">
        <v>3.82</v>
      </c>
      <c r="X1964">
        <v>8</v>
      </c>
      <c r="Y1964" s="1">
        <f>EV_Data4[[#This Row],[range_miles]]/EV_Data4[[#This Row],[battery_capacity_kwh]]</f>
        <v>3.3619631901840492</v>
      </c>
      <c r="Z1964" s="4">
        <f>EV_Data4[[#This Row],[price_usd]]/EV_Data4[[#This Row],[range_miles]]</f>
        <v>414.91857664233578</v>
      </c>
      <c r="AA1964" s="2">
        <f>(EV_Data4[[#This Row],[customer_rating]]*EV_Data4[[#This Row],[safety_rating]]*1000)/EV_Data4[[#This Row],[price_usd]]</f>
        <v>0.1344032937954848</v>
      </c>
      <c r="AB1964">
        <f>EV_Data4[[#This Row],[horsepower]]+EV_Data4[[#This Row],[torque_nm]]/EV_Data4[[#This Row],[acceleration_0_60_mph]]</f>
        <v>722.3016905071521</v>
      </c>
      <c r="AC1964" t="str">
        <f>IF(EV_Data4[[#This Row],[price_usd]]&gt;=80000,"Luxury",IF(EV_Data4[[#This Row],[price_usd]]&gt;=40000,"Mid-Range","Budget"))</f>
        <v>Luxury</v>
      </c>
      <c r="AD1964" t="str">
        <f>IF(EV_Data4[[#This Row],[range_miles]]&gt;=350,"Long-Range",IF(EV_Data4[[#This Row],[range_miles]]&gt;=250,"Medium-Range","Short-Range"))</f>
        <v>Medium-Range</v>
      </c>
      <c r="AE1964" t="str">
        <f>IF(EV_Data4[[#This Row],[charging_speed_kw]]&gt;=250,"Ultra-Fast",IF(EV_Data4[[#This Row],[charging_speed_kw]]&gt;=150,"Fast-Charging","Standard-Charging"))</f>
        <v>Standard-Charging</v>
      </c>
      <c r="AF1964" t="str">
        <f>IF(EV_Data4[[#This Row],[acceleration_0_60_mph]]&lt;=3,"SportsPerformance",IF(EV_Data4[[#This Row],[acceleration_0_60_mph]]&lt;=5,"HighPerformance","Standard"))</f>
        <v>Standard</v>
      </c>
      <c r="AG1964" t="str">
        <f>IF(EV_Data4[[#This Row],[customer_rating]]&gt;=4.5,"Excellent",IF(EV_Data4[[#This Row],[customer_rating]]&gt;=3.5,"Good","Average"))</f>
        <v>Good</v>
      </c>
      <c r="AH1964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65" spans="1:34" x14ac:dyDescent="0.3">
      <c r="A1965" t="s">
        <v>24</v>
      </c>
      <c r="B1965" t="s">
        <v>70</v>
      </c>
      <c r="C1965">
        <v>2024</v>
      </c>
      <c r="D1965" t="s">
        <v>26</v>
      </c>
      <c r="E1965" s="3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27</v>
      </c>
      <c r="N1965">
        <v>5</v>
      </c>
      <c r="O1965" t="s">
        <v>51</v>
      </c>
      <c r="P1965">
        <v>36</v>
      </c>
      <c r="Q1965">
        <v>1750</v>
      </c>
      <c r="R1965">
        <v>4</v>
      </c>
      <c r="S1965">
        <v>1</v>
      </c>
      <c r="T1965" t="s">
        <v>29</v>
      </c>
      <c r="U1965" t="s">
        <v>37</v>
      </c>
      <c r="V1965" s="3">
        <v>274419</v>
      </c>
      <c r="W1965">
        <v>3.18</v>
      </c>
      <c r="X1965">
        <v>4</v>
      </c>
      <c r="Y1965" s="1">
        <f>EV_Data4[[#This Row],[range_miles]]/EV_Data4[[#This Row],[battery_capacity_kwh]]</f>
        <v>3.1274131274131274</v>
      </c>
      <c r="Z1965" s="4">
        <f>EV_Data4[[#This Row],[price_usd]]/EV_Data4[[#This Row],[range_miles]]</f>
        <v>251.17823045267488</v>
      </c>
      <c r="AA1965" s="2">
        <f>(EV_Data4[[#This Row],[customer_rating]]*EV_Data4[[#This Row],[safety_rating]]*1000)/EV_Data4[[#This Row],[price_usd]]</f>
        <v>0.2084005405962451</v>
      </c>
      <c r="AB1965">
        <f>EV_Data4[[#This Row],[horsepower]]+EV_Data4[[#This Row],[torque_nm]]/EV_Data4[[#This Row],[acceleration_0_60_mph]]</f>
        <v>771.71847507331381</v>
      </c>
      <c r="AC1965" t="str">
        <f>IF(EV_Data4[[#This Row],[price_usd]]&gt;=80000,"Luxury",IF(EV_Data4[[#This Row],[price_usd]]&gt;=40000,"Mid-Range","Budget"))</f>
        <v>Mid-Range</v>
      </c>
      <c r="AD1965" t="str">
        <f>IF(EV_Data4[[#This Row],[range_miles]]&gt;=350,"Long-Range",IF(EV_Data4[[#This Row],[range_miles]]&gt;=250,"Medium-Range","Short-Range"))</f>
        <v>Short-Range</v>
      </c>
      <c r="AE1965" t="str">
        <f>IF(EV_Data4[[#This Row],[charging_speed_kw]]&gt;=250,"Ultra-Fast",IF(EV_Data4[[#This Row],[charging_speed_kw]]&gt;=150,"Fast-Charging","Standard-Charging"))</f>
        <v>Fast-Charging</v>
      </c>
      <c r="AF1965" t="str">
        <f>IF(EV_Data4[[#This Row],[acceleration_0_60_mph]]&lt;=3,"SportsPerformance",IF(EV_Data4[[#This Row],[acceleration_0_60_mph]]&lt;=5,"HighPerformance","Standard"))</f>
        <v>HighPerformance</v>
      </c>
      <c r="AG1965" t="str">
        <f>IF(EV_Data4[[#This Row],[customer_rating]]&gt;=4.5,"Excellent",IF(EV_Data4[[#This Row],[customer_rating]]&gt;=3.5,"Good","Average"))</f>
        <v>Average</v>
      </c>
      <c r="AH196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66" spans="1:34" x14ac:dyDescent="0.3">
      <c r="A1966" t="s">
        <v>42</v>
      </c>
      <c r="B1966" t="s">
        <v>115</v>
      </c>
      <c r="C1966">
        <v>2026</v>
      </c>
      <c r="D1966" t="s">
        <v>26</v>
      </c>
      <c r="E1966" s="3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48</v>
      </c>
      <c r="N1966">
        <v>5</v>
      </c>
      <c r="O1966" t="s">
        <v>58</v>
      </c>
      <c r="P1966">
        <v>34.700000000000003</v>
      </c>
      <c r="Q1966">
        <v>1581</v>
      </c>
      <c r="R1966">
        <v>3</v>
      </c>
      <c r="S1966">
        <v>0</v>
      </c>
      <c r="T1966" t="s">
        <v>45</v>
      </c>
      <c r="U1966" t="s">
        <v>37</v>
      </c>
      <c r="V1966" s="3">
        <v>141318</v>
      </c>
      <c r="W1966">
        <v>3.75</v>
      </c>
      <c r="X1966">
        <v>3</v>
      </c>
      <c r="Y1966" s="1">
        <f>EV_Data4[[#This Row],[range_miles]]/EV_Data4[[#This Row],[battery_capacity_kwh]]</f>
        <v>3.719512195121951</v>
      </c>
      <c r="Z1966" s="4">
        <f>EV_Data4[[#This Row],[price_usd]]/EV_Data4[[#This Row],[range_miles]]</f>
        <v>127.93251366120219</v>
      </c>
      <c r="AA1966" s="2">
        <f>(EV_Data4[[#This Row],[customer_rating]]*EV_Data4[[#This Row],[safety_rating]]*1000)/EV_Data4[[#This Row],[price_usd]]</f>
        <v>0.24026499627322292</v>
      </c>
      <c r="AB1966">
        <f>EV_Data4[[#This Row],[horsepower]]+EV_Data4[[#This Row],[torque_nm]]/EV_Data4[[#This Row],[acceleration_0_60_mph]]</f>
        <v>612.87341772151899</v>
      </c>
      <c r="AC1966" t="str">
        <f>IF(EV_Data4[[#This Row],[price_usd]]&gt;=80000,"Luxury",IF(EV_Data4[[#This Row],[price_usd]]&gt;=40000,"Mid-Range","Budget"))</f>
        <v>Mid-Range</v>
      </c>
      <c r="AD1966" t="str">
        <f>IF(EV_Data4[[#This Row],[range_miles]]&gt;=350,"Long-Range",IF(EV_Data4[[#This Row],[range_miles]]&gt;=250,"Medium-Range","Short-Range"))</f>
        <v>Long-Range</v>
      </c>
      <c r="AE1966" t="str">
        <f>IF(EV_Data4[[#This Row],[charging_speed_kw]]&gt;=250,"Ultra-Fast",IF(EV_Data4[[#This Row],[charging_speed_kw]]&gt;=150,"Fast-Charging","Standard-Charging"))</f>
        <v>Fast-Charging</v>
      </c>
      <c r="AF1966" t="str">
        <f>IF(EV_Data4[[#This Row],[acceleration_0_60_mph]]&lt;=3,"SportsPerformance",IF(EV_Data4[[#This Row],[acceleration_0_60_mph]]&lt;=5,"HighPerformance","Standard"))</f>
        <v>HighPerformance</v>
      </c>
      <c r="AG1966" t="str">
        <f>IF(EV_Data4[[#This Row],[customer_rating]]&gt;=4.5,"Excellent",IF(EV_Data4[[#This Row],[customer_rating]]&gt;=3.5,"Good","Average"))</f>
        <v>Good</v>
      </c>
      <c r="AH1966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67" spans="1:34" x14ac:dyDescent="0.3">
      <c r="A1967" t="s">
        <v>42</v>
      </c>
      <c r="B1967" t="s">
        <v>71</v>
      </c>
      <c r="C1967">
        <v>2022</v>
      </c>
      <c r="D1967" t="s">
        <v>44</v>
      </c>
      <c r="E1967" s="3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34</v>
      </c>
      <c r="N1967">
        <v>5</v>
      </c>
      <c r="O1967" t="s">
        <v>35</v>
      </c>
      <c r="P1967">
        <v>41.4</v>
      </c>
      <c r="Q1967">
        <v>1901</v>
      </c>
      <c r="R1967">
        <v>5</v>
      </c>
      <c r="S1967">
        <v>2</v>
      </c>
      <c r="T1967" t="s">
        <v>45</v>
      </c>
      <c r="U1967" t="s">
        <v>33</v>
      </c>
      <c r="V1967" s="3">
        <v>128389</v>
      </c>
      <c r="W1967">
        <v>3.38</v>
      </c>
      <c r="X1967">
        <v>4</v>
      </c>
      <c r="Y1967" s="1">
        <f>EV_Data4[[#This Row],[range_miles]]/EV_Data4[[#This Row],[battery_capacity_kwh]]</f>
        <v>3.0826271186440675</v>
      </c>
      <c r="Z1967" s="4">
        <f>EV_Data4[[#This Row],[price_usd]]/EV_Data4[[#This Row],[range_miles]]</f>
        <v>252.99683848797252</v>
      </c>
      <c r="AA1967" s="2">
        <f>(EV_Data4[[#This Row],[customer_rating]]*EV_Data4[[#This Row],[safety_rating]]*1000)/EV_Data4[[#This Row],[price_usd]]</f>
        <v>0.22955070000738909</v>
      </c>
      <c r="AB1967">
        <f>EV_Data4[[#This Row],[horsepower]]+EV_Data4[[#This Row],[torque_nm]]/EV_Data4[[#This Row],[acceleration_0_60_mph]]</f>
        <v>1037.5721393034826</v>
      </c>
      <c r="AC1967" t="str">
        <f>IF(EV_Data4[[#This Row],[price_usd]]&gt;=80000,"Luxury",IF(EV_Data4[[#This Row],[price_usd]]&gt;=40000,"Mid-Range","Budget"))</f>
        <v>Mid-Range</v>
      </c>
      <c r="AD1967" t="str">
        <f>IF(EV_Data4[[#This Row],[range_miles]]&gt;=350,"Long-Range",IF(EV_Data4[[#This Row],[range_miles]]&gt;=250,"Medium-Range","Short-Range"))</f>
        <v>Medium-Range</v>
      </c>
      <c r="AE1967" t="str">
        <f>IF(EV_Data4[[#This Row],[charging_speed_kw]]&gt;=250,"Ultra-Fast",IF(EV_Data4[[#This Row],[charging_speed_kw]]&gt;=150,"Fast-Charging","Standard-Charging"))</f>
        <v>Standard-Charging</v>
      </c>
      <c r="AF1967" t="str">
        <f>IF(EV_Data4[[#This Row],[acceleration_0_60_mph]]&lt;=3,"SportsPerformance",IF(EV_Data4[[#This Row],[acceleration_0_60_mph]]&lt;=5,"HighPerformance","Standard"))</f>
        <v>HighPerformance</v>
      </c>
      <c r="AG1967" t="str">
        <f>IF(EV_Data4[[#This Row],[customer_rating]]&gt;=4.5,"Excellent",IF(EV_Data4[[#This Row],[customer_rating]]&gt;=3.5,"Good","Average"))</f>
        <v>Average</v>
      </c>
      <c r="AH196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68" spans="1:34" x14ac:dyDescent="0.3">
      <c r="A1968" t="s">
        <v>46</v>
      </c>
      <c r="B1968" t="s">
        <v>72</v>
      </c>
      <c r="C1968">
        <v>2026</v>
      </c>
      <c r="D1968" t="s">
        <v>26</v>
      </c>
      <c r="E1968" s="3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48</v>
      </c>
      <c r="N1968">
        <v>5</v>
      </c>
      <c r="O1968" t="s">
        <v>28</v>
      </c>
      <c r="P1968">
        <v>73.400000000000006</v>
      </c>
      <c r="Q1968">
        <v>2486</v>
      </c>
      <c r="R1968">
        <v>5</v>
      </c>
      <c r="S1968">
        <v>2</v>
      </c>
      <c r="T1968" t="s">
        <v>41</v>
      </c>
      <c r="U1968" t="s">
        <v>33</v>
      </c>
      <c r="V1968" s="3">
        <v>166507</v>
      </c>
      <c r="W1968">
        <v>3.89</v>
      </c>
      <c r="X1968">
        <v>4</v>
      </c>
      <c r="Y1968" s="1">
        <f>EV_Data4[[#This Row],[range_miles]]/EV_Data4[[#This Row],[battery_capacity_kwh]]</f>
        <v>3.3647058823529412</v>
      </c>
      <c r="Z1968" s="4">
        <f>EV_Data4[[#This Row],[price_usd]]/EV_Data4[[#This Row],[range_miles]]</f>
        <v>245.4565034965035</v>
      </c>
      <c r="AA1968" s="2">
        <f>(EV_Data4[[#This Row],[customer_rating]]*EV_Data4[[#This Row],[safety_rating]]*1000)/EV_Data4[[#This Row],[price_usd]]</f>
        <v>0.27706331687382552</v>
      </c>
      <c r="AB1968">
        <f>EV_Data4[[#This Row],[horsepower]]+EV_Data4[[#This Row],[torque_nm]]/EV_Data4[[#This Row],[acceleration_0_60_mph]]</f>
        <v>618</v>
      </c>
      <c r="AC1968" t="str">
        <f>IF(EV_Data4[[#This Row],[price_usd]]&gt;=80000,"Luxury",IF(EV_Data4[[#This Row],[price_usd]]&gt;=40000,"Mid-Range","Budget"))</f>
        <v>Mid-Range</v>
      </c>
      <c r="AD1968" t="str">
        <f>IF(EV_Data4[[#This Row],[range_miles]]&gt;=350,"Long-Range",IF(EV_Data4[[#This Row],[range_miles]]&gt;=250,"Medium-Range","Short-Range"))</f>
        <v>Medium-Range</v>
      </c>
      <c r="AE1968" t="str">
        <f>IF(EV_Data4[[#This Row],[charging_speed_kw]]&gt;=250,"Ultra-Fast",IF(EV_Data4[[#This Row],[charging_speed_kw]]&gt;=150,"Fast-Charging","Standard-Charging"))</f>
        <v>Fast-Charging</v>
      </c>
      <c r="AF1968" t="str">
        <f>IF(EV_Data4[[#This Row],[acceleration_0_60_mph]]&lt;=3,"SportsPerformance",IF(EV_Data4[[#This Row],[acceleration_0_60_mph]]&lt;=5,"HighPerformance","Standard"))</f>
        <v>HighPerformance</v>
      </c>
      <c r="AG1968" t="str">
        <f>IF(EV_Data4[[#This Row],[customer_rating]]&gt;=4.5,"Excellent",IF(EV_Data4[[#This Row],[customer_rating]]&gt;=3.5,"Good","Average"))</f>
        <v>Good</v>
      </c>
      <c r="AH196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69" spans="1:34" x14ac:dyDescent="0.3">
      <c r="A1969" t="s">
        <v>24</v>
      </c>
      <c r="B1969" t="s">
        <v>75</v>
      </c>
      <c r="C1969">
        <v>2025</v>
      </c>
      <c r="D1969" t="s">
        <v>26</v>
      </c>
      <c r="E1969" s="3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27</v>
      </c>
      <c r="N1969">
        <v>7</v>
      </c>
      <c r="O1969" t="s">
        <v>40</v>
      </c>
      <c r="P1969">
        <v>72.5</v>
      </c>
      <c r="Q1969">
        <v>1665</v>
      </c>
      <c r="R1969">
        <v>5</v>
      </c>
      <c r="S1969">
        <v>0</v>
      </c>
      <c r="T1969" t="s">
        <v>29</v>
      </c>
      <c r="U1969" t="s">
        <v>33</v>
      </c>
      <c r="V1969" s="3">
        <v>261533</v>
      </c>
      <c r="W1969">
        <v>3.15</v>
      </c>
      <c r="X1969">
        <v>3</v>
      </c>
      <c r="Y1969" s="1">
        <f>EV_Data4[[#This Row],[range_miles]]/EV_Data4[[#This Row],[battery_capacity_kwh]]</f>
        <v>3.8193548387096774</v>
      </c>
      <c r="Z1969" s="4">
        <f>EV_Data4[[#This Row],[price_usd]]/EV_Data4[[#This Row],[range_miles]]</f>
        <v>293.02432432432431</v>
      </c>
      <c r="AA1969" s="2">
        <f>(EV_Data4[[#This Row],[customer_rating]]*EV_Data4[[#This Row],[safety_rating]]*1000)/EV_Data4[[#This Row],[price_usd]]</f>
        <v>0.18158717567953958</v>
      </c>
      <c r="AB1969">
        <f>EV_Data4[[#This Row],[horsepower]]+EV_Data4[[#This Row],[torque_nm]]/EV_Data4[[#This Row],[acceleration_0_60_mph]]</f>
        <v>1170.1276102088168</v>
      </c>
      <c r="AC1969" t="str">
        <f>IF(EV_Data4[[#This Row],[price_usd]]&gt;=80000,"Luxury",IF(EV_Data4[[#This Row],[price_usd]]&gt;=40000,"Mid-Range","Budget"))</f>
        <v>Luxury</v>
      </c>
      <c r="AD1969" t="str">
        <f>IF(EV_Data4[[#This Row],[range_miles]]&gt;=350,"Long-Range",IF(EV_Data4[[#This Row],[range_miles]]&gt;=250,"Medium-Range","Short-Range"))</f>
        <v>Medium-Range</v>
      </c>
      <c r="AE1969" t="str">
        <f>IF(EV_Data4[[#This Row],[charging_speed_kw]]&gt;=250,"Ultra-Fast",IF(EV_Data4[[#This Row],[charging_speed_kw]]&gt;=150,"Fast-Charging","Standard-Charging"))</f>
        <v>Fast-Charging</v>
      </c>
      <c r="AF1969" t="str">
        <f>IF(EV_Data4[[#This Row],[acceleration_0_60_mph]]&lt;=3,"SportsPerformance",IF(EV_Data4[[#This Row],[acceleration_0_60_mph]]&lt;=5,"HighPerformance","Standard"))</f>
        <v>HighPerformance</v>
      </c>
      <c r="AG1969" t="str">
        <f>IF(EV_Data4[[#This Row],[customer_rating]]&gt;=4.5,"Excellent",IF(EV_Data4[[#This Row],[customer_rating]]&gt;=3.5,"Good","Average"))</f>
        <v>Average</v>
      </c>
      <c r="AH196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70" spans="1:34" x14ac:dyDescent="0.3">
      <c r="A1970" t="s">
        <v>63</v>
      </c>
      <c r="B1970" t="s">
        <v>88</v>
      </c>
      <c r="C1970">
        <v>2024</v>
      </c>
      <c r="D1970" t="s">
        <v>33</v>
      </c>
      <c r="E1970" s="3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27</v>
      </c>
      <c r="N1970">
        <v>7</v>
      </c>
      <c r="O1970" t="s">
        <v>28</v>
      </c>
      <c r="P1970">
        <v>53.1</v>
      </c>
      <c r="Q1970">
        <v>2431</v>
      </c>
      <c r="R1970">
        <v>5</v>
      </c>
      <c r="S1970">
        <v>0</v>
      </c>
      <c r="T1970" t="s">
        <v>65</v>
      </c>
      <c r="U1970" t="s">
        <v>30</v>
      </c>
      <c r="V1970" s="3">
        <v>226549</v>
      </c>
      <c r="W1970">
        <v>3.32</v>
      </c>
      <c r="X1970">
        <v>5</v>
      </c>
      <c r="Y1970" s="1">
        <f>EV_Data4[[#This Row],[range_miles]]/EV_Data4[[#This Row],[battery_capacity_kwh]]</f>
        <v>3.6538461538461537</v>
      </c>
      <c r="Z1970" s="4">
        <f>EV_Data4[[#This Row],[price_usd]]/EV_Data4[[#This Row],[range_miles]]</f>
        <v>504.50650717703348</v>
      </c>
      <c r="AA1970" s="2">
        <f>(EV_Data4[[#This Row],[customer_rating]]*EV_Data4[[#This Row],[safety_rating]]*1000)/EV_Data4[[#This Row],[price_usd]]</f>
        <v>0.15743273117526566</v>
      </c>
      <c r="AB1970">
        <f>EV_Data4[[#This Row],[horsepower]]+EV_Data4[[#This Row],[torque_nm]]/EV_Data4[[#This Row],[acceleration_0_60_mph]]</f>
        <v>1139.1304347826087</v>
      </c>
      <c r="AC1970" t="str">
        <f>IF(EV_Data4[[#This Row],[price_usd]]&gt;=80000,"Luxury",IF(EV_Data4[[#This Row],[price_usd]]&gt;=40000,"Mid-Range","Budget"))</f>
        <v>Luxury</v>
      </c>
      <c r="AD1970" t="str">
        <f>IF(EV_Data4[[#This Row],[range_miles]]&gt;=350,"Long-Range",IF(EV_Data4[[#This Row],[range_miles]]&gt;=250,"Medium-Range","Short-Range"))</f>
        <v>Short-Range</v>
      </c>
      <c r="AE1970" t="str">
        <f>IF(EV_Data4[[#This Row],[charging_speed_kw]]&gt;=250,"Ultra-Fast",IF(EV_Data4[[#This Row],[charging_speed_kw]]&gt;=150,"Fast-Charging","Standard-Charging"))</f>
        <v>Standard-Charging</v>
      </c>
      <c r="AF1970" t="str">
        <f>IF(EV_Data4[[#This Row],[acceleration_0_60_mph]]&lt;=3,"SportsPerformance",IF(EV_Data4[[#This Row],[acceleration_0_60_mph]]&lt;=5,"HighPerformance","Standard"))</f>
        <v>Standard</v>
      </c>
      <c r="AG1970" t="str">
        <f>IF(EV_Data4[[#This Row],[customer_rating]]&gt;=4.5,"Excellent",IF(EV_Data4[[#This Row],[customer_rating]]&gt;=3.5,"Good","Average"))</f>
        <v>Average</v>
      </c>
      <c r="AH197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71" spans="1:34" x14ac:dyDescent="0.3">
      <c r="A1971" t="s">
        <v>46</v>
      </c>
      <c r="B1971" t="s">
        <v>72</v>
      </c>
      <c r="C1971">
        <v>2025</v>
      </c>
      <c r="D1971" t="s">
        <v>56</v>
      </c>
      <c r="E1971" s="3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27</v>
      </c>
      <c r="N1971">
        <v>5</v>
      </c>
      <c r="O1971" t="s">
        <v>28</v>
      </c>
      <c r="P1971">
        <v>52.7</v>
      </c>
      <c r="Q1971">
        <v>2705</v>
      </c>
      <c r="R1971">
        <v>4</v>
      </c>
      <c r="S1971">
        <v>2</v>
      </c>
      <c r="T1971" t="s">
        <v>41</v>
      </c>
      <c r="U1971" t="s">
        <v>33</v>
      </c>
      <c r="V1971" s="3">
        <v>221459</v>
      </c>
      <c r="W1971">
        <v>3.6</v>
      </c>
      <c r="X1971">
        <v>5</v>
      </c>
      <c r="Y1971" s="1">
        <f>EV_Data4[[#This Row],[range_miles]]/EV_Data4[[#This Row],[battery_capacity_kwh]]</f>
        <v>3.4607645875251509</v>
      </c>
      <c r="Z1971" s="4">
        <f>EV_Data4[[#This Row],[price_usd]]/EV_Data4[[#This Row],[range_miles]]</f>
        <v>570.38558139534882</v>
      </c>
      <c r="AA1971" s="2">
        <f>(EV_Data4[[#This Row],[customer_rating]]*EV_Data4[[#This Row],[safety_rating]]*1000)/EV_Data4[[#This Row],[price_usd]]</f>
        <v>0.14677953469256619</v>
      </c>
      <c r="AB1971">
        <f>EV_Data4[[#This Row],[horsepower]]+EV_Data4[[#This Row],[torque_nm]]/EV_Data4[[#This Row],[acceleration_0_60_mph]]</f>
        <v>754</v>
      </c>
      <c r="AC1971" t="str">
        <f>IF(EV_Data4[[#This Row],[price_usd]]&gt;=80000,"Luxury",IF(EV_Data4[[#This Row],[price_usd]]&gt;=40000,"Mid-Range","Budget"))</f>
        <v>Luxury</v>
      </c>
      <c r="AD1971" t="str">
        <f>IF(EV_Data4[[#This Row],[range_miles]]&gt;=350,"Long-Range",IF(EV_Data4[[#This Row],[range_miles]]&gt;=250,"Medium-Range","Short-Range"))</f>
        <v>Short-Range</v>
      </c>
      <c r="AE1971" t="str">
        <f>IF(EV_Data4[[#This Row],[charging_speed_kw]]&gt;=250,"Ultra-Fast",IF(EV_Data4[[#This Row],[charging_speed_kw]]&gt;=150,"Fast-Charging","Standard-Charging"))</f>
        <v>Fast-Charging</v>
      </c>
      <c r="AF1971" t="str">
        <f>IF(EV_Data4[[#This Row],[acceleration_0_60_mph]]&lt;=3,"SportsPerformance",IF(EV_Data4[[#This Row],[acceleration_0_60_mph]]&lt;=5,"HighPerformance","Standard"))</f>
        <v>Standard</v>
      </c>
      <c r="AG1971" t="str">
        <f>IF(EV_Data4[[#This Row],[customer_rating]]&gt;=4.5,"Excellent",IF(EV_Data4[[#This Row],[customer_rating]]&gt;=3.5,"Good","Average"))</f>
        <v>Good</v>
      </c>
      <c r="AH1971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72" spans="1:34" x14ac:dyDescent="0.3">
      <c r="A1972" t="s">
        <v>46</v>
      </c>
      <c r="B1972" t="s">
        <v>47</v>
      </c>
      <c r="C1972">
        <v>2024</v>
      </c>
      <c r="D1972" t="s">
        <v>33</v>
      </c>
      <c r="E1972" s="3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48</v>
      </c>
      <c r="N1972">
        <v>7</v>
      </c>
      <c r="O1972" t="s">
        <v>28</v>
      </c>
      <c r="P1972">
        <v>77.7</v>
      </c>
      <c r="Q1972">
        <v>2712</v>
      </c>
      <c r="R1972">
        <v>3</v>
      </c>
      <c r="S1972">
        <v>2</v>
      </c>
      <c r="T1972" t="s">
        <v>41</v>
      </c>
      <c r="U1972" t="s">
        <v>30</v>
      </c>
      <c r="V1972" s="3">
        <v>244654</v>
      </c>
      <c r="W1972">
        <v>3.62</v>
      </c>
      <c r="X1972">
        <v>6</v>
      </c>
      <c r="Y1972" s="1">
        <f>EV_Data4[[#This Row],[range_miles]]/EV_Data4[[#This Row],[battery_capacity_kwh]]</f>
        <v>3.5402906208718625</v>
      </c>
      <c r="Z1972" s="4">
        <f>EV_Data4[[#This Row],[price_usd]]/EV_Data4[[#This Row],[range_miles]]</f>
        <v>479.36694029850747</v>
      </c>
      <c r="AA1972" s="2">
        <f>(EV_Data4[[#This Row],[customer_rating]]*EV_Data4[[#This Row],[safety_rating]]*1000)/EV_Data4[[#This Row],[price_usd]]</f>
        <v>8.45331303707922E-2</v>
      </c>
      <c r="AB1972">
        <f>EV_Data4[[#This Row],[horsepower]]+EV_Data4[[#This Row],[torque_nm]]/EV_Data4[[#This Row],[acceleration_0_60_mph]]</f>
        <v>1026.249651324965</v>
      </c>
      <c r="AC1972" t="str">
        <f>IF(EV_Data4[[#This Row],[price_usd]]&gt;=80000,"Luxury",IF(EV_Data4[[#This Row],[price_usd]]&gt;=40000,"Mid-Range","Budget"))</f>
        <v>Luxury</v>
      </c>
      <c r="AD1972" t="str">
        <f>IF(EV_Data4[[#This Row],[range_miles]]&gt;=350,"Long-Range",IF(EV_Data4[[#This Row],[range_miles]]&gt;=250,"Medium-Range","Short-Range"))</f>
        <v>Medium-Range</v>
      </c>
      <c r="AE1972" t="str">
        <f>IF(EV_Data4[[#This Row],[charging_speed_kw]]&gt;=250,"Ultra-Fast",IF(EV_Data4[[#This Row],[charging_speed_kw]]&gt;=150,"Fast-Charging","Standard-Charging"))</f>
        <v>Ultra-Fast</v>
      </c>
      <c r="AF1972" t="str">
        <f>IF(EV_Data4[[#This Row],[acceleration_0_60_mph]]&lt;=3,"SportsPerformance",IF(EV_Data4[[#This Row],[acceleration_0_60_mph]]&lt;=5,"HighPerformance","Standard"))</f>
        <v>Standard</v>
      </c>
      <c r="AG1972" t="str">
        <f>IF(EV_Data4[[#This Row],[customer_rating]]&gt;=4.5,"Excellent",IF(EV_Data4[[#This Row],[customer_rating]]&gt;=3.5,"Good","Average"))</f>
        <v>Good</v>
      </c>
      <c r="AH197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73" spans="1:34" x14ac:dyDescent="0.3">
      <c r="A1973" t="s">
        <v>52</v>
      </c>
      <c r="B1973" t="s">
        <v>103</v>
      </c>
      <c r="C1973">
        <v>2025</v>
      </c>
      <c r="D1973" t="s">
        <v>33</v>
      </c>
      <c r="E1973" s="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48</v>
      </c>
      <c r="N1973">
        <v>5</v>
      </c>
      <c r="O1973" t="s">
        <v>58</v>
      </c>
      <c r="P1973">
        <v>21.4</v>
      </c>
      <c r="Q1973">
        <v>1500</v>
      </c>
      <c r="R1973">
        <v>4</v>
      </c>
      <c r="S1973">
        <v>1</v>
      </c>
      <c r="T1973" t="s">
        <v>29</v>
      </c>
      <c r="U1973" t="s">
        <v>33</v>
      </c>
      <c r="V1973" s="3">
        <v>22464</v>
      </c>
      <c r="W1973">
        <v>3.52</v>
      </c>
      <c r="X1973">
        <v>5</v>
      </c>
      <c r="Y1973" s="1">
        <f>EV_Data4[[#This Row],[range_miles]]/EV_Data4[[#This Row],[battery_capacity_kwh]]</f>
        <v>3.4310344827586206</v>
      </c>
      <c r="Z1973" s="4">
        <f>EV_Data4[[#This Row],[price_usd]]/EV_Data4[[#This Row],[range_miles]]</f>
        <v>464.36</v>
      </c>
      <c r="AA1973" s="2">
        <f>(EV_Data4[[#This Row],[customer_rating]]*EV_Data4[[#This Row],[safety_rating]]*1000)/EV_Data4[[#This Row],[price_usd]]</f>
        <v>0.15236835395861209</v>
      </c>
      <c r="AB1973">
        <f>EV_Data4[[#This Row],[horsepower]]+EV_Data4[[#This Row],[torque_nm]]/EV_Data4[[#This Row],[acceleration_0_60_mph]]</f>
        <v>433.93442622950818</v>
      </c>
      <c r="AC1973" t="str">
        <f>IF(EV_Data4[[#This Row],[price_usd]]&gt;=80000,"Luxury",IF(EV_Data4[[#This Row],[price_usd]]&gt;=40000,"Mid-Range","Budget"))</f>
        <v>Luxury</v>
      </c>
      <c r="AD1973" t="str">
        <f>IF(EV_Data4[[#This Row],[range_miles]]&gt;=350,"Long-Range",IF(EV_Data4[[#This Row],[range_miles]]&gt;=250,"Medium-Range","Short-Range"))</f>
        <v>Short-Range</v>
      </c>
      <c r="AE1973" t="str">
        <f>IF(EV_Data4[[#This Row],[charging_speed_kw]]&gt;=250,"Ultra-Fast",IF(EV_Data4[[#This Row],[charging_speed_kw]]&gt;=150,"Fast-Charging","Standard-Charging"))</f>
        <v>Standard-Charging</v>
      </c>
      <c r="AF1973" t="str">
        <f>IF(EV_Data4[[#This Row],[acceleration_0_60_mph]]&lt;=3,"SportsPerformance",IF(EV_Data4[[#This Row],[acceleration_0_60_mph]]&lt;=5,"HighPerformance","Standard"))</f>
        <v>Standard</v>
      </c>
      <c r="AG1973" t="str">
        <f>IF(EV_Data4[[#This Row],[customer_rating]]&gt;=4.5,"Excellent",IF(EV_Data4[[#This Row],[customer_rating]]&gt;=3.5,"Good","Average"))</f>
        <v>Good</v>
      </c>
      <c r="AH197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74" spans="1:34" x14ac:dyDescent="0.3">
      <c r="A1974" t="s">
        <v>63</v>
      </c>
      <c r="B1974" t="s">
        <v>96</v>
      </c>
      <c r="C1974">
        <v>2022</v>
      </c>
      <c r="D1974" t="s">
        <v>56</v>
      </c>
      <c r="E1974" s="3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34</v>
      </c>
      <c r="N1974">
        <v>5</v>
      </c>
      <c r="O1974" t="s">
        <v>35</v>
      </c>
      <c r="P1974">
        <v>45.2</v>
      </c>
      <c r="Q1974">
        <v>2283</v>
      </c>
      <c r="R1974">
        <v>4</v>
      </c>
      <c r="S1974">
        <v>0</v>
      </c>
      <c r="T1974" t="s">
        <v>65</v>
      </c>
      <c r="U1974" t="s">
        <v>33</v>
      </c>
      <c r="V1974" s="3">
        <v>210658</v>
      </c>
      <c r="W1974">
        <v>3.09</v>
      </c>
      <c r="X1974">
        <v>4</v>
      </c>
      <c r="Y1974" s="1">
        <f>EV_Data4[[#This Row],[range_miles]]/EV_Data4[[#This Row],[battery_capacity_kwh]]</f>
        <v>3.3544303797468356</v>
      </c>
      <c r="Z1974" s="4">
        <f>EV_Data4[[#This Row],[price_usd]]/EV_Data4[[#This Row],[range_miles]]</f>
        <v>446.61371069182388</v>
      </c>
      <c r="AA1974" s="2">
        <f>(EV_Data4[[#This Row],[customer_rating]]*EV_Data4[[#This Row],[safety_rating]]*1000)/EV_Data4[[#This Row],[price_usd]]</f>
        <v>0.17405611873443738</v>
      </c>
      <c r="AB1974">
        <f>EV_Data4[[#This Row],[horsepower]]+EV_Data4[[#This Row],[torque_nm]]/EV_Data4[[#This Row],[acceleration_0_60_mph]]</f>
        <v>877.30927835051546</v>
      </c>
      <c r="AC1974" t="str">
        <f>IF(EV_Data4[[#This Row],[price_usd]]&gt;=80000,"Luxury",IF(EV_Data4[[#This Row],[price_usd]]&gt;=40000,"Mid-Range","Budget"))</f>
        <v>Mid-Range</v>
      </c>
      <c r="AD1974" t="str">
        <f>IF(EV_Data4[[#This Row],[range_miles]]&gt;=350,"Long-Range",IF(EV_Data4[[#This Row],[range_miles]]&gt;=250,"Medium-Range","Short-Range"))</f>
        <v>Short-Range</v>
      </c>
      <c r="AE1974" t="str">
        <f>IF(EV_Data4[[#This Row],[charging_speed_kw]]&gt;=250,"Ultra-Fast",IF(EV_Data4[[#This Row],[charging_speed_kw]]&gt;=150,"Fast-Charging","Standard-Charging"))</f>
        <v>Standard-Charging</v>
      </c>
      <c r="AF1974" t="str">
        <f>IF(EV_Data4[[#This Row],[acceleration_0_60_mph]]&lt;=3,"SportsPerformance",IF(EV_Data4[[#This Row],[acceleration_0_60_mph]]&lt;=5,"HighPerformance","Standard"))</f>
        <v>Standard</v>
      </c>
      <c r="AG1974" t="str">
        <f>IF(EV_Data4[[#This Row],[customer_rating]]&gt;=4.5,"Excellent",IF(EV_Data4[[#This Row],[customer_rating]]&gt;=3.5,"Good","Average"))</f>
        <v>Average</v>
      </c>
      <c r="AH197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75" spans="1:34" x14ac:dyDescent="0.3">
      <c r="A1975" t="s">
        <v>68</v>
      </c>
      <c r="B1975" t="s">
        <v>69</v>
      </c>
      <c r="C1975">
        <v>2025</v>
      </c>
      <c r="D1975" t="s">
        <v>44</v>
      </c>
      <c r="E1975" s="3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48</v>
      </c>
      <c r="N1975">
        <v>7</v>
      </c>
      <c r="O1975" t="s">
        <v>35</v>
      </c>
      <c r="P1975">
        <v>50.4</v>
      </c>
      <c r="Q1975">
        <v>1766</v>
      </c>
      <c r="R1975">
        <v>5</v>
      </c>
      <c r="S1975">
        <v>2</v>
      </c>
      <c r="T1975" t="s">
        <v>45</v>
      </c>
      <c r="U1975" t="s">
        <v>33</v>
      </c>
      <c r="V1975" s="3">
        <v>132728</v>
      </c>
      <c r="W1975">
        <v>3.62</v>
      </c>
      <c r="X1975">
        <v>4</v>
      </c>
      <c r="Y1975" s="1">
        <f>EV_Data4[[#This Row],[range_miles]]/EV_Data4[[#This Row],[battery_capacity_kwh]]</f>
        <v>3.4615384615384617</v>
      </c>
      <c r="Z1975" s="4">
        <f>EV_Data4[[#This Row],[price_usd]]/EV_Data4[[#This Row],[range_miles]]</f>
        <v>295.20469841269841</v>
      </c>
      <c r="AA1975" s="2">
        <f>(EV_Data4[[#This Row],[customer_rating]]*EV_Data4[[#This Row],[safety_rating]]*1000)/EV_Data4[[#This Row],[price_usd]]</f>
        <v>0.19464567389773554</v>
      </c>
      <c r="AB1975">
        <f>EV_Data4[[#This Row],[horsepower]]+EV_Data4[[#This Row],[torque_nm]]/EV_Data4[[#This Row],[acceleration_0_60_mph]]</f>
        <v>1173.7704918032787</v>
      </c>
      <c r="AC1975" t="str">
        <f>IF(EV_Data4[[#This Row],[price_usd]]&gt;=80000,"Luxury",IF(EV_Data4[[#This Row],[price_usd]]&gt;=40000,"Mid-Range","Budget"))</f>
        <v>Luxury</v>
      </c>
      <c r="AD1975" t="str">
        <f>IF(EV_Data4[[#This Row],[range_miles]]&gt;=350,"Long-Range",IF(EV_Data4[[#This Row],[range_miles]]&gt;=250,"Medium-Range","Short-Range"))</f>
        <v>Medium-Range</v>
      </c>
      <c r="AE1975" t="str">
        <f>IF(EV_Data4[[#This Row],[charging_speed_kw]]&gt;=250,"Ultra-Fast",IF(EV_Data4[[#This Row],[charging_speed_kw]]&gt;=150,"Fast-Charging","Standard-Charging"))</f>
        <v>Standard-Charging</v>
      </c>
      <c r="AF1975" t="str">
        <f>IF(EV_Data4[[#This Row],[acceleration_0_60_mph]]&lt;=3,"SportsPerformance",IF(EV_Data4[[#This Row],[acceleration_0_60_mph]]&lt;=5,"HighPerformance","Standard"))</f>
        <v>Standard</v>
      </c>
      <c r="AG1975" t="str">
        <f>IF(EV_Data4[[#This Row],[customer_rating]]&gt;=4.5,"Excellent",IF(EV_Data4[[#This Row],[customer_rating]]&gt;=3.5,"Good","Average"))</f>
        <v>Good</v>
      </c>
      <c r="AH197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76" spans="1:34" x14ac:dyDescent="0.3">
      <c r="A1976" t="s">
        <v>63</v>
      </c>
      <c r="B1976" t="s">
        <v>82</v>
      </c>
      <c r="C1976">
        <v>2023</v>
      </c>
      <c r="D1976" t="s">
        <v>61</v>
      </c>
      <c r="E1976" s="3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34</v>
      </c>
      <c r="N1976">
        <v>5</v>
      </c>
      <c r="O1976" t="s">
        <v>28</v>
      </c>
      <c r="P1976">
        <v>57.8</v>
      </c>
      <c r="Q1976">
        <v>2198</v>
      </c>
      <c r="R1976">
        <v>5</v>
      </c>
      <c r="S1976">
        <v>1</v>
      </c>
      <c r="T1976" t="s">
        <v>65</v>
      </c>
      <c r="U1976" t="s">
        <v>33</v>
      </c>
      <c r="V1976" s="3">
        <v>128075</v>
      </c>
      <c r="W1976">
        <v>3.77</v>
      </c>
      <c r="X1976">
        <v>5</v>
      </c>
      <c r="Y1976" s="1">
        <f>EV_Data4[[#This Row],[range_miles]]/EV_Data4[[#This Row],[battery_capacity_kwh]]</f>
        <v>3.3966745843230401</v>
      </c>
      <c r="Z1976" s="4">
        <f>EV_Data4[[#This Row],[price_usd]]/EV_Data4[[#This Row],[range_miles]]</f>
        <v>259.73583916083913</v>
      </c>
      <c r="AA1976" s="2">
        <f>(EV_Data4[[#This Row],[customer_rating]]*EV_Data4[[#This Row],[safety_rating]]*1000)/EV_Data4[[#This Row],[price_usd]]</f>
        <v>0.25375431870330872</v>
      </c>
      <c r="AB1976">
        <f>EV_Data4[[#This Row],[horsepower]]+EV_Data4[[#This Row],[torque_nm]]/EV_Data4[[#This Row],[acceleration_0_60_mph]]</f>
        <v>992.40619902120716</v>
      </c>
      <c r="AC1976" t="str">
        <f>IF(EV_Data4[[#This Row],[price_usd]]&gt;=80000,"Luxury",IF(EV_Data4[[#This Row],[price_usd]]&gt;=40000,"Mid-Range","Budget"))</f>
        <v>Mid-Range</v>
      </c>
      <c r="AD1976" t="str">
        <f>IF(EV_Data4[[#This Row],[range_miles]]&gt;=350,"Long-Range",IF(EV_Data4[[#This Row],[range_miles]]&gt;=250,"Medium-Range","Short-Range"))</f>
        <v>Medium-Range</v>
      </c>
      <c r="AE1976" t="str">
        <f>IF(EV_Data4[[#This Row],[charging_speed_kw]]&gt;=250,"Ultra-Fast",IF(EV_Data4[[#This Row],[charging_speed_kw]]&gt;=150,"Fast-Charging","Standard-Charging"))</f>
        <v>Standard-Charging</v>
      </c>
      <c r="AF1976" t="str">
        <f>IF(EV_Data4[[#This Row],[acceleration_0_60_mph]]&lt;=3,"SportsPerformance",IF(EV_Data4[[#This Row],[acceleration_0_60_mph]]&lt;=5,"HighPerformance","Standard"))</f>
        <v>Standard</v>
      </c>
      <c r="AG1976" t="str">
        <f>IF(EV_Data4[[#This Row],[customer_rating]]&gt;=4.5,"Excellent",IF(EV_Data4[[#This Row],[customer_rating]]&gt;=3.5,"Good","Average"))</f>
        <v>Good</v>
      </c>
      <c r="AH197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77" spans="1:34" x14ac:dyDescent="0.3">
      <c r="A1977" t="s">
        <v>92</v>
      </c>
      <c r="B1977" t="s">
        <v>93</v>
      </c>
      <c r="C1977">
        <v>2024</v>
      </c>
      <c r="D1977" t="s">
        <v>61</v>
      </c>
      <c r="E1977" s="3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34</v>
      </c>
      <c r="N1977">
        <v>7</v>
      </c>
      <c r="O1977" t="s">
        <v>35</v>
      </c>
      <c r="P1977">
        <v>36.6</v>
      </c>
      <c r="Q1977">
        <v>2102</v>
      </c>
      <c r="R1977">
        <v>5</v>
      </c>
      <c r="S1977">
        <v>0</v>
      </c>
      <c r="T1977" t="s">
        <v>65</v>
      </c>
      <c r="U1977" t="s">
        <v>33</v>
      </c>
      <c r="V1977" s="3">
        <v>24158</v>
      </c>
      <c r="W1977">
        <v>3.33</v>
      </c>
      <c r="X1977">
        <v>5</v>
      </c>
      <c r="Y1977" s="1">
        <f>EV_Data4[[#This Row],[range_miles]]/EV_Data4[[#This Row],[battery_capacity_kwh]]</f>
        <v>3.7837837837837842</v>
      </c>
      <c r="Z1977" s="4">
        <f>EV_Data4[[#This Row],[price_usd]]/EV_Data4[[#This Row],[range_miles]]</f>
        <v>309.75817460317461</v>
      </c>
      <c r="AA1977" s="2">
        <f>(EV_Data4[[#This Row],[customer_rating]]*EV_Data4[[#This Row],[safety_rating]]*1000)/EV_Data4[[#This Row],[price_usd]]</f>
        <v>0.21330003205265347</v>
      </c>
      <c r="AB1977">
        <f>EV_Data4[[#This Row],[horsepower]]+EV_Data4[[#This Row],[torque_nm]]/EV_Data4[[#This Row],[acceleration_0_60_mph]]</f>
        <v>756.16943521594681</v>
      </c>
      <c r="AC1977" t="str">
        <f>IF(EV_Data4[[#This Row],[price_usd]]&gt;=80000,"Luxury",IF(EV_Data4[[#This Row],[price_usd]]&gt;=40000,"Mid-Range","Budget"))</f>
        <v>Mid-Range</v>
      </c>
      <c r="AD1977" t="str">
        <f>IF(EV_Data4[[#This Row],[range_miles]]&gt;=350,"Long-Range",IF(EV_Data4[[#This Row],[range_miles]]&gt;=250,"Medium-Range","Short-Range"))</f>
        <v>Medium-Range</v>
      </c>
      <c r="AE1977" t="str">
        <f>IF(EV_Data4[[#This Row],[charging_speed_kw]]&gt;=250,"Ultra-Fast",IF(EV_Data4[[#This Row],[charging_speed_kw]]&gt;=150,"Fast-Charging","Standard-Charging"))</f>
        <v>Standard-Charging</v>
      </c>
      <c r="AF1977" t="str">
        <f>IF(EV_Data4[[#This Row],[acceleration_0_60_mph]]&lt;=3,"SportsPerformance",IF(EV_Data4[[#This Row],[acceleration_0_60_mph]]&lt;=5,"HighPerformance","Standard"))</f>
        <v>Standard</v>
      </c>
      <c r="AG1977" t="str">
        <f>IF(EV_Data4[[#This Row],[customer_rating]]&gt;=4.5,"Excellent",IF(EV_Data4[[#This Row],[customer_rating]]&gt;=3.5,"Good","Average"))</f>
        <v>Average</v>
      </c>
      <c r="AH1977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78" spans="1:34" x14ac:dyDescent="0.3">
      <c r="A1978" t="s">
        <v>63</v>
      </c>
      <c r="B1978" t="s">
        <v>64</v>
      </c>
      <c r="C1978">
        <v>2023</v>
      </c>
      <c r="D1978" t="s">
        <v>33</v>
      </c>
      <c r="E1978" s="3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27</v>
      </c>
      <c r="N1978">
        <v>5</v>
      </c>
      <c r="O1978" t="s">
        <v>58</v>
      </c>
      <c r="P1978">
        <v>31</v>
      </c>
      <c r="Q1978">
        <v>1504</v>
      </c>
      <c r="R1978">
        <v>5</v>
      </c>
      <c r="S1978">
        <v>2</v>
      </c>
      <c r="T1978" t="s">
        <v>65</v>
      </c>
      <c r="U1978" t="s">
        <v>30</v>
      </c>
      <c r="V1978" s="3">
        <v>128508</v>
      </c>
      <c r="W1978">
        <v>3.59</v>
      </c>
      <c r="X1978">
        <v>4</v>
      </c>
      <c r="Y1978" s="1">
        <f>EV_Data4[[#This Row],[range_miles]]/EV_Data4[[#This Row],[battery_capacity_kwh]]</f>
        <v>3.6137071651090342</v>
      </c>
      <c r="Z1978" s="4">
        <f>EV_Data4[[#This Row],[price_usd]]/EV_Data4[[#This Row],[range_miles]]</f>
        <v>471.76982758620693</v>
      </c>
      <c r="AA1978" s="2">
        <f>(EV_Data4[[#This Row],[customer_rating]]*EV_Data4[[#This Row],[safety_rating]]*1000)/EV_Data4[[#This Row],[price_usd]]</f>
        <v>0.16400092827266363</v>
      </c>
      <c r="AB1978">
        <f>EV_Data4[[#This Row],[horsepower]]+EV_Data4[[#This Row],[torque_nm]]/EV_Data4[[#This Row],[acceleration_0_60_mph]]</f>
        <v>1127.9202279202279</v>
      </c>
      <c r="AC1978" t="str">
        <f>IF(EV_Data4[[#This Row],[price_usd]]&gt;=80000,"Luxury",IF(EV_Data4[[#This Row],[price_usd]]&gt;=40000,"Mid-Range","Budget"))</f>
        <v>Luxury</v>
      </c>
      <c r="AD1978" t="str">
        <f>IF(EV_Data4[[#This Row],[range_miles]]&gt;=350,"Long-Range",IF(EV_Data4[[#This Row],[range_miles]]&gt;=250,"Medium-Range","Short-Range"))</f>
        <v>Short-Range</v>
      </c>
      <c r="AE1978" t="str">
        <f>IF(EV_Data4[[#This Row],[charging_speed_kw]]&gt;=250,"Ultra-Fast",IF(EV_Data4[[#This Row],[charging_speed_kw]]&gt;=150,"Fast-Charging","Standard-Charging"))</f>
        <v>Standard-Charging</v>
      </c>
      <c r="AF1978" t="str">
        <f>IF(EV_Data4[[#This Row],[acceleration_0_60_mph]]&lt;=3,"SportsPerformance",IF(EV_Data4[[#This Row],[acceleration_0_60_mph]]&lt;=5,"HighPerformance","Standard"))</f>
        <v>Standard</v>
      </c>
      <c r="AG1978" t="str">
        <f>IF(EV_Data4[[#This Row],[customer_rating]]&gt;=4.5,"Excellent",IF(EV_Data4[[#This Row],[customer_rating]]&gt;=3.5,"Good","Average"))</f>
        <v>Good</v>
      </c>
      <c r="AH1978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79" spans="1:34" x14ac:dyDescent="0.3">
      <c r="A1979" t="s">
        <v>24</v>
      </c>
      <c r="B1979" t="s">
        <v>85</v>
      </c>
      <c r="C1979">
        <v>2024</v>
      </c>
      <c r="D1979" t="s">
        <v>33</v>
      </c>
      <c r="E1979" s="3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27</v>
      </c>
      <c r="N1979">
        <v>7</v>
      </c>
      <c r="O1979" t="s">
        <v>51</v>
      </c>
      <c r="P1979">
        <v>32</v>
      </c>
      <c r="Q1979">
        <v>1737</v>
      </c>
      <c r="R1979">
        <v>3</v>
      </c>
      <c r="S1979">
        <v>1</v>
      </c>
      <c r="T1979" t="s">
        <v>29</v>
      </c>
      <c r="U1979" t="s">
        <v>37</v>
      </c>
      <c r="V1979" s="3">
        <v>222078</v>
      </c>
      <c r="W1979">
        <v>3.54</v>
      </c>
      <c r="X1979">
        <v>4</v>
      </c>
      <c r="Y1979" s="1">
        <f>EV_Data4[[#This Row],[range_miles]]/EV_Data4[[#This Row],[battery_capacity_kwh]]</f>
        <v>3.5885167464114835</v>
      </c>
      <c r="Z1979" s="4">
        <f>EV_Data4[[#This Row],[price_usd]]/EV_Data4[[#This Row],[range_miles]]</f>
        <v>330.33940000000001</v>
      </c>
      <c r="AA1979" s="2">
        <f>(EV_Data4[[#This Row],[customer_rating]]*EV_Data4[[#This Row],[safety_rating]]*1000)/EV_Data4[[#This Row],[price_usd]]</f>
        <v>0.21432502450509994</v>
      </c>
      <c r="AB1979">
        <f>EV_Data4[[#This Row],[horsepower]]+EV_Data4[[#This Row],[torque_nm]]/EV_Data4[[#This Row],[acceleration_0_60_mph]]</f>
        <v>546.35036496350369</v>
      </c>
      <c r="AC1979" t="str">
        <f>IF(EV_Data4[[#This Row],[price_usd]]&gt;=80000,"Luxury",IF(EV_Data4[[#This Row],[price_usd]]&gt;=40000,"Mid-Range","Budget"))</f>
        <v>Mid-Range</v>
      </c>
      <c r="AD1979" t="str">
        <f>IF(EV_Data4[[#This Row],[range_miles]]&gt;=350,"Long-Range",IF(EV_Data4[[#This Row],[range_miles]]&gt;=250,"Medium-Range","Short-Range"))</f>
        <v>Short-Range</v>
      </c>
      <c r="AE1979" t="str">
        <f>IF(EV_Data4[[#This Row],[charging_speed_kw]]&gt;=250,"Ultra-Fast",IF(EV_Data4[[#This Row],[charging_speed_kw]]&gt;=150,"Fast-Charging","Standard-Charging"))</f>
        <v>Standard-Charging</v>
      </c>
      <c r="AF1979" t="str">
        <f>IF(EV_Data4[[#This Row],[acceleration_0_60_mph]]&lt;=3,"SportsPerformance",IF(EV_Data4[[#This Row],[acceleration_0_60_mph]]&lt;=5,"HighPerformance","Standard"))</f>
        <v>Standard</v>
      </c>
      <c r="AG1979" t="str">
        <f>IF(EV_Data4[[#This Row],[customer_rating]]&gt;=4.5,"Excellent",IF(EV_Data4[[#This Row],[customer_rating]]&gt;=3.5,"Good","Average"))</f>
        <v>Good</v>
      </c>
      <c r="AH1979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80" spans="1:34" x14ac:dyDescent="0.3">
      <c r="A1980" t="s">
        <v>52</v>
      </c>
      <c r="B1980" t="s">
        <v>62</v>
      </c>
      <c r="C1980">
        <v>2025</v>
      </c>
      <c r="D1980" t="s">
        <v>44</v>
      </c>
      <c r="E1980" s="3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27</v>
      </c>
      <c r="N1980">
        <v>5</v>
      </c>
      <c r="O1980" t="s">
        <v>51</v>
      </c>
      <c r="P1980">
        <v>24.1</v>
      </c>
      <c r="Q1980">
        <v>1700</v>
      </c>
      <c r="R1980">
        <v>5</v>
      </c>
      <c r="S1980">
        <v>1</v>
      </c>
      <c r="T1980" t="s">
        <v>29</v>
      </c>
      <c r="U1980" t="s">
        <v>30</v>
      </c>
      <c r="V1980" s="3">
        <v>26785</v>
      </c>
      <c r="W1980">
        <v>3.93</v>
      </c>
      <c r="X1980">
        <v>7</v>
      </c>
      <c r="Y1980" s="1">
        <f>EV_Data4[[#This Row],[range_miles]]/EV_Data4[[#This Row],[battery_capacity_kwh]]</f>
        <v>3.3766233766233764</v>
      </c>
      <c r="Z1980" s="4">
        <f>EV_Data4[[#This Row],[price_usd]]/EV_Data4[[#This Row],[range_miles]]</f>
        <v>327.08599358974362</v>
      </c>
      <c r="AA1980" s="2">
        <f>(EV_Data4[[#This Row],[customer_rating]]*EV_Data4[[#This Row],[safety_rating]]*1000)/EV_Data4[[#This Row],[price_usd]]</f>
        <v>0.19255110418994145</v>
      </c>
      <c r="AB1980">
        <f>EV_Data4[[#This Row],[horsepower]]+EV_Data4[[#This Row],[torque_nm]]/EV_Data4[[#This Row],[acceleration_0_60_mph]]</f>
        <v>564.0462962962963</v>
      </c>
      <c r="AC1980" t="str">
        <f>IF(EV_Data4[[#This Row],[price_usd]]&gt;=80000,"Luxury",IF(EV_Data4[[#This Row],[price_usd]]&gt;=40000,"Mid-Range","Budget"))</f>
        <v>Luxury</v>
      </c>
      <c r="AD1980" t="str">
        <f>IF(EV_Data4[[#This Row],[range_miles]]&gt;=350,"Long-Range",IF(EV_Data4[[#This Row],[range_miles]]&gt;=250,"Medium-Range","Short-Range"))</f>
        <v>Medium-Range</v>
      </c>
      <c r="AE1980" t="str">
        <f>IF(EV_Data4[[#This Row],[charging_speed_kw]]&gt;=250,"Ultra-Fast",IF(EV_Data4[[#This Row],[charging_speed_kw]]&gt;=150,"Fast-Charging","Standard-Charging"))</f>
        <v>Standard-Charging</v>
      </c>
      <c r="AF1980" t="str">
        <f>IF(EV_Data4[[#This Row],[acceleration_0_60_mph]]&lt;=3,"SportsPerformance",IF(EV_Data4[[#This Row],[acceleration_0_60_mph]]&lt;=5,"HighPerformance","Standard"))</f>
        <v>HighPerformance</v>
      </c>
      <c r="AG1980" t="str">
        <f>IF(EV_Data4[[#This Row],[customer_rating]]&gt;=4.5,"Excellent",IF(EV_Data4[[#This Row],[customer_rating]]&gt;=3.5,"Good","Average"))</f>
        <v>Good</v>
      </c>
      <c r="AH1980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81" spans="1:34" x14ac:dyDescent="0.3">
      <c r="A1981" t="s">
        <v>52</v>
      </c>
      <c r="B1981" t="s">
        <v>126</v>
      </c>
      <c r="C1981">
        <v>2026</v>
      </c>
      <c r="D1981" t="s">
        <v>33</v>
      </c>
      <c r="E1981" s="3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34</v>
      </c>
      <c r="N1981">
        <v>5</v>
      </c>
      <c r="O1981" t="s">
        <v>50</v>
      </c>
      <c r="P1981">
        <v>37.5</v>
      </c>
      <c r="Q1981">
        <v>1500</v>
      </c>
      <c r="R1981">
        <v>3</v>
      </c>
      <c r="S1981">
        <v>1</v>
      </c>
      <c r="T1981" t="s">
        <v>29</v>
      </c>
      <c r="U1981" t="s">
        <v>33</v>
      </c>
      <c r="V1981" s="3">
        <v>49781</v>
      </c>
      <c r="W1981">
        <v>3.74</v>
      </c>
      <c r="X1981">
        <v>8</v>
      </c>
      <c r="Y1981" s="1">
        <f>EV_Data4[[#This Row],[range_miles]]/EV_Data4[[#This Row],[battery_capacity_kwh]]</f>
        <v>3.4348355663824606</v>
      </c>
      <c r="Z1981" s="4">
        <f>EV_Data4[[#This Row],[price_usd]]/EV_Data4[[#This Row],[range_miles]]</f>
        <v>330.80418439716311</v>
      </c>
      <c r="AA1981" s="2">
        <f>(EV_Data4[[#This Row],[customer_rating]]*EV_Data4[[#This Row],[safety_rating]]*1000)/EV_Data4[[#This Row],[price_usd]]</f>
        <v>0.12027427680535227</v>
      </c>
      <c r="AB1981">
        <f>EV_Data4[[#This Row],[horsepower]]+EV_Data4[[#This Row],[torque_nm]]/EV_Data4[[#This Row],[acceleration_0_60_mph]]</f>
        <v>511.92577597840756</v>
      </c>
      <c r="AC1981" t="str">
        <f>IF(EV_Data4[[#This Row],[price_usd]]&gt;=80000,"Luxury",IF(EV_Data4[[#This Row],[price_usd]]&gt;=40000,"Mid-Range","Budget"))</f>
        <v>Luxury</v>
      </c>
      <c r="AD1981" t="str">
        <f>IF(EV_Data4[[#This Row],[range_miles]]&gt;=350,"Long-Range",IF(EV_Data4[[#This Row],[range_miles]]&gt;=250,"Medium-Range","Short-Range"))</f>
        <v>Medium-Range</v>
      </c>
      <c r="AE1981" t="str">
        <f>IF(EV_Data4[[#This Row],[charging_speed_kw]]&gt;=250,"Ultra-Fast",IF(EV_Data4[[#This Row],[charging_speed_kw]]&gt;=150,"Fast-Charging","Standard-Charging"))</f>
        <v>Standard-Charging</v>
      </c>
      <c r="AF1981" t="str">
        <f>IF(EV_Data4[[#This Row],[acceleration_0_60_mph]]&lt;=3,"SportsPerformance",IF(EV_Data4[[#This Row],[acceleration_0_60_mph]]&lt;=5,"HighPerformance","Standard"))</f>
        <v>Standard</v>
      </c>
      <c r="AG1981" t="str">
        <f>IF(EV_Data4[[#This Row],[customer_rating]]&gt;=4.5,"Excellent",IF(EV_Data4[[#This Row],[customer_rating]]&gt;=3.5,"Good","Average"))</f>
        <v>Good</v>
      </c>
      <c r="AH1981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82" spans="1:34" x14ac:dyDescent="0.3">
      <c r="A1982" t="s">
        <v>46</v>
      </c>
      <c r="B1982" t="s">
        <v>78</v>
      </c>
      <c r="C1982">
        <v>2023</v>
      </c>
      <c r="D1982" t="s">
        <v>26</v>
      </c>
      <c r="E1982" s="3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48</v>
      </c>
      <c r="N1982">
        <v>5</v>
      </c>
      <c r="O1982" t="s">
        <v>40</v>
      </c>
      <c r="P1982">
        <v>66</v>
      </c>
      <c r="Q1982">
        <v>1822</v>
      </c>
      <c r="R1982">
        <v>5</v>
      </c>
      <c r="S1982">
        <v>2</v>
      </c>
      <c r="T1982" t="s">
        <v>41</v>
      </c>
      <c r="U1982" t="s">
        <v>30</v>
      </c>
      <c r="V1982" s="3">
        <v>146842</v>
      </c>
      <c r="W1982">
        <v>3.92</v>
      </c>
      <c r="X1982">
        <v>4</v>
      </c>
      <c r="Y1982" s="1">
        <f>EV_Data4[[#This Row],[range_miles]]/EV_Data4[[#This Row],[battery_capacity_kwh]]</f>
        <v>3.2572431957857768</v>
      </c>
      <c r="Z1982" s="4">
        <f>EV_Data4[[#This Row],[price_usd]]/EV_Data4[[#This Row],[range_miles]]</f>
        <v>443.30908355795151</v>
      </c>
      <c r="AA1982" s="2">
        <f>(EV_Data4[[#This Row],[customer_rating]]*EV_Data4[[#This Row],[safety_rating]]*1000)/EV_Data4[[#This Row],[price_usd]]</f>
        <v>0.11917235770410074</v>
      </c>
      <c r="AB1982">
        <f>EV_Data4[[#This Row],[horsepower]]+EV_Data4[[#This Row],[torque_nm]]/EV_Data4[[#This Row],[acceleration_0_60_mph]]</f>
        <v>1263.3540372670807</v>
      </c>
      <c r="AC1982" t="str">
        <f>IF(EV_Data4[[#This Row],[price_usd]]&gt;=80000,"Luxury",IF(EV_Data4[[#This Row],[price_usd]]&gt;=40000,"Mid-Range","Budget"))</f>
        <v>Luxury</v>
      </c>
      <c r="AD1982" t="str">
        <f>IF(EV_Data4[[#This Row],[range_miles]]&gt;=350,"Long-Range",IF(EV_Data4[[#This Row],[range_miles]]&gt;=250,"Medium-Range","Short-Range"))</f>
        <v>Long-Range</v>
      </c>
      <c r="AE1982" t="str">
        <f>IF(EV_Data4[[#This Row],[charging_speed_kw]]&gt;=250,"Ultra-Fast",IF(EV_Data4[[#This Row],[charging_speed_kw]]&gt;=150,"Fast-Charging","Standard-Charging"))</f>
        <v>Ultra-Fast</v>
      </c>
      <c r="AF1982" t="str">
        <f>IF(EV_Data4[[#This Row],[acceleration_0_60_mph]]&lt;=3,"SportsPerformance",IF(EV_Data4[[#This Row],[acceleration_0_60_mph]]&lt;=5,"HighPerformance","Standard"))</f>
        <v>HighPerformance</v>
      </c>
      <c r="AG1982" t="str">
        <f>IF(EV_Data4[[#This Row],[customer_rating]]&gt;=4.5,"Excellent",IF(EV_Data4[[#This Row],[customer_rating]]&gt;=3.5,"Good","Average"))</f>
        <v>Good</v>
      </c>
      <c r="AH198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83" spans="1:34" x14ac:dyDescent="0.3">
      <c r="A1983" t="s">
        <v>76</v>
      </c>
      <c r="B1983" t="s">
        <v>77</v>
      </c>
      <c r="C1983">
        <v>2025</v>
      </c>
      <c r="D1983" t="s">
        <v>44</v>
      </c>
      <c r="E1983" s="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34</v>
      </c>
      <c r="N1983">
        <v>5</v>
      </c>
      <c r="O1983" t="s">
        <v>58</v>
      </c>
      <c r="P1983">
        <v>25.1</v>
      </c>
      <c r="Q1983">
        <v>1557</v>
      </c>
      <c r="R1983">
        <v>5</v>
      </c>
      <c r="S1983">
        <v>1</v>
      </c>
      <c r="T1983" t="s">
        <v>41</v>
      </c>
      <c r="U1983" t="s">
        <v>37</v>
      </c>
      <c r="V1983" s="3">
        <v>34572</v>
      </c>
      <c r="W1983">
        <v>3.49</v>
      </c>
      <c r="X1983">
        <v>4</v>
      </c>
      <c r="Y1983" s="1">
        <f>EV_Data4[[#This Row],[range_miles]]/EV_Data4[[#This Row],[battery_capacity_kwh]]</f>
        <v>3.4486735870818914</v>
      </c>
      <c r="Z1983" s="4">
        <f>EV_Data4[[#This Row],[price_usd]]/EV_Data4[[#This Row],[range_miles]]</f>
        <v>208.15080267558528</v>
      </c>
      <c r="AA1983" s="2">
        <f>(EV_Data4[[#This Row],[customer_rating]]*EV_Data4[[#This Row],[safety_rating]]*1000)/EV_Data4[[#This Row],[price_usd]]</f>
        <v>0.28037943290729056</v>
      </c>
      <c r="AB1983">
        <f>EV_Data4[[#This Row],[horsepower]]+EV_Data4[[#This Row],[torque_nm]]/EV_Data4[[#This Row],[acceleration_0_60_mph]]</f>
        <v>792.89719626168221</v>
      </c>
      <c r="AC1983" t="str">
        <f>IF(EV_Data4[[#This Row],[price_usd]]&gt;=80000,"Luxury",IF(EV_Data4[[#This Row],[price_usd]]&gt;=40000,"Mid-Range","Budget"))</f>
        <v>Mid-Range</v>
      </c>
      <c r="AD1983" t="str">
        <f>IF(EV_Data4[[#This Row],[range_miles]]&gt;=350,"Long-Range",IF(EV_Data4[[#This Row],[range_miles]]&gt;=250,"Medium-Range","Short-Range"))</f>
        <v>Medium-Range</v>
      </c>
      <c r="AE1983" t="str">
        <f>IF(EV_Data4[[#This Row],[charging_speed_kw]]&gt;=250,"Ultra-Fast",IF(EV_Data4[[#This Row],[charging_speed_kw]]&gt;=150,"Fast-Charging","Standard-Charging"))</f>
        <v>Standard-Charging</v>
      </c>
      <c r="AF1983" t="str">
        <f>IF(EV_Data4[[#This Row],[acceleration_0_60_mph]]&lt;=3,"SportsPerformance",IF(EV_Data4[[#This Row],[acceleration_0_60_mph]]&lt;=5,"HighPerformance","Standard"))</f>
        <v>Standard</v>
      </c>
      <c r="AG1983" t="str">
        <f>IF(EV_Data4[[#This Row],[customer_rating]]&gt;=4.5,"Excellent",IF(EV_Data4[[#This Row],[customer_rating]]&gt;=3.5,"Good","Average"))</f>
        <v>Average</v>
      </c>
      <c r="AH1983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84" spans="1:34" x14ac:dyDescent="0.3">
      <c r="A1984" t="s">
        <v>68</v>
      </c>
      <c r="B1984" t="s">
        <v>106</v>
      </c>
      <c r="C1984">
        <v>2023</v>
      </c>
      <c r="D1984" t="s">
        <v>61</v>
      </c>
      <c r="E1984" s="3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34</v>
      </c>
      <c r="N1984">
        <v>5</v>
      </c>
      <c r="O1984" t="s">
        <v>40</v>
      </c>
      <c r="P1984">
        <v>60.1</v>
      </c>
      <c r="Q1984">
        <v>1644</v>
      </c>
      <c r="R1984">
        <v>3</v>
      </c>
      <c r="S1984">
        <v>0</v>
      </c>
      <c r="T1984" t="s">
        <v>45</v>
      </c>
      <c r="U1984" t="s">
        <v>37</v>
      </c>
      <c r="V1984" s="3">
        <v>84896</v>
      </c>
      <c r="W1984">
        <v>3.28</v>
      </c>
      <c r="X1984">
        <v>5</v>
      </c>
      <c r="Y1984" s="1">
        <f>EV_Data4[[#This Row],[range_miles]]/EV_Data4[[#This Row],[battery_capacity_kwh]]</f>
        <v>3.0057803468208095</v>
      </c>
      <c r="Z1984" s="4">
        <f>EV_Data4[[#This Row],[price_usd]]/EV_Data4[[#This Row],[range_miles]]</f>
        <v>354.71487179487178</v>
      </c>
      <c r="AA1984" s="2">
        <f>(EV_Data4[[#This Row],[customer_rating]]*EV_Data4[[#This Row],[safety_rating]]*1000)/EV_Data4[[#This Row],[price_usd]]</f>
        <v>0.17782429802774061</v>
      </c>
      <c r="AB1984">
        <f>EV_Data4[[#This Row],[horsepower]]+EV_Data4[[#This Row],[torque_nm]]/EV_Data4[[#This Row],[acceleration_0_60_mph]]</f>
        <v>775.27027027027032</v>
      </c>
      <c r="AC1984" t="str">
        <f>IF(EV_Data4[[#This Row],[price_usd]]&gt;=80000,"Luxury",IF(EV_Data4[[#This Row],[price_usd]]&gt;=40000,"Mid-Range","Budget"))</f>
        <v>Mid-Range</v>
      </c>
      <c r="AD1984" t="str">
        <f>IF(EV_Data4[[#This Row],[range_miles]]&gt;=350,"Long-Range",IF(EV_Data4[[#This Row],[range_miles]]&gt;=250,"Medium-Range","Short-Range"))</f>
        <v>Short-Range</v>
      </c>
      <c r="AE1984" t="str">
        <f>IF(EV_Data4[[#This Row],[charging_speed_kw]]&gt;=250,"Ultra-Fast",IF(EV_Data4[[#This Row],[charging_speed_kw]]&gt;=150,"Fast-Charging","Standard-Charging"))</f>
        <v>Standard-Charging</v>
      </c>
      <c r="AF1984" t="str">
        <f>IF(EV_Data4[[#This Row],[acceleration_0_60_mph]]&lt;=3,"SportsPerformance",IF(EV_Data4[[#This Row],[acceleration_0_60_mph]]&lt;=5,"HighPerformance","Standard"))</f>
        <v>Standard</v>
      </c>
      <c r="AG1984" t="str">
        <f>IF(EV_Data4[[#This Row],[customer_rating]]&gt;=4.5,"Excellent",IF(EV_Data4[[#This Row],[customer_rating]]&gt;=3.5,"Good","Average"))</f>
        <v>Average</v>
      </c>
      <c r="AH198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85" spans="1:34" x14ac:dyDescent="0.3">
      <c r="A1985" t="s">
        <v>68</v>
      </c>
      <c r="B1985" t="s">
        <v>90</v>
      </c>
      <c r="C1985">
        <v>2026</v>
      </c>
      <c r="D1985" t="s">
        <v>61</v>
      </c>
      <c r="E1985" s="3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27</v>
      </c>
      <c r="N1985">
        <v>5</v>
      </c>
      <c r="O1985" t="s">
        <v>35</v>
      </c>
      <c r="P1985">
        <v>43</v>
      </c>
      <c r="Q1985">
        <v>2264</v>
      </c>
      <c r="R1985">
        <v>3</v>
      </c>
      <c r="S1985">
        <v>1</v>
      </c>
      <c r="T1985" t="s">
        <v>45</v>
      </c>
      <c r="U1985" t="s">
        <v>37</v>
      </c>
      <c r="V1985" s="3">
        <v>64933</v>
      </c>
      <c r="W1985">
        <v>3.24</v>
      </c>
      <c r="X1985">
        <v>5</v>
      </c>
      <c r="Y1985" s="1">
        <f>EV_Data4[[#This Row],[range_miles]]/EV_Data4[[#This Row],[battery_capacity_kwh]]</f>
        <v>3.1238095238095238</v>
      </c>
      <c r="Z1985" s="4">
        <f>EV_Data4[[#This Row],[price_usd]]/EV_Data4[[#This Row],[range_miles]]</f>
        <v>227.17859756097562</v>
      </c>
      <c r="AA1985" s="2">
        <f>(EV_Data4[[#This Row],[customer_rating]]*EV_Data4[[#This Row],[safety_rating]]*1000)/EV_Data4[[#This Row],[price_usd]]</f>
        <v>0.26088854020246777</v>
      </c>
      <c r="AB1985">
        <f>EV_Data4[[#This Row],[horsepower]]+EV_Data4[[#This Row],[torque_nm]]/EV_Data4[[#This Row],[acceleration_0_60_mph]]</f>
        <v>292.73825503355704</v>
      </c>
      <c r="AC1985" t="str">
        <f>IF(EV_Data4[[#This Row],[price_usd]]&gt;=80000,"Luxury",IF(EV_Data4[[#This Row],[price_usd]]&gt;=40000,"Mid-Range","Budget"))</f>
        <v>Budget</v>
      </c>
      <c r="AD1985" t="str">
        <f>IF(EV_Data4[[#This Row],[range_miles]]&gt;=350,"Long-Range",IF(EV_Data4[[#This Row],[range_miles]]&gt;=250,"Medium-Range","Short-Range"))</f>
        <v>Short-Range</v>
      </c>
      <c r="AE1985" t="str">
        <f>IF(EV_Data4[[#This Row],[charging_speed_kw]]&gt;=250,"Ultra-Fast",IF(EV_Data4[[#This Row],[charging_speed_kw]]&gt;=150,"Fast-Charging","Standard-Charging"))</f>
        <v>Standard-Charging</v>
      </c>
      <c r="AF1985" t="str">
        <f>IF(EV_Data4[[#This Row],[acceleration_0_60_mph]]&lt;=3,"SportsPerformance",IF(EV_Data4[[#This Row],[acceleration_0_60_mph]]&lt;=5,"HighPerformance","Standard"))</f>
        <v>Standard</v>
      </c>
      <c r="AG1985" t="str">
        <f>IF(EV_Data4[[#This Row],[customer_rating]]&gt;=4.5,"Excellent",IF(EV_Data4[[#This Row],[customer_rating]]&gt;=3.5,"Good","Average"))</f>
        <v>Average</v>
      </c>
      <c r="AH1985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86" spans="1:34" x14ac:dyDescent="0.3">
      <c r="A1986" t="s">
        <v>46</v>
      </c>
      <c r="B1986" t="s">
        <v>72</v>
      </c>
      <c r="C1986">
        <v>2025</v>
      </c>
      <c r="D1986" t="s">
        <v>44</v>
      </c>
      <c r="E1986" s="3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48</v>
      </c>
      <c r="N1986">
        <v>5</v>
      </c>
      <c r="O1986" t="s">
        <v>28</v>
      </c>
      <c r="P1986">
        <v>58.1</v>
      </c>
      <c r="Q1986">
        <v>2592</v>
      </c>
      <c r="R1986">
        <v>5</v>
      </c>
      <c r="S1986">
        <v>2</v>
      </c>
      <c r="T1986" t="s">
        <v>41</v>
      </c>
      <c r="U1986" t="s">
        <v>37</v>
      </c>
      <c r="V1986" s="3">
        <v>240212</v>
      </c>
      <c r="W1986">
        <v>3.99</v>
      </c>
      <c r="X1986">
        <v>5</v>
      </c>
      <c r="Y1986" s="1">
        <f>EV_Data4[[#This Row],[range_miles]]/EV_Data4[[#This Row],[battery_capacity_kwh]]</f>
        <v>3.5504885993485344</v>
      </c>
      <c r="Z1986" s="4">
        <f>EV_Data4[[#This Row],[price_usd]]/EV_Data4[[#This Row],[range_miles]]</f>
        <v>139.83553516819572</v>
      </c>
      <c r="AA1986" s="2">
        <f>(EV_Data4[[#This Row],[customer_rating]]*EV_Data4[[#This Row],[safety_rating]]*1000)/EV_Data4[[#This Row],[price_usd]]</f>
        <v>0.43629235042826636</v>
      </c>
      <c r="AB1986">
        <f>EV_Data4[[#This Row],[horsepower]]+EV_Data4[[#This Row],[torque_nm]]/EV_Data4[[#This Row],[acceleration_0_60_mph]]</f>
        <v>400.98194945848377</v>
      </c>
      <c r="AC1986" t="str">
        <f>IF(EV_Data4[[#This Row],[price_usd]]&gt;=80000,"Luxury",IF(EV_Data4[[#This Row],[price_usd]]&gt;=40000,"Mid-Range","Budget"))</f>
        <v>Mid-Range</v>
      </c>
      <c r="AD1986" t="str">
        <f>IF(EV_Data4[[#This Row],[range_miles]]&gt;=350,"Long-Range",IF(EV_Data4[[#This Row],[range_miles]]&gt;=250,"Medium-Range","Short-Range"))</f>
        <v>Medium-Range</v>
      </c>
      <c r="AE1986" t="str">
        <f>IF(EV_Data4[[#This Row],[charging_speed_kw]]&gt;=250,"Ultra-Fast",IF(EV_Data4[[#This Row],[charging_speed_kw]]&gt;=150,"Fast-Charging","Standard-Charging"))</f>
        <v>Fast-Charging</v>
      </c>
      <c r="AF1986" t="str">
        <f>IF(EV_Data4[[#This Row],[acceleration_0_60_mph]]&lt;=3,"SportsPerformance",IF(EV_Data4[[#This Row],[acceleration_0_60_mph]]&lt;=5,"HighPerformance","Standard"))</f>
        <v>Standard</v>
      </c>
      <c r="AG1986" t="str">
        <f>IF(EV_Data4[[#This Row],[customer_rating]]&gt;=4.5,"Excellent",IF(EV_Data4[[#This Row],[customer_rating]]&gt;=3.5,"Good","Average"))</f>
        <v>Good</v>
      </c>
      <c r="AH1986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87" spans="1:34" x14ac:dyDescent="0.3">
      <c r="A1987" t="s">
        <v>46</v>
      </c>
      <c r="B1987" t="s">
        <v>49</v>
      </c>
      <c r="C1987">
        <v>2025</v>
      </c>
      <c r="D1987" t="s">
        <v>44</v>
      </c>
      <c r="E1987" s="3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27</v>
      </c>
      <c r="N1987">
        <v>7</v>
      </c>
      <c r="O1987" t="s">
        <v>50</v>
      </c>
      <c r="P1987">
        <v>37.4</v>
      </c>
      <c r="Q1987">
        <v>1644</v>
      </c>
      <c r="R1987">
        <v>4</v>
      </c>
      <c r="S1987">
        <v>2</v>
      </c>
      <c r="T1987" t="s">
        <v>41</v>
      </c>
      <c r="U1987" t="s">
        <v>30</v>
      </c>
      <c r="V1987" s="3">
        <v>410789</v>
      </c>
      <c r="W1987">
        <v>3.91</v>
      </c>
      <c r="X1987">
        <v>5</v>
      </c>
      <c r="Y1987" s="1">
        <f>EV_Data4[[#This Row],[range_miles]]/EV_Data4[[#This Row],[battery_capacity_kwh]]</f>
        <v>3.5679012345679011</v>
      </c>
      <c r="Z1987" s="4">
        <f>EV_Data4[[#This Row],[price_usd]]/EV_Data4[[#This Row],[range_miles]]</f>
        <v>373.51197231833913</v>
      </c>
      <c r="AA1987" s="2">
        <f>(EV_Data4[[#This Row],[customer_rating]]*EV_Data4[[#This Row],[safety_rating]]*1000)/EV_Data4[[#This Row],[price_usd]]</f>
        <v>0.14488865436607692</v>
      </c>
      <c r="AB1987">
        <f>EV_Data4[[#This Row],[horsepower]]+EV_Data4[[#This Row],[torque_nm]]/EV_Data4[[#This Row],[acceleration_0_60_mph]]</f>
        <v>903.82568807339453</v>
      </c>
      <c r="AC1987" t="str">
        <f>IF(EV_Data4[[#This Row],[price_usd]]&gt;=80000,"Luxury",IF(EV_Data4[[#This Row],[price_usd]]&gt;=40000,"Mid-Range","Budget"))</f>
        <v>Luxury</v>
      </c>
      <c r="AD1987" t="str">
        <f>IF(EV_Data4[[#This Row],[range_miles]]&gt;=350,"Long-Range",IF(EV_Data4[[#This Row],[range_miles]]&gt;=250,"Medium-Range","Short-Range"))</f>
        <v>Medium-Range</v>
      </c>
      <c r="AE1987" t="str">
        <f>IF(EV_Data4[[#This Row],[charging_speed_kw]]&gt;=250,"Ultra-Fast",IF(EV_Data4[[#This Row],[charging_speed_kw]]&gt;=150,"Fast-Charging","Standard-Charging"))</f>
        <v>Fast-Charging</v>
      </c>
      <c r="AF1987" t="str">
        <f>IF(EV_Data4[[#This Row],[acceleration_0_60_mph]]&lt;=3,"SportsPerformance",IF(EV_Data4[[#This Row],[acceleration_0_60_mph]]&lt;=5,"HighPerformance","Standard"))</f>
        <v>Standard</v>
      </c>
      <c r="AG1987" t="str">
        <f>IF(EV_Data4[[#This Row],[customer_rating]]&gt;=4.5,"Excellent",IF(EV_Data4[[#This Row],[customer_rating]]&gt;=3.5,"Good","Average"))</f>
        <v>Good</v>
      </c>
      <c r="AH198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88" spans="1:34" x14ac:dyDescent="0.3">
      <c r="A1988" t="s">
        <v>38</v>
      </c>
      <c r="B1988" t="s">
        <v>118</v>
      </c>
      <c r="C1988">
        <v>2020</v>
      </c>
      <c r="D1988" t="s">
        <v>44</v>
      </c>
      <c r="E1988" s="3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27</v>
      </c>
      <c r="N1988">
        <v>5</v>
      </c>
      <c r="O1988" t="s">
        <v>51</v>
      </c>
      <c r="P1988">
        <v>35.5</v>
      </c>
      <c r="Q1988">
        <v>1796</v>
      </c>
      <c r="R1988">
        <v>4</v>
      </c>
      <c r="S1988">
        <v>0</v>
      </c>
      <c r="T1988" t="s">
        <v>41</v>
      </c>
      <c r="U1988" t="s">
        <v>37</v>
      </c>
      <c r="V1988" s="3">
        <v>20824</v>
      </c>
      <c r="W1988">
        <v>3.63</v>
      </c>
      <c r="X1988">
        <v>3</v>
      </c>
      <c r="Y1988" s="1">
        <f>EV_Data4[[#This Row],[range_miles]]/EV_Data4[[#This Row],[battery_capacity_kwh]]</f>
        <v>3.5382830626450117</v>
      </c>
      <c r="Z1988" s="4">
        <f>EV_Data4[[#This Row],[price_usd]]/EV_Data4[[#This Row],[range_miles]]</f>
        <v>148.61567213114753</v>
      </c>
      <c r="AA1988" s="2">
        <f>(EV_Data4[[#This Row],[customer_rating]]*EV_Data4[[#This Row],[safety_rating]]*1000)/EV_Data4[[#This Row],[price_usd]]</f>
        <v>0.32033335848347305</v>
      </c>
      <c r="AB1988">
        <f>EV_Data4[[#This Row],[horsepower]]+EV_Data4[[#This Row],[torque_nm]]/EV_Data4[[#This Row],[acceleration_0_60_mph]]</f>
        <v>583.12096774193549</v>
      </c>
      <c r="AC1988" t="str">
        <f>IF(EV_Data4[[#This Row],[price_usd]]&gt;=80000,"Luxury",IF(EV_Data4[[#This Row],[price_usd]]&gt;=40000,"Mid-Range","Budget"))</f>
        <v>Mid-Range</v>
      </c>
      <c r="AD1988" t="str">
        <f>IF(EV_Data4[[#This Row],[range_miles]]&gt;=350,"Long-Range",IF(EV_Data4[[#This Row],[range_miles]]&gt;=250,"Medium-Range","Short-Range"))</f>
        <v>Medium-Range</v>
      </c>
      <c r="AE1988" t="str">
        <f>IF(EV_Data4[[#This Row],[charging_speed_kw]]&gt;=250,"Ultra-Fast",IF(EV_Data4[[#This Row],[charging_speed_kw]]&gt;=150,"Fast-Charging","Standard-Charging"))</f>
        <v>Standard-Charging</v>
      </c>
      <c r="AF1988" t="str">
        <f>IF(EV_Data4[[#This Row],[acceleration_0_60_mph]]&lt;=3,"SportsPerformance",IF(EV_Data4[[#This Row],[acceleration_0_60_mph]]&lt;=5,"HighPerformance","Standard"))</f>
        <v>HighPerformance</v>
      </c>
      <c r="AG1988" t="str">
        <f>IF(EV_Data4[[#This Row],[customer_rating]]&gt;=4.5,"Excellent",IF(EV_Data4[[#This Row],[customer_rating]]&gt;=3.5,"Good","Average"))</f>
        <v>Good</v>
      </c>
      <c r="AH198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89" spans="1:34" x14ac:dyDescent="0.3">
      <c r="A1989" t="s">
        <v>68</v>
      </c>
      <c r="B1989" t="s">
        <v>106</v>
      </c>
      <c r="C1989">
        <v>2023</v>
      </c>
      <c r="D1989" t="s">
        <v>44</v>
      </c>
      <c r="E1989" s="3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48</v>
      </c>
      <c r="N1989">
        <v>7</v>
      </c>
      <c r="O1989" t="s">
        <v>50</v>
      </c>
      <c r="P1989">
        <v>36.5</v>
      </c>
      <c r="Q1989">
        <v>1697</v>
      </c>
      <c r="R1989">
        <v>5</v>
      </c>
      <c r="S1989">
        <v>0</v>
      </c>
      <c r="T1989" t="s">
        <v>45</v>
      </c>
      <c r="U1989" t="s">
        <v>37</v>
      </c>
      <c r="V1989" s="3">
        <v>92151</v>
      </c>
      <c r="W1989">
        <v>3.69</v>
      </c>
      <c r="X1989">
        <v>4</v>
      </c>
      <c r="Y1989" s="1">
        <f>EV_Data4[[#This Row],[range_miles]]/EV_Data4[[#This Row],[battery_capacity_kwh]]</f>
        <v>3.7457434733257666</v>
      </c>
      <c r="Z1989" s="4">
        <f>EV_Data4[[#This Row],[price_usd]]/EV_Data4[[#This Row],[range_miles]]</f>
        <v>126.4790909090909</v>
      </c>
      <c r="AA1989" s="2">
        <f>(EV_Data4[[#This Row],[customer_rating]]*EV_Data4[[#This Row],[safety_rating]]*1000)/EV_Data4[[#This Row],[price_usd]]</f>
        <v>0.44204216291589699</v>
      </c>
      <c r="AB1989">
        <f>EV_Data4[[#This Row],[horsepower]]+EV_Data4[[#This Row],[torque_nm]]/EV_Data4[[#This Row],[acceleration_0_60_mph]]</f>
        <v>453.97440585009139</v>
      </c>
      <c r="AC1989" t="str">
        <f>IF(EV_Data4[[#This Row],[price_usd]]&gt;=80000,"Luxury",IF(EV_Data4[[#This Row],[price_usd]]&gt;=40000,"Mid-Range","Budget"))</f>
        <v>Mid-Range</v>
      </c>
      <c r="AD1989" t="str">
        <f>IF(EV_Data4[[#This Row],[range_miles]]&gt;=350,"Long-Range",IF(EV_Data4[[#This Row],[range_miles]]&gt;=250,"Medium-Range","Short-Range"))</f>
        <v>Medium-Range</v>
      </c>
      <c r="AE1989" t="str">
        <f>IF(EV_Data4[[#This Row],[charging_speed_kw]]&gt;=250,"Ultra-Fast",IF(EV_Data4[[#This Row],[charging_speed_kw]]&gt;=150,"Fast-Charging","Standard-Charging"))</f>
        <v>Standard-Charging</v>
      </c>
      <c r="AF1989" t="str">
        <f>IF(EV_Data4[[#This Row],[acceleration_0_60_mph]]&lt;=3,"SportsPerformance",IF(EV_Data4[[#This Row],[acceleration_0_60_mph]]&lt;=5,"HighPerformance","Standard"))</f>
        <v>Standard</v>
      </c>
      <c r="AG1989" t="str">
        <f>IF(EV_Data4[[#This Row],[customer_rating]]&gt;=4.5,"Excellent",IF(EV_Data4[[#This Row],[customer_rating]]&gt;=3.5,"Good","Average"))</f>
        <v>Good</v>
      </c>
      <c r="AH1989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90" spans="1:34" x14ac:dyDescent="0.3">
      <c r="A1990" t="s">
        <v>24</v>
      </c>
      <c r="B1990" t="s">
        <v>75</v>
      </c>
      <c r="C1990">
        <v>2026</v>
      </c>
      <c r="D1990" t="s">
        <v>56</v>
      </c>
      <c r="E1990" s="3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48</v>
      </c>
      <c r="N1990">
        <v>7</v>
      </c>
      <c r="O1990" t="s">
        <v>40</v>
      </c>
      <c r="P1990">
        <v>65.3</v>
      </c>
      <c r="Q1990">
        <v>1614</v>
      </c>
      <c r="R1990">
        <v>4</v>
      </c>
      <c r="S1990">
        <v>0</v>
      </c>
      <c r="T1990" t="s">
        <v>29</v>
      </c>
      <c r="U1990" t="s">
        <v>33</v>
      </c>
      <c r="V1990" s="3">
        <v>260693</v>
      </c>
      <c r="W1990">
        <v>3.66</v>
      </c>
      <c r="X1990">
        <v>5</v>
      </c>
      <c r="Y1990" s="1">
        <f>EV_Data4[[#This Row],[range_miles]]/EV_Data4[[#This Row],[battery_capacity_kwh]]</f>
        <v>3.5220125786163523</v>
      </c>
      <c r="Z1990" s="4">
        <f>EV_Data4[[#This Row],[price_usd]]/EV_Data4[[#This Row],[range_miles]]</f>
        <v>310.05553571428572</v>
      </c>
      <c r="AA1990" s="2">
        <f>(EV_Data4[[#This Row],[customer_rating]]*EV_Data4[[#This Row],[safety_rating]]*1000)/EV_Data4[[#This Row],[price_usd]]</f>
        <v>0.21079173028334208</v>
      </c>
      <c r="AB1990">
        <f>EV_Data4[[#This Row],[horsepower]]+EV_Data4[[#This Row],[torque_nm]]/EV_Data4[[#This Row],[acceleration_0_60_mph]]</f>
        <v>821.94169096209907</v>
      </c>
      <c r="AC1990" t="str">
        <f>IF(EV_Data4[[#This Row],[price_usd]]&gt;=80000,"Luxury",IF(EV_Data4[[#This Row],[price_usd]]&gt;=40000,"Mid-Range","Budget"))</f>
        <v>Mid-Range</v>
      </c>
      <c r="AD1990" t="str">
        <f>IF(EV_Data4[[#This Row],[range_miles]]&gt;=350,"Long-Range",IF(EV_Data4[[#This Row],[range_miles]]&gt;=250,"Medium-Range","Short-Range"))</f>
        <v>Short-Range</v>
      </c>
      <c r="AE1990" t="str">
        <f>IF(EV_Data4[[#This Row],[charging_speed_kw]]&gt;=250,"Ultra-Fast",IF(EV_Data4[[#This Row],[charging_speed_kw]]&gt;=150,"Fast-Charging","Standard-Charging"))</f>
        <v>Standard-Charging</v>
      </c>
      <c r="AF1990" t="str">
        <f>IF(EV_Data4[[#This Row],[acceleration_0_60_mph]]&lt;=3,"SportsPerformance",IF(EV_Data4[[#This Row],[acceleration_0_60_mph]]&lt;=5,"HighPerformance","Standard"))</f>
        <v>Standard</v>
      </c>
      <c r="AG1990" t="str">
        <f>IF(EV_Data4[[#This Row],[customer_rating]]&gt;=4.5,"Excellent",IF(EV_Data4[[#This Row],[customer_rating]]&gt;=3.5,"Good","Average"))</f>
        <v>Good</v>
      </c>
      <c r="AH1990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91" spans="1:34" x14ac:dyDescent="0.3">
      <c r="A1991" t="s">
        <v>38</v>
      </c>
      <c r="B1991" t="s">
        <v>102</v>
      </c>
      <c r="C1991">
        <v>2021</v>
      </c>
      <c r="D1991" t="s">
        <v>26</v>
      </c>
      <c r="E1991" s="3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27</v>
      </c>
      <c r="N1991">
        <v>5</v>
      </c>
      <c r="O1991" t="s">
        <v>35</v>
      </c>
      <c r="P1991">
        <v>59.1</v>
      </c>
      <c r="Q1991">
        <v>2129</v>
      </c>
      <c r="R1991">
        <v>5</v>
      </c>
      <c r="S1991">
        <v>0</v>
      </c>
      <c r="T1991" t="s">
        <v>41</v>
      </c>
      <c r="U1991" t="s">
        <v>33</v>
      </c>
      <c r="V1991" s="3">
        <v>12802</v>
      </c>
      <c r="W1991">
        <v>3.96</v>
      </c>
      <c r="X1991">
        <v>5</v>
      </c>
      <c r="Y1991" s="1">
        <f>EV_Data4[[#This Row],[range_miles]]/EV_Data4[[#This Row],[battery_capacity_kwh]]</f>
        <v>3.9306358381502888</v>
      </c>
      <c r="Z1991" s="4">
        <f>EV_Data4[[#This Row],[price_usd]]/EV_Data4[[#This Row],[range_miles]]</f>
        <v>193.1081176470588</v>
      </c>
      <c r="AA1991" s="2">
        <f>(EV_Data4[[#This Row],[customer_rating]]*EV_Data4[[#This Row],[safety_rating]]*1000)/EV_Data4[[#This Row],[price_usd]]</f>
        <v>0.30156833812694994</v>
      </c>
      <c r="AB1991">
        <f>EV_Data4[[#This Row],[horsepower]]+EV_Data4[[#This Row],[torque_nm]]/EV_Data4[[#This Row],[acceleration_0_60_mph]]</f>
        <v>1070.0886699507389</v>
      </c>
      <c r="AC1991" t="str">
        <f>IF(EV_Data4[[#This Row],[price_usd]]&gt;=80000,"Luxury",IF(EV_Data4[[#This Row],[price_usd]]&gt;=40000,"Mid-Range","Budget"))</f>
        <v>Mid-Range</v>
      </c>
      <c r="AD1991" t="str">
        <f>IF(EV_Data4[[#This Row],[range_miles]]&gt;=350,"Long-Range",IF(EV_Data4[[#This Row],[range_miles]]&gt;=250,"Medium-Range","Short-Range"))</f>
        <v>Medium-Range</v>
      </c>
      <c r="AE1991" t="str">
        <f>IF(EV_Data4[[#This Row],[charging_speed_kw]]&gt;=250,"Ultra-Fast",IF(EV_Data4[[#This Row],[charging_speed_kw]]&gt;=150,"Fast-Charging","Standard-Charging"))</f>
        <v>Fast-Charging</v>
      </c>
      <c r="AF1991" t="str">
        <f>IF(EV_Data4[[#This Row],[acceleration_0_60_mph]]&lt;=3,"SportsPerformance",IF(EV_Data4[[#This Row],[acceleration_0_60_mph]]&lt;=5,"HighPerformance","Standard"))</f>
        <v>HighPerformance</v>
      </c>
      <c r="AG1991" t="str">
        <f>IF(EV_Data4[[#This Row],[customer_rating]]&gt;=4.5,"Excellent",IF(EV_Data4[[#This Row],[customer_rating]]&gt;=3.5,"Good","Average"))</f>
        <v>Good</v>
      </c>
      <c r="AH199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92" spans="1:34" x14ac:dyDescent="0.3">
      <c r="A1992" t="s">
        <v>76</v>
      </c>
      <c r="B1992" t="s">
        <v>81</v>
      </c>
      <c r="C1992">
        <v>2025</v>
      </c>
      <c r="D1992" t="s">
        <v>56</v>
      </c>
      <c r="E1992" s="3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48</v>
      </c>
      <c r="N1992">
        <v>7</v>
      </c>
      <c r="O1992" t="s">
        <v>51</v>
      </c>
      <c r="P1992">
        <v>27.1</v>
      </c>
      <c r="Q1992">
        <v>1660</v>
      </c>
      <c r="R1992">
        <v>4</v>
      </c>
      <c r="S1992">
        <v>2</v>
      </c>
      <c r="T1992" t="s">
        <v>41</v>
      </c>
      <c r="U1992" t="s">
        <v>37</v>
      </c>
      <c r="V1992" s="3">
        <v>27087</v>
      </c>
      <c r="W1992">
        <v>3.6</v>
      </c>
      <c r="X1992">
        <v>5</v>
      </c>
      <c r="Y1992" s="1">
        <f>EV_Data4[[#This Row],[range_miles]]/EV_Data4[[#This Row],[battery_capacity_kwh]]</f>
        <v>3.2547864506627389</v>
      </c>
      <c r="Z1992" s="4">
        <f>EV_Data4[[#This Row],[price_usd]]/EV_Data4[[#This Row],[range_miles]]</f>
        <v>279.00610859728505</v>
      </c>
      <c r="AA1992" s="2">
        <f>(EV_Data4[[#This Row],[customer_rating]]*EV_Data4[[#This Row],[safety_rating]]*1000)/EV_Data4[[#This Row],[price_usd]]</f>
        <v>0.23353743532107749</v>
      </c>
      <c r="AB1992">
        <f>EV_Data4[[#This Row],[horsepower]]+EV_Data4[[#This Row],[torque_nm]]/EV_Data4[[#This Row],[acceleration_0_60_mph]]</f>
        <v>782.78886756238001</v>
      </c>
      <c r="AC1992" t="str">
        <f>IF(EV_Data4[[#This Row],[price_usd]]&gt;=80000,"Luxury",IF(EV_Data4[[#This Row],[price_usd]]&gt;=40000,"Mid-Range","Budget"))</f>
        <v>Mid-Range</v>
      </c>
      <c r="AD1992" t="str">
        <f>IF(EV_Data4[[#This Row],[range_miles]]&gt;=350,"Long-Range",IF(EV_Data4[[#This Row],[range_miles]]&gt;=250,"Medium-Range","Short-Range"))</f>
        <v>Short-Range</v>
      </c>
      <c r="AE1992" t="str">
        <f>IF(EV_Data4[[#This Row],[charging_speed_kw]]&gt;=250,"Ultra-Fast",IF(EV_Data4[[#This Row],[charging_speed_kw]]&gt;=150,"Fast-Charging","Standard-Charging"))</f>
        <v>Standard-Charging</v>
      </c>
      <c r="AF1992" t="str">
        <f>IF(EV_Data4[[#This Row],[acceleration_0_60_mph]]&lt;=3,"SportsPerformance",IF(EV_Data4[[#This Row],[acceleration_0_60_mph]]&lt;=5,"HighPerformance","Standard"))</f>
        <v>Standard</v>
      </c>
      <c r="AG1992" t="str">
        <f>IF(EV_Data4[[#This Row],[customer_rating]]&gt;=4.5,"Excellent",IF(EV_Data4[[#This Row],[customer_rating]]&gt;=3.5,"Good","Average"))</f>
        <v>Good</v>
      </c>
      <c r="AH1992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93" spans="1:34" x14ac:dyDescent="0.3">
      <c r="A1993" t="s">
        <v>46</v>
      </c>
      <c r="B1993" t="s">
        <v>47</v>
      </c>
      <c r="C1993">
        <v>2025</v>
      </c>
      <c r="D1993" t="s">
        <v>61</v>
      </c>
      <c r="E1993" s="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27</v>
      </c>
      <c r="N1993">
        <v>7</v>
      </c>
      <c r="O1993" t="s">
        <v>40</v>
      </c>
      <c r="P1993">
        <v>64.400000000000006</v>
      </c>
      <c r="Q1993">
        <v>1777</v>
      </c>
      <c r="R1993">
        <v>3</v>
      </c>
      <c r="S1993">
        <v>3</v>
      </c>
      <c r="T1993" t="s">
        <v>41</v>
      </c>
      <c r="U1993" t="s">
        <v>33</v>
      </c>
      <c r="V1993" s="3">
        <v>139369</v>
      </c>
      <c r="W1993">
        <v>3.74</v>
      </c>
      <c r="X1993">
        <v>5</v>
      </c>
      <c r="Y1993" s="1">
        <f>EV_Data4[[#This Row],[range_miles]]/EV_Data4[[#This Row],[battery_capacity_kwh]]</f>
        <v>3.4819277108433737</v>
      </c>
      <c r="Z1993" s="4">
        <f>EV_Data4[[#This Row],[price_usd]]/EV_Data4[[#This Row],[range_miles]]</f>
        <v>250.64484429065743</v>
      </c>
      <c r="AA1993" s="2">
        <f>(EV_Data4[[#This Row],[customer_rating]]*EV_Data4[[#This Row],[safety_rating]]*1000)/EV_Data4[[#This Row],[price_usd]]</f>
        <v>0.15489458608908566</v>
      </c>
      <c r="AB1993">
        <f>EV_Data4[[#This Row],[horsepower]]+EV_Data4[[#This Row],[torque_nm]]/EV_Data4[[#This Row],[acceleration_0_60_mph]]</f>
        <v>620.31623931623926</v>
      </c>
      <c r="AC1993" t="str">
        <f>IF(EV_Data4[[#This Row],[price_usd]]&gt;=80000,"Luxury",IF(EV_Data4[[#This Row],[price_usd]]&gt;=40000,"Mid-Range","Budget"))</f>
        <v>Mid-Range</v>
      </c>
      <c r="AD1993" t="str">
        <f>IF(EV_Data4[[#This Row],[range_miles]]&gt;=350,"Long-Range",IF(EV_Data4[[#This Row],[range_miles]]&gt;=250,"Medium-Range","Short-Range"))</f>
        <v>Medium-Range</v>
      </c>
      <c r="AE1993" t="str">
        <f>IF(EV_Data4[[#This Row],[charging_speed_kw]]&gt;=250,"Ultra-Fast",IF(EV_Data4[[#This Row],[charging_speed_kw]]&gt;=150,"Fast-Charging","Standard-Charging"))</f>
        <v>Ultra-Fast</v>
      </c>
      <c r="AF1993" t="str">
        <f>IF(EV_Data4[[#This Row],[acceleration_0_60_mph]]&lt;=3,"SportsPerformance",IF(EV_Data4[[#This Row],[acceleration_0_60_mph]]&lt;=5,"HighPerformance","Standard"))</f>
        <v>Standard</v>
      </c>
      <c r="AG1993" t="str">
        <f>IF(EV_Data4[[#This Row],[customer_rating]]&gt;=4.5,"Excellent",IF(EV_Data4[[#This Row],[customer_rating]]&gt;=3.5,"Good","Average"))</f>
        <v>Good</v>
      </c>
      <c r="AH1993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1994" spans="1:34" x14ac:dyDescent="0.3">
      <c r="A1994" t="s">
        <v>42</v>
      </c>
      <c r="B1994" t="s">
        <v>80</v>
      </c>
      <c r="C1994">
        <v>2025</v>
      </c>
      <c r="D1994" t="s">
        <v>44</v>
      </c>
      <c r="E1994" s="3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27</v>
      </c>
      <c r="N1994">
        <v>5</v>
      </c>
      <c r="O1994" t="s">
        <v>35</v>
      </c>
      <c r="P1994">
        <v>52.7</v>
      </c>
      <c r="Q1994">
        <v>1708</v>
      </c>
      <c r="R1994">
        <v>5</v>
      </c>
      <c r="S1994">
        <v>0</v>
      </c>
      <c r="T1994" t="s">
        <v>45</v>
      </c>
      <c r="U1994" t="s">
        <v>37</v>
      </c>
      <c r="V1994" s="3">
        <v>114969</v>
      </c>
      <c r="W1994">
        <v>3.93</v>
      </c>
      <c r="X1994">
        <v>4</v>
      </c>
      <c r="Y1994" s="1">
        <f>EV_Data4[[#This Row],[range_miles]]/EV_Data4[[#This Row],[battery_capacity_kwh]]</f>
        <v>3.5797665369649807</v>
      </c>
      <c r="Z1994" s="4">
        <f>EV_Data4[[#This Row],[price_usd]]/EV_Data4[[#This Row],[range_miles]]</f>
        <v>133.18529891304348</v>
      </c>
      <c r="AA1994" s="2">
        <f>(EV_Data4[[#This Row],[customer_rating]]*EV_Data4[[#This Row],[safety_rating]]*1000)/EV_Data4[[#This Row],[price_usd]]</f>
        <v>0.40092066891930361</v>
      </c>
      <c r="AB1994">
        <f>EV_Data4[[#This Row],[horsepower]]+EV_Data4[[#This Row],[torque_nm]]/EV_Data4[[#This Row],[acceleration_0_60_mph]]</f>
        <v>580.42857142857144</v>
      </c>
      <c r="AC1994" t="str">
        <f>IF(EV_Data4[[#This Row],[price_usd]]&gt;=80000,"Luxury",IF(EV_Data4[[#This Row],[price_usd]]&gt;=40000,"Mid-Range","Budget"))</f>
        <v>Mid-Range</v>
      </c>
      <c r="AD1994" t="str">
        <f>IF(EV_Data4[[#This Row],[range_miles]]&gt;=350,"Long-Range",IF(EV_Data4[[#This Row],[range_miles]]&gt;=250,"Medium-Range","Short-Range"))</f>
        <v>Long-Range</v>
      </c>
      <c r="AE1994" t="str">
        <f>IF(EV_Data4[[#This Row],[charging_speed_kw]]&gt;=250,"Ultra-Fast",IF(EV_Data4[[#This Row],[charging_speed_kw]]&gt;=150,"Fast-Charging","Standard-Charging"))</f>
        <v>Standard-Charging</v>
      </c>
      <c r="AF1994" t="str">
        <f>IF(EV_Data4[[#This Row],[acceleration_0_60_mph]]&lt;=3,"SportsPerformance",IF(EV_Data4[[#This Row],[acceleration_0_60_mph]]&lt;=5,"HighPerformance","Standard"))</f>
        <v>HighPerformance</v>
      </c>
      <c r="AG1994" t="str">
        <f>IF(EV_Data4[[#This Row],[customer_rating]]&gt;=4.5,"Excellent",IF(EV_Data4[[#This Row],[customer_rating]]&gt;=3.5,"Good","Average"))</f>
        <v>Good</v>
      </c>
      <c r="AH1994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95" spans="1:34" x14ac:dyDescent="0.3">
      <c r="A1995" t="s">
        <v>46</v>
      </c>
      <c r="B1995" t="s">
        <v>57</v>
      </c>
      <c r="C1995">
        <v>2026</v>
      </c>
      <c r="D1995" t="s">
        <v>56</v>
      </c>
      <c r="E1995" s="3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27</v>
      </c>
      <c r="N1995">
        <v>7</v>
      </c>
      <c r="O1995" t="s">
        <v>58</v>
      </c>
      <c r="P1995">
        <v>24.6</v>
      </c>
      <c r="Q1995">
        <v>1500</v>
      </c>
      <c r="R1995">
        <v>5</v>
      </c>
      <c r="S1995">
        <v>2</v>
      </c>
      <c r="T1995" t="s">
        <v>41</v>
      </c>
      <c r="U1995" t="s">
        <v>30</v>
      </c>
      <c r="V1995" s="3">
        <v>170811</v>
      </c>
      <c r="W1995">
        <v>3.7</v>
      </c>
      <c r="X1995">
        <v>4</v>
      </c>
      <c r="Y1995" s="1">
        <f>EV_Data4[[#This Row],[range_miles]]/EV_Data4[[#This Row],[battery_capacity_kwh]]</f>
        <v>3.7978560490045945</v>
      </c>
      <c r="Z1995" s="4">
        <f>EV_Data4[[#This Row],[price_usd]]/EV_Data4[[#This Row],[range_miles]]</f>
        <v>481.52399193548388</v>
      </c>
      <c r="AA1995" s="2">
        <f>(EV_Data4[[#This Row],[customer_rating]]*EV_Data4[[#This Row],[safety_rating]]*1000)/EV_Data4[[#This Row],[price_usd]]</f>
        <v>0.15491808392289436</v>
      </c>
      <c r="AB1995">
        <f>EV_Data4[[#This Row],[horsepower]]+EV_Data4[[#This Row],[torque_nm]]/EV_Data4[[#This Row],[acceleration_0_60_mph]]</f>
        <v>993.54341736694676</v>
      </c>
      <c r="AC1995" t="str">
        <f>IF(EV_Data4[[#This Row],[price_usd]]&gt;=80000,"Luxury",IF(EV_Data4[[#This Row],[price_usd]]&gt;=40000,"Mid-Range","Budget"))</f>
        <v>Luxury</v>
      </c>
      <c r="AD1995" t="str">
        <f>IF(EV_Data4[[#This Row],[range_miles]]&gt;=350,"Long-Range",IF(EV_Data4[[#This Row],[range_miles]]&gt;=250,"Medium-Range","Short-Range"))</f>
        <v>Short-Range</v>
      </c>
      <c r="AE1995" t="str">
        <f>IF(EV_Data4[[#This Row],[charging_speed_kw]]&gt;=250,"Ultra-Fast",IF(EV_Data4[[#This Row],[charging_speed_kw]]&gt;=150,"Fast-Charging","Standard-Charging"))</f>
        <v>Fast-Charging</v>
      </c>
      <c r="AF1995" t="str">
        <f>IF(EV_Data4[[#This Row],[acceleration_0_60_mph]]&lt;=3,"SportsPerformance",IF(EV_Data4[[#This Row],[acceleration_0_60_mph]]&lt;=5,"HighPerformance","Standard"))</f>
        <v>Standard</v>
      </c>
      <c r="AG1995" t="str">
        <f>IF(EV_Data4[[#This Row],[customer_rating]]&gt;=4.5,"Excellent",IF(EV_Data4[[#This Row],[customer_rating]]&gt;=3.5,"Good","Average"))</f>
        <v>Good</v>
      </c>
      <c r="AH1995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96" spans="1:34" x14ac:dyDescent="0.3">
      <c r="A1996" t="s">
        <v>38</v>
      </c>
      <c r="B1996" t="s">
        <v>102</v>
      </c>
      <c r="C1996">
        <v>2024</v>
      </c>
      <c r="D1996" t="s">
        <v>61</v>
      </c>
      <c r="E1996" s="3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48</v>
      </c>
      <c r="N1996">
        <v>7</v>
      </c>
      <c r="O1996" t="s">
        <v>35</v>
      </c>
      <c r="P1996">
        <v>39.4</v>
      </c>
      <c r="Q1996">
        <v>2077</v>
      </c>
      <c r="R1996">
        <v>4</v>
      </c>
      <c r="S1996">
        <v>1</v>
      </c>
      <c r="T1996" t="s">
        <v>41</v>
      </c>
      <c r="U1996" t="s">
        <v>66</v>
      </c>
      <c r="V1996" s="3">
        <v>738</v>
      </c>
      <c r="W1996">
        <v>3.6</v>
      </c>
      <c r="X1996">
        <v>3</v>
      </c>
      <c r="Y1996" s="1">
        <f>EV_Data4[[#This Row],[range_miles]]/EV_Data4[[#This Row],[battery_capacity_kwh]]</f>
        <v>3.1142857142857143</v>
      </c>
      <c r="Z1996" s="4">
        <f>EV_Data4[[#This Row],[price_usd]]/EV_Data4[[#This Row],[range_miles]]</f>
        <v>157.34573394495413</v>
      </c>
      <c r="AA1996" s="2">
        <f>(EV_Data4[[#This Row],[customer_rating]]*EV_Data4[[#This Row],[safety_rating]]*1000)/EV_Data4[[#This Row],[price_usd]]</f>
        <v>0.41980830503271438</v>
      </c>
      <c r="AB1996">
        <f>EV_Data4[[#This Row],[horsepower]]+EV_Data4[[#This Row],[torque_nm]]/EV_Data4[[#This Row],[acceleration_0_60_mph]]</f>
        <v>387.57746478873241</v>
      </c>
      <c r="AC1996" t="str">
        <f>IF(EV_Data4[[#This Row],[price_usd]]&gt;=80000,"Luxury",IF(EV_Data4[[#This Row],[price_usd]]&gt;=40000,"Mid-Range","Budget"))</f>
        <v>Budget</v>
      </c>
      <c r="AD1996" t="str">
        <f>IF(EV_Data4[[#This Row],[range_miles]]&gt;=350,"Long-Range",IF(EV_Data4[[#This Row],[range_miles]]&gt;=250,"Medium-Range","Short-Range"))</f>
        <v>Short-Range</v>
      </c>
      <c r="AE1996" t="str">
        <f>IF(EV_Data4[[#This Row],[charging_speed_kw]]&gt;=250,"Ultra-Fast",IF(EV_Data4[[#This Row],[charging_speed_kw]]&gt;=150,"Fast-Charging","Standard-Charging"))</f>
        <v>Standard-Charging</v>
      </c>
      <c r="AF1996" t="str">
        <f>IF(EV_Data4[[#This Row],[acceleration_0_60_mph]]&lt;=3,"SportsPerformance",IF(EV_Data4[[#This Row],[acceleration_0_60_mph]]&lt;=5,"HighPerformance","Standard"))</f>
        <v>Standard</v>
      </c>
      <c r="AG1996" t="str">
        <f>IF(EV_Data4[[#This Row],[customer_rating]]&gt;=4.5,"Excellent",IF(EV_Data4[[#This Row],[customer_rating]]&gt;=3.5,"Good","Average"))</f>
        <v>Good</v>
      </c>
      <c r="AH1996" t="str">
        <f>IF(EV_Data4[[#This Row],[autopilot_level]]=3,"Fully Autonomus EV",IF(EV_Data4[[#This Row],[autopilot_level]]=2,"Advanced Driver Assist EV",IF(EV_Data4[[#This Row],[autopilot_level]]=1,"basic Assist EV","No Autopilot")))</f>
        <v>basic Assist EV</v>
      </c>
    </row>
    <row r="1997" spans="1:34" x14ac:dyDescent="0.3">
      <c r="A1997" t="s">
        <v>83</v>
      </c>
      <c r="B1997" t="s">
        <v>89</v>
      </c>
      <c r="C1997">
        <v>2023</v>
      </c>
      <c r="D1997" t="s">
        <v>44</v>
      </c>
      <c r="E1997" s="3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34</v>
      </c>
      <c r="N1997">
        <v>5</v>
      </c>
      <c r="O1997" t="s">
        <v>50</v>
      </c>
      <c r="P1997">
        <v>38.299999999999997</v>
      </c>
      <c r="Q1997">
        <v>1500</v>
      </c>
      <c r="R1997">
        <v>5</v>
      </c>
      <c r="S1997">
        <v>2</v>
      </c>
      <c r="T1997" t="s">
        <v>29</v>
      </c>
      <c r="U1997" t="s">
        <v>30</v>
      </c>
      <c r="V1997" s="3">
        <v>66187</v>
      </c>
      <c r="W1997">
        <v>3.78</v>
      </c>
      <c r="X1997">
        <v>7</v>
      </c>
      <c r="Y1997" s="1">
        <f>EV_Data4[[#This Row],[range_miles]]/EV_Data4[[#This Row],[battery_capacity_kwh]]</f>
        <v>3.525954946131244</v>
      </c>
      <c r="Z1997" s="4">
        <f>EV_Data4[[#This Row],[price_usd]]/EV_Data4[[#This Row],[range_miles]]</f>
        <v>340.73808333333335</v>
      </c>
      <c r="AA1997" s="2">
        <f>(EV_Data4[[#This Row],[customer_rating]]*EV_Data4[[#This Row],[safety_rating]]*1000)/EV_Data4[[#This Row],[price_usd]]</f>
        <v>0.15407728859189743</v>
      </c>
      <c r="AB1997">
        <f>EV_Data4[[#This Row],[horsepower]]+EV_Data4[[#This Row],[torque_nm]]/EV_Data4[[#This Row],[acceleration_0_60_mph]]</f>
        <v>1222.0902612826603</v>
      </c>
      <c r="AC1997" t="str">
        <f>IF(EV_Data4[[#This Row],[price_usd]]&gt;=80000,"Luxury",IF(EV_Data4[[#This Row],[price_usd]]&gt;=40000,"Mid-Range","Budget"))</f>
        <v>Luxury</v>
      </c>
      <c r="AD1997" t="str">
        <f>IF(EV_Data4[[#This Row],[range_miles]]&gt;=350,"Long-Range",IF(EV_Data4[[#This Row],[range_miles]]&gt;=250,"Medium-Range","Short-Range"))</f>
        <v>Long-Range</v>
      </c>
      <c r="AE1997" t="str">
        <f>IF(EV_Data4[[#This Row],[charging_speed_kw]]&gt;=250,"Ultra-Fast",IF(EV_Data4[[#This Row],[charging_speed_kw]]&gt;=150,"Fast-Charging","Standard-Charging"))</f>
        <v>Standard-Charging</v>
      </c>
      <c r="AF1997" t="str">
        <f>IF(EV_Data4[[#This Row],[acceleration_0_60_mph]]&lt;=3,"SportsPerformance",IF(EV_Data4[[#This Row],[acceleration_0_60_mph]]&lt;=5,"HighPerformance","Standard"))</f>
        <v>HighPerformance</v>
      </c>
      <c r="AG1997" t="str">
        <f>IF(EV_Data4[[#This Row],[customer_rating]]&gt;=4.5,"Excellent",IF(EV_Data4[[#This Row],[customer_rating]]&gt;=3.5,"Good","Average"))</f>
        <v>Good</v>
      </c>
      <c r="AH1997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1998" spans="1:34" x14ac:dyDescent="0.3">
      <c r="A1998" t="s">
        <v>31</v>
      </c>
      <c r="B1998" t="s">
        <v>112</v>
      </c>
      <c r="C1998">
        <v>2024</v>
      </c>
      <c r="D1998" t="s">
        <v>26</v>
      </c>
      <c r="E1998" s="3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27</v>
      </c>
      <c r="N1998">
        <v>5</v>
      </c>
      <c r="O1998" t="s">
        <v>50</v>
      </c>
      <c r="P1998">
        <v>23.1</v>
      </c>
      <c r="Q1998">
        <v>1863</v>
      </c>
      <c r="R1998">
        <v>4</v>
      </c>
      <c r="S1998">
        <v>0</v>
      </c>
      <c r="T1998" t="s">
        <v>36</v>
      </c>
      <c r="U1998" t="s">
        <v>33</v>
      </c>
      <c r="V1998" s="3">
        <v>11062</v>
      </c>
      <c r="W1998">
        <v>3.79</v>
      </c>
      <c r="X1998">
        <v>4</v>
      </c>
      <c r="Y1998" s="1">
        <f>EV_Data4[[#This Row],[range_miles]]/EV_Data4[[#This Row],[battery_capacity_kwh]]</f>
        <v>3.3182640144665463</v>
      </c>
      <c r="Z1998" s="4">
        <f>EV_Data4[[#This Row],[price_usd]]/EV_Data4[[#This Row],[range_miles]]</f>
        <v>182.06144414168938</v>
      </c>
      <c r="AA1998" s="2">
        <f>(EV_Data4[[#This Row],[customer_rating]]*EV_Data4[[#This Row],[safety_rating]]*1000)/EV_Data4[[#This Row],[price_usd]]</f>
        <v>0.22688989479402932</v>
      </c>
      <c r="AB1998">
        <f>EV_Data4[[#This Row],[horsepower]]+EV_Data4[[#This Row],[torque_nm]]/EV_Data4[[#This Row],[acceleration_0_60_mph]]</f>
        <v>955.47058823529414</v>
      </c>
      <c r="AC1998" t="str">
        <f>IF(EV_Data4[[#This Row],[price_usd]]&gt;=80000,"Luxury",IF(EV_Data4[[#This Row],[price_usd]]&gt;=40000,"Mid-Range","Budget"))</f>
        <v>Mid-Range</v>
      </c>
      <c r="AD1998" t="str">
        <f>IF(EV_Data4[[#This Row],[range_miles]]&gt;=350,"Long-Range",IF(EV_Data4[[#This Row],[range_miles]]&gt;=250,"Medium-Range","Short-Range"))</f>
        <v>Long-Range</v>
      </c>
      <c r="AE1998" t="str">
        <f>IF(EV_Data4[[#This Row],[charging_speed_kw]]&gt;=250,"Ultra-Fast",IF(EV_Data4[[#This Row],[charging_speed_kw]]&gt;=150,"Fast-Charging","Standard-Charging"))</f>
        <v>Fast-Charging</v>
      </c>
      <c r="AF1998" t="str">
        <f>IF(EV_Data4[[#This Row],[acceleration_0_60_mph]]&lt;=3,"SportsPerformance",IF(EV_Data4[[#This Row],[acceleration_0_60_mph]]&lt;=5,"HighPerformance","Standard"))</f>
        <v>HighPerformance</v>
      </c>
      <c r="AG1998" t="str">
        <f>IF(EV_Data4[[#This Row],[customer_rating]]&gt;=4.5,"Excellent",IF(EV_Data4[[#This Row],[customer_rating]]&gt;=3.5,"Good","Average"))</f>
        <v>Good</v>
      </c>
      <c r="AH1998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  <row r="1999" spans="1:34" x14ac:dyDescent="0.3">
      <c r="A1999" t="s">
        <v>46</v>
      </c>
      <c r="B1999" t="s">
        <v>47</v>
      </c>
      <c r="C1999">
        <v>2025</v>
      </c>
      <c r="D1999" t="s">
        <v>44</v>
      </c>
      <c r="E1999" s="3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48</v>
      </c>
      <c r="N1999">
        <v>7</v>
      </c>
      <c r="O1999" t="s">
        <v>28</v>
      </c>
      <c r="P1999">
        <v>74.599999999999994</v>
      </c>
      <c r="Q1999">
        <v>2920</v>
      </c>
      <c r="R1999">
        <v>3</v>
      </c>
      <c r="S1999">
        <v>3</v>
      </c>
      <c r="T1999" t="s">
        <v>41</v>
      </c>
      <c r="U1999" t="s">
        <v>37</v>
      </c>
      <c r="V1999" s="3">
        <v>224804</v>
      </c>
      <c r="W1999">
        <v>4.0999999999999996</v>
      </c>
      <c r="X1999">
        <v>6</v>
      </c>
      <c r="Y1999" s="1">
        <f>EV_Data4[[#This Row],[range_miles]]/EV_Data4[[#This Row],[battery_capacity_kwh]]</f>
        <v>3.5871964679911703</v>
      </c>
      <c r="Z1999" s="4">
        <f>EV_Data4[[#This Row],[price_usd]]/EV_Data4[[#This Row],[range_miles]]</f>
        <v>151.63464615384615</v>
      </c>
      <c r="AA1999" s="2">
        <f>(EV_Data4[[#This Row],[customer_rating]]*EV_Data4[[#This Row],[safety_rating]]*1000)/EV_Data4[[#This Row],[price_usd]]</f>
        <v>0.24958777433856191</v>
      </c>
      <c r="AB1999">
        <f>EV_Data4[[#This Row],[horsepower]]+EV_Data4[[#This Row],[torque_nm]]/EV_Data4[[#This Row],[acceleration_0_60_mph]]</f>
        <v>409.37837837837839</v>
      </c>
      <c r="AC1999" t="str">
        <f>IF(EV_Data4[[#This Row],[price_usd]]&gt;=80000,"Luxury",IF(EV_Data4[[#This Row],[price_usd]]&gt;=40000,"Mid-Range","Budget"))</f>
        <v>Mid-Range</v>
      </c>
      <c r="AD1999" t="str">
        <f>IF(EV_Data4[[#This Row],[range_miles]]&gt;=350,"Long-Range",IF(EV_Data4[[#This Row],[range_miles]]&gt;=250,"Medium-Range","Short-Range"))</f>
        <v>Medium-Range</v>
      </c>
      <c r="AE1999" t="str">
        <f>IF(EV_Data4[[#This Row],[charging_speed_kw]]&gt;=250,"Ultra-Fast",IF(EV_Data4[[#This Row],[charging_speed_kw]]&gt;=150,"Fast-Charging","Standard-Charging"))</f>
        <v>Ultra-Fast</v>
      </c>
      <c r="AF1999" t="str">
        <f>IF(EV_Data4[[#This Row],[acceleration_0_60_mph]]&lt;=3,"SportsPerformance",IF(EV_Data4[[#This Row],[acceleration_0_60_mph]]&lt;=5,"HighPerformance","Standard"))</f>
        <v>Standard</v>
      </c>
      <c r="AG1999" t="str">
        <f>IF(EV_Data4[[#This Row],[customer_rating]]&gt;=4.5,"Excellent",IF(EV_Data4[[#This Row],[customer_rating]]&gt;=3.5,"Good","Average"))</f>
        <v>Good</v>
      </c>
      <c r="AH1999" t="str">
        <f>IF(EV_Data4[[#This Row],[autopilot_level]]=3,"Fully Autonomus EV",IF(EV_Data4[[#This Row],[autopilot_level]]=2,"Advanced Driver Assist EV",IF(EV_Data4[[#This Row],[autopilot_level]]=1,"basic Assist EV","No Autopilot")))</f>
        <v>Fully Autonomus EV</v>
      </c>
    </row>
    <row r="2000" spans="1:34" x14ac:dyDescent="0.3">
      <c r="A2000" t="s">
        <v>46</v>
      </c>
      <c r="B2000" t="s">
        <v>78</v>
      </c>
      <c r="C2000">
        <v>2026</v>
      </c>
      <c r="D2000" t="s">
        <v>33</v>
      </c>
      <c r="E2000" s="3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48</v>
      </c>
      <c r="N2000">
        <v>5</v>
      </c>
      <c r="O2000" t="s">
        <v>51</v>
      </c>
      <c r="P2000">
        <v>34.799999999999997</v>
      </c>
      <c r="Q2000">
        <v>1500</v>
      </c>
      <c r="R2000">
        <v>3</v>
      </c>
      <c r="S2000">
        <v>2</v>
      </c>
      <c r="T2000" t="s">
        <v>41</v>
      </c>
      <c r="U2000" t="s">
        <v>30</v>
      </c>
      <c r="V2000" s="3">
        <v>165373</v>
      </c>
      <c r="W2000">
        <v>3.66</v>
      </c>
      <c r="X2000">
        <v>4</v>
      </c>
      <c r="Y2000" s="1">
        <f>EV_Data4[[#This Row],[range_miles]]/EV_Data4[[#This Row],[battery_capacity_kwh]]</f>
        <v>3.5077793493635077</v>
      </c>
      <c r="Z2000" s="4">
        <f>EV_Data4[[#This Row],[price_usd]]/EV_Data4[[#This Row],[range_miles]]</f>
        <v>563.1682661290323</v>
      </c>
      <c r="AA2000" s="2">
        <f>(EV_Data4[[#This Row],[customer_rating]]*EV_Data4[[#This Row],[safety_rating]]*1000)/EV_Data4[[#This Row],[price_usd]]</f>
        <v>7.8616279025642152E-2</v>
      </c>
      <c r="AB2000">
        <f>EV_Data4[[#This Row],[horsepower]]+EV_Data4[[#This Row],[torque_nm]]/EV_Data4[[#This Row],[acceleration_0_60_mph]]</f>
        <v>1172.5838264299803</v>
      </c>
      <c r="AC2000" t="str">
        <f>IF(EV_Data4[[#This Row],[price_usd]]&gt;=80000,"Luxury",IF(EV_Data4[[#This Row],[price_usd]]&gt;=40000,"Mid-Range","Budget"))</f>
        <v>Luxury</v>
      </c>
      <c r="AD2000" t="str">
        <f>IF(EV_Data4[[#This Row],[range_miles]]&gt;=350,"Long-Range",IF(EV_Data4[[#This Row],[range_miles]]&gt;=250,"Medium-Range","Short-Range"))</f>
        <v>Short-Range</v>
      </c>
      <c r="AE2000" t="str">
        <f>IF(EV_Data4[[#This Row],[charging_speed_kw]]&gt;=250,"Ultra-Fast",IF(EV_Data4[[#This Row],[charging_speed_kw]]&gt;=150,"Fast-Charging","Standard-Charging"))</f>
        <v>Ultra-Fast</v>
      </c>
      <c r="AF2000" t="str">
        <f>IF(EV_Data4[[#This Row],[acceleration_0_60_mph]]&lt;=3,"SportsPerformance",IF(EV_Data4[[#This Row],[acceleration_0_60_mph]]&lt;=5,"HighPerformance","Standard"))</f>
        <v>Standard</v>
      </c>
      <c r="AG2000" t="str">
        <f>IF(EV_Data4[[#This Row],[customer_rating]]&gt;=4.5,"Excellent",IF(EV_Data4[[#This Row],[customer_rating]]&gt;=3.5,"Good","Average"))</f>
        <v>Good</v>
      </c>
      <c r="AH2000" t="str">
        <f>IF(EV_Data4[[#This Row],[autopilot_level]]=3,"Fully Autonomus EV",IF(EV_Data4[[#This Row],[autopilot_level]]=2,"Advanced Driver Assist EV",IF(EV_Data4[[#This Row],[autopilot_level]]=1,"basic Assist EV","No Autopilot")))</f>
        <v>Advanced Driver Assist EV</v>
      </c>
    </row>
    <row r="2001" spans="1:34" x14ac:dyDescent="0.3">
      <c r="A2001" t="s">
        <v>63</v>
      </c>
      <c r="B2001" t="s">
        <v>107</v>
      </c>
      <c r="C2001">
        <v>2025</v>
      </c>
      <c r="D2001" t="s">
        <v>33</v>
      </c>
      <c r="E2001" s="3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48</v>
      </c>
      <c r="N2001">
        <v>5</v>
      </c>
      <c r="O2001" t="s">
        <v>51</v>
      </c>
      <c r="P2001">
        <v>28.5</v>
      </c>
      <c r="Q2001">
        <v>1512</v>
      </c>
      <c r="R2001">
        <v>4</v>
      </c>
      <c r="S2001">
        <v>0</v>
      </c>
      <c r="T2001" t="s">
        <v>65</v>
      </c>
      <c r="U2001" t="s">
        <v>37</v>
      </c>
      <c r="V2001" s="3">
        <v>214113</v>
      </c>
      <c r="W2001">
        <v>3.41</v>
      </c>
      <c r="X2001">
        <v>4</v>
      </c>
      <c r="Y2001" s="1">
        <f>EV_Data4[[#This Row],[range_miles]]/EV_Data4[[#This Row],[battery_capacity_kwh]]</f>
        <v>3.6498516320474774</v>
      </c>
      <c r="Z2001" s="4">
        <f>EV_Data4[[#This Row],[price_usd]]/EV_Data4[[#This Row],[range_miles]]</f>
        <v>193.2840650406504</v>
      </c>
      <c r="AA2001" s="2">
        <f>(EV_Data4[[#This Row],[customer_rating]]*EV_Data4[[#This Row],[safety_rating]]*1000)/EV_Data4[[#This Row],[price_usd]]</f>
        <v>0.28686873105593774</v>
      </c>
      <c r="AB2001">
        <f>EV_Data4[[#This Row],[horsepower]]+EV_Data4[[#This Row],[torque_nm]]/EV_Data4[[#This Row],[acceleration_0_60_mph]]</f>
        <v>595.07692307692309</v>
      </c>
      <c r="AC2001" t="str">
        <f>IF(EV_Data4[[#This Row],[price_usd]]&gt;=80000,"Luxury",IF(EV_Data4[[#This Row],[price_usd]]&gt;=40000,"Mid-Range","Budget"))</f>
        <v>Mid-Range</v>
      </c>
      <c r="AD2001" t="str">
        <f>IF(EV_Data4[[#This Row],[range_miles]]&gt;=350,"Long-Range",IF(EV_Data4[[#This Row],[range_miles]]&gt;=250,"Medium-Range","Short-Range"))</f>
        <v>Short-Range</v>
      </c>
      <c r="AE2001" t="str">
        <f>IF(EV_Data4[[#This Row],[charging_speed_kw]]&gt;=250,"Ultra-Fast",IF(EV_Data4[[#This Row],[charging_speed_kw]]&gt;=150,"Fast-Charging","Standard-Charging"))</f>
        <v>Standard-Charging</v>
      </c>
      <c r="AF2001" t="str">
        <f>IF(EV_Data4[[#This Row],[acceleration_0_60_mph]]&lt;=3,"SportsPerformance",IF(EV_Data4[[#This Row],[acceleration_0_60_mph]]&lt;=5,"HighPerformance","Standard"))</f>
        <v>Standard</v>
      </c>
      <c r="AG2001" t="str">
        <f>IF(EV_Data4[[#This Row],[customer_rating]]&gt;=4.5,"Excellent",IF(EV_Data4[[#This Row],[customer_rating]]&gt;=3.5,"Good","Average"))</f>
        <v>Average</v>
      </c>
      <c r="AH2001" t="str">
        <f>IF(EV_Data4[[#This Row],[autopilot_level]]=3,"Fully Autonomus EV",IF(EV_Data4[[#This Row],[autopilot_level]]=2,"Advanced Driver Assist EV",IF(EV_Data4[[#This Row],[autopilot_level]]=1,"basic Assist EV","No Autopilot")))</f>
        <v>No Autopilot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process_data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 Sevugan</dc:creator>
  <cp:lastModifiedBy>lakshmanan Sevugan</cp:lastModifiedBy>
  <dcterms:created xsi:type="dcterms:W3CDTF">2026-05-13T09:45:08Z</dcterms:created>
  <dcterms:modified xsi:type="dcterms:W3CDTF">2026-05-14T16:12:29Z</dcterms:modified>
</cp:coreProperties>
</file>